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MOVIMIENTOS" sheetId="1" state="visible" r:id="rId3"/>
    <sheet name="SALDO DIARIO" sheetId="2" state="visible" r:id="rId4"/>
    <sheet name="KARDEX" sheetId="3" state="visible" r:id="rId5"/>
    <sheet name="LISTAS" sheetId="4" state="visible" r:id="rId6"/>
  </sheets>
  <definedNames>
    <definedName function="false" hidden="true" localSheetId="2" name="_xlnm._FilterDatabase" vbProcedure="false">KARDEX!$A$5:$G$132</definedName>
    <definedName function="false" hidden="true" localSheetId="0" name="_xlnm._FilterDatabase" vbProcedure="false">MOVIMIENTOS!$A$4:$H$400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<sst xmlns="http://schemas.openxmlformats.org/spreadsheetml/2006/main" count="971" uniqueCount="145">
  <si>
    <t xml:space="preserve">AGRO PACAYALES · PLANTA CAMOTE 2026  |  MOVIMIENTOS — registra aquí un evento por fila</t>
  </si>
  <si>
    <t xml:space="preserve">Única hoja que llenas: escribe la fecha como 24-7 (saldrá "vie 24-07" solita) + Tipo (lista) + Calidad + Unidad (jabas/sacos/kg) + Cantidad → los Kg salen solos. Si registras en kg (muestras, malogrado, reproceso, otras salidas) los Kg = Cantidad. Guía/ticket y nota al final. KARDEX, SALDO DIARIO y RESUMEN se arman solos.</t>
  </si>
  <si>
    <t xml:space="preserve">Fecha</t>
  </si>
  <si>
    <t xml:space="preserve">Tipo</t>
  </si>
  <si>
    <t xml:space="preserve">Calidad</t>
  </si>
  <si>
    <t xml:space="preserve">Unidad</t>
  </si>
  <si>
    <t xml:space="preserve">Cantidad</t>
  </si>
  <si>
    <t xml:space="preserve">Kg</t>
  </si>
  <si>
    <t xml:space="preserve">N° Guía / Ticket</t>
  </si>
  <si>
    <t xml:space="preserve">Observación</t>
  </si>
  <si>
    <t xml:space="preserve">AJUSTE</t>
  </si>
  <si>
    <t xml:space="preserve">A</t>
  </si>
  <si>
    <t xml:space="preserve">jabas</t>
  </si>
  <si>
    <t xml:space="preserve">M</t>
  </si>
  <si>
    <t xml:space="preserve">SALDO INICIAL</t>
  </si>
  <si>
    <t xml:space="preserve">Chancho</t>
  </si>
  <si>
    <t xml:space="preserve">sacos</t>
  </si>
  <si>
    <t xml:space="preserve">COMPRA</t>
  </si>
  <si>
    <t xml:space="preserve">—</t>
  </si>
  <si>
    <t xml:space="preserve">peso aprox 95 kg/saco</t>
  </si>
  <si>
    <t xml:space="preserve">PROCESO</t>
  </si>
  <si>
    <t xml:space="preserve">P</t>
  </si>
  <si>
    <t xml:space="preserve">C</t>
  </si>
  <si>
    <t xml:space="preserve">ENVÍO A SUPESA</t>
  </si>
  <si>
    <t xml:space="preserve">2977</t>
  </si>
  <si>
    <t xml:space="preserve">2980</t>
  </si>
  <si>
    <t xml:space="preserve">2984</t>
  </si>
  <si>
    <t xml:space="preserve">2986</t>
  </si>
  <si>
    <t xml:space="preserve">VENTA CHANCHO</t>
  </si>
  <si>
    <t xml:space="preserve">TCK002-724</t>
  </si>
  <si>
    <t xml:space="preserve">2992</t>
  </si>
  <si>
    <t xml:space="preserve">2994</t>
  </si>
  <si>
    <t xml:space="preserve">TCK002-725</t>
  </si>
  <si>
    <t xml:space="preserve">2996</t>
  </si>
  <si>
    <t xml:space="preserve">TRASIEGO</t>
  </si>
  <si>
    <t xml:space="preserve">Compra del sabado 18/07 (33 sacos)</t>
  </si>
  <si>
    <t xml:space="preserve">2998</t>
  </si>
  <si>
    <t xml:space="preserve">Compra del domingo 19/07 (17 sacos)</t>
  </si>
  <si>
    <t xml:space="preserve">TOTAL 70 SACOS, LUNES PROCESO 48</t>
  </si>
  <si>
    <t xml:space="preserve">3001</t>
  </si>
  <si>
    <t xml:space="preserve">TCK002-726</t>
  </si>
  <si>
    <t xml:space="preserve">3004</t>
  </si>
  <si>
    <t xml:space="preserve">RECHAZO</t>
  </si>
  <si>
    <t xml:space="preserve">REPROCESO</t>
  </si>
  <si>
    <t xml:space="preserve">kg</t>
  </si>
  <si>
    <t xml:space="preserve">kg recuperados de jabas rechazadas</t>
  </si>
  <si>
    <t xml:space="preserve">MALOGRADO</t>
  </si>
  <si>
    <t xml:space="preserve">3006</t>
  </si>
  <si>
    <t xml:space="preserve">S/T</t>
  </si>
  <si>
    <t xml:space="preserve">DEVOLUCIÓN</t>
  </si>
  <si>
    <t xml:space="preserve">Envio de mas por error (guia 3006); jabas retornaron intactas, no se reprocesaron</t>
  </si>
  <si>
    <t xml:space="preserve">kg recuperados de la jaba de A rechazada (las 9 jabas de M devueltas no se reprocesaron)</t>
  </si>
  <si>
    <t xml:space="preserve">3008</t>
  </si>
  <si>
    <t xml:space="preserve">EN TOTAL SE COMPRARON 80 SACOS, 43 PROCESARON 24-07 Y 37 PROCESARAN SABADO 25</t>
  </si>
  <si>
    <t xml:space="preserve">3011</t>
  </si>
  <si>
    <t xml:space="preserve">TCK002-729</t>
  </si>
  <si>
    <t xml:space="preserve">No hicieron ticket</t>
  </si>
  <si>
    <t xml:space="preserve">ENVIO A TOTTUS</t>
  </si>
  <si>
    <t xml:space="preserve">Primera</t>
  </si>
  <si>
    <t xml:space="preserve">Se envió como muestra.</t>
  </si>
  <si>
    <t xml:space="preserve">Se procesó del saldo de los 37 sacos del jue23</t>
  </si>
  <si>
    <t xml:space="preserve">Se compraron 100 sacos , solo se procesó 45</t>
  </si>
  <si>
    <t xml:space="preserve">informó Anthony</t>
  </si>
  <si>
    <t xml:space="preserve">Falta regularizar</t>
  </si>
  <si>
    <t xml:space="preserve">TCK002-730</t>
  </si>
  <si>
    <t xml:space="preserve">se compró 100 sacos solo se procesó 30</t>
  </si>
  <si>
    <t xml:space="preserve">Se compró el jue pero se va procesar vie</t>
  </si>
  <si>
    <t xml:space="preserve">AGRO PACAYALES · PLANTA CAMOTE 2026  |  SALDO DIARIO — lo que queda en almacén al cierre de cada día</t>
  </si>
  <si>
    <t xml:space="preserve">Automático. Cada fila = cierre del día: jabas por calidad para contar el almacén, sacos de chancho y kg del kardex. RECHAZO no suma (va a reproceso); DEVOLUCIÓN sí suma completo. La última fila con datos es tu stock de HOY.</t>
  </si>
  <si>
    <t xml:space="preserve">A
(jabas)</t>
  </si>
  <si>
    <t xml:space="preserve">P
(jabas)</t>
  </si>
  <si>
    <t xml:space="preserve">C
(jabas)</t>
  </si>
  <si>
    <t xml:space="preserve">M
(jabas)</t>
  </si>
  <si>
    <t xml:space="preserve">Chancho
(sacos)</t>
  </si>
  <si>
    <t xml:space="preserve">TOTAL
jabas</t>
  </si>
  <si>
    <t xml:space="preserve">Stock
Kg</t>
  </si>
  <si>
    <t xml:space="preserve">AGRO PACAYALES · PLANTA CAMOTE 2026  |  KARDEX — Ingreso, Procesado y Enviado de camote (kg) por día</t>
  </si>
  <si>
    <t xml:space="preserve">Cada día empieza con una fila de RESUMEN en negrita: Ingreso (compra), Procesado (selección + chancho) y Enviado a SUPESA, además del Stock Kg al cierre del día. Debajo va el detalle de cada movimiento. SELECCIÓN y RECHAZO son informativos (no restan del Stock Kg): SELECCIÓN es cuánto se clasificó en A/P/C/M ese día, RECHAZO son jabas que van a reproceso. El chancho sí sale del Stock Kg (pasa a su propio conteo en sacos).</t>
  </si>
  <si>
    <t xml:space="preserve">INGRESO</t>
  </si>
  <si>
    <t xml:space="preserve">PROCESADO</t>
  </si>
  <si>
    <t xml:space="preserve">SALIDAS</t>
  </si>
  <si>
    <t xml:space="preserve">Detalle</t>
  </si>
  <si>
    <t xml:space="preserve">Ingreso Kg</t>
  </si>
  <si>
    <t xml:space="preserve">Procesado Kg</t>
  </si>
  <si>
    <t xml:space="preserve">Salidas Kg</t>
  </si>
  <si>
    <t xml:space="preserve">N. Guía / Nota</t>
  </si>
  <si>
    <t xml:space="preserve">Stock Kg</t>
  </si>
  <si>
    <t xml:space="preserve">📅 RESUMEN DEL DÍA</t>
  </si>
  <si>
    <t xml:space="preserve">Cal. A+M</t>
  </si>
  <si>
    <t xml:space="preserve">APERTURA (M)</t>
  </si>
  <si>
    <t xml:space="preserve">INGRESO (compra)</t>
  </si>
  <si>
    <t xml:space="preserve">SELECCIÓN (proceso)</t>
  </si>
  <si>
    <t xml:space="preserve">A=59j  ·  P=11j  ·  C=12j  ·  M=64j</t>
  </si>
  <si>
    <t xml:space="preserve">CHANCHO (proceso)</t>
  </si>
  <si>
    <t xml:space="preserve">Cal. A+C+M+P  ·  2977</t>
  </si>
  <si>
    <t xml:space="preserve">A=107j  ·  P=11j  ·  C=12j  ·  M=110j</t>
  </si>
  <si>
    <t xml:space="preserve">Cal. A+C+M+P  ·  2980</t>
  </si>
  <si>
    <t xml:space="preserve">A=45j  ·  P=11j  ·  C=12j  ·  M=121j</t>
  </si>
  <si>
    <t xml:space="preserve">Cal. A+C+M+P  ·  2984</t>
  </si>
  <si>
    <t xml:space="preserve">A=79j  ·  P=22j  ·  C=21j  ·  M=83j</t>
  </si>
  <si>
    <t xml:space="preserve">Cal. A+C+M+P  ·  2986</t>
  </si>
  <si>
    <t xml:space="preserve">A=68j  ·  P=11j  ·  C=12j  ·  M=116j</t>
  </si>
  <si>
    <t xml:space="preserve">Cal. A+C+M+P  ·  2992</t>
  </si>
  <si>
    <t xml:space="preserve">A=103j  ·  P=4j  ·  C=9j  ·  M=196j</t>
  </si>
  <si>
    <t xml:space="preserve">Cal. A+C+M+P  ·  2994</t>
  </si>
  <si>
    <t xml:space="preserve">Cal. A+C+M+P  ·  2996</t>
  </si>
  <si>
    <t xml:space="preserve">A=67j  ·  P=11j  ·  C=12j  ·  M=54j</t>
  </si>
  <si>
    <t xml:space="preserve">TRASIEGO cal. A</t>
  </si>
  <si>
    <t xml:space="preserve">A=40j  ·  P=0j  ·  C=0j  ·  M=34j</t>
  </si>
  <si>
    <t xml:space="preserve">Cal. A+C+M+P  ·  2998</t>
  </si>
  <si>
    <t xml:space="preserve">A=68j  ·  P=23j  ·  C=23j  ·  M=129j</t>
  </si>
  <si>
    <t xml:space="preserve">Cal. A+C+M+P  ·  3001</t>
  </si>
  <si>
    <t xml:space="preserve">TRASIEGO cal. P</t>
  </si>
  <si>
    <t xml:space="preserve">TRASIEGO cal. C</t>
  </si>
  <si>
    <t xml:space="preserve">A=90j  ·  P=11j  ·  C=12j  ·  M=144j</t>
  </si>
  <si>
    <t xml:space="preserve">Cal. A+C+M+P  ·  3004</t>
  </si>
  <si>
    <t xml:space="preserve">RECHAZO cal. A (va a reproceso)</t>
  </si>
  <si>
    <t xml:space="preserve">RECHAZO cal. M (va a reproceso)</t>
  </si>
  <si>
    <t xml:space="preserve">TRASIEGO cal. M</t>
  </si>
  <si>
    <t xml:space="preserve">A=64j  ·  P=11j  ·  C=12j  ·  M=111j</t>
  </si>
  <si>
    <t xml:space="preserve">Cal. A+C+M+P  ·  3006</t>
  </si>
  <si>
    <t xml:space="preserve">DEVOLUCIÓN (regresa intacta)</t>
  </si>
  <si>
    <t xml:space="preserve">A=78j  ·  P=11j  ·  C=12j  ·  M=94j</t>
  </si>
  <si>
    <t xml:space="preserve">Cal. A+C+M+P  ·  3008</t>
  </si>
  <si>
    <t xml:space="preserve">A=48j  ·  P=3j  ·  C=5j  ·  M=95j</t>
  </si>
  <si>
    <t xml:space="preserve">Cal. A+C+M+P  ·  3011</t>
  </si>
  <si>
    <t xml:space="preserve">ENVÍO A TOTTUS</t>
  </si>
  <si>
    <t xml:space="preserve">Cal. A+C+M+P  ·  3014</t>
  </si>
  <si>
    <t xml:space="preserve">A=96j  ·  P=21j  ·  C=12j  ·  M=110j</t>
  </si>
  <si>
    <t xml:space="preserve">Cal. A+C+P  ·  3018</t>
  </si>
  <si>
    <t xml:space="preserve">A=97j  ·  P=13j  ·  C=18j  ·  M=77j</t>
  </si>
  <si>
    <t xml:space="preserve">Cal. A+C+P  ·  3021</t>
  </si>
  <si>
    <t xml:space="preserve">A=133j  ·  P=4j  ·  C=12j  ·  M=94j</t>
  </si>
  <si>
    <t xml:space="preserve">Cal. A+C+M+P  ·  3023</t>
  </si>
  <si>
    <t xml:space="preserve">Cal. A+C+M+P  ·  3025</t>
  </si>
  <si>
    <t xml:space="preserve">A=46j  ·  P=11j  ·  C=5j  ·  M=90j</t>
  </si>
  <si>
    <t xml:space="preserve">Cal. A+C+M+P</t>
  </si>
  <si>
    <t xml:space="preserve">Tipos</t>
  </si>
  <si>
    <t xml:space="preserve">Calidades</t>
  </si>
  <si>
    <t xml:space="preserve">Unidades</t>
  </si>
  <si>
    <t xml:space="preserve">VENTA</t>
  </si>
  <si>
    <t xml:space="preserve">REGALO</t>
  </si>
  <si>
    <t xml:space="preserve">(Agrega aquí nuevas calidades con su factor kg por jaba para que los Kg salgan solos)</t>
  </si>
  <si>
    <t xml:space="preserve">Segunda</t>
  </si>
  <si>
    <t xml:space="preserve">OTRA SALIDA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</si>
</sst>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C0A]ddd\ dd\-mm"/>
    <numFmt numFmtId="166" formatCode="#,##0.#;\(#,##0.#\);\-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2"/>
      <charset val="1"/>
    </font>
    <font>
      <sz val="9"/>
      <color rgb="FF555555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10"/>
      <color rgb="FFF57F17"/>
      <name val="Arial"/>
      <family val="2"/>
      <charset val="1"/>
    </font>
    <font>
      <b val="true"/>
      <sz val="10"/>
      <color rgb="FF5D4037"/>
      <name val="Arial"/>
      <family val="2"/>
      <charset val="1"/>
    </font>
    <font>
      <b val="true"/>
      <sz val="10"/>
      <color rgb="FF0D47A1"/>
      <name val="Arial"/>
      <family val="2"/>
      <charset val="1"/>
    </font>
    <font>
      <sz val="10"/>
      <color rgb="FF1B5E20"/>
      <name val="Arial"/>
      <family val="2"/>
      <charset val="1"/>
    </font>
    <font>
      <sz val="10"/>
      <color rgb="FF311B92"/>
      <name val="Arial"/>
      <family val="2"/>
      <charset val="1"/>
    </font>
    <font>
      <b val="true"/>
      <sz val="10"/>
      <color rgb="FF4E342E"/>
      <name val="Arial"/>
      <family val="2"/>
      <charset val="1"/>
    </font>
    <font>
      <sz val="10"/>
      <color rgb="FF01579B"/>
      <name val="Arial"/>
      <family val="2"/>
      <charset val="1"/>
    </font>
    <font>
      <b val="true"/>
      <sz val="10"/>
      <color rgb="FFBF360C"/>
      <name val="Arial"/>
      <family val="2"/>
      <charset val="1"/>
    </font>
    <font>
      <b val="true"/>
      <sz val="10"/>
      <color rgb="FF00695C"/>
      <name val="Arial"/>
      <family val="2"/>
      <charset val="1"/>
    </font>
    <font>
      <b val="true"/>
      <sz val="10"/>
      <color rgb="FFB71C1C"/>
      <name val="Arial"/>
      <family val="2"/>
      <charset val="1"/>
    </font>
    <font>
      <sz val="10"/>
      <color rgb="FFE65100"/>
      <name val="Arial"/>
      <family val="2"/>
      <charset val="1"/>
    </font>
    <font>
      <sz val="10"/>
      <color rgb="FF37474F"/>
      <name val="Arial"/>
      <family val="2"/>
      <charset val="1"/>
    </font>
    <font>
      <sz val="10"/>
      <name val="Arial"/>
      <family val="2"/>
      <charset val="1"/>
    </font>
    <font>
      <b val="true"/>
      <sz val="11"/>
      <color theme="1"/>
      <name val="Calibri"/>
      <family val="2"/>
      <charset val="1"/>
    </font>
    <font>
      <sz val="11"/>
      <name val="Arial"/>
      <family val="2"/>
      <charset val="1"/>
    </font>
    <font>
      <b val="true"/>
      <sz val="9"/>
      <color rgb="FFFFFFFF"/>
      <name val="Arial"/>
      <family val="2"/>
      <charset val="1"/>
    </font>
    <font>
      <b val="true"/>
      <sz val="10"/>
      <color rgb="FF37474F"/>
      <name val="Arial"/>
      <family val="2"/>
      <charset val="1"/>
    </font>
    <font>
      <i val="true"/>
      <sz val="10"/>
      <color rgb="FF00695C"/>
      <name val="Arial"/>
      <family val="2"/>
      <charset val="1"/>
    </font>
    <font>
      <i val="true"/>
      <sz val="9"/>
      <color rgb="FF888888"/>
      <name val="Arial"/>
      <family val="2"/>
      <charset val="1"/>
    </font>
  </fonts>
  <fills count="18">
    <fill>
      <patternFill patternType="none"/>
    </fill>
    <fill>
      <patternFill patternType="gray125"/>
    </fill>
    <fill>
      <patternFill patternType="solid">
        <fgColor rgb="FF263238"/>
        <bgColor rgb="FF37474F"/>
      </patternFill>
    </fill>
    <fill>
      <patternFill patternType="solid">
        <fgColor rgb="FF37474F"/>
        <bgColor rgb="FF455A64"/>
      </patternFill>
    </fill>
    <fill>
      <patternFill patternType="solid">
        <fgColor rgb="FFFFF8E1"/>
        <bgColor rgb="FFFFF3E0"/>
      </patternFill>
    </fill>
    <fill>
      <patternFill patternType="solid">
        <fgColor rgb="FFE3F2FD"/>
        <bgColor rgb="FFE1F5FE"/>
      </patternFill>
    </fill>
    <fill>
      <patternFill patternType="solid">
        <fgColor rgb="FFE8F5E9"/>
        <bgColor rgb="FFE0F2F1"/>
      </patternFill>
    </fill>
    <fill>
      <patternFill patternType="solid">
        <fgColor rgb="FFEDE7F6"/>
        <bgColor rgb="FFEFEBE9"/>
      </patternFill>
    </fill>
    <fill>
      <patternFill patternType="solid">
        <fgColor rgb="FFEFEBE9"/>
        <bgColor rgb="FFECEFF1"/>
      </patternFill>
    </fill>
    <fill>
      <patternFill patternType="solid">
        <fgColor rgb="FFE1F5FE"/>
        <bgColor rgb="FFE3F2FD"/>
      </patternFill>
    </fill>
    <fill>
      <patternFill patternType="solid">
        <fgColor rgb="FFFFF3E0"/>
        <bgColor rgb="FFFFF8E1"/>
      </patternFill>
    </fill>
    <fill>
      <patternFill patternType="solid">
        <fgColor rgb="FFE0F2F1"/>
        <bgColor rgb="FFE3F2FD"/>
      </patternFill>
    </fill>
    <fill>
      <patternFill patternType="solid">
        <fgColor rgb="FFFFEBEE"/>
        <bgColor rgb="FFFCE4EC"/>
      </patternFill>
    </fill>
    <fill>
      <patternFill patternType="solid">
        <fgColor rgb="FFFFFFFF"/>
        <bgColor rgb="FFFFF8E1"/>
      </patternFill>
    </fill>
    <fill>
      <patternFill patternType="solid">
        <fgColor rgb="FF1565C0"/>
        <bgColor rgb="FF01579B"/>
      </patternFill>
    </fill>
    <fill>
      <patternFill patternType="solid">
        <fgColor rgb="FF00695C"/>
        <bgColor rgb="FF01579B"/>
      </patternFill>
    </fill>
    <fill>
      <patternFill patternType="solid">
        <fgColor rgb="FF8E24AA"/>
        <bgColor rgb="FF800080"/>
      </patternFill>
    </fill>
    <fill>
      <patternFill patternType="solid">
        <fgColor rgb="FF2E7D32"/>
        <bgColor rgb="FF33691E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DDDD"/>
      </bottom>
      <diagonal/>
    </border>
    <border diagonalUp="false" diagonalDown="false">
      <left/>
      <right/>
      <top style="medium">
        <color rgb="FF1B5E20"/>
      </top>
      <bottom style="medium">
        <color rgb="FF1B5E2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2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3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4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5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6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7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7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8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8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1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1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1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4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4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8">
    <dxf>
      <fill>
        <patternFill patternType="solid">
          <fgColor rgb="FF37474F"/>
          <bgColor rgb="FF000000"/>
        </patternFill>
      </fill>
    </dxf>
    <dxf>
      <fill>
        <patternFill patternType="solid">
          <fgColor rgb="FFE0F2F1"/>
          <bgColor rgb="FF000000"/>
        </patternFill>
      </fill>
    </dxf>
    <dxf>
      <fill>
        <patternFill patternType="solid">
          <fgColor rgb="FFE1F5FE"/>
          <bgColor rgb="FF000000"/>
        </patternFill>
      </fill>
    </dxf>
    <dxf>
      <fill>
        <patternFill patternType="solid">
          <fgColor rgb="FFE3F2FD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EDE7F6"/>
          <bgColor rgb="FF000000"/>
        </patternFill>
      </fill>
    </dxf>
    <dxf>
      <fill>
        <patternFill patternType="solid">
          <fgColor rgb="FFEFEBE9"/>
          <bgColor rgb="FF000000"/>
        </patternFill>
      </fill>
    </dxf>
    <dxf>
      <fill>
        <patternFill patternType="solid">
          <fgColor rgb="FFFFEBEE"/>
          <bgColor rgb="FF000000"/>
        </patternFill>
      </fill>
    </dxf>
    <dxf>
      <fill>
        <patternFill patternType="solid">
          <fgColor rgb="FFFFF3E0"/>
          <bgColor rgb="FF000000"/>
        </patternFill>
      </fill>
    </dxf>
    <dxf>
      <fill>
        <patternFill patternType="solid">
          <fgColor rgb="FFFFF8E1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695C"/>
          <bgColor rgb="FF000000"/>
        </patternFill>
      </fill>
    </dxf>
    <dxf>
      <fill>
        <patternFill patternType="solid">
          <fgColor rgb="FF01579B"/>
          <bgColor rgb="FF000000"/>
        </patternFill>
      </fill>
    </dxf>
    <dxf>
      <fill>
        <patternFill patternType="solid">
          <fgColor rgb="FF0D47A1"/>
          <bgColor rgb="FF000000"/>
        </patternFill>
      </fill>
    </dxf>
    <dxf>
      <fill>
        <patternFill patternType="solid">
          <fgColor rgb="FF1B5E20"/>
          <bgColor rgb="FF000000"/>
        </patternFill>
      </fill>
    </dxf>
    <dxf>
      <fill>
        <patternFill patternType="solid">
          <fgColor rgb="FF311B92"/>
          <bgColor rgb="FF000000"/>
        </patternFill>
      </fill>
    </dxf>
    <dxf>
      <fill>
        <patternFill patternType="solid">
          <fgColor rgb="FF4E342E"/>
          <bgColor rgb="FF000000"/>
        </patternFill>
      </fill>
    </dxf>
    <dxf>
      <fill>
        <patternFill patternType="solid">
          <fgColor rgb="FF5D4037"/>
          <bgColor rgb="FF000000"/>
        </patternFill>
      </fill>
    </dxf>
    <dxf>
      <fill>
        <patternFill patternType="solid">
          <fgColor rgb="FFB71C1C"/>
          <bgColor rgb="FF000000"/>
        </patternFill>
      </fill>
    </dxf>
    <dxf>
      <fill>
        <patternFill patternType="solid">
          <fgColor rgb="FFBF360C"/>
          <bgColor rgb="FF000000"/>
        </patternFill>
      </fill>
    </dxf>
    <dxf>
      <fill>
        <patternFill patternType="solid">
          <fgColor rgb="FFE65100"/>
          <bgColor rgb="FF000000"/>
        </patternFill>
      </fill>
    </dxf>
    <dxf>
      <fill>
        <patternFill patternType="solid">
          <fgColor rgb="FFF57F17"/>
          <bgColor rgb="FF000000"/>
        </patternFill>
      </fill>
    </dxf>
    <dxf>
      <font>
        <b val="1"/>
        <color rgb="FF0D47A1"/>
      </font>
      <fill>
        <patternFill>
          <bgColor rgb="FFE3F2FD"/>
        </patternFill>
      </fill>
    </dxf>
    <dxf>
      <font>
        <color rgb="FF1B5E20"/>
      </font>
      <fill>
        <patternFill>
          <bgColor rgb="FFE8F5E9"/>
        </patternFill>
      </fill>
    </dxf>
    <dxf>
      <font>
        <color rgb="FF311B92"/>
      </font>
      <fill>
        <patternFill>
          <bgColor rgb="FFEDE7F6"/>
        </patternFill>
      </fill>
    </dxf>
    <dxf>
      <font>
        <b val="1"/>
        <color rgb="FF4527A0"/>
      </font>
      <fill>
        <patternFill>
          <bgColor rgb="FFD1C4E9"/>
        </patternFill>
      </fill>
    </dxf>
    <dxf>
      <font>
        <b val="1"/>
        <color rgb="FF4E342E"/>
      </font>
      <fill>
        <patternFill>
          <bgColor rgb="FFEFEBE9"/>
        </patternFill>
      </fill>
    </dxf>
    <dxf>
      <font>
        <color rgb="FFE65100"/>
      </font>
      <fill>
        <patternFill>
          <bgColor rgb="FFFFF3E0"/>
        </patternFill>
      </fill>
    </dxf>
    <dxf>
      <font>
        <b val="1"/>
        <color rgb="FF00695C"/>
      </font>
      <fill>
        <patternFill>
          <bgColor rgb="FFE0F2F1"/>
        </patternFill>
      </fill>
    </dxf>
    <dxf>
      <font>
        <b val="1"/>
        <color rgb="FFB71C1C"/>
      </font>
      <fill>
        <patternFill>
          <bgColor rgb="FFFFEBEE"/>
        </patternFill>
      </fill>
    </dxf>
    <dxf>
      <font>
        <b val="1"/>
        <color rgb="FF455A64"/>
      </font>
      <fill>
        <patternFill>
          <bgColor rgb="FFECEFF1"/>
        </patternFill>
      </fill>
    </dxf>
    <dxf>
      <font>
        <color rgb="FF01579B"/>
      </font>
      <fill>
        <patternFill>
          <bgColor rgb="FFE1F5FE"/>
        </patternFill>
      </fill>
    </dxf>
    <dxf>
      <font>
        <b val="1"/>
        <color rgb="FFF57F17"/>
      </font>
      <fill>
        <patternFill>
          <bgColor rgb="FFFFF8E1"/>
        </patternFill>
      </fill>
    </dxf>
    <dxf>
      <font>
        <b val="1"/>
        <color rgb="FF880E4F"/>
      </font>
      <fill>
        <patternFill>
          <bgColor rgb="FFFCE4EC"/>
        </patternFill>
      </fill>
    </dxf>
    <dxf>
      <font>
        <b val="1"/>
        <color rgb="FF5D4037"/>
      </font>
      <fill>
        <patternFill>
          <bgColor rgb="FFFFF8E1"/>
        </patternFill>
      </fill>
    </dxf>
    <dxf>
      <font>
        <b val="1"/>
        <color rgb="FF33691E"/>
      </font>
      <fill>
        <patternFill>
          <bgColor rgb="FFFFF9C4"/>
        </patternFill>
      </fill>
      <border diagonalUp="false" diagonalDown="false">
        <left/>
        <right/>
        <top/>
        <bottom style="thin">
          <color rgb="FFDDDDDD"/>
        </bottom>
        <diagonal/>
      </border>
    </dxf>
    <dxf>
      <fill>
        <patternFill patternType="solid">
          <fgColor rgb="FF2E7D32"/>
          <bgColor rgb="FF000000"/>
        </patternFill>
      </fill>
    </dxf>
    <dxf>
      <fill>
        <patternFill>
          <bgColor rgb="FFFFF8E1"/>
        </patternFill>
      </fill>
    </dxf>
    <dxf>
      <fill>
        <patternFill>
          <bgColor rgb="FFE3F2FD"/>
        </patternFill>
      </fill>
    </dxf>
    <dxf>
      <fill>
        <patternFill>
          <bgColor rgb="FFFFF3E0"/>
        </patternFill>
      </fill>
    </dxf>
    <dxf>
      <fill>
        <patternFill>
          <bgColor rgb="FFE0F2F1"/>
        </patternFill>
      </fill>
    </dxf>
    <dxf>
      <fill>
        <patternFill>
          <bgColor rgb="FFFFEBEE"/>
        </patternFill>
      </fill>
    </dxf>
    <dxf>
      <fill>
        <patternFill>
          <bgColor rgb="FFEDE7F6"/>
        </patternFill>
      </fill>
    </dxf>
    <dxf>
      <fill>
        <patternFill>
          <bgColor rgb="FFEFEBE9"/>
        </patternFill>
      </fill>
    </dxf>
    <dxf>
      <fill>
        <patternFill>
          <bgColor rgb="FFD1C4E9"/>
        </patternFill>
      </fill>
    </dxf>
    <dxf>
      <fill>
        <patternFill>
          <bgColor rgb="FFFCE4EC"/>
        </patternFill>
      </fill>
    </dxf>
    <dxf>
      <fill>
        <patternFill>
          <bgColor rgb="FFE1F5F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3E0"/>
      <rgbColor rgb="FFFF00FF"/>
      <rgbColor rgb="FF00FFFF"/>
      <rgbColor rgb="FF800000"/>
      <rgbColor rgb="FF1B5E20"/>
      <rgbColor rgb="FF311B92"/>
      <rgbColor rgb="FF33691E"/>
      <rgbColor rgb="FF880E4F"/>
      <rgbColor rgb="FF00695C"/>
      <rgbColor rgb="FFDDDDDD"/>
      <rgbColor rgb="FF888888"/>
      <rgbColor rgb="FFEFEBE9"/>
      <rgbColor rgb="FF8E24AA"/>
      <rgbColor rgb="FFFFF9C4"/>
      <rgbColor rgb="FFE1F5FE"/>
      <rgbColor rgb="FF5D4037"/>
      <rgbColor rgb="FFFF8080"/>
      <rgbColor rgb="FF1565C0"/>
      <rgbColor rgb="FFD1C4E9"/>
      <rgbColor rgb="FF000080"/>
      <rgbColor rgb="FFFF00FF"/>
      <rgbColor rgb="FFFFEBEE"/>
      <rgbColor rgb="FF00FFFF"/>
      <rgbColor rgb="FF800080"/>
      <rgbColor rgb="FF800000"/>
      <rgbColor rgb="FF01579B"/>
      <rgbColor rgb="FF0000FF"/>
      <rgbColor rgb="FF00CCFF"/>
      <rgbColor rgb="FFE0F2F1"/>
      <rgbColor rgb="FFE8F5E9"/>
      <rgbColor rgb="FFFFF8E1"/>
      <rgbColor rgb="FFE3F2FD"/>
      <rgbColor rgb="FFFCE4EC"/>
      <rgbColor rgb="FFEDE7F6"/>
      <rgbColor rgb="FFFAC090"/>
      <rgbColor rgb="FF555555"/>
      <rgbColor rgb="FF33CCCC"/>
      <rgbColor rgb="FF99CC00"/>
      <rgbColor rgb="FFECEFF1"/>
      <rgbColor rgb="FFF57F17"/>
      <rgbColor rgb="FFE65100"/>
      <rgbColor rgb="FF455A64"/>
      <rgbColor rgb="FF969696"/>
      <rgbColor rgb="FF0D47A1"/>
      <rgbColor rgb="FF2E7D32"/>
      <rgbColor rgb="FF37474F"/>
      <rgbColor rgb="FF4E342E"/>
      <rgbColor rgb="FFBF360C"/>
      <rgbColor rgb="FFB71C1C"/>
      <rgbColor rgb="FF4527A0"/>
      <rgbColor rgb="FF2632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189" activePane="bottomLeft" state="frozen"/>
      <selection pane="topLeft" activeCell="A1" activeCellId="0" sqref="A1"/>
      <selection pane="bottomLeft" activeCell="H223" activeCellId="0" sqref="H223"/>
    </sheetView>
  </sheetViews>
  <sheetFormatPr defaultColWidth="8.6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7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40.67"/>
    <col collapsed="false" customWidth="true" hidden="true" outlineLevel="0" max="9" min="9" style="0" width="13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true" outlineLevel="0" collapsed="false">
      <c r="A5" s="4" t="n">
        <v>46214</v>
      </c>
      <c r="B5" s="5" t="s">
        <v>10</v>
      </c>
      <c r="C5" s="5" t="s">
        <v>11</v>
      </c>
      <c r="D5" s="5" t="s">
        <v>12</v>
      </c>
      <c r="E5" s="6" t="n">
        <v>2</v>
      </c>
      <c r="F5" s="6" t="n">
        <f aca="false">IF($B5="","",IF($D5="kg",N($E5),IF($D5="sacos",N($E5)*97,IF($D5="jabas",N($E5)*IFERROR(VLOOKUP($C5,LISTAS!$A$2:$B$12,2,0),0),""))))</f>
        <v>30</v>
      </c>
      <c r="G5" s="5"/>
      <c r="H5" s="5"/>
      <c r="I5" s="0" t="n">
        <f aca="false">N($F5)</f>
        <v>30</v>
      </c>
    </row>
    <row r="6" customFormat="false" ht="15" hidden="false" customHeight="true" outlineLevel="0" collapsed="false">
      <c r="A6" s="4" t="n">
        <v>46214</v>
      </c>
      <c r="B6" s="5" t="s">
        <v>10</v>
      </c>
      <c r="C6" s="5" t="s">
        <v>13</v>
      </c>
      <c r="D6" s="5" t="s">
        <v>12</v>
      </c>
      <c r="E6" s="6" t="n">
        <v>1</v>
      </c>
      <c r="F6" s="6" t="n">
        <f aca="false">IF($B6="","",IF($D6="kg",N($E6),IF($D6="sacos",N($E6)*97,IF($D6="jabas",N($E6)*IFERROR(VLOOKUP($C6,LISTAS!$A$2:$B$12,2,0),0),""))))</f>
        <v>17</v>
      </c>
      <c r="G6" s="5"/>
      <c r="H6" s="5"/>
      <c r="I6" s="0" t="n">
        <f aca="false">N($F6)</f>
        <v>17</v>
      </c>
    </row>
    <row r="7" customFormat="false" ht="15" hidden="false" customHeight="true" outlineLevel="0" collapsed="false">
      <c r="A7" s="7" t="n">
        <v>46214</v>
      </c>
      <c r="B7" s="8" t="s">
        <v>14</v>
      </c>
      <c r="C7" s="8" t="s">
        <v>13</v>
      </c>
      <c r="D7" s="8" t="s">
        <v>12</v>
      </c>
      <c r="E7" s="9" t="n">
        <v>7</v>
      </c>
      <c r="F7" s="9" t="n">
        <f aca="false">IF($B7="","",IF($D7="kg",N($E7),IF($D7="sacos",N($E7)*97,IF($D7="jabas",N($E7)*IFERROR(VLOOKUP($C7,LISTAS!$A$2:$B$12,2,0),0),""))))</f>
        <v>119</v>
      </c>
      <c r="G7" s="8"/>
      <c r="H7" s="8"/>
      <c r="I7" s="0" t="n">
        <f aca="false">N($F7)</f>
        <v>119</v>
      </c>
    </row>
    <row r="8" customFormat="false" ht="15" hidden="false" customHeight="true" outlineLevel="0" collapsed="false">
      <c r="A8" s="7" t="n">
        <v>46214</v>
      </c>
      <c r="B8" s="8" t="s">
        <v>14</v>
      </c>
      <c r="C8" s="8" t="s">
        <v>15</v>
      </c>
      <c r="D8" s="8" t="s">
        <v>16</v>
      </c>
      <c r="E8" s="9" t="n">
        <v>20</v>
      </c>
      <c r="F8" s="9" t="n">
        <f aca="false">IF($B8="","",IF($D8="kg",N($E8),IF($D8="sacos",N($E8)*97,IF($D8="jabas",N($E8)*IFERROR(VLOOKUP($C8,LISTAS!$A$2:$B$12,2,0),0),""))))</f>
        <v>1940</v>
      </c>
      <c r="G8" s="8"/>
      <c r="H8" s="8"/>
      <c r="I8" s="0" t="n">
        <f aca="false">N($F8)</f>
        <v>1940</v>
      </c>
    </row>
    <row r="9" customFormat="false" ht="15" hidden="false" customHeight="true" outlineLevel="0" collapsed="false">
      <c r="A9" s="10" t="n">
        <v>46215</v>
      </c>
      <c r="B9" s="11" t="s">
        <v>17</v>
      </c>
      <c r="C9" s="11" t="s">
        <v>18</v>
      </c>
      <c r="D9" s="11" t="s">
        <v>16</v>
      </c>
      <c r="E9" s="12" t="n">
        <v>30</v>
      </c>
      <c r="F9" s="12" t="n">
        <f aca="false">IF($B9="","",IF($D9="kg",N($E9),IF($D9="sacos",N($E9)*97,IF($D9="jabas",N($E9)*IFERROR(VLOOKUP($C9,LISTAS!$A$2:$B$12,2,0),0),""))))</f>
        <v>2910</v>
      </c>
      <c r="G9" s="11"/>
      <c r="H9" s="11" t="s">
        <v>19</v>
      </c>
      <c r="I9" s="0" t="n">
        <f aca="false">N($F9)</f>
        <v>2910</v>
      </c>
    </row>
    <row r="10" customFormat="false" ht="15" hidden="false" customHeight="true" outlineLevel="0" collapsed="false">
      <c r="A10" s="13" t="n">
        <v>46215</v>
      </c>
      <c r="B10" s="14" t="s">
        <v>20</v>
      </c>
      <c r="C10" s="14" t="s">
        <v>11</v>
      </c>
      <c r="D10" s="14" t="s">
        <v>12</v>
      </c>
      <c r="E10" s="15" t="n">
        <v>59</v>
      </c>
      <c r="F10" s="15" t="n">
        <f aca="false">IF($B10="","",IF($D10="kg",N($E10),IF($D10="sacos",N($E10)*97,IF($D10="jabas",N($E10)*IFERROR(VLOOKUP($C10,LISTAS!$A$2:$B$12,2,0),0),""))))</f>
        <v>885</v>
      </c>
      <c r="G10" s="14"/>
      <c r="H10" s="14"/>
      <c r="I10" s="0" t="n">
        <f aca="false">N($F10)</f>
        <v>885</v>
      </c>
    </row>
    <row r="11" customFormat="false" ht="15" hidden="false" customHeight="true" outlineLevel="0" collapsed="false">
      <c r="A11" s="13" t="n">
        <v>46215</v>
      </c>
      <c r="B11" s="14" t="s">
        <v>20</v>
      </c>
      <c r="C11" s="14" t="s">
        <v>21</v>
      </c>
      <c r="D11" s="14" t="s">
        <v>12</v>
      </c>
      <c r="E11" s="15" t="n">
        <v>11</v>
      </c>
      <c r="F11" s="15" t="n">
        <f aca="false">IF($B11="","",IF($D11="kg",N($E11),IF($D11="sacos",N($E11)*97,IF($D11="jabas",N($E11)*IFERROR(VLOOKUP($C11,LISTAS!$A$2:$B$12,2,0),0),""))))</f>
        <v>198</v>
      </c>
      <c r="G11" s="14"/>
      <c r="H11" s="14"/>
      <c r="I11" s="0" t="n">
        <f aca="false">N($F11)</f>
        <v>198</v>
      </c>
    </row>
    <row r="12" customFormat="false" ht="15" hidden="false" customHeight="true" outlineLevel="0" collapsed="false">
      <c r="A12" s="13" t="n">
        <v>46215</v>
      </c>
      <c r="B12" s="14" t="s">
        <v>20</v>
      </c>
      <c r="C12" s="14" t="s">
        <v>22</v>
      </c>
      <c r="D12" s="14" t="s">
        <v>12</v>
      </c>
      <c r="E12" s="15" t="n">
        <v>12</v>
      </c>
      <c r="F12" s="15" t="n">
        <f aca="false">IF($B12="","",IF($D12="kg",N($E12),IF($D12="sacos",N($E12)*97,IF($D12="jabas",N($E12)*IFERROR(VLOOKUP($C12,LISTAS!$A$2:$B$12,2,0),0),""))))</f>
        <v>204</v>
      </c>
      <c r="G12" s="14"/>
      <c r="H12" s="14"/>
      <c r="I12" s="0" t="n">
        <f aca="false">N($F12)</f>
        <v>204</v>
      </c>
    </row>
    <row r="13" customFormat="false" ht="15" hidden="false" customHeight="true" outlineLevel="0" collapsed="false">
      <c r="A13" s="13" t="n">
        <v>46215</v>
      </c>
      <c r="B13" s="14" t="s">
        <v>20</v>
      </c>
      <c r="C13" s="14" t="s">
        <v>13</v>
      </c>
      <c r="D13" s="14" t="s">
        <v>12</v>
      </c>
      <c r="E13" s="15" t="n">
        <v>64</v>
      </c>
      <c r="F13" s="15" t="n">
        <f aca="false">IF($B13="","",IF($D13="kg",N($E13),IF($D13="sacos",N($E13)*97,IF($D13="jabas",N($E13)*IFERROR(VLOOKUP($C13,LISTAS!$A$2:$B$12,2,0),0),""))))</f>
        <v>1088</v>
      </c>
      <c r="G13" s="14"/>
      <c r="H13" s="14"/>
      <c r="I13" s="0" t="n">
        <f aca="false">N($F13)</f>
        <v>1088</v>
      </c>
    </row>
    <row r="14" customFormat="false" ht="15" hidden="false" customHeight="true" outlineLevel="0" collapsed="false">
      <c r="A14" s="13" t="n">
        <v>46215</v>
      </c>
      <c r="B14" s="14" t="s">
        <v>20</v>
      </c>
      <c r="C14" s="14" t="s">
        <v>15</v>
      </c>
      <c r="D14" s="14" t="s">
        <v>16</v>
      </c>
      <c r="E14" s="15" t="n">
        <v>6</v>
      </c>
      <c r="F14" s="15" t="n">
        <f aca="false">IF($B14="","",IF($D14="kg",N($E14),IF($D14="sacos",N($E14)*97,IF($D14="jabas",N($E14)*IFERROR(VLOOKUP($C14,LISTAS!$A$2:$B$12,2,0),0),""))))</f>
        <v>582</v>
      </c>
      <c r="G14" s="14"/>
      <c r="H14" s="14"/>
      <c r="I14" s="0" t="n">
        <f aca="false">N($F14)</f>
        <v>582</v>
      </c>
    </row>
    <row r="15" customFormat="false" ht="15" hidden="false" customHeight="true" outlineLevel="0" collapsed="false">
      <c r="A15" s="16" t="n">
        <v>46215</v>
      </c>
      <c r="B15" s="17" t="s">
        <v>23</v>
      </c>
      <c r="C15" s="17" t="s">
        <v>11</v>
      </c>
      <c r="D15" s="17" t="s">
        <v>12</v>
      </c>
      <c r="E15" s="18" t="n">
        <v>67</v>
      </c>
      <c r="F15" s="18" t="n">
        <f aca="false">IF($B15="","",IF($D15="kg",N($E15),IF($D15="sacos",N($E15)*97,IF($D15="jabas",N($E15)*IFERROR(VLOOKUP($C15,LISTAS!$A$2:$B$12,2,0),0),""))))</f>
        <v>1005</v>
      </c>
      <c r="G15" s="17" t="s">
        <v>24</v>
      </c>
      <c r="H15" s="17"/>
      <c r="I15" s="0" t="n">
        <f aca="false">N($F15)</f>
        <v>1005</v>
      </c>
    </row>
    <row r="16" customFormat="false" ht="15" hidden="false" customHeight="true" outlineLevel="0" collapsed="false">
      <c r="A16" s="16" t="n">
        <v>46215</v>
      </c>
      <c r="B16" s="17" t="s">
        <v>23</v>
      </c>
      <c r="C16" s="17" t="s">
        <v>21</v>
      </c>
      <c r="D16" s="17" t="s">
        <v>12</v>
      </c>
      <c r="E16" s="18" t="n">
        <v>11</v>
      </c>
      <c r="F16" s="18" t="n">
        <f aca="false">IF($B16="","",IF($D16="kg",N($E16),IF($D16="sacos",N($E16)*97,IF($D16="jabas",N($E16)*IFERROR(VLOOKUP($C16,LISTAS!$A$2:$B$12,2,0),0),""))))</f>
        <v>198</v>
      </c>
      <c r="G16" s="17" t="s">
        <v>24</v>
      </c>
      <c r="H16" s="17"/>
      <c r="I16" s="0" t="n">
        <f aca="false">N($F16)</f>
        <v>198</v>
      </c>
    </row>
    <row r="17" customFormat="false" ht="15" hidden="false" customHeight="true" outlineLevel="0" collapsed="false">
      <c r="A17" s="16" t="n">
        <v>46215</v>
      </c>
      <c r="B17" s="17" t="s">
        <v>23</v>
      </c>
      <c r="C17" s="17" t="s">
        <v>22</v>
      </c>
      <c r="D17" s="17" t="s">
        <v>12</v>
      </c>
      <c r="E17" s="18" t="n">
        <v>12</v>
      </c>
      <c r="F17" s="18" t="n">
        <f aca="false">IF($B17="","",IF($D17="kg",N($E17),IF($D17="sacos",N($E17)*97,IF($D17="jabas",N($E17)*IFERROR(VLOOKUP($C17,LISTAS!$A$2:$B$12,2,0),0),""))))</f>
        <v>204</v>
      </c>
      <c r="G17" s="17" t="s">
        <v>24</v>
      </c>
      <c r="H17" s="17"/>
      <c r="I17" s="0" t="n">
        <f aca="false">N($F17)</f>
        <v>204</v>
      </c>
    </row>
    <row r="18" customFormat="false" ht="15" hidden="false" customHeight="true" outlineLevel="0" collapsed="false">
      <c r="A18" s="16" t="n">
        <v>46215</v>
      </c>
      <c r="B18" s="17" t="s">
        <v>23</v>
      </c>
      <c r="C18" s="17" t="s">
        <v>13</v>
      </c>
      <c r="D18" s="17" t="s">
        <v>12</v>
      </c>
      <c r="E18" s="18" t="n">
        <v>42</v>
      </c>
      <c r="F18" s="18" t="n">
        <f aca="false">IF($B18="","",IF($D18="kg",N($E18),IF($D18="sacos",N($E18)*97,IF($D18="jabas",N($E18)*IFERROR(VLOOKUP($C18,LISTAS!$A$2:$B$12,2,0),0),""))))</f>
        <v>714</v>
      </c>
      <c r="G18" s="17" t="s">
        <v>24</v>
      </c>
      <c r="H18" s="17"/>
      <c r="I18" s="0" t="n">
        <f aca="false">N($F18)</f>
        <v>714</v>
      </c>
    </row>
    <row r="19" customFormat="false" ht="15" hidden="false" customHeight="true" outlineLevel="0" collapsed="false">
      <c r="A19" s="10" t="n">
        <v>46216</v>
      </c>
      <c r="B19" s="11" t="s">
        <v>17</v>
      </c>
      <c r="C19" s="11" t="s">
        <v>18</v>
      </c>
      <c r="D19" s="11" t="s">
        <v>16</v>
      </c>
      <c r="E19" s="12" t="n">
        <v>40</v>
      </c>
      <c r="F19" s="12" t="n">
        <f aca="false">IF($B19="","",IF($D19="kg",N($E19),IF($D19="sacos",N($E19)*97,IF($D19="jabas",N($E19)*IFERROR(VLOOKUP($C19,LISTAS!$A$2:$B$12,2,0),0),""))))</f>
        <v>3880</v>
      </c>
      <c r="G19" s="11"/>
      <c r="H19" s="11" t="s">
        <v>19</v>
      </c>
      <c r="I19" s="0" t="n">
        <f aca="false">N($F19)</f>
        <v>3880</v>
      </c>
    </row>
    <row r="20" customFormat="false" ht="15" hidden="false" customHeight="true" outlineLevel="0" collapsed="false">
      <c r="A20" s="13" t="n">
        <v>46216</v>
      </c>
      <c r="B20" s="14" t="s">
        <v>20</v>
      </c>
      <c r="C20" s="14" t="s">
        <v>11</v>
      </c>
      <c r="D20" s="14" t="s">
        <v>12</v>
      </c>
      <c r="E20" s="15" t="n">
        <v>107</v>
      </c>
      <c r="F20" s="15" t="n">
        <f aca="false">IF($B20="","",IF($D20="kg",N($E20),IF($D20="sacos",N($E20)*97,IF($D20="jabas",N($E20)*IFERROR(VLOOKUP($C20,LISTAS!$A$2:$B$12,2,0),0),""))))</f>
        <v>1605</v>
      </c>
      <c r="G20" s="14"/>
      <c r="H20" s="14"/>
      <c r="I20" s="0" t="n">
        <f aca="false">N($F20)</f>
        <v>1605</v>
      </c>
    </row>
    <row r="21" customFormat="false" ht="15" hidden="false" customHeight="true" outlineLevel="0" collapsed="false">
      <c r="A21" s="13" t="n">
        <v>46216</v>
      </c>
      <c r="B21" s="14" t="s">
        <v>20</v>
      </c>
      <c r="C21" s="14" t="s">
        <v>21</v>
      </c>
      <c r="D21" s="14" t="s">
        <v>12</v>
      </c>
      <c r="E21" s="15" t="n">
        <v>11</v>
      </c>
      <c r="F21" s="15" t="n">
        <f aca="false">IF($B21="","",IF($D21="kg",N($E21),IF($D21="sacos",N($E21)*97,IF($D21="jabas",N($E21)*IFERROR(VLOOKUP($C21,LISTAS!$A$2:$B$12,2,0),0),""))))</f>
        <v>198</v>
      </c>
      <c r="G21" s="14"/>
      <c r="H21" s="14"/>
      <c r="I21" s="0" t="n">
        <f aca="false">N($F21)</f>
        <v>198</v>
      </c>
    </row>
    <row r="22" customFormat="false" ht="15" hidden="false" customHeight="true" outlineLevel="0" collapsed="false">
      <c r="A22" s="13" t="n">
        <v>46216</v>
      </c>
      <c r="B22" s="14" t="s">
        <v>20</v>
      </c>
      <c r="C22" s="14" t="s">
        <v>22</v>
      </c>
      <c r="D22" s="14" t="s">
        <v>12</v>
      </c>
      <c r="E22" s="15" t="n">
        <v>12</v>
      </c>
      <c r="F22" s="15" t="n">
        <f aca="false">IF($B22="","",IF($D22="kg",N($E22),IF($D22="sacos",N($E22)*97,IF($D22="jabas",N($E22)*IFERROR(VLOOKUP($C22,LISTAS!$A$2:$B$12,2,0),0),""))))</f>
        <v>204</v>
      </c>
      <c r="G22" s="14"/>
      <c r="H22" s="14"/>
      <c r="I22" s="0" t="n">
        <f aca="false">N($F22)</f>
        <v>204</v>
      </c>
    </row>
    <row r="23" customFormat="false" ht="15" hidden="false" customHeight="true" outlineLevel="0" collapsed="false">
      <c r="A23" s="13" t="n">
        <v>46216</v>
      </c>
      <c r="B23" s="14" t="s">
        <v>20</v>
      </c>
      <c r="C23" s="14" t="s">
        <v>13</v>
      </c>
      <c r="D23" s="14" t="s">
        <v>12</v>
      </c>
      <c r="E23" s="15" t="n">
        <v>110</v>
      </c>
      <c r="F23" s="15" t="n">
        <f aca="false">IF($B23="","",IF($D23="kg",N($E23),IF($D23="sacos",N($E23)*97,IF($D23="jabas",N($E23)*IFERROR(VLOOKUP($C23,LISTAS!$A$2:$B$12,2,0),0),""))))</f>
        <v>1870</v>
      </c>
      <c r="G23" s="14"/>
      <c r="H23" s="14"/>
      <c r="I23" s="0" t="n">
        <f aca="false">N($F23)</f>
        <v>1870</v>
      </c>
    </row>
    <row r="24" customFormat="false" ht="15" hidden="false" customHeight="true" outlineLevel="0" collapsed="false">
      <c r="A24" s="13" t="n">
        <v>46216</v>
      </c>
      <c r="B24" s="14" t="s">
        <v>20</v>
      </c>
      <c r="C24" s="14" t="s">
        <v>15</v>
      </c>
      <c r="D24" s="14" t="s">
        <v>16</v>
      </c>
      <c r="E24" s="15" t="n">
        <v>2</v>
      </c>
      <c r="F24" s="15" t="n">
        <f aca="false">IF($B24="","",IF($D24="kg",N($E24),IF($D24="sacos",N($E24)*97,IF($D24="jabas",N($E24)*IFERROR(VLOOKUP($C24,LISTAS!$A$2:$B$12,2,0),0),""))))</f>
        <v>194</v>
      </c>
      <c r="G24" s="14"/>
      <c r="H24" s="14"/>
      <c r="I24" s="0" t="n">
        <f aca="false">N($F24)</f>
        <v>194</v>
      </c>
    </row>
    <row r="25" customFormat="false" ht="15" hidden="false" customHeight="true" outlineLevel="0" collapsed="false">
      <c r="A25" s="16" t="n">
        <v>46216</v>
      </c>
      <c r="B25" s="17" t="s">
        <v>23</v>
      </c>
      <c r="C25" s="17" t="s">
        <v>11</v>
      </c>
      <c r="D25" s="17" t="s">
        <v>12</v>
      </c>
      <c r="E25" s="18" t="n">
        <v>67</v>
      </c>
      <c r="F25" s="18" t="n">
        <f aca="false">IF($B25="","",IF($D25="kg",N($E25),IF($D25="sacos",N($E25)*97,IF($D25="jabas",N($E25)*IFERROR(VLOOKUP($C25,LISTAS!$A$2:$B$12,2,0),0),""))))</f>
        <v>1005</v>
      </c>
      <c r="G25" s="17" t="s">
        <v>25</v>
      </c>
      <c r="H25" s="17"/>
      <c r="I25" s="0" t="n">
        <f aca="false">N($F25)</f>
        <v>1005</v>
      </c>
    </row>
    <row r="26" customFormat="false" ht="15" hidden="false" customHeight="true" outlineLevel="0" collapsed="false">
      <c r="A26" s="16" t="n">
        <v>46216</v>
      </c>
      <c r="B26" s="17" t="s">
        <v>23</v>
      </c>
      <c r="C26" s="17" t="s">
        <v>21</v>
      </c>
      <c r="D26" s="17" t="s">
        <v>12</v>
      </c>
      <c r="E26" s="18" t="n">
        <v>11</v>
      </c>
      <c r="F26" s="18" t="n">
        <f aca="false">IF($B26="","",IF($D26="kg",N($E26),IF($D26="sacos",N($E26)*97,IF($D26="jabas",N($E26)*IFERROR(VLOOKUP($C26,LISTAS!$A$2:$B$12,2,0),0),""))))</f>
        <v>198</v>
      </c>
      <c r="G26" s="17" t="s">
        <v>25</v>
      </c>
      <c r="H26" s="17"/>
      <c r="I26" s="0" t="n">
        <f aca="false">N($F26)</f>
        <v>198</v>
      </c>
    </row>
    <row r="27" customFormat="false" ht="15" hidden="false" customHeight="true" outlineLevel="0" collapsed="false">
      <c r="A27" s="16" t="n">
        <v>46216</v>
      </c>
      <c r="B27" s="17" t="s">
        <v>23</v>
      </c>
      <c r="C27" s="17" t="s">
        <v>22</v>
      </c>
      <c r="D27" s="17" t="s">
        <v>12</v>
      </c>
      <c r="E27" s="18" t="n">
        <v>12</v>
      </c>
      <c r="F27" s="18" t="n">
        <f aca="false">IF($B27="","",IF($D27="kg",N($E27),IF($D27="sacos",N($E27)*97,IF($D27="jabas",N($E27)*IFERROR(VLOOKUP($C27,LISTAS!$A$2:$B$12,2,0),0),""))))</f>
        <v>204</v>
      </c>
      <c r="G27" s="17" t="s">
        <v>25</v>
      </c>
      <c r="H27" s="17"/>
      <c r="I27" s="0" t="n">
        <f aca="false">N($F27)</f>
        <v>204</v>
      </c>
    </row>
    <row r="28" customFormat="false" ht="15" hidden="false" customHeight="true" outlineLevel="0" collapsed="false">
      <c r="A28" s="16" t="n">
        <v>46216</v>
      </c>
      <c r="B28" s="17" t="s">
        <v>23</v>
      </c>
      <c r="C28" s="17" t="s">
        <v>13</v>
      </c>
      <c r="D28" s="17" t="s">
        <v>12</v>
      </c>
      <c r="E28" s="18" t="n">
        <v>97</v>
      </c>
      <c r="F28" s="18" t="n">
        <f aca="false">IF($B28="","",IF($D28="kg",N($E28),IF($D28="sacos",N($E28)*97,IF($D28="jabas",N($E28)*IFERROR(VLOOKUP($C28,LISTAS!$A$2:$B$12,2,0),0),""))))</f>
        <v>1649</v>
      </c>
      <c r="G28" s="17" t="s">
        <v>25</v>
      </c>
      <c r="H28" s="17"/>
      <c r="I28" s="0" t="n">
        <f aca="false">N($F28)</f>
        <v>1649</v>
      </c>
    </row>
    <row r="29" customFormat="false" ht="15" hidden="false" customHeight="true" outlineLevel="0" collapsed="false">
      <c r="A29" s="10" t="n">
        <v>46217</v>
      </c>
      <c r="B29" s="11" t="s">
        <v>17</v>
      </c>
      <c r="C29" s="11" t="s">
        <v>18</v>
      </c>
      <c r="D29" s="11" t="s">
        <v>16</v>
      </c>
      <c r="E29" s="12" t="n">
        <v>40</v>
      </c>
      <c r="F29" s="12" t="n">
        <f aca="false">IF($B29="","",IF($D29="kg",N($E29),IF($D29="sacos",N($E29)*97,IF($D29="jabas",N($E29)*IFERROR(VLOOKUP($C29,LISTAS!$A$2:$B$12,2,0),0),""))))</f>
        <v>3880</v>
      </c>
      <c r="G29" s="11"/>
      <c r="H29" s="11" t="s">
        <v>19</v>
      </c>
      <c r="I29" s="0" t="n">
        <f aca="false">N($F29)</f>
        <v>3880</v>
      </c>
    </row>
    <row r="30" customFormat="false" ht="15" hidden="false" customHeight="true" outlineLevel="0" collapsed="false">
      <c r="A30" s="13" t="n">
        <v>46217</v>
      </c>
      <c r="B30" s="14" t="s">
        <v>20</v>
      </c>
      <c r="C30" s="14" t="s">
        <v>11</v>
      </c>
      <c r="D30" s="14" t="s">
        <v>12</v>
      </c>
      <c r="E30" s="15" t="n">
        <v>45</v>
      </c>
      <c r="F30" s="15" t="n">
        <f aca="false">IF($B30="","",IF($D30="kg",N($E30),IF($D30="sacos",N($E30)*97,IF($D30="jabas",N($E30)*IFERROR(VLOOKUP($C30,LISTAS!$A$2:$B$12,2,0),0),""))))</f>
        <v>675</v>
      </c>
      <c r="G30" s="14"/>
      <c r="H30" s="14"/>
      <c r="I30" s="0" t="n">
        <f aca="false">N($F30)</f>
        <v>675</v>
      </c>
    </row>
    <row r="31" customFormat="false" ht="15" hidden="false" customHeight="true" outlineLevel="0" collapsed="false">
      <c r="A31" s="13" t="n">
        <v>46217</v>
      </c>
      <c r="B31" s="14" t="s">
        <v>20</v>
      </c>
      <c r="C31" s="14" t="s">
        <v>21</v>
      </c>
      <c r="D31" s="14" t="s">
        <v>12</v>
      </c>
      <c r="E31" s="15" t="n">
        <v>11</v>
      </c>
      <c r="F31" s="15" t="n">
        <f aca="false">IF($B31="","",IF($D31="kg",N($E31),IF($D31="sacos",N($E31)*97,IF($D31="jabas",N($E31)*IFERROR(VLOOKUP($C31,LISTAS!$A$2:$B$12,2,0),0),""))))</f>
        <v>198</v>
      </c>
      <c r="G31" s="14"/>
      <c r="H31" s="14"/>
      <c r="I31" s="0" t="n">
        <f aca="false">N($F31)</f>
        <v>198</v>
      </c>
    </row>
    <row r="32" customFormat="false" ht="15" hidden="false" customHeight="true" outlineLevel="0" collapsed="false">
      <c r="A32" s="13" t="n">
        <v>46217</v>
      </c>
      <c r="B32" s="14" t="s">
        <v>20</v>
      </c>
      <c r="C32" s="14" t="s">
        <v>22</v>
      </c>
      <c r="D32" s="14" t="s">
        <v>12</v>
      </c>
      <c r="E32" s="15" t="n">
        <v>12</v>
      </c>
      <c r="F32" s="15" t="n">
        <f aca="false">IF($B32="","",IF($D32="kg",N($E32),IF($D32="sacos",N($E32)*97,IF($D32="jabas",N($E32)*IFERROR(VLOOKUP($C32,LISTAS!$A$2:$B$12,2,0),0),""))))</f>
        <v>204</v>
      </c>
      <c r="G32" s="14"/>
      <c r="H32" s="14"/>
      <c r="I32" s="0" t="n">
        <f aca="false">N($F32)</f>
        <v>204</v>
      </c>
    </row>
    <row r="33" customFormat="false" ht="15" hidden="false" customHeight="true" outlineLevel="0" collapsed="false">
      <c r="A33" s="13" t="n">
        <v>46217</v>
      </c>
      <c r="B33" s="14" t="s">
        <v>20</v>
      </c>
      <c r="C33" s="14" t="s">
        <v>13</v>
      </c>
      <c r="D33" s="14" t="s">
        <v>12</v>
      </c>
      <c r="E33" s="15" t="n">
        <v>121</v>
      </c>
      <c r="F33" s="15" t="n">
        <f aca="false">IF($B33="","",IF($D33="kg",N($E33),IF($D33="sacos",N($E33)*97,IF($D33="jabas",N($E33)*IFERROR(VLOOKUP($C33,LISTAS!$A$2:$B$12,2,0),0),""))))</f>
        <v>2057</v>
      </c>
      <c r="G33" s="14"/>
      <c r="H33" s="14"/>
      <c r="I33" s="0" t="n">
        <f aca="false">N($F33)</f>
        <v>2057</v>
      </c>
    </row>
    <row r="34" customFormat="false" ht="15" hidden="false" customHeight="true" outlineLevel="0" collapsed="false">
      <c r="A34" s="13" t="n">
        <v>46217</v>
      </c>
      <c r="B34" s="14" t="s">
        <v>20</v>
      </c>
      <c r="C34" s="14" t="s">
        <v>15</v>
      </c>
      <c r="D34" s="14" t="s">
        <v>16</v>
      </c>
      <c r="E34" s="15" t="n">
        <v>7</v>
      </c>
      <c r="F34" s="15" t="n">
        <f aca="false">IF($B34="","",IF($D34="kg",N($E34),IF($D34="sacos",N($E34)*97,IF($D34="jabas",N($E34)*IFERROR(VLOOKUP($C34,LISTAS!$A$2:$B$12,2,0),0),""))))</f>
        <v>679</v>
      </c>
      <c r="G34" s="14"/>
      <c r="H34" s="14"/>
      <c r="I34" s="0" t="n">
        <f aca="false">N($F34)</f>
        <v>679</v>
      </c>
    </row>
    <row r="35" customFormat="false" ht="15" hidden="false" customHeight="true" outlineLevel="0" collapsed="false">
      <c r="A35" s="16" t="n">
        <v>46217</v>
      </c>
      <c r="B35" s="17" t="s">
        <v>23</v>
      </c>
      <c r="C35" s="17" t="s">
        <v>11</v>
      </c>
      <c r="D35" s="17" t="s">
        <v>12</v>
      </c>
      <c r="E35" s="18" t="n">
        <v>67</v>
      </c>
      <c r="F35" s="18" t="n">
        <f aca="false">IF($B35="","",IF($D35="kg",N($E35),IF($D35="sacos",N($E35)*97,IF($D35="jabas",N($E35)*IFERROR(VLOOKUP($C35,LISTAS!$A$2:$B$12,2,0),0),""))))</f>
        <v>1005</v>
      </c>
      <c r="G35" s="17" t="s">
        <v>26</v>
      </c>
      <c r="H35" s="17"/>
      <c r="I35" s="0" t="n">
        <f aca="false">N($F35)</f>
        <v>1005</v>
      </c>
    </row>
    <row r="36" customFormat="false" ht="15" hidden="false" customHeight="true" outlineLevel="0" collapsed="false">
      <c r="A36" s="16" t="n">
        <v>46217</v>
      </c>
      <c r="B36" s="17" t="s">
        <v>23</v>
      </c>
      <c r="C36" s="17" t="s">
        <v>21</v>
      </c>
      <c r="D36" s="17" t="s">
        <v>12</v>
      </c>
      <c r="E36" s="18" t="n">
        <v>11</v>
      </c>
      <c r="F36" s="18" t="n">
        <f aca="false">IF($B36="","",IF($D36="kg",N($E36),IF($D36="sacos",N($E36)*97,IF($D36="jabas",N($E36)*IFERROR(VLOOKUP($C36,LISTAS!$A$2:$B$12,2,0),0),""))))</f>
        <v>198</v>
      </c>
      <c r="G36" s="17" t="s">
        <v>26</v>
      </c>
      <c r="H36" s="17"/>
      <c r="I36" s="0" t="n">
        <f aca="false">N($F36)</f>
        <v>198</v>
      </c>
    </row>
    <row r="37" customFormat="false" ht="15" hidden="false" customHeight="true" outlineLevel="0" collapsed="false">
      <c r="A37" s="16" t="n">
        <v>46217</v>
      </c>
      <c r="B37" s="17" t="s">
        <v>23</v>
      </c>
      <c r="C37" s="17" t="s">
        <v>22</v>
      </c>
      <c r="D37" s="17" t="s">
        <v>12</v>
      </c>
      <c r="E37" s="18" t="n">
        <v>12</v>
      </c>
      <c r="F37" s="18" t="n">
        <f aca="false">IF($B37="","",IF($D37="kg",N($E37),IF($D37="sacos",N($E37)*97,IF($D37="jabas",N($E37)*IFERROR(VLOOKUP($C37,LISTAS!$A$2:$B$12,2,0),0),""))))</f>
        <v>204</v>
      </c>
      <c r="G37" s="17" t="s">
        <v>26</v>
      </c>
      <c r="H37" s="17"/>
      <c r="I37" s="0" t="n">
        <f aca="false">N($F37)</f>
        <v>204</v>
      </c>
    </row>
    <row r="38" customFormat="false" ht="15" hidden="false" customHeight="true" outlineLevel="0" collapsed="false">
      <c r="A38" s="16" t="n">
        <v>46217</v>
      </c>
      <c r="B38" s="17" t="s">
        <v>23</v>
      </c>
      <c r="C38" s="17" t="s">
        <v>13</v>
      </c>
      <c r="D38" s="17" t="s">
        <v>12</v>
      </c>
      <c r="E38" s="18" t="n">
        <v>116</v>
      </c>
      <c r="F38" s="18" t="n">
        <f aca="false">IF($B38="","",IF($D38="kg",N($E38),IF($D38="sacos",N($E38)*97,IF($D38="jabas",N($E38)*IFERROR(VLOOKUP($C38,LISTAS!$A$2:$B$12,2,0),0),""))))</f>
        <v>1972</v>
      </c>
      <c r="G38" s="17" t="s">
        <v>26</v>
      </c>
      <c r="H38" s="17"/>
      <c r="I38" s="0" t="n">
        <f aca="false">N($F38)</f>
        <v>1972</v>
      </c>
    </row>
    <row r="39" customFormat="false" ht="15" hidden="false" customHeight="true" outlineLevel="0" collapsed="false">
      <c r="A39" s="10" t="n">
        <v>46218</v>
      </c>
      <c r="B39" s="11" t="s">
        <v>17</v>
      </c>
      <c r="C39" s="11" t="s">
        <v>18</v>
      </c>
      <c r="D39" s="11" t="s">
        <v>16</v>
      </c>
      <c r="E39" s="12" t="n">
        <v>40</v>
      </c>
      <c r="F39" s="12" t="n">
        <f aca="false">IF($B39="","",IF($D39="kg",N($E39),IF($D39="sacos",N($E39)*97,IF($D39="jabas",N($E39)*IFERROR(VLOOKUP($C39,LISTAS!$A$2:$B$12,2,0),0),""))))</f>
        <v>3880</v>
      </c>
      <c r="G39" s="11"/>
      <c r="H39" s="11" t="s">
        <v>19</v>
      </c>
      <c r="I39" s="0" t="n">
        <f aca="false">N($F39)</f>
        <v>3880</v>
      </c>
    </row>
    <row r="40" customFormat="false" ht="15" hidden="false" customHeight="true" outlineLevel="0" collapsed="false">
      <c r="A40" s="13" t="n">
        <v>46218</v>
      </c>
      <c r="B40" s="14" t="s">
        <v>20</v>
      </c>
      <c r="C40" s="14" t="s">
        <v>11</v>
      </c>
      <c r="D40" s="14" t="s">
        <v>12</v>
      </c>
      <c r="E40" s="15" t="n">
        <v>79</v>
      </c>
      <c r="F40" s="15" t="n">
        <f aca="false">IF($B40="","",IF($D40="kg",N($E40),IF($D40="sacos",N($E40)*97,IF($D40="jabas",N($E40)*IFERROR(VLOOKUP($C40,LISTAS!$A$2:$B$12,2,0),0),""))))</f>
        <v>1185</v>
      </c>
      <c r="G40" s="14"/>
      <c r="H40" s="14"/>
      <c r="I40" s="0" t="n">
        <f aca="false">N($F40)</f>
        <v>1185</v>
      </c>
    </row>
    <row r="41" customFormat="false" ht="15" hidden="false" customHeight="true" outlineLevel="0" collapsed="false">
      <c r="A41" s="13" t="n">
        <v>46218</v>
      </c>
      <c r="B41" s="14" t="s">
        <v>20</v>
      </c>
      <c r="C41" s="14" t="s">
        <v>21</v>
      </c>
      <c r="D41" s="14" t="s">
        <v>12</v>
      </c>
      <c r="E41" s="15" t="n">
        <v>22</v>
      </c>
      <c r="F41" s="15" t="n">
        <f aca="false">IF($B41="","",IF($D41="kg",N($E41),IF($D41="sacos",N($E41)*97,IF($D41="jabas",N($E41)*IFERROR(VLOOKUP($C41,LISTAS!$A$2:$B$12,2,0),0),""))))</f>
        <v>396</v>
      </c>
      <c r="G41" s="14"/>
      <c r="H41" s="14"/>
      <c r="I41" s="0" t="n">
        <f aca="false">N($F41)</f>
        <v>396</v>
      </c>
    </row>
    <row r="42" customFormat="false" ht="15" hidden="false" customHeight="true" outlineLevel="0" collapsed="false">
      <c r="A42" s="13" t="n">
        <v>46218</v>
      </c>
      <c r="B42" s="14" t="s">
        <v>20</v>
      </c>
      <c r="C42" s="14" t="s">
        <v>22</v>
      </c>
      <c r="D42" s="14" t="s">
        <v>12</v>
      </c>
      <c r="E42" s="15" t="n">
        <v>21</v>
      </c>
      <c r="F42" s="15" t="n">
        <f aca="false">IF($B42="","",IF($D42="kg",N($E42),IF($D42="sacos",N($E42)*97,IF($D42="jabas",N($E42)*IFERROR(VLOOKUP($C42,LISTAS!$A$2:$B$12,2,0),0),""))))</f>
        <v>357</v>
      </c>
      <c r="G42" s="14"/>
      <c r="H42" s="14"/>
      <c r="I42" s="0" t="n">
        <f aca="false">N($F42)</f>
        <v>357</v>
      </c>
    </row>
    <row r="43" customFormat="false" ht="15" hidden="false" customHeight="true" outlineLevel="0" collapsed="false">
      <c r="A43" s="13" t="n">
        <v>46218</v>
      </c>
      <c r="B43" s="14" t="s">
        <v>20</v>
      </c>
      <c r="C43" s="14" t="s">
        <v>13</v>
      </c>
      <c r="D43" s="14" t="s">
        <v>12</v>
      </c>
      <c r="E43" s="15" t="n">
        <v>83</v>
      </c>
      <c r="F43" s="15" t="n">
        <f aca="false">IF($B43="","",IF($D43="kg",N($E43),IF($D43="sacos",N($E43)*97,IF($D43="jabas",N($E43)*IFERROR(VLOOKUP($C43,LISTAS!$A$2:$B$12,2,0),0),""))))</f>
        <v>1411</v>
      </c>
      <c r="G43" s="14"/>
      <c r="H43" s="14"/>
      <c r="I43" s="0" t="n">
        <f aca="false">N($F43)</f>
        <v>1411</v>
      </c>
    </row>
    <row r="44" customFormat="false" ht="15" hidden="false" customHeight="true" outlineLevel="0" collapsed="false">
      <c r="A44" s="13" t="n">
        <v>46218</v>
      </c>
      <c r="B44" s="14" t="s">
        <v>20</v>
      </c>
      <c r="C44" s="14" t="s">
        <v>15</v>
      </c>
      <c r="D44" s="14" t="s">
        <v>16</v>
      </c>
      <c r="E44" s="15" t="n">
        <v>5</v>
      </c>
      <c r="F44" s="15" t="n">
        <f aca="false">IF($B44="","",IF($D44="kg",N($E44),IF($D44="sacos",N($E44)*97,IF($D44="jabas",N($E44)*IFERROR(VLOOKUP($C44,LISTAS!$A$2:$B$12,2,0),0),""))))</f>
        <v>485</v>
      </c>
      <c r="G44" s="14"/>
      <c r="H44" s="14"/>
      <c r="I44" s="0" t="n">
        <f aca="false">N($F44)</f>
        <v>485</v>
      </c>
    </row>
    <row r="45" customFormat="false" ht="15" hidden="false" customHeight="true" outlineLevel="0" collapsed="false">
      <c r="A45" s="16" t="n">
        <v>46218</v>
      </c>
      <c r="B45" s="17" t="s">
        <v>23</v>
      </c>
      <c r="C45" s="17" t="s">
        <v>11</v>
      </c>
      <c r="D45" s="17" t="s">
        <v>12</v>
      </c>
      <c r="E45" s="18" t="n">
        <v>67</v>
      </c>
      <c r="F45" s="18" t="n">
        <f aca="false">IF($B45="","",IF($D45="kg",N($E45),IF($D45="sacos",N($E45)*97,IF($D45="jabas",N($E45)*IFERROR(VLOOKUP($C45,LISTAS!$A$2:$B$12,2,0),0),""))))</f>
        <v>1005</v>
      </c>
      <c r="G45" s="17" t="s">
        <v>27</v>
      </c>
      <c r="H45" s="17"/>
      <c r="I45" s="0" t="n">
        <f aca="false">N($F45)</f>
        <v>1005</v>
      </c>
    </row>
    <row r="46" customFormat="false" ht="15" hidden="false" customHeight="true" outlineLevel="0" collapsed="false">
      <c r="A46" s="16" t="n">
        <v>46218</v>
      </c>
      <c r="B46" s="17" t="s">
        <v>23</v>
      </c>
      <c r="C46" s="17" t="s">
        <v>21</v>
      </c>
      <c r="D46" s="17" t="s">
        <v>12</v>
      </c>
      <c r="E46" s="18" t="n">
        <v>11</v>
      </c>
      <c r="F46" s="18" t="n">
        <f aca="false">IF($B46="","",IF($D46="kg",N($E46),IF($D46="sacos",N($E46)*97,IF($D46="jabas",N($E46)*IFERROR(VLOOKUP($C46,LISTAS!$A$2:$B$12,2,0),0),""))))</f>
        <v>198</v>
      </c>
      <c r="G46" s="17" t="s">
        <v>27</v>
      </c>
      <c r="H46" s="17"/>
      <c r="I46" s="0" t="n">
        <f aca="false">N($F46)</f>
        <v>198</v>
      </c>
    </row>
    <row r="47" customFormat="false" ht="15" hidden="false" customHeight="true" outlineLevel="0" collapsed="false">
      <c r="A47" s="16" t="n">
        <v>46218</v>
      </c>
      <c r="B47" s="17" t="s">
        <v>23</v>
      </c>
      <c r="C47" s="17" t="s">
        <v>22</v>
      </c>
      <c r="D47" s="17" t="s">
        <v>12</v>
      </c>
      <c r="E47" s="18" t="n">
        <v>9</v>
      </c>
      <c r="F47" s="18" t="n">
        <f aca="false">IF($B47="","",IF($D47="kg",N($E47),IF($D47="sacos",N($E47)*97,IF($D47="jabas",N($E47)*IFERROR(VLOOKUP($C47,LISTAS!$A$2:$B$12,2,0),0),""))))</f>
        <v>153</v>
      </c>
      <c r="G47" s="17" t="s">
        <v>27</v>
      </c>
      <c r="H47" s="17"/>
      <c r="I47" s="0" t="n">
        <f aca="false">N($F47)</f>
        <v>153</v>
      </c>
    </row>
    <row r="48" customFormat="false" ht="15" hidden="false" customHeight="true" outlineLevel="0" collapsed="false">
      <c r="A48" s="16" t="n">
        <v>46218</v>
      </c>
      <c r="B48" s="17" t="s">
        <v>23</v>
      </c>
      <c r="C48" s="17" t="s">
        <v>13</v>
      </c>
      <c r="D48" s="17" t="s">
        <v>12</v>
      </c>
      <c r="E48" s="18" t="n">
        <v>95</v>
      </c>
      <c r="F48" s="18" t="n">
        <f aca="false">IF($B48="","",IF($D48="kg",N($E48),IF($D48="sacos",N($E48)*97,IF($D48="jabas",N($E48)*IFERROR(VLOOKUP($C48,LISTAS!$A$2:$B$12,2,0),0),""))))</f>
        <v>1615</v>
      </c>
      <c r="G48" s="17" t="s">
        <v>27</v>
      </c>
      <c r="H48" s="17"/>
      <c r="I48" s="0" t="n">
        <f aca="false">N($F48)</f>
        <v>1615</v>
      </c>
    </row>
    <row r="49" customFormat="false" ht="15" hidden="false" customHeight="true" outlineLevel="0" collapsed="false">
      <c r="A49" s="19" t="n">
        <v>46218</v>
      </c>
      <c r="B49" s="20" t="s">
        <v>28</v>
      </c>
      <c r="C49" s="20" t="s">
        <v>15</v>
      </c>
      <c r="D49" s="20" t="s">
        <v>16</v>
      </c>
      <c r="E49" s="21" t="n">
        <v>35</v>
      </c>
      <c r="F49" s="21" t="n">
        <f aca="false">IF($B49="","",IF($D49="kg",N($E49),IF($D49="sacos",N($E49)*97,IF($D49="jabas",N($E49)*IFERROR(VLOOKUP($C49,LISTAS!$A$2:$B$12,2,0),0),""))))</f>
        <v>3395</v>
      </c>
      <c r="G49" s="20" t="s">
        <v>29</v>
      </c>
      <c r="H49" s="20"/>
      <c r="I49" s="0" t="n">
        <f aca="false">N($F49)</f>
        <v>3395</v>
      </c>
    </row>
    <row r="50" customFormat="false" ht="15" hidden="false" customHeight="true" outlineLevel="0" collapsed="false">
      <c r="A50" s="10" t="n">
        <v>46219</v>
      </c>
      <c r="B50" s="11" t="s">
        <v>17</v>
      </c>
      <c r="C50" s="11" t="s">
        <v>18</v>
      </c>
      <c r="D50" s="11" t="s">
        <v>16</v>
      </c>
      <c r="E50" s="12" t="n">
        <v>40</v>
      </c>
      <c r="F50" s="12" t="n">
        <f aca="false">IF($B50="","",IF($D50="kg",N($E50),IF($D50="sacos",N($E50)*97,IF($D50="jabas",N($E50)*IFERROR(VLOOKUP($C50,LISTAS!$A$2:$B$12,2,0),0),""))))</f>
        <v>3880</v>
      </c>
      <c r="G50" s="11"/>
      <c r="H50" s="11" t="s">
        <v>19</v>
      </c>
      <c r="I50" s="0" t="n">
        <f aca="false">N($F50)</f>
        <v>3880</v>
      </c>
    </row>
    <row r="51" customFormat="false" ht="15" hidden="false" customHeight="true" outlineLevel="0" collapsed="false">
      <c r="A51" s="13" t="n">
        <v>46219</v>
      </c>
      <c r="B51" s="14" t="s">
        <v>20</v>
      </c>
      <c r="C51" s="14" t="s">
        <v>11</v>
      </c>
      <c r="D51" s="14" t="s">
        <v>12</v>
      </c>
      <c r="E51" s="15" t="n">
        <v>68</v>
      </c>
      <c r="F51" s="15" t="n">
        <f aca="false">IF($B51="","",IF($D51="kg",N($E51),IF($D51="sacos",N($E51)*97,IF($D51="jabas",N($E51)*IFERROR(VLOOKUP($C51,LISTAS!$A$2:$B$12,2,0),0),""))))</f>
        <v>1020</v>
      </c>
      <c r="G51" s="14"/>
      <c r="H51" s="14"/>
      <c r="I51" s="0" t="n">
        <f aca="false">N($F51)</f>
        <v>1020</v>
      </c>
    </row>
    <row r="52" customFormat="false" ht="15" hidden="false" customHeight="true" outlineLevel="0" collapsed="false">
      <c r="A52" s="13" t="n">
        <v>46219</v>
      </c>
      <c r="B52" s="14" t="s">
        <v>20</v>
      </c>
      <c r="C52" s="14" t="s">
        <v>21</v>
      </c>
      <c r="D52" s="14" t="s">
        <v>12</v>
      </c>
      <c r="E52" s="15" t="n">
        <v>11</v>
      </c>
      <c r="F52" s="15" t="n">
        <f aca="false">IF($B52="","",IF($D52="kg",N($E52),IF($D52="sacos",N($E52)*97,IF($D52="jabas",N($E52)*IFERROR(VLOOKUP($C52,LISTAS!$A$2:$B$12,2,0),0),""))))</f>
        <v>198</v>
      </c>
      <c r="G52" s="14"/>
      <c r="H52" s="14"/>
      <c r="I52" s="0" t="n">
        <f aca="false">N($F52)</f>
        <v>198</v>
      </c>
    </row>
    <row r="53" customFormat="false" ht="15" hidden="false" customHeight="true" outlineLevel="0" collapsed="false">
      <c r="A53" s="13" t="n">
        <v>46219</v>
      </c>
      <c r="B53" s="14" t="s">
        <v>20</v>
      </c>
      <c r="C53" s="14" t="s">
        <v>22</v>
      </c>
      <c r="D53" s="14" t="s">
        <v>12</v>
      </c>
      <c r="E53" s="15" t="n">
        <v>12</v>
      </c>
      <c r="F53" s="15" t="n">
        <f aca="false">IF($B53="","",IF($D53="kg",N($E53),IF($D53="sacos",N($E53)*97,IF($D53="jabas",N($E53)*IFERROR(VLOOKUP($C53,LISTAS!$A$2:$B$12,2,0),0),""))))</f>
        <v>204</v>
      </c>
      <c r="G53" s="14"/>
      <c r="H53" s="14"/>
      <c r="I53" s="0" t="n">
        <f aca="false">N($F53)</f>
        <v>204</v>
      </c>
    </row>
    <row r="54" customFormat="false" ht="15" hidden="false" customHeight="true" outlineLevel="0" collapsed="false">
      <c r="A54" s="13" t="n">
        <v>46219</v>
      </c>
      <c r="B54" s="14" t="s">
        <v>20</v>
      </c>
      <c r="C54" s="14" t="s">
        <v>13</v>
      </c>
      <c r="D54" s="14" t="s">
        <v>12</v>
      </c>
      <c r="E54" s="15" t="n">
        <v>116</v>
      </c>
      <c r="F54" s="15" t="n">
        <f aca="false">IF($B54="","",IF($D54="kg",N($E54),IF($D54="sacos",N($E54)*97,IF($D54="jabas",N($E54)*IFERROR(VLOOKUP($C54,LISTAS!$A$2:$B$12,2,0),0),""))))</f>
        <v>1972</v>
      </c>
      <c r="G54" s="14"/>
      <c r="H54" s="14"/>
      <c r="I54" s="0" t="n">
        <f aca="false">N($F54)</f>
        <v>1972</v>
      </c>
    </row>
    <row r="55" customFormat="false" ht="15" hidden="false" customHeight="true" outlineLevel="0" collapsed="false">
      <c r="A55" s="13" t="n">
        <v>46219</v>
      </c>
      <c r="B55" s="14" t="s">
        <v>20</v>
      </c>
      <c r="C55" s="14" t="s">
        <v>15</v>
      </c>
      <c r="D55" s="14" t="s">
        <v>16</v>
      </c>
      <c r="E55" s="15" t="n">
        <v>4</v>
      </c>
      <c r="F55" s="15" t="n">
        <f aca="false">IF($B55="","",IF($D55="kg",N($E55),IF($D55="sacos",N($E55)*97,IF($D55="jabas",N($E55)*IFERROR(VLOOKUP($C55,LISTAS!$A$2:$B$12,2,0),0),""))))</f>
        <v>388</v>
      </c>
      <c r="G55" s="14"/>
      <c r="H55" s="14"/>
      <c r="I55" s="0" t="n">
        <f aca="false">N($F55)</f>
        <v>388</v>
      </c>
    </row>
    <row r="56" customFormat="false" ht="15" hidden="false" customHeight="true" outlineLevel="0" collapsed="false">
      <c r="A56" s="16" t="n">
        <v>46219</v>
      </c>
      <c r="B56" s="17" t="s">
        <v>23</v>
      </c>
      <c r="C56" s="17" t="s">
        <v>11</v>
      </c>
      <c r="D56" s="17" t="s">
        <v>12</v>
      </c>
      <c r="E56" s="18" t="n">
        <v>63</v>
      </c>
      <c r="F56" s="18" t="n">
        <f aca="false">IF($B56="","",IF($D56="kg",N($E56),IF($D56="sacos",N($E56)*97,IF($D56="jabas",N($E56)*IFERROR(VLOOKUP($C56,LISTAS!$A$2:$B$12,2,0),0),""))))</f>
        <v>945</v>
      </c>
      <c r="G56" s="17" t="s">
        <v>30</v>
      </c>
      <c r="H56" s="17"/>
      <c r="I56" s="0" t="n">
        <f aca="false">N($F56)</f>
        <v>945</v>
      </c>
    </row>
    <row r="57" customFormat="false" ht="15" hidden="false" customHeight="true" outlineLevel="0" collapsed="false">
      <c r="A57" s="16" t="n">
        <v>46219</v>
      </c>
      <c r="B57" s="17" t="s">
        <v>23</v>
      </c>
      <c r="C57" s="17" t="s">
        <v>21</v>
      </c>
      <c r="D57" s="17" t="s">
        <v>12</v>
      </c>
      <c r="E57" s="18" t="n">
        <v>11</v>
      </c>
      <c r="F57" s="18" t="n">
        <f aca="false">IF($B57="","",IF($D57="kg",N($E57),IF($D57="sacos",N($E57)*97,IF($D57="jabas",N($E57)*IFERROR(VLOOKUP($C57,LISTAS!$A$2:$B$12,2,0),0),""))))</f>
        <v>198</v>
      </c>
      <c r="G57" s="17" t="s">
        <v>30</v>
      </c>
      <c r="H57" s="17"/>
      <c r="I57" s="0" t="n">
        <f aca="false">N($F57)</f>
        <v>198</v>
      </c>
    </row>
    <row r="58" customFormat="false" ht="15" hidden="false" customHeight="true" outlineLevel="0" collapsed="false">
      <c r="A58" s="16" t="n">
        <v>46219</v>
      </c>
      <c r="B58" s="17" t="s">
        <v>23</v>
      </c>
      <c r="C58" s="17" t="s">
        <v>22</v>
      </c>
      <c r="D58" s="17" t="s">
        <v>12</v>
      </c>
      <c r="E58" s="18" t="n">
        <v>12</v>
      </c>
      <c r="F58" s="18" t="n">
        <f aca="false">IF($B58="","",IF($D58="kg",N($E58),IF($D58="sacos",N($E58)*97,IF($D58="jabas",N($E58)*IFERROR(VLOOKUP($C58,LISTAS!$A$2:$B$12,2,0),0),""))))</f>
        <v>204</v>
      </c>
      <c r="G58" s="17" t="s">
        <v>30</v>
      </c>
      <c r="H58" s="17"/>
      <c r="I58" s="0" t="n">
        <f aca="false">N($F58)</f>
        <v>204</v>
      </c>
    </row>
    <row r="59" customFormat="false" ht="15" hidden="false" customHeight="true" outlineLevel="0" collapsed="false">
      <c r="A59" s="16" t="n">
        <v>46219</v>
      </c>
      <c r="B59" s="17" t="s">
        <v>23</v>
      </c>
      <c r="C59" s="17" t="s">
        <v>13</v>
      </c>
      <c r="D59" s="17" t="s">
        <v>12</v>
      </c>
      <c r="E59" s="18" t="n">
        <v>115</v>
      </c>
      <c r="F59" s="18" t="n">
        <f aca="false">IF($B59="","",IF($D59="kg",N($E59),IF($D59="sacos",N($E59)*97,IF($D59="jabas",N($E59)*IFERROR(VLOOKUP($C59,LISTAS!$A$2:$B$12,2,0),0),""))))</f>
        <v>1955</v>
      </c>
      <c r="G59" s="17" t="s">
        <v>30</v>
      </c>
      <c r="H59" s="17"/>
      <c r="I59" s="0" t="n">
        <f aca="false">N($F59)</f>
        <v>1955</v>
      </c>
    </row>
    <row r="60" customFormat="false" ht="15" hidden="false" customHeight="true" outlineLevel="0" collapsed="false">
      <c r="A60" s="10" t="n">
        <v>46220</v>
      </c>
      <c r="B60" s="11" t="s">
        <v>17</v>
      </c>
      <c r="C60" s="11" t="s">
        <v>18</v>
      </c>
      <c r="D60" s="11" t="s">
        <v>16</v>
      </c>
      <c r="E60" s="12" t="n">
        <v>60</v>
      </c>
      <c r="F60" s="12" t="n">
        <f aca="false">IF($B60="","",IF($D60="kg",N($E60),IF($D60="sacos",N($E60)*97,IF($D60="jabas",N($E60)*IFERROR(VLOOKUP($C60,LISTAS!$A$2:$B$12,2,0),0),""))))</f>
        <v>5820</v>
      </c>
      <c r="G60" s="11"/>
      <c r="H60" s="11" t="s">
        <v>19</v>
      </c>
      <c r="I60" s="0" t="n">
        <f aca="false">N($F60)</f>
        <v>5820</v>
      </c>
    </row>
    <row r="61" customFormat="false" ht="15" hidden="false" customHeight="true" outlineLevel="0" collapsed="false">
      <c r="A61" s="13" t="n">
        <v>46220</v>
      </c>
      <c r="B61" s="14" t="s">
        <v>20</v>
      </c>
      <c r="C61" s="14" t="s">
        <v>11</v>
      </c>
      <c r="D61" s="14" t="s">
        <v>12</v>
      </c>
      <c r="E61" s="15" t="n">
        <v>99</v>
      </c>
      <c r="F61" s="15" t="n">
        <f aca="false">IF($B61="","",IF($D61="kg",N($E61),IF($D61="sacos",N($E61)*97,IF($D61="jabas",N($E61)*IFERROR(VLOOKUP($C61,LISTAS!$A$2:$B$12,2,0),0),""))))</f>
        <v>1485</v>
      </c>
      <c r="G61" s="14"/>
      <c r="H61" s="14"/>
      <c r="I61" s="0" t="n">
        <f aca="false">N($F61)</f>
        <v>1485</v>
      </c>
    </row>
    <row r="62" customFormat="false" ht="15" hidden="false" customHeight="true" outlineLevel="0" collapsed="false">
      <c r="A62" s="13" t="n">
        <v>46220</v>
      </c>
      <c r="B62" s="14" t="s">
        <v>20</v>
      </c>
      <c r="C62" s="14" t="s">
        <v>21</v>
      </c>
      <c r="D62" s="14" t="s">
        <v>12</v>
      </c>
      <c r="E62" s="15" t="n">
        <v>4</v>
      </c>
      <c r="F62" s="15" t="n">
        <f aca="false">IF($B62="","",IF($D62="kg",N($E62),IF($D62="sacos",N($E62)*97,IF($D62="jabas",N($E62)*IFERROR(VLOOKUP($C62,LISTAS!$A$2:$B$12,2,0),0),""))))</f>
        <v>72</v>
      </c>
      <c r="G62" s="14"/>
      <c r="H62" s="14"/>
      <c r="I62" s="0" t="n">
        <f aca="false">N($F62)</f>
        <v>72</v>
      </c>
    </row>
    <row r="63" customFormat="false" ht="15" hidden="false" customHeight="true" outlineLevel="0" collapsed="false">
      <c r="A63" s="13" t="n">
        <v>46220</v>
      </c>
      <c r="B63" s="14" t="s">
        <v>20</v>
      </c>
      <c r="C63" s="14" t="s">
        <v>22</v>
      </c>
      <c r="D63" s="14" t="s">
        <v>12</v>
      </c>
      <c r="E63" s="15" t="n">
        <v>9</v>
      </c>
      <c r="F63" s="15" t="n">
        <f aca="false">IF($B63="","",IF($D63="kg",N($E63),IF($D63="sacos",N($E63)*97,IF($D63="jabas",N($E63)*IFERROR(VLOOKUP($C63,LISTAS!$A$2:$B$12,2,0),0),""))))</f>
        <v>153</v>
      </c>
      <c r="G63" s="14"/>
      <c r="H63" s="14"/>
      <c r="I63" s="0" t="n">
        <f aca="false">N($F63)</f>
        <v>153</v>
      </c>
    </row>
    <row r="64" customFormat="false" ht="15" hidden="false" customHeight="true" outlineLevel="0" collapsed="false">
      <c r="A64" s="13" t="n">
        <v>46220</v>
      </c>
      <c r="B64" s="14" t="s">
        <v>20</v>
      </c>
      <c r="C64" s="14" t="s">
        <v>13</v>
      </c>
      <c r="D64" s="14" t="s">
        <v>12</v>
      </c>
      <c r="E64" s="15" t="n">
        <v>178</v>
      </c>
      <c r="F64" s="15" t="n">
        <f aca="false">IF($B64="","",IF($D64="kg",N($E64),IF($D64="sacos",N($E64)*97,IF($D64="jabas",N($E64)*IFERROR(VLOOKUP($C64,LISTAS!$A$2:$B$12,2,0),0),""))))</f>
        <v>3026</v>
      </c>
      <c r="G64" s="14"/>
      <c r="H64" s="14"/>
      <c r="I64" s="0" t="n">
        <f aca="false">N($F64)</f>
        <v>3026</v>
      </c>
    </row>
    <row r="65" customFormat="false" ht="15" hidden="false" customHeight="true" outlineLevel="0" collapsed="false">
      <c r="A65" s="13" t="n">
        <v>46220</v>
      </c>
      <c r="B65" s="14" t="s">
        <v>20</v>
      </c>
      <c r="C65" s="14" t="s">
        <v>15</v>
      </c>
      <c r="D65" s="14" t="s">
        <v>16</v>
      </c>
      <c r="E65" s="15" t="n">
        <v>10</v>
      </c>
      <c r="F65" s="15" t="n">
        <f aca="false">IF($B65="","",IF($D65="kg",N($E65),IF($D65="sacos",N($E65)*97,IF($D65="jabas",N($E65)*IFERROR(VLOOKUP($C65,LISTAS!$A$2:$B$12,2,0),0),""))))</f>
        <v>970</v>
      </c>
      <c r="G65" s="14"/>
      <c r="H65" s="14"/>
      <c r="I65" s="0" t="n">
        <f aca="false">N($F65)</f>
        <v>970</v>
      </c>
    </row>
    <row r="66" customFormat="false" ht="15" hidden="false" customHeight="true" outlineLevel="0" collapsed="false">
      <c r="A66" s="16" t="n">
        <v>46220</v>
      </c>
      <c r="B66" s="17" t="s">
        <v>23</v>
      </c>
      <c r="C66" s="17" t="s">
        <v>11</v>
      </c>
      <c r="D66" s="17" t="s">
        <v>12</v>
      </c>
      <c r="E66" s="18" t="n">
        <v>67</v>
      </c>
      <c r="F66" s="18" t="n">
        <f aca="false">IF($B66="","",IF($D66="kg",N($E66),IF($D66="sacos",N($E66)*97,IF($D66="jabas",N($E66)*IFERROR(VLOOKUP($C66,LISTAS!$A$2:$B$12,2,0),0),""))))</f>
        <v>1005</v>
      </c>
      <c r="G66" s="17" t="s">
        <v>31</v>
      </c>
      <c r="H66" s="17"/>
      <c r="I66" s="0" t="n">
        <f aca="false">N($F66)</f>
        <v>1005</v>
      </c>
    </row>
    <row r="67" customFormat="false" ht="15" hidden="false" customHeight="true" outlineLevel="0" collapsed="false">
      <c r="A67" s="16" t="n">
        <v>46220</v>
      </c>
      <c r="B67" s="17" t="s">
        <v>23</v>
      </c>
      <c r="C67" s="17" t="s">
        <v>21</v>
      </c>
      <c r="D67" s="17" t="s">
        <v>12</v>
      </c>
      <c r="E67" s="18" t="n">
        <v>11</v>
      </c>
      <c r="F67" s="18" t="n">
        <f aca="false">IF($B67="","",IF($D67="kg",N($E67),IF($D67="sacos",N($E67)*97,IF($D67="jabas",N($E67)*IFERROR(VLOOKUP($C67,LISTAS!$A$2:$B$12,2,0),0),""))))</f>
        <v>198</v>
      </c>
      <c r="G67" s="17" t="s">
        <v>31</v>
      </c>
      <c r="H67" s="17"/>
      <c r="I67" s="0" t="n">
        <f aca="false">N($F67)</f>
        <v>198</v>
      </c>
    </row>
    <row r="68" customFormat="false" ht="15" hidden="false" customHeight="true" outlineLevel="0" collapsed="false">
      <c r="A68" s="16" t="n">
        <v>46220</v>
      </c>
      <c r="B68" s="17" t="s">
        <v>23</v>
      </c>
      <c r="C68" s="17" t="s">
        <v>22</v>
      </c>
      <c r="D68" s="17" t="s">
        <v>12</v>
      </c>
      <c r="E68" s="18" t="n">
        <v>12</v>
      </c>
      <c r="F68" s="18" t="n">
        <f aca="false">IF($B68="","",IF($D68="kg",N($E68),IF($D68="sacos",N($E68)*97,IF($D68="jabas",N($E68)*IFERROR(VLOOKUP($C68,LISTAS!$A$2:$B$12,2,0),0),""))))</f>
        <v>204</v>
      </c>
      <c r="G68" s="17" t="s">
        <v>31</v>
      </c>
      <c r="H68" s="17"/>
      <c r="I68" s="0" t="n">
        <f aca="false">N($F68)</f>
        <v>204</v>
      </c>
    </row>
    <row r="69" customFormat="false" ht="15" hidden="false" customHeight="true" outlineLevel="0" collapsed="false">
      <c r="A69" s="16" t="n">
        <v>46220</v>
      </c>
      <c r="B69" s="17" t="s">
        <v>23</v>
      </c>
      <c r="C69" s="17" t="s">
        <v>13</v>
      </c>
      <c r="D69" s="17" t="s">
        <v>12</v>
      </c>
      <c r="E69" s="18" t="n">
        <v>118</v>
      </c>
      <c r="F69" s="18" t="n">
        <f aca="false">IF($B69="","",IF($D69="kg",N($E69),IF($D69="sacos",N($E69)*97,IF($D69="jabas",N($E69)*IFERROR(VLOOKUP($C69,LISTAS!$A$2:$B$12,2,0),0),""))))</f>
        <v>2006</v>
      </c>
      <c r="G69" s="17" t="s">
        <v>31</v>
      </c>
      <c r="H69" s="17"/>
      <c r="I69" s="0" t="n">
        <f aca="false">N($F69)</f>
        <v>2006</v>
      </c>
    </row>
    <row r="70" customFormat="false" ht="15" hidden="false" customHeight="true" outlineLevel="0" collapsed="false">
      <c r="A70" s="19" t="n">
        <v>46220</v>
      </c>
      <c r="B70" s="20" t="s">
        <v>28</v>
      </c>
      <c r="C70" s="20" t="s">
        <v>15</v>
      </c>
      <c r="D70" s="20" t="s">
        <v>16</v>
      </c>
      <c r="E70" s="21" t="n">
        <v>15</v>
      </c>
      <c r="F70" s="21" t="n">
        <f aca="false">IF($B70="","",IF($D70="kg",N($E70),IF($D70="sacos",N($E70)*97,IF($D70="jabas",N($E70)*IFERROR(VLOOKUP($C70,LISTAS!$A$2:$B$12,2,0),0),""))))</f>
        <v>1455</v>
      </c>
      <c r="G70" s="20" t="s">
        <v>32</v>
      </c>
      <c r="H70" s="20"/>
      <c r="I70" s="0" t="n">
        <f aca="false">N($F70)</f>
        <v>1455</v>
      </c>
    </row>
    <row r="71" customFormat="false" ht="15" hidden="false" customHeight="true" outlineLevel="0" collapsed="false">
      <c r="A71" s="10" t="n">
        <v>46220</v>
      </c>
      <c r="B71" s="11" t="s">
        <v>17</v>
      </c>
      <c r="C71" s="11" t="s">
        <v>18</v>
      </c>
      <c r="D71" s="11" t="s">
        <v>16</v>
      </c>
      <c r="E71" s="12" t="n">
        <v>5</v>
      </c>
      <c r="F71" s="12" t="n">
        <f aca="false">IF($B71="","",IF($D71="kg",N($E71),IF($D71="sacos",N($E71)*97,IF($D71="jabas",N($E71)*IFERROR(VLOOKUP($C71,LISTAS!$A$2:$B$12,2,0),0),""))))</f>
        <v>485</v>
      </c>
      <c r="G71" s="11"/>
      <c r="H71" s="11" t="s">
        <v>19</v>
      </c>
      <c r="I71" s="0" t="n">
        <f aca="false">N($F71)</f>
        <v>485</v>
      </c>
    </row>
    <row r="72" customFormat="false" ht="15" hidden="false" customHeight="true" outlineLevel="0" collapsed="false">
      <c r="A72" s="13" t="n">
        <v>46220</v>
      </c>
      <c r="B72" s="14" t="s">
        <v>20</v>
      </c>
      <c r="C72" s="14" t="s">
        <v>11</v>
      </c>
      <c r="D72" s="14" t="s">
        <v>12</v>
      </c>
      <c r="E72" s="15" t="n">
        <v>4</v>
      </c>
      <c r="F72" s="15" t="n">
        <f aca="false">IF($B72="","",IF($D72="kg",N($E72),IF($D72="sacos",N($E72)*97,IF($D72="jabas",N($E72)*IFERROR(VLOOKUP($C72,LISTAS!$A$2:$B$12,2,0),0),""))))</f>
        <v>60</v>
      </c>
      <c r="G72" s="14"/>
      <c r="H72" s="14"/>
      <c r="I72" s="0" t="n">
        <f aca="false">N($F72)</f>
        <v>60</v>
      </c>
    </row>
    <row r="73" customFormat="false" ht="15" hidden="false" customHeight="true" outlineLevel="0" collapsed="false">
      <c r="A73" s="13" t="n">
        <v>46220</v>
      </c>
      <c r="B73" s="14" t="s">
        <v>20</v>
      </c>
      <c r="C73" s="14" t="s">
        <v>13</v>
      </c>
      <c r="D73" s="14" t="s">
        <v>12</v>
      </c>
      <c r="E73" s="15" t="n">
        <v>18</v>
      </c>
      <c r="F73" s="15" t="n">
        <f aca="false">IF($B73="","",IF($D73="kg",N($E73),IF($D73="sacos",N($E73)*97,IF($D73="jabas",N($E73)*IFERROR(VLOOKUP($C73,LISTAS!$A$2:$B$12,2,0),0),""))))</f>
        <v>306</v>
      </c>
      <c r="G73" s="14"/>
      <c r="H73" s="14"/>
      <c r="I73" s="0" t="n">
        <f aca="false">N($F73)</f>
        <v>306</v>
      </c>
    </row>
    <row r="74" customFormat="false" ht="15" hidden="false" customHeight="true" outlineLevel="0" collapsed="false">
      <c r="A74" s="13" t="n">
        <v>46220</v>
      </c>
      <c r="B74" s="14" t="s">
        <v>20</v>
      </c>
      <c r="C74" s="14" t="s">
        <v>15</v>
      </c>
      <c r="D74" s="14" t="s">
        <v>16</v>
      </c>
      <c r="E74" s="15" t="n">
        <v>1</v>
      </c>
      <c r="F74" s="15" t="n">
        <f aca="false">IF($B74="","",IF($D74="kg",N($E74),IF($D74="sacos",N($E74)*97,IF($D74="jabas",N($E74)*IFERROR(VLOOKUP($C74,LISTAS!$A$2:$B$12,2,0),0),""))))</f>
        <v>97</v>
      </c>
      <c r="G74" s="14"/>
      <c r="H74" s="14"/>
      <c r="I74" s="0" t="n">
        <f aca="false">N($F74)</f>
        <v>97</v>
      </c>
    </row>
    <row r="75" customFormat="false" ht="15" hidden="false" customHeight="true" outlineLevel="0" collapsed="false">
      <c r="A75" s="16" t="n">
        <v>46221</v>
      </c>
      <c r="B75" s="17" t="s">
        <v>23</v>
      </c>
      <c r="C75" s="17" t="s">
        <v>11</v>
      </c>
      <c r="D75" s="17" t="s">
        <v>12</v>
      </c>
      <c r="E75" s="18" t="n">
        <v>67</v>
      </c>
      <c r="F75" s="18" t="n">
        <f aca="false">IF($B75="","",IF($D75="kg",N($E75),IF($D75="sacos",N($E75)*97,IF($D75="jabas",N($E75)*IFERROR(VLOOKUP($C75,LISTAS!$A$2:$B$12,2,0),0),""))))</f>
        <v>1005</v>
      </c>
      <c r="G75" s="17" t="s">
        <v>33</v>
      </c>
      <c r="H75" s="17"/>
      <c r="I75" s="0" t="n">
        <f aca="false">N($F75)</f>
        <v>1005</v>
      </c>
    </row>
    <row r="76" customFormat="false" ht="15" hidden="false" customHeight="true" outlineLevel="0" collapsed="false">
      <c r="A76" s="16" t="n">
        <v>46221</v>
      </c>
      <c r="B76" s="17" t="s">
        <v>23</v>
      </c>
      <c r="C76" s="17" t="s">
        <v>21</v>
      </c>
      <c r="D76" s="17" t="s">
        <v>12</v>
      </c>
      <c r="E76" s="18" t="n">
        <v>4</v>
      </c>
      <c r="F76" s="18" t="n">
        <f aca="false">IF($B76="","",IF($D76="kg",N($E76),IF($D76="sacos",N($E76)*97,IF($D76="jabas",N($E76)*IFERROR(VLOOKUP($C76,LISTAS!$A$2:$B$12,2,0),0),""))))</f>
        <v>72</v>
      </c>
      <c r="G76" s="17" t="s">
        <v>33</v>
      </c>
      <c r="H76" s="17"/>
      <c r="I76" s="0" t="n">
        <f aca="false">N($F76)</f>
        <v>72</v>
      </c>
    </row>
    <row r="77" customFormat="false" ht="15" hidden="false" customHeight="true" outlineLevel="0" collapsed="false">
      <c r="A77" s="16" t="n">
        <v>46221</v>
      </c>
      <c r="B77" s="17" t="s">
        <v>23</v>
      </c>
      <c r="C77" s="17" t="s">
        <v>22</v>
      </c>
      <c r="D77" s="17" t="s">
        <v>12</v>
      </c>
      <c r="E77" s="18" t="n">
        <v>9</v>
      </c>
      <c r="F77" s="18" t="n">
        <f aca="false">IF($B77="","",IF($D77="kg",N($E77),IF($D77="sacos",N($E77)*97,IF($D77="jabas",N($E77)*IFERROR(VLOOKUP($C77,LISTAS!$A$2:$B$12,2,0),0),""))))</f>
        <v>153</v>
      </c>
      <c r="G77" s="17" t="s">
        <v>33</v>
      </c>
      <c r="H77" s="17"/>
      <c r="I77" s="0" t="n">
        <f aca="false">N($F77)</f>
        <v>153</v>
      </c>
    </row>
    <row r="78" customFormat="false" ht="15" hidden="false" customHeight="true" outlineLevel="0" collapsed="false">
      <c r="A78" s="16" t="n">
        <v>46221</v>
      </c>
      <c r="B78" s="17" t="s">
        <v>23</v>
      </c>
      <c r="C78" s="17" t="s">
        <v>13</v>
      </c>
      <c r="D78" s="17" t="s">
        <v>12</v>
      </c>
      <c r="E78" s="18" t="n">
        <v>114</v>
      </c>
      <c r="F78" s="18" t="n">
        <f aca="false">IF($B78="","",IF($D78="kg",N($E78),IF($D78="sacos",N($E78)*97,IF($D78="jabas",N($E78)*IFERROR(VLOOKUP($C78,LISTAS!$A$2:$B$12,2,0),0),""))))</f>
        <v>1938</v>
      </c>
      <c r="G78" s="17" t="s">
        <v>33</v>
      </c>
      <c r="H78" s="17"/>
      <c r="I78" s="0" t="n">
        <f aca="false">N($F78)</f>
        <v>1938</v>
      </c>
    </row>
    <row r="79" customFormat="false" ht="15" hidden="false" customHeight="true" outlineLevel="0" collapsed="false">
      <c r="A79" s="13" t="n">
        <v>46221</v>
      </c>
      <c r="B79" s="14" t="s">
        <v>20</v>
      </c>
      <c r="C79" s="14" t="s">
        <v>11</v>
      </c>
      <c r="D79" s="14" t="s">
        <v>12</v>
      </c>
      <c r="E79" s="15" t="n">
        <v>67</v>
      </c>
      <c r="F79" s="15" t="n">
        <f aca="false">IF($B79="","",IF($D79="kg",N($E79),IF($D79="sacos",N($E79)*97,IF($D79="jabas",N($E79)*IFERROR(VLOOKUP($C79,LISTAS!$A$2:$B$12,2,0),0),""))))</f>
        <v>1005</v>
      </c>
      <c r="G79" s="14"/>
      <c r="H79" s="14"/>
      <c r="I79" s="0" t="n">
        <f aca="false">N($F79)</f>
        <v>1005</v>
      </c>
    </row>
    <row r="80" customFormat="false" ht="15" hidden="false" customHeight="true" outlineLevel="0" collapsed="false">
      <c r="A80" s="13" t="n">
        <v>46221</v>
      </c>
      <c r="B80" s="14" t="s">
        <v>20</v>
      </c>
      <c r="C80" s="14" t="s">
        <v>21</v>
      </c>
      <c r="D80" s="14" t="s">
        <v>12</v>
      </c>
      <c r="E80" s="15" t="n">
        <v>11</v>
      </c>
      <c r="F80" s="15" t="n">
        <f aca="false">IF($B80="","",IF($D80="kg",N($E80),IF($D80="sacos",N($E80)*97,IF($D80="jabas",N($E80)*IFERROR(VLOOKUP($C80,LISTAS!$A$2:$B$12,2,0),0),""))))</f>
        <v>198</v>
      </c>
      <c r="G80" s="14"/>
      <c r="H80" s="14"/>
      <c r="I80" s="0" t="n">
        <f aca="false">N($F80)</f>
        <v>198</v>
      </c>
    </row>
    <row r="81" customFormat="false" ht="15" hidden="false" customHeight="true" outlineLevel="0" collapsed="false">
      <c r="A81" s="13" t="n">
        <v>46221</v>
      </c>
      <c r="B81" s="14" t="s">
        <v>20</v>
      </c>
      <c r="C81" s="14" t="s">
        <v>22</v>
      </c>
      <c r="D81" s="14" t="s">
        <v>12</v>
      </c>
      <c r="E81" s="15" t="n">
        <v>12</v>
      </c>
      <c r="F81" s="15" t="n">
        <f aca="false">IF($B81="","",IF($D81="kg",N($E81),IF($D81="sacos",N($E81)*97,IF($D81="jabas",N($E81)*IFERROR(VLOOKUP($C81,LISTAS!$A$2:$B$12,2,0),0),""))))</f>
        <v>204</v>
      </c>
      <c r="G81" s="14"/>
      <c r="H81" s="14"/>
      <c r="I81" s="0" t="n">
        <f aca="false">N($F81)</f>
        <v>204</v>
      </c>
    </row>
    <row r="82" customFormat="false" ht="15" hidden="false" customHeight="true" outlineLevel="0" collapsed="false">
      <c r="A82" s="13" t="n">
        <v>46221</v>
      </c>
      <c r="B82" s="14" t="s">
        <v>20</v>
      </c>
      <c r="C82" s="14" t="s">
        <v>13</v>
      </c>
      <c r="D82" s="14" t="s">
        <v>12</v>
      </c>
      <c r="E82" s="15" t="n">
        <v>54</v>
      </c>
      <c r="F82" s="15" t="n">
        <f aca="false">IF($B82="","",IF($D82="kg",N($E82),IF($D82="sacos",N($E82)*97,IF($D82="jabas",N($E82)*IFERROR(VLOOKUP($C82,LISTAS!$A$2:$B$12,2,0),0),""))))</f>
        <v>918</v>
      </c>
      <c r="G82" s="14"/>
      <c r="H82" s="14"/>
      <c r="I82" s="0" t="n">
        <f aca="false">N($F82)</f>
        <v>918</v>
      </c>
    </row>
    <row r="83" customFormat="false" ht="15" hidden="false" customHeight="true" outlineLevel="0" collapsed="false">
      <c r="A83" s="13" t="n">
        <v>46221</v>
      </c>
      <c r="B83" s="14" t="s">
        <v>20</v>
      </c>
      <c r="C83" s="14" t="s">
        <v>15</v>
      </c>
      <c r="D83" s="14" t="s">
        <v>16</v>
      </c>
      <c r="E83" s="15" t="n">
        <v>10</v>
      </c>
      <c r="F83" s="15" t="n">
        <f aca="false">IF($B83="","",IF($D83="kg",N($E83),IF($D83="sacos",N($E83)*97,IF($D83="jabas",N($E83)*IFERROR(VLOOKUP($C83,LISTAS!$A$2:$B$12,2,0),0),""))))</f>
        <v>970</v>
      </c>
      <c r="G83" s="14"/>
      <c r="H83" s="14"/>
      <c r="I83" s="0" t="n">
        <f aca="false">N($F83)</f>
        <v>970</v>
      </c>
    </row>
    <row r="84" customFormat="false" ht="15" hidden="false" customHeight="true" outlineLevel="0" collapsed="false">
      <c r="A84" s="22" t="n">
        <v>46221</v>
      </c>
      <c r="B84" s="23" t="s">
        <v>34</v>
      </c>
      <c r="C84" s="23" t="s">
        <v>11</v>
      </c>
      <c r="D84" s="23" t="s">
        <v>12</v>
      </c>
      <c r="E84" s="24" t="n">
        <v>1</v>
      </c>
      <c r="F84" s="24" t="n">
        <f aca="false">IF($B84="","",IF($D84="kg",N($E84),IF($D84="sacos",N($E84)*97,IF($D84="jabas",N($E84)*IFERROR(VLOOKUP($C84,LISTAS!$A$2:$B$12,2,0),0),""))))</f>
        <v>15</v>
      </c>
      <c r="G84" s="23"/>
      <c r="H84" s="23"/>
      <c r="I84" s="0" t="n">
        <f aca="false">N($F84)</f>
        <v>15</v>
      </c>
    </row>
    <row r="85" customFormat="false" ht="15" hidden="false" customHeight="true" outlineLevel="0" collapsed="false">
      <c r="A85" s="10" t="n">
        <v>46221</v>
      </c>
      <c r="B85" s="11" t="s">
        <v>17</v>
      </c>
      <c r="C85" s="11" t="s">
        <v>18</v>
      </c>
      <c r="D85" s="11" t="s">
        <v>16</v>
      </c>
      <c r="E85" s="12" t="n">
        <v>33</v>
      </c>
      <c r="F85" s="12" t="n">
        <f aca="false">IF($B85="","",IF($D85="kg",N($E85),IF($D85="sacos",N($E85)*97,IF($D85="jabas",N($E85)*IFERROR(VLOOKUP($C85,LISTAS!$A$2:$B$12,2,0),0),""))))</f>
        <v>3201</v>
      </c>
      <c r="G85" s="11"/>
      <c r="H85" s="11" t="s">
        <v>35</v>
      </c>
      <c r="I85" s="0" t="n">
        <f aca="false">N($F85)</f>
        <v>3201</v>
      </c>
    </row>
    <row r="86" customFormat="false" ht="15" hidden="false" customHeight="true" outlineLevel="0" collapsed="false">
      <c r="A86" s="13" t="n">
        <v>46222</v>
      </c>
      <c r="B86" s="14" t="s">
        <v>20</v>
      </c>
      <c r="C86" s="14" t="s">
        <v>11</v>
      </c>
      <c r="D86" s="14" t="s">
        <v>12</v>
      </c>
      <c r="E86" s="15" t="n">
        <v>40</v>
      </c>
      <c r="F86" s="15" t="n">
        <f aca="false">IF($B86="","",IF($D86="kg",N($E86),IF($D86="sacos",N($E86)*97,IF($D86="jabas",N($E86)*IFERROR(VLOOKUP($C86,LISTAS!$A$2:$B$12,2,0),0),""))))</f>
        <v>600</v>
      </c>
      <c r="G86" s="14"/>
      <c r="H86" s="14"/>
      <c r="I86" s="0" t="n">
        <f aca="false">N($F86)</f>
        <v>600</v>
      </c>
    </row>
    <row r="87" customFormat="false" ht="15" hidden="false" customHeight="true" outlineLevel="0" collapsed="false">
      <c r="A87" s="13" t="n">
        <v>46222</v>
      </c>
      <c r="B87" s="14" t="s">
        <v>20</v>
      </c>
      <c r="C87" s="14" t="s">
        <v>21</v>
      </c>
      <c r="D87" s="14" t="s">
        <v>12</v>
      </c>
      <c r="E87" s="15" t="n">
        <v>0</v>
      </c>
      <c r="F87" s="15" t="n">
        <f aca="false">IF($B87="","",IF($D87="kg",N($E87),IF($D87="sacos",N($E87)*97,IF($D87="jabas",N($E87)*IFERROR(VLOOKUP($C87,LISTAS!$A$2:$B$12,2,0),0),""))))</f>
        <v>0</v>
      </c>
      <c r="G87" s="14"/>
      <c r="H87" s="14"/>
      <c r="I87" s="0" t="n">
        <f aca="false">N($F87)</f>
        <v>0</v>
      </c>
    </row>
    <row r="88" customFormat="false" ht="15" hidden="false" customHeight="true" outlineLevel="0" collapsed="false">
      <c r="A88" s="13" t="n">
        <v>46222</v>
      </c>
      <c r="B88" s="14" t="s">
        <v>20</v>
      </c>
      <c r="C88" s="14" t="s">
        <v>22</v>
      </c>
      <c r="D88" s="14" t="s">
        <v>12</v>
      </c>
      <c r="E88" s="15" t="n">
        <v>0</v>
      </c>
      <c r="F88" s="15" t="n">
        <f aca="false">IF($B88="","",IF($D88="kg",N($E88),IF($D88="sacos",N($E88)*97,IF($D88="jabas",N($E88)*IFERROR(VLOOKUP($C88,LISTAS!$A$2:$B$12,2,0),0),""))))</f>
        <v>0</v>
      </c>
      <c r="G88" s="14"/>
      <c r="H88" s="14"/>
      <c r="I88" s="0" t="n">
        <f aca="false">N($F88)</f>
        <v>0</v>
      </c>
    </row>
    <row r="89" customFormat="false" ht="15" hidden="false" customHeight="true" outlineLevel="0" collapsed="false">
      <c r="A89" s="13" t="n">
        <v>46222</v>
      </c>
      <c r="B89" s="14" t="s">
        <v>20</v>
      </c>
      <c r="C89" s="14" t="s">
        <v>13</v>
      </c>
      <c r="D89" s="14" t="s">
        <v>12</v>
      </c>
      <c r="E89" s="15" t="n">
        <v>34</v>
      </c>
      <c r="F89" s="15" t="n">
        <f aca="false">IF($B89="","",IF($D89="kg",N($E89),IF($D89="sacos",N($E89)*97,IF($D89="jabas",N($E89)*IFERROR(VLOOKUP($C89,LISTAS!$A$2:$B$12,2,0),0),""))))</f>
        <v>578</v>
      </c>
      <c r="G89" s="14"/>
      <c r="H89" s="14"/>
      <c r="I89" s="0" t="n">
        <f aca="false">N($F89)</f>
        <v>578</v>
      </c>
    </row>
    <row r="90" customFormat="false" ht="15" hidden="false" customHeight="true" outlineLevel="0" collapsed="false">
      <c r="A90" s="13" t="n">
        <v>46222</v>
      </c>
      <c r="B90" s="14" t="s">
        <v>20</v>
      </c>
      <c r="C90" s="14" t="s">
        <v>15</v>
      </c>
      <c r="D90" s="14" t="s">
        <v>16</v>
      </c>
      <c r="E90" s="15" t="n">
        <v>3</v>
      </c>
      <c r="F90" s="15" t="n">
        <f aca="false">IF($B90="","",IF($D90="kg",N($E90),IF($D90="sacos",N($E90)*97,IF($D90="jabas",N($E90)*IFERROR(VLOOKUP($C90,LISTAS!$A$2:$B$12,2,0),0),""))))</f>
        <v>291</v>
      </c>
      <c r="G90" s="14"/>
      <c r="H90" s="14"/>
      <c r="I90" s="0" t="n">
        <f aca="false">N($F90)</f>
        <v>291</v>
      </c>
    </row>
    <row r="91" customFormat="false" ht="15" hidden="false" customHeight="true" outlineLevel="0" collapsed="false">
      <c r="A91" s="16" t="n">
        <v>46222</v>
      </c>
      <c r="B91" s="17" t="s">
        <v>23</v>
      </c>
      <c r="C91" s="17" t="s">
        <v>11</v>
      </c>
      <c r="D91" s="17" t="s">
        <v>12</v>
      </c>
      <c r="E91" s="18" t="n">
        <v>67</v>
      </c>
      <c r="F91" s="18" t="n">
        <f aca="false">IF($B91="","",IF($D91="kg",N($E91),IF($D91="sacos",N($E91)*97,IF($D91="jabas",N($E91)*IFERROR(VLOOKUP($C91,LISTAS!$A$2:$B$12,2,0),0),""))))</f>
        <v>1005</v>
      </c>
      <c r="G91" s="17" t="s">
        <v>36</v>
      </c>
      <c r="H91" s="17"/>
      <c r="I91" s="0" t="n">
        <f aca="false">N($F91)</f>
        <v>1005</v>
      </c>
    </row>
    <row r="92" customFormat="false" ht="15" hidden="false" customHeight="true" outlineLevel="0" collapsed="false">
      <c r="A92" s="16" t="n">
        <v>46222</v>
      </c>
      <c r="B92" s="17" t="s">
        <v>23</v>
      </c>
      <c r="C92" s="17" t="s">
        <v>21</v>
      </c>
      <c r="D92" s="17" t="s">
        <v>12</v>
      </c>
      <c r="E92" s="18" t="n">
        <v>11</v>
      </c>
      <c r="F92" s="18" t="n">
        <f aca="false">IF($B92="","",IF($D92="kg",N($E92),IF($D92="sacos",N($E92)*97,IF($D92="jabas",N($E92)*IFERROR(VLOOKUP($C92,LISTAS!$A$2:$B$12,2,0),0),""))))</f>
        <v>198</v>
      </c>
      <c r="G92" s="17" t="s">
        <v>36</v>
      </c>
      <c r="H92" s="17"/>
      <c r="I92" s="0" t="n">
        <f aca="false">N($F92)</f>
        <v>198</v>
      </c>
    </row>
    <row r="93" customFormat="false" ht="15" hidden="false" customHeight="true" outlineLevel="0" collapsed="false">
      <c r="A93" s="16" t="n">
        <v>46222</v>
      </c>
      <c r="B93" s="17" t="s">
        <v>23</v>
      </c>
      <c r="C93" s="17" t="s">
        <v>22</v>
      </c>
      <c r="D93" s="17" t="s">
        <v>12</v>
      </c>
      <c r="E93" s="18" t="n">
        <v>12</v>
      </c>
      <c r="F93" s="18" t="n">
        <f aca="false">IF($B93="","",IF($D93="kg",N($E93),IF($D93="sacos",N($E93)*97,IF($D93="jabas",N($E93)*IFERROR(VLOOKUP($C93,LISTAS!$A$2:$B$12,2,0),0),""))))</f>
        <v>204</v>
      </c>
      <c r="G93" s="17" t="s">
        <v>36</v>
      </c>
      <c r="H93" s="17"/>
      <c r="I93" s="0" t="n">
        <f aca="false">N($F93)</f>
        <v>204</v>
      </c>
    </row>
    <row r="94" customFormat="false" ht="15" hidden="false" customHeight="true" outlineLevel="0" collapsed="false">
      <c r="A94" s="16" t="n">
        <v>46222</v>
      </c>
      <c r="B94" s="17" t="s">
        <v>23</v>
      </c>
      <c r="C94" s="17" t="s">
        <v>13</v>
      </c>
      <c r="D94" s="17" t="s">
        <v>12</v>
      </c>
      <c r="E94" s="18" t="n">
        <v>28</v>
      </c>
      <c r="F94" s="18" t="n">
        <f aca="false">IF($B94="","",IF($D94="kg",N($E94),IF($D94="sacos",N($E94)*97,IF($D94="jabas",N($E94)*IFERROR(VLOOKUP($C94,LISTAS!$A$2:$B$12,2,0),0),""))))</f>
        <v>476</v>
      </c>
      <c r="G94" s="17" t="s">
        <v>36</v>
      </c>
      <c r="H94" s="17"/>
      <c r="I94" s="0" t="n">
        <f aca="false">N($F94)</f>
        <v>476</v>
      </c>
    </row>
    <row r="95" customFormat="false" ht="15" hidden="false" customHeight="true" outlineLevel="0" collapsed="false">
      <c r="A95" s="10" t="n">
        <v>46222</v>
      </c>
      <c r="B95" s="11" t="s">
        <v>17</v>
      </c>
      <c r="C95" s="11" t="s">
        <v>18</v>
      </c>
      <c r="D95" s="11" t="s">
        <v>16</v>
      </c>
      <c r="E95" s="12" t="n">
        <v>17</v>
      </c>
      <c r="F95" s="12" t="n">
        <f aca="false">IF($B95="","",IF($D95="kg",N($E95),IF($D95="sacos",N($E95)*97,IF($D95="jabas",N($E95)*IFERROR(VLOOKUP($C95,LISTAS!$A$2:$B$12,2,0),0),""))))</f>
        <v>1649</v>
      </c>
      <c r="G95" s="11"/>
      <c r="H95" s="11" t="s">
        <v>37</v>
      </c>
      <c r="I95" s="0" t="n">
        <f aca="false">N($F95)</f>
        <v>1649</v>
      </c>
    </row>
    <row r="96" customFormat="false" ht="15" hidden="false" customHeight="true" outlineLevel="0" collapsed="false">
      <c r="A96" s="10" t="n">
        <v>46223</v>
      </c>
      <c r="B96" s="11" t="s">
        <v>17</v>
      </c>
      <c r="C96" s="11" t="s">
        <v>18</v>
      </c>
      <c r="D96" s="11" t="s">
        <v>16</v>
      </c>
      <c r="E96" s="12" t="n">
        <v>48</v>
      </c>
      <c r="F96" s="12" t="n">
        <f aca="false">IF($B96="","",IF($D96="kg",N($E96),IF($D96="sacos",N($E96)*97,IF($D96="jabas",N($E96)*IFERROR(VLOOKUP($C96,LISTAS!$A$2:$B$12,2,0),0),""))))</f>
        <v>4656</v>
      </c>
      <c r="G96" s="11"/>
      <c r="H96" s="11" t="s">
        <v>38</v>
      </c>
      <c r="I96" s="0" t="n">
        <f aca="false">N($F96)</f>
        <v>4656</v>
      </c>
    </row>
    <row r="97" customFormat="false" ht="15" hidden="false" customHeight="true" outlineLevel="0" collapsed="false">
      <c r="A97" s="13" t="n">
        <v>46223</v>
      </c>
      <c r="B97" s="14" t="s">
        <v>20</v>
      </c>
      <c r="C97" s="14" t="s">
        <v>11</v>
      </c>
      <c r="D97" s="14" t="s">
        <v>12</v>
      </c>
      <c r="E97" s="15" t="n">
        <v>68</v>
      </c>
      <c r="F97" s="15" t="n">
        <f aca="false">IF($B97="","",IF($D97="kg",N($E97),IF($D97="sacos",N($E97)*97,IF($D97="jabas",N($E97)*IFERROR(VLOOKUP($C97,LISTAS!$A$2:$B$12,2,0),0),""))))</f>
        <v>1020</v>
      </c>
      <c r="G97" s="14"/>
      <c r="H97" s="14"/>
      <c r="I97" s="0" t="n">
        <f aca="false">N($F97)</f>
        <v>1020</v>
      </c>
    </row>
    <row r="98" customFormat="false" ht="15" hidden="false" customHeight="true" outlineLevel="0" collapsed="false">
      <c r="A98" s="13" t="n">
        <v>46223</v>
      </c>
      <c r="B98" s="14" t="s">
        <v>20</v>
      </c>
      <c r="C98" s="14" t="s">
        <v>21</v>
      </c>
      <c r="D98" s="14" t="s">
        <v>12</v>
      </c>
      <c r="E98" s="15" t="n">
        <v>23</v>
      </c>
      <c r="F98" s="15" t="n">
        <f aca="false">IF($B98="","",IF($D98="kg",N($E98),IF($D98="sacos",N($E98)*97,IF($D98="jabas",N($E98)*IFERROR(VLOOKUP($C98,LISTAS!$A$2:$B$12,2,0),0),""))))</f>
        <v>414</v>
      </c>
      <c r="G98" s="14"/>
      <c r="H98" s="14"/>
      <c r="I98" s="0" t="n">
        <f aca="false">N($F98)</f>
        <v>414</v>
      </c>
    </row>
    <row r="99" customFormat="false" ht="15" hidden="false" customHeight="true" outlineLevel="0" collapsed="false">
      <c r="A99" s="13" t="n">
        <v>46223</v>
      </c>
      <c r="B99" s="14" t="s">
        <v>20</v>
      </c>
      <c r="C99" s="14" t="s">
        <v>22</v>
      </c>
      <c r="D99" s="14" t="s">
        <v>12</v>
      </c>
      <c r="E99" s="15" t="n">
        <v>23</v>
      </c>
      <c r="F99" s="15" t="n">
        <f aca="false">IF($B99="","",IF($D99="kg",N($E99),IF($D99="sacos",N($E99)*97,IF($D99="jabas",N($E99)*IFERROR(VLOOKUP($C99,LISTAS!$A$2:$B$12,2,0),0),""))))</f>
        <v>391</v>
      </c>
      <c r="G99" s="14"/>
      <c r="H99" s="14"/>
      <c r="I99" s="0" t="n">
        <f aca="false">N($F99)</f>
        <v>391</v>
      </c>
    </row>
    <row r="100" customFormat="false" ht="15" hidden="false" customHeight="true" outlineLevel="0" collapsed="false">
      <c r="A100" s="13" t="n">
        <v>46223</v>
      </c>
      <c r="B100" s="14" t="s">
        <v>20</v>
      </c>
      <c r="C100" s="14" t="s">
        <v>13</v>
      </c>
      <c r="D100" s="14" t="s">
        <v>12</v>
      </c>
      <c r="E100" s="15" t="n">
        <v>129</v>
      </c>
      <c r="F100" s="15" t="n">
        <f aca="false">IF($B100="","",IF($D100="kg",N($E100),IF($D100="sacos",N($E100)*97,IF($D100="jabas",N($E100)*IFERROR(VLOOKUP($C100,LISTAS!$A$2:$B$12,2,0),0),""))))</f>
        <v>2193</v>
      </c>
      <c r="G100" s="14"/>
      <c r="H100" s="14"/>
      <c r="I100" s="0" t="n">
        <f aca="false">N($F100)</f>
        <v>2193</v>
      </c>
    </row>
    <row r="101" customFormat="false" ht="15" hidden="false" customHeight="true" outlineLevel="0" collapsed="false">
      <c r="A101" s="13" t="n">
        <v>46223</v>
      </c>
      <c r="B101" s="14" t="s">
        <v>20</v>
      </c>
      <c r="C101" s="14" t="s">
        <v>15</v>
      </c>
      <c r="D101" s="14" t="s">
        <v>16</v>
      </c>
      <c r="E101" s="15" t="n">
        <v>6.5</v>
      </c>
      <c r="F101" s="15" t="n">
        <f aca="false">IF($B101="","",IF($D101="kg",N($E101),IF($D101="sacos",N($E101)*97,IF($D101="jabas",N($E101)*IFERROR(VLOOKUP($C101,LISTAS!$A$2:$B$12,2,0),0),""))))</f>
        <v>630.5</v>
      </c>
      <c r="G101" s="14"/>
      <c r="H101" s="14"/>
      <c r="I101" s="0" t="n">
        <f aca="false">N($F101)</f>
        <v>630.5</v>
      </c>
    </row>
    <row r="102" customFormat="false" ht="15" hidden="false" customHeight="true" outlineLevel="0" collapsed="false">
      <c r="A102" s="16" t="n">
        <v>46223</v>
      </c>
      <c r="B102" s="17" t="s">
        <v>23</v>
      </c>
      <c r="C102" s="17" t="s">
        <v>11</v>
      </c>
      <c r="D102" s="17" t="s">
        <v>12</v>
      </c>
      <c r="E102" s="18" t="n">
        <v>67</v>
      </c>
      <c r="F102" s="18" t="n">
        <f aca="false">IF($B102="","",IF($D102="kg",N($E102),IF($D102="sacos",N($E102)*97,IF($D102="jabas",N($E102)*IFERROR(VLOOKUP($C102,LISTAS!$A$2:$B$12,2,0),0),""))))</f>
        <v>1005</v>
      </c>
      <c r="G102" s="17" t="s">
        <v>39</v>
      </c>
      <c r="H102" s="17"/>
      <c r="I102" s="0" t="n">
        <f aca="false">N($F102)</f>
        <v>1005</v>
      </c>
    </row>
    <row r="103" customFormat="false" ht="15" hidden="false" customHeight="true" outlineLevel="0" collapsed="false">
      <c r="A103" s="16" t="n">
        <v>46223</v>
      </c>
      <c r="B103" s="17" t="s">
        <v>23</v>
      </c>
      <c r="C103" s="17" t="s">
        <v>21</v>
      </c>
      <c r="D103" s="17" t="s">
        <v>12</v>
      </c>
      <c r="E103" s="18" t="n">
        <v>11</v>
      </c>
      <c r="F103" s="18" t="n">
        <f aca="false">IF($B103="","",IF($D103="kg",N($E103),IF($D103="sacos",N($E103)*97,IF($D103="jabas",N($E103)*IFERROR(VLOOKUP($C103,LISTAS!$A$2:$B$12,2,0),0),""))))</f>
        <v>198</v>
      </c>
      <c r="G103" s="17" t="s">
        <v>39</v>
      </c>
      <c r="H103" s="17"/>
      <c r="I103" s="0" t="n">
        <f aca="false">N($F103)</f>
        <v>198</v>
      </c>
    </row>
    <row r="104" customFormat="false" ht="15" hidden="false" customHeight="true" outlineLevel="0" collapsed="false">
      <c r="A104" s="16" t="n">
        <v>46223</v>
      </c>
      <c r="B104" s="17" t="s">
        <v>23</v>
      </c>
      <c r="C104" s="17" t="s">
        <v>22</v>
      </c>
      <c r="D104" s="17" t="s">
        <v>12</v>
      </c>
      <c r="E104" s="18" t="n">
        <v>12</v>
      </c>
      <c r="F104" s="18" t="n">
        <f aca="false">IF($B104="","",IF($D104="kg",N($E104),IF($D104="sacos",N($E104)*97,IF($D104="jabas",N($E104)*IFERROR(VLOOKUP($C104,LISTAS!$A$2:$B$12,2,0),0),""))))</f>
        <v>204</v>
      </c>
      <c r="G104" s="17" t="s">
        <v>39</v>
      </c>
      <c r="H104" s="17"/>
      <c r="I104" s="0" t="n">
        <f aca="false">N($F104)</f>
        <v>204</v>
      </c>
    </row>
    <row r="105" customFormat="false" ht="15" hidden="false" customHeight="true" outlineLevel="0" collapsed="false">
      <c r="A105" s="16" t="n">
        <v>46223</v>
      </c>
      <c r="B105" s="17" t="s">
        <v>23</v>
      </c>
      <c r="C105" s="17" t="s">
        <v>13</v>
      </c>
      <c r="D105" s="17" t="s">
        <v>12</v>
      </c>
      <c r="E105" s="18" t="n">
        <v>111</v>
      </c>
      <c r="F105" s="18" t="n">
        <f aca="false">IF($B105="","",IF($D105="kg",N($E105),IF($D105="sacos",N($E105)*97,IF($D105="jabas",N($E105)*IFERROR(VLOOKUP($C105,LISTAS!$A$2:$B$12,2,0),0),""))))</f>
        <v>1887</v>
      </c>
      <c r="G105" s="17" t="s">
        <v>39</v>
      </c>
      <c r="H105" s="17"/>
      <c r="I105" s="0" t="n">
        <f aca="false">N($F105)</f>
        <v>1887</v>
      </c>
    </row>
    <row r="106" customFormat="false" ht="15" hidden="false" customHeight="true" outlineLevel="0" collapsed="false">
      <c r="A106" s="19" t="n">
        <v>46223</v>
      </c>
      <c r="B106" s="20" t="s">
        <v>28</v>
      </c>
      <c r="C106" s="20" t="s">
        <v>15</v>
      </c>
      <c r="D106" s="20" t="s">
        <v>16</v>
      </c>
      <c r="E106" s="21" t="n">
        <v>18</v>
      </c>
      <c r="F106" s="21" t="n">
        <f aca="false">IF($B106="","",IF($D106="kg",N($E106),IF($D106="sacos",N($E106)*97,IF($D106="jabas",N($E106)*IFERROR(VLOOKUP($C106,LISTAS!$A$2:$B$12,2,0),0),""))))</f>
        <v>1746</v>
      </c>
      <c r="G106" s="20" t="s">
        <v>40</v>
      </c>
      <c r="H106" s="20"/>
      <c r="I106" s="0" t="n">
        <f aca="false">N($F106)</f>
        <v>1746</v>
      </c>
    </row>
    <row r="107" customFormat="false" ht="15" hidden="false" customHeight="true" outlineLevel="0" collapsed="false">
      <c r="A107" s="10" t="n">
        <v>46223</v>
      </c>
      <c r="B107" s="11" t="s">
        <v>17</v>
      </c>
      <c r="C107" s="11" t="s">
        <v>18</v>
      </c>
      <c r="D107" s="11" t="s">
        <v>16</v>
      </c>
      <c r="E107" s="12" t="n">
        <v>22</v>
      </c>
      <c r="F107" s="12" t="n">
        <f aca="false">IF($B107="","",IF($D107="kg",N($E107),IF($D107="sacos",N($E107)*97,IF($D107="jabas",N($E107)*IFERROR(VLOOKUP($C107,LISTAS!$A$2:$B$12,2,0),0),""))))</f>
        <v>2134</v>
      </c>
      <c r="G107" s="11"/>
      <c r="H107" s="11" t="s">
        <v>19</v>
      </c>
      <c r="I107" s="0" t="n">
        <f aca="false">N($F107)</f>
        <v>2134</v>
      </c>
    </row>
    <row r="108" customFormat="false" ht="15" hidden="false" customHeight="true" outlineLevel="0" collapsed="false">
      <c r="A108" s="22" t="n">
        <v>46223</v>
      </c>
      <c r="B108" s="23" t="s">
        <v>34</v>
      </c>
      <c r="C108" s="23" t="s">
        <v>21</v>
      </c>
      <c r="D108" s="23" t="s">
        <v>12</v>
      </c>
      <c r="E108" s="24" t="n">
        <v>1</v>
      </c>
      <c r="F108" s="24" t="n">
        <f aca="false">IF($B108="","",IF($D108="kg",N($E108),IF($D108="sacos",N($E108)*97,IF($D108="jabas",N($E108)*IFERROR(VLOOKUP($C108,LISTAS!$A$2:$B$12,2,0),0),""))))</f>
        <v>18</v>
      </c>
      <c r="G108" s="23"/>
      <c r="H108" s="23"/>
      <c r="I108" s="0" t="n">
        <f aca="false">N($F108)</f>
        <v>18</v>
      </c>
    </row>
    <row r="109" customFormat="false" ht="15" hidden="false" customHeight="true" outlineLevel="0" collapsed="false">
      <c r="A109" s="22" t="n">
        <v>46223</v>
      </c>
      <c r="B109" s="23" t="s">
        <v>34</v>
      </c>
      <c r="C109" s="23" t="s">
        <v>22</v>
      </c>
      <c r="D109" s="23" t="s">
        <v>12</v>
      </c>
      <c r="E109" s="24" t="n">
        <v>1</v>
      </c>
      <c r="F109" s="24" t="n">
        <f aca="false">IF($B109="","",IF($D109="kg",N($E109),IF($D109="sacos",N($E109)*97,IF($D109="jabas",N($E109)*IFERROR(VLOOKUP($C109,LISTAS!$A$2:$B$12,2,0),0),""))))</f>
        <v>17</v>
      </c>
      <c r="G109" s="23"/>
      <c r="H109" s="23"/>
      <c r="I109" s="0" t="n">
        <f aca="false">N($F109)</f>
        <v>17</v>
      </c>
    </row>
    <row r="110" customFormat="false" ht="15" hidden="false" customHeight="true" outlineLevel="0" collapsed="false">
      <c r="A110" s="13" t="n">
        <v>46224</v>
      </c>
      <c r="B110" s="14" t="s">
        <v>20</v>
      </c>
      <c r="C110" s="14" t="s">
        <v>11</v>
      </c>
      <c r="D110" s="14" t="s">
        <v>12</v>
      </c>
      <c r="E110" s="15" t="n">
        <v>43</v>
      </c>
      <c r="F110" s="15" t="n">
        <f aca="false">IF($B110="","",IF($D110="kg",N($E110),IF($D110="sacos",N($E110)*97,IF($D110="jabas",N($E110)*IFERROR(VLOOKUP($C110,LISTAS!$A$2:$B$12,2,0),0),""))))</f>
        <v>645</v>
      </c>
      <c r="G110" s="14"/>
      <c r="H110" s="14"/>
      <c r="I110" s="0" t="n">
        <f aca="false">N($F110)</f>
        <v>645</v>
      </c>
    </row>
    <row r="111" customFormat="false" ht="15" hidden="false" customHeight="true" outlineLevel="0" collapsed="false">
      <c r="A111" s="13" t="n">
        <v>46224</v>
      </c>
      <c r="B111" s="14" t="s">
        <v>20</v>
      </c>
      <c r="C111" s="14" t="s">
        <v>13</v>
      </c>
      <c r="D111" s="14" t="s">
        <v>12</v>
      </c>
      <c r="E111" s="15" t="n">
        <v>72</v>
      </c>
      <c r="F111" s="15" t="n">
        <f aca="false">IF($B111="","",IF($D111="kg",N($E111),IF($D111="sacos",N($E111)*97,IF($D111="jabas",N($E111)*IFERROR(VLOOKUP($C111,LISTAS!$A$2:$B$12,2,0),0),""))))</f>
        <v>1224</v>
      </c>
      <c r="G111" s="14"/>
      <c r="H111" s="14"/>
      <c r="I111" s="0" t="n">
        <f aca="false">N($F111)</f>
        <v>1224</v>
      </c>
    </row>
    <row r="112" customFormat="false" ht="15" hidden="false" customHeight="true" outlineLevel="0" collapsed="false">
      <c r="A112" s="13" t="n">
        <v>46224</v>
      </c>
      <c r="B112" s="14" t="s">
        <v>20</v>
      </c>
      <c r="C112" s="14" t="s">
        <v>15</v>
      </c>
      <c r="D112" s="14" t="s">
        <v>16</v>
      </c>
      <c r="E112" s="15" t="n">
        <v>3</v>
      </c>
      <c r="F112" s="15" t="n">
        <f aca="false">IF($B112="","",IF($D112="kg",N($E112),IF($D112="sacos",N($E112)*97,IF($D112="jabas",N($E112)*IFERROR(VLOOKUP($C112,LISTAS!$A$2:$B$12,2,0),0),""))))</f>
        <v>291</v>
      </c>
      <c r="G112" s="14"/>
      <c r="H112" s="14"/>
      <c r="I112" s="0" t="n">
        <f aca="false">N($F112)</f>
        <v>291</v>
      </c>
    </row>
    <row r="113" customFormat="false" ht="15" hidden="false" customHeight="true" outlineLevel="0" collapsed="false">
      <c r="A113" s="10" t="n">
        <v>46224</v>
      </c>
      <c r="B113" s="11" t="s">
        <v>17</v>
      </c>
      <c r="C113" s="11" t="s">
        <v>18</v>
      </c>
      <c r="D113" s="11" t="s">
        <v>16</v>
      </c>
      <c r="E113" s="12" t="n">
        <v>70</v>
      </c>
      <c r="F113" s="12" t="n">
        <f aca="false">IF($B113="","",IF($D113="kg",N($E113),IF($D113="sacos",N($E113)*97,IF($D113="jabas",N($E113)*IFERROR(VLOOKUP($C113,LISTAS!$A$2:$B$12,2,0),0),""))))</f>
        <v>6790</v>
      </c>
      <c r="G113" s="11"/>
      <c r="H113" s="11" t="s">
        <v>19</v>
      </c>
      <c r="I113" s="0" t="n">
        <f aca="false">N($F113)</f>
        <v>6790</v>
      </c>
    </row>
    <row r="114" customFormat="false" ht="15" hidden="false" customHeight="true" outlineLevel="0" collapsed="false">
      <c r="A114" s="13" t="n">
        <v>46224</v>
      </c>
      <c r="B114" s="14" t="s">
        <v>20</v>
      </c>
      <c r="C114" s="14" t="s">
        <v>11</v>
      </c>
      <c r="D114" s="14" t="s">
        <v>12</v>
      </c>
      <c r="E114" s="15" t="n">
        <v>47</v>
      </c>
      <c r="F114" s="15" t="n">
        <f aca="false">IF($B114="","",IF($D114="kg",N($E114),IF($D114="sacos",N($E114)*97,IF($D114="jabas",N($E114)*IFERROR(VLOOKUP($C114,LISTAS!$A$2:$B$12,2,0),0),""))))</f>
        <v>705</v>
      </c>
      <c r="G114" s="14"/>
      <c r="H114" s="14"/>
      <c r="I114" s="0" t="n">
        <f aca="false">N($F114)</f>
        <v>705</v>
      </c>
    </row>
    <row r="115" customFormat="false" ht="15" hidden="false" customHeight="true" outlineLevel="0" collapsed="false">
      <c r="A115" s="13" t="n">
        <v>46224</v>
      </c>
      <c r="B115" s="14" t="s">
        <v>20</v>
      </c>
      <c r="C115" s="14" t="s">
        <v>21</v>
      </c>
      <c r="D115" s="14" t="s">
        <v>12</v>
      </c>
      <c r="E115" s="15" t="n">
        <v>11</v>
      </c>
      <c r="F115" s="15" t="n">
        <f aca="false">IF($B115="","",IF($D115="kg",N($E115),IF($D115="sacos",N($E115)*97,IF($D115="jabas",N($E115)*IFERROR(VLOOKUP($C115,LISTAS!$A$2:$B$12,2,0),0),""))))</f>
        <v>198</v>
      </c>
      <c r="G115" s="14"/>
      <c r="H115" s="14"/>
      <c r="I115" s="0" t="n">
        <f aca="false">N($F115)</f>
        <v>198</v>
      </c>
    </row>
    <row r="116" customFormat="false" ht="15" hidden="false" customHeight="true" outlineLevel="0" collapsed="false">
      <c r="A116" s="13" t="n">
        <v>46224</v>
      </c>
      <c r="B116" s="14" t="s">
        <v>20</v>
      </c>
      <c r="C116" s="14" t="s">
        <v>22</v>
      </c>
      <c r="D116" s="14" t="s">
        <v>12</v>
      </c>
      <c r="E116" s="15" t="n">
        <v>12</v>
      </c>
      <c r="F116" s="15" t="n">
        <f aca="false">IF($B116="","",IF($D116="kg",N($E116),IF($D116="sacos",N($E116)*97,IF($D116="jabas",N($E116)*IFERROR(VLOOKUP($C116,LISTAS!$A$2:$B$12,2,0),0),""))))</f>
        <v>204</v>
      </c>
      <c r="G116" s="14"/>
      <c r="H116" s="14"/>
      <c r="I116" s="0" t="n">
        <f aca="false">N($F116)</f>
        <v>204</v>
      </c>
    </row>
    <row r="117" customFormat="false" ht="15" hidden="false" customHeight="true" outlineLevel="0" collapsed="false">
      <c r="A117" s="13" t="n">
        <v>46224</v>
      </c>
      <c r="B117" s="14" t="s">
        <v>20</v>
      </c>
      <c r="C117" s="14" t="s">
        <v>13</v>
      </c>
      <c r="D117" s="14" t="s">
        <v>12</v>
      </c>
      <c r="E117" s="15" t="n">
        <v>72</v>
      </c>
      <c r="F117" s="15" t="n">
        <f aca="false">IF($B117="","",IF($D117="kg",N($E117),IF($D117="sacos",N($E117)*97,IF($D117="jabas",N($E117)*IFERROR(VLOOKUP($C117,LISTAS!$A$2:$B$12,2,0),0),""))))</f>
        <v>1224</v>
      </c>
      <c r="G117" s="14"/>
      <c r="H117" s="14"/>
      <c r="I117" s="0" t="n">
        <f aca="false">N($F117)</f>
        <v>1224</v>
      </c>
    </row>
    <row r="118" customFormat="false" ht="15" hidden="false" customHeight="true" outlineLevel="0" collapsed="false">
      <c r="A118" s="13" t="n">
        <v>46224</v>
      </c>
      <c r="B118" s="14" t="s">
        <v>20</v>
      </c>
      <c r="C118" s="14" t="s">
        <v>15</v>
      </c>
      <c r="D118" s="14" t="s">
        <v>16</v>
      </c>
      <c r="E118" s="15" t="n">
        <v>4</v>
      </c>
      <c r="F118" s="15" t="n">
        <f aca="false">IF($B118="","",IF($D118="kg",N($E118),IF($D118="sacos",N($E118)*97,IF($D118="jabas",N($E118)*IFERROR(VLOOKUP($C118,LISTAS!$A$2:$B$12,2,0),0),""))))</f>
        <v>388</v>
      </c>
      <c r="G118" s="14"/>
      <c r="H118" s="14"/>
      <c r="I118" s="0" t="n">
        <f aca="false">N($F118)</f>
        <v>388</v>
      </c>
    </row>
    <row r="119" customFormat="false" ht="15" hidden="false" customHeight="true" outlineLevel="0" collapsed="false">
      <c r="A119" s="16" t="n">
        <v>46224</v>
      </c>
      <c r="B119" s="17" t="s">
        <v>23</v>
      </c>
      <c r="C119" s="17" t="s">
        <v>11</v>
      </c>
      <c r="D119" s="17" t="s">
        <v>12</v>
      </c>
      <c r="E119" s="18" t="n">
        <v>67</v>
      </c>
      <c r="F119" s="18" t="n">
        <f aca="false">IF($B119="","",IF($D119="kg",N($E119),IF($D119="sacos",N($E119)*97,IF($D119="jabas",N($E119)*IFERROR(VLOOKUP($C119,LISTAS!$A$2:$B$12,2,0),0),""))))</f>
        <v>1005</v>
      </c>
      <c r="G119" s="17" t="s">
        <v>41</v>
      </c>
      <c r="H119" s="17"/>
      <c r="I119" s="0" t="n">
        <f aca="false">N($F119)</f>
        <v>1005</v>
      </c>
    </row>
    <row r="120" customFormat="false" ht="15" hidden="false" customHeight="true" outlineLevel="0" collapsed="false">
      <c r="A120" s="16" t="n">
        <v>46224</v>
      </c>
      <c r="B120" s="17" t="s">
        <v>23</v>
      </c>
      <c r="C120" s="17" t="s">
        <v>21</v>
      </c>
      <c r="D120" s="17" t="s">
        <v>12</v>
      </c>
      <c r="E120" s="18" t="n">
        <v>11</v>
      </c>
      <c r="F120" s="18" t="n">
        <f aca="false">IF($B120="","",IF($D120="kg",N($E120),IF($D120="sacos",N($E120)*97,IF($D120="jabas",N($E120)*IFERROR(VLOOKUP($C120,LISTAS!$A$2:$B$12,2,0),0),""))))</f>
        <v>198</v>
      </c>
      <c r="G120" s="17" t="s">
        <v>41</v>
      </c>
      <c r="H120" s="17"/>
      <c r="I120" s="0" t="n">
        <f aca="false">N($F120)</f>
        <v>198</v>
      </c>
    </row>
    <row r="121" customFormat="false" ht="15" hidden="false" customHeight="true" outlineLevel="0" collapsed="false">
      <c r="A121" s="16" t="n">
        <v>46224</v>
      </c>
      <c r="B121" s="17" t="s">
        <v>23</v>
      </c>
      <c r="C121" s="17" t="s">
        <v>22</v>
      </c>
      <c r="D121" s="17" t="s">
        <v>12</v>
      </c>
      <c r="E121" s="18" t="n">
        <v>10</v>
      </c>
      <c r="F121" s="18" t="n">
        <f aca="false">IF($B121="","",IF($D121="kg",N($E121),IF($D121="sacos",N($E121)*97,IF($D121="jabas",N($E121)*IFERROR(VLOOKUP($C121,LISTAS!$A$2:$B$12,2,0),0),""))))</f>
        <v>170</v>
      </c>
      <c r="G121" s="17" t="s">
        <v>41</v>
      </c>
      <c r="H121" s="17"/>
      <c r="I121" s="0" t="n">
        <f aca="false">N($F121)</f>
        <v>170</v>
      </c>
    </row>
    <row r="122" customFormat="false" ht="15" hidden="false" customHeight="true" outlineLevel="0" collapsed="false">
      <c r="A122" s="16" t="n">
        <v>46224</v>
      </c>
      <c r="B122" s="17" t="s">
        <v>23</v>
      </c>
      <c r="C122" s="17" t="s">
        <v>13</v>
      </c>
      <c r="D122" s="17" t="s">
        <v>12</v>
      </c>
      <c r="E122" s="18" t="n">
        <v>111</v>
      </c>
      <c r="F122" s="18" t="n">
        <f aca="false">IF($B122="","",IF($D122="kg",N($E122),IF($D122="sacos",N($E122)*97,IF($D122="jabas",N($E122)*IFERROR(VLOOKUP($C122,LISTAS!$A$2:$B$12,2,0),0),""))))</f>
        <v>1887</v>
      </c>
      <c r="G122" s="17" t="s">
        <v>41</v>
      </c>
      <c r="H122" s="17"/>
      <c r="I122" s="0" t="n">
        <f aca="false">N($F122)</f>
        <v>1887</v>
      </c>
    </row>
    <row r="123" customFormat="false" ht="15" hidden="false" customHeight="true" outlineLevel="0" collapsed="false">
      <c r="A123" s="25" t="n">
        <v>46224</v>
      </c>
      <c r="B123" s="26" t="s">
        <v>42</v>
      </c>
      <c r="C123" s="26" t="s">
        <v>11</v>
      </c>
      <c r="D123" s="26" t="s">
        <v>12</v>
      </c>
      <c r="E123" s="27" t="n">
        <v>1</v>
      </c>
      <c r="F123" s="27" t="n">
        <f aca="false">IF($B123="","",IF($D123="kg",N($E123),IF($D123="sacos",N($E123)*97,IF($D123="jabas",N($E123)*IFERROR(VLOOKUP($C123,LISTAS!$A$2:$B$12,2,0),0),""))))</f>
        <v>15</v>
      </c>
      <c r="G123" s="26"/>
      <c r="H123" s="26"/>
      <c r="I123" s="0" t="n">
        <f aca="false">N($F123)</f>
        <v>15</v>
      </c>
    </row>
    <row r="124" customFormat="false" ht="15" hidden="false" customHeight="true" outlineLevel="0" collapsed="false">
      <c r="A124" s="25" t="n">
        <v>46224</v>
      </c>
      <c r="B124" s="26" t="s">
        <v>42</v>
      </c>
      <c r="C124" s="26" t="s">
        <v>13</v>
      </c>
      <c r="D124" s="26" t="s">
        <v>12</v>
      </c>
      <c r="E124" s="27" t="n">
        <v>1</v>
      </c>
      <c r="F124" s="27" t="n">
        <f aca="false">IF($B124="","",IF($D124="kg",N($E124),IF($D124="sacos",N($E124)*97,IF($D124="jabas",N($E124)*IFERROR(VLOOKUP($C124,LISTAS!$A$2:$B$12,2,0),0),""))))</f>
        <v>17</v>
      </c>
      <c r="G124" s="26"/>
      <c r="H124" s="26"/>
      <c r="I124" s="0" t="n">
        <f aca="false">N($F124)</f>
        <v>17</v>
      </c>
    </row>
    <row r="125" customFormat="false" ht="15" hidden="false" customHeight="true" outlineLevel="0" collapsed="false">
      <c r="A125" s="22" t="n">
        <v>46224</v>
      </c>
      <c r="B125" s="23" t="s">
        <v>34</v>
      </c>
      <c r="C125" s="23" t="s">
        <v>11</v>
      </c>
      <c r="D125" s="23" t="s">
        <v>12</v>
      </c>
      <c r="E125" s="24" t="n">
        <v>1</v>
      </c>
      <c r="F125" s="24" t="n">
        <f aca="false">IF($B125="","",IF($D125="kg",N($E125),IF($D125="sacos",N($E125)*97,IF($D125="jabas",N($E125)*IFERROR(VLOOKUP($C125,LISTAS!$A$2:$B$12,2,0),0),""))))</f>
        <v>15</v>
      </c>
      <c r="G125" s="23"/>
      <c r="H125" s="23"/>
      <c r="I125" s="0" t="n">
        <f aca="false">N($F125)</f>
        <v>15</v>
      </c>
    </row>
    <row r="126" customFormat="false" ht="15" hidden="false" customHeight="true" outlineLevel="0" collapsed="false">
      <c r="A126" s="22" t="n">
        <v>46224</v>
      </c>
      <c r="B126" s="23" t="s">
        <v>34</v>
      </c>
      <c r="C126" s="23" t="s">
        <v>13</v>
      </c>
      <c r="D126" s="23" t="s">
        <v>12</v>
      </c>
      <c r="E126" s="24" t="n">
        <v>1</v>
      </c>
      <c r="F126" s="24" t="n">
        <f aca="false">IF($B126="","",IF($D126="kg",N($E126),IF($D126="sacos",N($E126)*97,IF($D126="jabas",N($E126)*IFERROR(VLOOKUP($C126,LISTAS!$A$2:$B$12,2,0),0),""))))</f>
        <v>17</v>
      </c>
      <c r="G126" s="23"/>
      <c r="H126" s="23"/>
      <c r="I126" s="0" t="n">
        <f aca="false">N($F126)</f>
        <v>17</v>
      </c>
    </row>
    <row r="127" customFormat="false" ht="15" hidden="false" customHeight="true" outlineLevel="0" collapsed="false">
      <c r="A127" s="28" t="n">
        <v>46224</v>
      </c>
      <c r="B127" s="29" t="s">
        <v>43</v>
      </c>
      <c r="C127" s="29" t="s">
        <v>18</v>
      </c>
      <c r="D127" s="29" t="s">
        <v>44</v>
      </c>
      <c r="E127" s="30" t="n">
        <v>17</v>
      </c>
      <c r="F127" s="30" t="n">
        <f aca="false">IF($B127="","",IF($D127="kg",N($E127),IF($D127="sacos",N($E127)*97,IF($D127="jabas",N($E127)*IFERROR(VLOOKUP($C127,LISTAS!$A$2:$B$12,2,0),0),""))))</f>
        <v>17</v>
      </c>
      <c r="G127" s="29"/>
      <c r="H127" s="29" t="s">
        <v>45</v>
      </c>
      <c r="I127" s="0" t="n">
        <f aca="false">N($F127)</f>
        <v>17</v>
      </c>
    </row>
    <row r="128" customFormat="false" ht="15" hidden="false" customHeight="true" outlineLevel="0" collapsed="false">
      <c r="A128" s="13" t="n">
        <v>46225</v>
      </c>
      <c r="B128" s="14" t="s">
        <v>20</v>
      </c>
      <c r="C128" s="14" t="s">
        <v>11</v>
      </c>
      <c r="D128" s="14" t="s">
        <v>12</v>
      </c>
      <c r="E128" s="15" t="n">
        <v>64</v>
      </c>
      <c r="F128" s="15" t="n">
        <f aca="false">IF($B128="","",IF($D128="kg",N($E128),IF($D128="sacos",N($E128)*97,IF($D128="jabas",N($E128)*IFERROR(VLOOKUP($C128,LISTAS!$A$2:$B$12,2,0),0),""))))</f>
        <v>960</v>
      </c>
      <c r="G128" s="14"/>
      <c r="H128" s="14"/>
      <c r="I128" s="0" t="n">
        <f aca="false">N($F128)</f>
        <v>960</v>
      </c>
    </row>
    <row r="129" customFormat="false" ht="15" hidden="false" customHeight="true" outlineLevel="0" collapsed="false">
      <c r="A129" s="13" t="n">
        <v>46225</v>
      </c>
      <c r="B129" s="14" t="s">
        <v>20</v>
      </c>
      <c r="C129" s="14" t="s">
        <v>21</v>
      </c>
      <c r="D129" s="14" t="s">
        <v>12</v>
      </c>
      <c r="E129" s="15" t="n">
        <v>11</v>
      </c>
      <c r="F129" s="15" t="n">
        <f aca="false">IF($B129="","",IF($D129="kg",N($E129),IF($D129="sacos",N($E129)*97,IF($D129="jabas",N($E129)*IFERROR(VLOOKUP($C129,LISTAS!$A$2:$B$12,2,0),0),""))))</f>
        <v>198</v>
      </c>
      <c r="G129" s="14"/>
      <c r="H129" s="14"/>
      <c r="I129" s="0" t="n">
        <f aca="false">N($F129)</f>
        <v>198</v>
      </c>
    </row>
    <row r="130" customFormat="false" ht="15" hidden="false" customHeight="true" outlineLevel="0" collapsed="false">
      <c r="A130" s="13" t="n">
        <v>46225</v>
      </c>
      <c r="B130" s="14" t="s">
        <v>20</v>
      </c>
      <c r="C130" s="14" t="s">
        <v>22</v>
      </c>
      <c r="D130" s="14" t="s">
        <v>12</v>
      </c>
      <c r="E130" s="15" t="n">
        <v>12</v>
      </c>
      <c r="F130" s="15" t="n">
        <f aca="false">IF($B130="","",IF($D130="kg",N($E130),IF($D130="sacos",N($E130)*97,IF($D130="jabas",N($E130)*IFERROR(VLOOKUP($C130,LISTAS!$A$2:$B$12,2,0),0),""))))</f>
        <v>204</v>
      </c>
      <c r="G130" s="14"/>
      <c r="H130" s="14"/>
      <c r="I130" s="0" t="n">
        <f aca="false">N($F130)</f>
        <v>204</v>
      </c>
    </row>
    <row r="131" customFormat="false" ht="15" hidden="false" customHeight="true" outlineLevel="0" collapsed="false">
      <c r="A131" s="13" t="n">
        <v>46225</v>
      </c>
      <c r="B131" s="14" t="s">
        <v>20</v>
      </c>
      <c r="C131" s="14" t="s">
        <v>13</v>
      </c>
      <c r="D131" s="14" t="s">
        <v>12</v>
      </c>
      <c r="E131" s="15" t="n">
        <v>111</v>
      </c>
      <c r="F131" s="15" t="n">
        <f aca="false">IF($B131="","",IF($D131="kg",N($E131),IF($D131="sacos",N($E131)*97,IF($D131="jabas",N($E131)*IFERROR(VLOOKUP($C131,LISTAS!$A$2:$B$12,2,0),0),""))))</f>
        <v>1887</v>
      </c>
      <c r="G131" s="14"/>
      <c r="H131" s="14"/>
      <c r="I131" s="0" t="n">
        <f aca="false">N($F131)</f>
        <v>1887</v>
      </c>
    </row>
    <row r="132" customFormat="false" ht="15" hidden="false" customHeight="true" outlineLevel="0" collapsed="false">
      <c r="A132" s="13" t="n">
        <v>46225</v>
      </c>
      <c r="B132" s="14" t="s">
        <v>20</v>
      </c>
      <c r="C132" s="14" t="s">
        <v>15</v>
      </c>
      <c r="D132" s="14" t="s">
        <v>16</v>
      </c>
      <c r="E132" s="15" t="n">
        <v>8</v>
      </c>
      <c r="F132" s="15" t="n">
        <f aca="false">IF($B132="","",IF($D132="kg",N($E132),IF($D132="sacos",N($E132)*97,IF($D132="jabas",N($E132)*IFERROR(VLOOKUP($C132,LISTAS!$A$2:$B$12,2,0),0),""))))</f>
        <v>776</v>
      </c>
      <c r="G132" s="14"/>
      <c r="H132" s="14"/>
      <c r="I132" s="0" t="n">
        <f aca="false">N($F132)</f>
        <v>776</v>
      </c>
    </row>
    <row r="133" customFormat="false" ht="15" hidden="false" customHeight="true" outlineLevel="0" collapsed="false">
      <c r="A133" s="31" t="n">
        <v>46225</v>
      </c>
      <c r="B133" s="32" t="s">
        <v>46</v>
      </c>
      <c r="C133" s="32" t="s">
        <v>18</v>
      </c>
      <c r="D133" s="32" t="s">
        <v>44</v>
      </c>
      <c r="E133" s="33" t="n">
        <v>50</v>
      </c>
      <c r="F133" s="33" t="n">
        <f aca="false">IF($B133="","",IF($D133="kg",N($E133),IF($D133="sacos",N($E133)*97,IF($D133="jabas",N($E133)*IFERROR(VLOOKUP($C133,LISTAS!$A$2:$B$12,2,0),0),""))))</f>
        <v>50</v>
      </c>
      <c r="G133" s="32"/>
      <c r="H133" s="32"/>
      <c r="I133" s="0" t="n">
        <f aca="false">N($F133)</f>
        <v>50</v>
      </c>
    </row>
    <row r="134" customFormat="false" ht="15" hidden="false" customHeight="true" outlineLevel="0" collapsed="false">
      <c r="A134" s="16" t="n">
        <v>46225</v>
      </c>
      <c r="B134" s="17" t="s">
        <v>23</v>
      </c>
      <c r="C134" s="17" t="s">
        <v>11</v>
      </c>
      <c r="D134" s="17" t="s">
        <v>12</v>
      </c>
      <c r="E134" s="18" t="n">
        <v>67</v>
      </c>
      <c r="F134" s="18" t="n">
        <f aca="false">IF($B134="","",IF($D134="kg",N($E134),IF($D134="sacos",N($E134)*97,IF($D134="jabas",N($E134)*IFERROR(VLOOKUP($C134,LISTAS!$A$2:$B$12,2,0),0),""))))</f>
        <v>1005</v>
      </c>
      <c r="G134" s="17" t="s">
        <v>47</v>
      </c>
      <c r="H134" s="17"/>
      <c r="I134" s="0" t="n">
        <f aca="false">N($F134)</f>
        <v>1005</v>
      </c>
    </row>
    <row r="135" customFormat="false" ht="15" hidden="false" customHeight="true" outlineLevel="0" collapsed="false">
      <c r="A135" s="16" t="n">
        <v>46225</v>
      </c>
      <c r="B135" s="17" t="s">
        <v>23</v>
      </c>
      <c r="C135" s="17" t="s">
        <v>21</v>
      </c>
      <c r="D135" s="17" t="s">
        <v>12</v>
      </c>
      <c r="E135" s="18" t="n">
        <v>11</v>
      </c>
      <c r="F135" s="18" t="n">
        <f aca="false">IF($B135="","",IF($D135="kg",N($E135),IF($D135="sacos",N($E135)*97,IF($D135="jabas",N($E135)*IFERROR(VLOOKUP($C135,LISTAS!$A$2:$B$12,2,0),0),""))))</f>
        <v>198</v>
      </c>
      <c r="G135" s="17" t="s">
        <v>47</v>
      </c>
      <c r="H135" s="17"/>
      <c r="I135" s="0" t="n">
        <f aca="false">N($F135)</f>
        <v>198</v>
      </c>
    </row>
    <row r="136" customFormat="false" ht="15" hidden="false" customHeight="true" outlineLevel="0" collapsed="false">
      <c r="A136" s="16" t="n">
        <v>46225</v>
      </c>
      <c r="B136" s="17" t="s">
        <v>23</v>
      </c>
      <c r="C136" s="17" t="s">
        <v>22</v>
      </c>
      <c r="D136" s="17" t="s">
        <v>12</v>
      </c>
      <c r="E136" s="18" t="n">
        <v>12</v>
      </c>
      <c r="F136" s="18" t="n">
        <f aca="false">IF($B136="","",IF($D136="kg",N($E136),IF($D136="sacos",N($E136)*97,IF($D136="jabas",N($E136)*IFERROR(VLOOKUP($C136,LISTAS!$A$2:$B$12,2,0),0),""))))</f>
        <v>204</v>
      </c>
      <c r="G136" s="17" t="s">
        <v>47</v>
      </c>
      <c r="H136" s="17"/>
      <c r="I136" s="0" t="n">
        <f aca="false">N($F136)</f>
        <v>204</v>
      </c>
    </row>
    <row r="137" customFormat="false" ht="15" hidden="false" customHeight="true" outlineLevel="0" collapsed="false">
      <c r="A137" s="16" t="n">
        <v>46225</v>
      </c>
      <c r="B137" s="17" t="s">
        <v>23</v>
      </c>
      <c r="C137" s="17" t="s">
        <v>13</v>
      </c>
      <c r="D137" s="17" t="s">
        <v>12</v>
      </c>
      <c r="E137" s="18" t="n">
        <v>111</v>
      </c>
      <c r="F137" s="18" t="n">
        <f aca="false">IF($B137="","",IF($D137="kg",N($E137),IF($D137="sacos",N($E137)*97,IF($D137="jabas",N($E137)*IFERROR(VLOOKUP($C137,LISTAS!$A$2:$B$12,2,0),0),""))))</f>
        <v>1887</v>
      </c>
      <c r="G137" s="17" t="s">
        <v>47</v>
      </c>
      <c r="H137" s="17"/>
      <c r="I137" s="0" t="n">
        <f aca="false">N($F137)</f>
        <v>1887</v>
      </c>
    </row>
    <row r="138" customFormat="false" ht="15" hidden="false" customHeight="true" outlineLevel="0" collapsed="false">
      <c r="A138" s="19" t="n">
        <v>46225</v>
      </c>
      <c r="B138" s="20" t="s">
        <v>28</v>
      </c>
      <c r="C138" s="20" t="s">
        <v>15</v>
      </c>
      <c r="D138" s="20" t="s">
        <v>16</v>
      </c>
      <c r="E138" s="21" t="n">
        <v>10</v>
      </c>
      <c r="F138" s="21" t="n">
        <f aca="false">IF($B138="","",IF($D138="kg",N($E138),IF($D138="sacos",N($E138)*97,IF($D138="jabas",N($E138)*IFERROR(VLOOKUP($C138,LISTAS!$A$2:$B$12,2,0),0),""))))</f>
        <v>970</v>
      </c>
      <c r="G138" s="20" t="s">
        <v>48</v>
      </c>
      <c r="H138" s="20"/>
      <c r="I138" s="0" t="n">
        <f aca="false">N($F138)</f>
        <v>970</v>
      </c>
    </row>
    <row r="139" customFormat="false" ht="15" hidden="false" customHeight="true" outlineLevel="0" collapsed="false">
      <c r="A139" s="25" t="n">
        <v>46225</v>
      </c>
      <c r="B139" s="26" t="s">
        <v>42</v>
      </c>
      <c r="C139" s="26" t="s">
        <v>11</v>
      </c>
      <c r="D139" s="26" t="s">
        <v>12</v>
      </c>
      <c r="E139" s="27" t="n">
        <v>1</v>
      </c>
      <c r="F139" s="27" t="n">
        <f aca="false">IF($B139="","",IF($D139="kg",N($E139),IF($D139="sacos",N($E139)*97,IF($D139="jabas",N($E139)*IFERROR(VLOOKUP($C139,LISTAS!$A$2:$B$12,2,0),0),""))))</f>
        <v>15</v>
      </c>
      <c r="G139" s="26"/>
      <c r="H139" s="26"/>
      <c r="I139" s="0" t="n">
        <f aca="false">N($F139)</f>
        <v>15</v>
      </c>
    </row>
    <row r="140" customFormat="false" ht="15" hidden="false" customHeight="true" outlineLevel="0" collapsed="false">
      <c r="A140" s="34" t="n">
        <v>46225</v>
      </c>
      <c r="B140" s="35" t="s">
        <v>49</v>
      </c>
      <c r="C140" s="35" t="s">
        <v>13</v>
      </c>
      <c r="D140" s="35" t="s">
        <v>12</v>
      </c>
      <c r="E140" s="36" t="n">
        <v>9</v>
      </c>
      <c r="F140" s="36" t="n">
        <f aca="false">IF($B140="","",IF($D140="kg",N($E140),IF($D140="sacos",N($E140)*97,IF($D140="jabas",N($E140)*IFERROR(VLOOKUP($C140,LISTAS!$A$2:$B$12,2,0),0),""))))</f>
        <v>153</v>
      </c>
      <c r="G140" s="35"/>
      <c r="H140" s="35" t="s">
        <v>50</v>
      </c>
      <c r="I140" s="0" t="n">
        <f aca="false">N($F140)</f>
        <v>153</v>
      </c>
    </row>
    <row r="141" customFormat="false" ht="15" hidden="false" customHeight="true" outlineLevel="0" collapsed="false">
      <c r="A141" s="22" t="n">
        <v>46225</v>
      </c>
      <c r="B141" s="23" t="s">
        <v>34</v>
      </c>
      <c r="C141" s="23" t="s">
        <v>11</v>
      </c>
      <c r="D141" s="23" t="s">
        <v>12</v>
      </c>
      <c r="E141" s="24" t="n">
        <v>1</v>
      </c>
      <c r="F141" s="24" t="n">
        <f aca="false">IF($B141="","",IF($D141="kg",N($E141),IF($D141="sacos",N($E141)*97,IF($D141="jabas",N($E141)*IFERROR(VLOOKUP($C141,LISTAS!$A$2:$B$12,2,0),0),""))))</f>
        <v>15</v>
      </c>
      <c r="G141" s="23"/>
      <c r="H141" s="23"/>
      <c r="I141" s="0" t="n">
        <f aca="false">N($F141)</f>
        <v>15</v>
      </c>
    </row>
    <row r="142" customFormat="false" ht="15" hidden="false" customHeight="true" outlineLevel="0" collapsed="false">
      <c r="A142" s="28" t="n">
        <v>46225</v>
      </c>
      <c r="B142" s="29" t="s">
        <v>43</v>
      </c>
      <c r="C142" s="29" t="s">
        <v>18</v>
      </c>
      <c r="D142" s="29" t="s">
        <v>44</v>
      </c>
      <c r="E142" s="30" t="n">
        <v>9</v>
      </c>
      <c r="F142" s="30" t="n">
        <f aca="false">IF($B142="","",IF($D142="kg",N($E142),IF($D142="sacos",N($E142)*97,IF($D142="jabas",N($E142)*IFERROR(VLOOKUP($C142,LISTAS!$A$2:$B$12,2,0),0),""))))</f>
        <v>9</v>
      </c>
      <c r="G142" s="29"/>
      <c r="H142" s="29" t="s">
        <v>51</v>
      </c>
      <c r="I142" s="0" t="n">
        <f aca="false">N($F142)</f>
        <v>9</v>
      </c>
    </row>
    <row r="143" customFormat="false" ht="15" hidden="false" customHeight="true" outlineLevel="0" collapsed="false">
      <c r="A143" s="10" t="n">
        <v>46225</v>
      </c>
      <c r="B143" s="11" t="s">
        <v>17</v>
      </c>
      <c r="C143" s="11" t="s">
        <v>18</v>
      </c>
      <c r="D143" s="11" t="s">
        <v>16</v>
      </c>
      <c r="E143" s="12" t="n">
        <v>40</v>
      </c>
      <c r="F143" s="12" t="n">
        <f aca="false">IF($B143="","",IF($D143="kg",N($E143),IF($D143="sacos",N($E143)*97,IF($D143="jabas",N($E143)*IFERROR(VLOOKUP($C143,LISTAS!$A$2:$B$12,2,0),0),""))))</f>
        <v>3880</v>
      </c>
      <c r="G143" s="11"/>
      <c r="H143" s="11" t="s">
        <v>19</v>
      </c>
      <c r="I143" s="0" t="n">
        <f aca="false">N($F143)</f>
        <v>3880</v>
      </c>
    </row>
    <row r="144" customFormat="false" ht="15" hidden="false" customHeight="true" outlineLevel="0" collapsed="false">
      <c r="A144" s="13" t="n">
        <v>46226</v>
      </c>
      <c r="B144" s="14" t="s">
        <v>20</v>
      </c>
      <c r="C144" s="14" t="s">
        <v>11</v>
      </c>
      <c r="D144" s="14" t="s">
        <v>12</v>
      </c>
      <c r="E144" s="15" t="n">
        <v>78</v>
      </c>
      <c r="F144" s="15" t="n">
        <f aca="false">IF($B144="","",IF($D144="kg",N($E144),IF($D144="sacos",N($E144)*97,IF($D144="jabas",N($E144)*IFERROR(VLOOKUP($C144,LISTAS!$A$2:$B$12,2,0),0),""))))</f>
        <v>1170</v>
      </c>
      <c r="G144" s="14"/>
      <c r="H144" s="14"/>
      <c r="I144" s="0" t="n">
        <f aca="false">N($F144)</f>
        <v>1170</v>
      </c>
    </row>
    <row r="145" customFormat="false" ht="15" hidden="false" customHeight="true" outlineLevel="0" collapsed="false">
      <c r="A145" s="13" t="n">
        <v>46226</v>
      </c>
      <c r="B145" s="14" t="s">
        <v>20</v>
      </c>
      <c r="C145" s="14" t="s">
        <v>21</v>
      </c>
      <c r="D145" s="14" t="s">
        <v>12</v>
      </c>
      <c r="E145" s="15" t="n">
        <v>11</v>
      </c>
      <c r="F145" s="15" t="n">
        <f aca="false">IF($B145="","",IF($D145="kg",N($E145),IF($D145="sacos",N($E145)*97,IF($D145="jabas",N($E145)*IFERROR(VLOOKUP($C145,LISTAS!$A$2:$B$12,2,0),0),""))))</f>
        <v>198</v>
      </c>
      <c r="G145" s="14"/>
      <c r="H145" s="14"/>
      <c r="I145" s="0" t="n">
        <f aca="false">N($F145)</f>
        <v>198</v>
      </c>
    </row>
    <row r="146" customFormat="false" ht="15" hidden="false" customHeight="true" outlineLevel="0" collapsed="false">
      <c r="A146" s="13" t="n">
        <v>46226</v>
      </c>
      <c r="B146" s="14" t="s">
        <v>20</v>
      </c>
      <c r="C146" s="14" t="s">
        <v>22</v>
      </c>
      <c r="D146" s="14" t="s">
        <v>12</v>
      </c>
      <c r="E146" s="15" t="n">
        <v>12</v>
      </c>
      <c r="F146" s="15" t="n">
        <f aca="false">IF($B146="","",IF($D146="kg",N($E146),IF($D146="sacos",N($E146)*97,IF($D146="jabas",N($E146)*IFERROR(VLOOKUP($C146,LISTAS!$A$2:$B$12,2,0),0),""))))</f>
        <v>204</v>
      </c>
      <c r="G146" s="14"/>
      <c r="H146" s="14"/>
      <c r="I146" s="0" t="n">
        <f aca="false">N($F146)</f>
        <v>204</v>
      </c>
    </row>
    <row r="147" customFormat="false" ht="15" hidden="false" customHeight="true" outlineLevel="0" collapsed="false">
      <c r="A147" s="13" t="n">
        <v>46226</v>
      </c>
      <c r="B147" s="14" t="s">
        <v>20</v>
      </c>
      <c r="C147" s="14" t="s">
        <v>13</v>
      </c>
      <c r="D147" s="14" t="s">
        <v>12</v>
      </c>
      <c r="E147" s="15" t="n">
        <v>94</v>
      </c>
      <c r="F147" s="15" t="n">
        <f aca="false">IF($B147="","",IF($D147="kg",N($E147),IF($D147="sacos",N($E147)*97,IF($D147="jabas",N($E147)*IFERROR(VLOOKUP($C147,LISTAS!$A$2:$B$12,2,0),0),""))))</f>
        <v>1598</v>
      </c>
      <c r="G147" s="14"/>
      <c r="H147" s="14"/>
      <c r="I147" s="0" t="n">
        <f aca="false">N($F147)</f>
        <v>1598</v>
      </c>
    </row>
    <row r="148" customFormat="false" ht="15" hidden="false" customHeight="true" outlineLevel="0" collapsed="false">
      <c r="A148" s="13" t="n">
        <v>46226</v>
      </c>
      <c r="B148" s="14" t="s">
        <v>20</v>
      </c>
      <c r="C148" s="14" t="s">
        <v>15</v>
      </c>
      <c r="D148" s="14" t="s">
        <v>16</v>
      </c>
      <c r="E148" s="15" t="n">
        <v>6.5</v>
      </c>
      <c r="F148" s="15" t="n">
        <f aca="false">IF($B148="","",IF($D148="kg",N($E148),IF($D148="sacos",N($E148)*97,IF($D148="jabas",N($E148)*IFERROR(VLOOKUP($C148,LISTAS!$A$2:$B$12,2,0),0),""))))</f>
        <v>630.5</v>
      </c>
      <c r="G148" s="14"/>
      <c r="H148" s="14"/>
      <c r="I148" s="0" t="n">
        <f aca="false">N($F148)</f>
        <v>630.5</v>
      </c>
    </row>
    <row r="149" customFormat="false" ht="15" hidden="false" customHeight="true" outlineLevel="0" collapsed="false">
      <c r="A149" s="16" t="n">
        <v>46226</v>
      </c>
      <c r="B149" s="17" t="s">
        <v>23</v>
      </c>
      <c r="C149" s="17" t="s">
        <v>11</v>
      </c>
      <c r="D149" s="17" t="s">
        <v>12</v>
      </c>
      <c r="E149" s="18" t="n">
        <v>67</v>
      </c>
      <c r="F149" s="18" t="n">
        <f aca="false">IF($B149="","",IF($D149="kg",N($E149),IF($D149="sacos",N($E149)*97,IF($D149="jabas",N($E149)*IFERROR(VLOOKUP($C149,LISTAS!$A$2:$B$12,2,0),0),""))))</f>
        <v>1005</v>
      </c>
      <c r="G149" s="17" t="s">
        <v>52</v>
      </c>
      <c r="H149" s="17"/>
      <c r="I149" s="0" t="n">
        <f aca="false">N($F149)</f>
        <v>1005</v>
      </c>
    </row>
    <row r="150" customFormat="false" ht="15" hidden="false" customHeight="true" outlineLevel="0" collapsed="false">
      <c r="A150" s="16" t="n">
        <v>46226</v>
      </c>
      <c r="B150" s="17" t="s">
        <v>23</v>
      </c>
      <c r="C150" s="17" t="s">
        <v>21</v>
      </c>
      <c r="D150" s="17" t="s">
        <v>12</v>
      </c>
      <c r="E150" s="18" t="n">
        <v>11</v>
      </c>
      <c r="F150" s="18" t="n">
        <f aca="false">IF($B150="","",IF($D150="kg",N($E150),IF($D150="sacos",N($E150)*97,IF($D150="jabas",N($E150)*IFERROR(VLOOKUP($C150,LISTAS!$A$2:$B$12,2,0),0),""))))</f>
        <v>198</v>
      </c>
      <c r="G150" s="17" t="s">
        <v>52</v>
      </c>
      <c r="H150" s="17"/>
      <c r="I150" s="0" t="n">
        <f aca="false">N($F150)</f>
        <v>198</v>
      </c>
    </row>
    <row r="151" customFormat="false" ht="15" hidden="false" customHeight="true" outlineLevel="0" collapsed="false">
      <c r="A151" s="16" t="n">
        <v>46226</v>
      </c>
      <c r="B151" s="17" t="s">
        <v>23</v>
      </c>
      <c r="C151" s="17" t="s">
        <v>22</v>
      </c>
      <c r="D151" s="17" t="s">
        <v>12</v>
      </c>
      <c r="E151" s="18" t="n">
        <v>12</v>
      </c>
      <c r="F151" s="18" t="n">
        <f aca="false">IF($B151="","",IF($D151="kg",N($E151),IF($D151="sacos",N($E151)*97,IF($D151="jabas",N($E151)*IFERROR(VLOOKUP($C151,LISTAS!$A$2:$B$12,2,0),0),""))))</f>
        <v>204</v>
      </c>
      <c r="G151" s="17" t="s">
        <v>52</v>
      </c>
      <c r="H151" s="17"/>
      <c r="I151" s="0" t="n">
        <f aca="false">N($F151)</f>
        <v>204</v>
      </c>
    </row>
    <row r="152" customFormat="false" ht="15" hidden="false" customHeight="true" outlineLevel="0" collapsed="false">
      <c r="A152" s="16" t="n">
        <v>46226</v>
      </c>
      <c r="B152" s="17" t="s">
        <v>23</v>
      </c>
      <c r="C152" s="17" t="s">
        <v>13</v>
      </c>
      <c r="D152" s="17" t="s">
        <v>12</v>
      </c>
      <c r="E152" s="18" t="n">
        <v>118</v>
      </c>
      <c r="F152" s="18" t="n">
        <f aca="false">IF($B152="","",IF($D152="kg",N($E152),IF($D152="sacos",N($E152)*97,IF($D152="jabas",N($E152)*IFERROR(VLOOKUP($C152,LISTAS!$A$2:$B$12,2,0),0),""))))</f>
        <v>2006</v>
      </c>
      <c r="G152" s="17" t="s">
        <v>52</v>
      </c>
      <c r="H152" s="17"/>
      <c r="I152" s="0" t="n">
        <f aca="false">N($F152)</f>
        <v>2006</v>
      </c>
    </row>
    <row r="153" customFormat="false" ht="15" hidden="false" customHeight="true" outlineLevel="0" collapsed="false">
      <c r="A153" s="10" t="n">
        <v>46226</v>
      </c>
      <c r="B153" s="11" t="s">
        <v>17</v>
      </c>
      <c r="C153" s="11" t="s">
        <v>18</v>
      </c>
      <c r="D153" s="11" t="s">
        <v>16</v>
      </c>
      <c r="E153" s="12" t="n">
        <v>43</v>
      </c>
      <c r="F153" s="12" t="n">
        <f aca="false">IF($B153="","",IF($D153="kg",N($E153),IF($D153="sacos",N($E153)*97,IF($D153="jabas",N($E153)*IFERROR(VLOOKUP($C153,LISTAS!$A$2:$B$12,2,0),0),""))))</f>
        <v>4171</v>
      </c>
      <c r="G153" s="11"/>
      <c r="H153" s="11" t="s">
        <v>53</v>
      </c>
      <c r="I153" s="0" t="n">
        <f aca="false">N($F153)</f>
        <v>4171</v>
      </c>
    </row>
    <row r="154" customFormat="false" ht="15" hidden="false" customHeight="true" outlineLevel="0" collapsed="false">
      <c r="A154" s="10" t="n">
        <v>46226</v>
      </c>
      <c r="B154" s="11" t="s">
        <v>17</v>
      </c>
      <c r="C154" s="11" t="s">
        <v>18</v>
      </c>
      <c r="D154" s="11" t="s">
        <v>16</v>
      </c>
      <c r="E154" s="12" t="n">
        <v>37</v>
      </c>
      <c r="F154" s="12" t="n">
        <f aca="false">IF($B154="","",IF($D154="kg",N($E154),IF($D154="sacos",N($E154)*97,IF($D154="jabas",N($E154)*IFERROR(VLOOKUP($C154,LISTAS!$A$2:$B$12,2,0),0),""))))</f>
        <v>3589</v>
      </c>
      <c r="G154" s="11"/>
      <c r="H154" s="11" t="s">
        <v>19</v>
      </c>
      <c r="I154" s="0" t="n">
        <f aca="false">N($F154)</f>
        <v>3589</v>
      </c>
    </row>
    <row r="155" customFormat="false" ht="15" hidden="false" customHeight="true" outlineLevel="0" collapsed="false">
      <c r="A155" s="13" t="n">
        <v>46227</v>
      </c>
      <c r="B155" s="14" t="s">
        <v>20</v>
      </c>
      <c r="C155" s="14" t="s">
        <v>11</v>
      </c>
      <c r="D155" s="14" t="s">
        <v>12</v>
      </c>
      <c r="E155" s="15" t="n">
        <v>48</v>
      </c>
      <c r="F155" s="15" t="n">
        <f aca="false">IF($B155="","",IF($D155="kg",N($E155),IF($D155="sacos",N($E155)*97,IF($D155="jabas",N($E155)*IFERROR(VLOOKUP($C155,LISTAS!$A$2:$B$12,2,0),0),""))))</f>
        <v>720</v>
      </c>
      <c r="G155" s="14"/>
      <c r="H155" s="14"/>
      <c r="I155" s="0" t="n">
        <f aca="false">N($F155)</f>
        <v>720</v>
      </c>
    </row>
    <row r="156" customFormat="false" ht="15" hidden="false" customHeight="true" outlineLevel="0" collapsed="false">
      <c r="A156" s="13" t="n">
        <v>46227</v>
      </c>
      <c r="B156" s="14" t="s">
        <v>20</v>
      </c>
      <c r="C156" s="14" t="s">
        <v>21</v>
      </c>
      <c r="D156" s="14" t="s">
        <v>12</v>
      </c>
      <c r="E156" s="15" t="n">
        <v>3</v>
      </c>
      <c r="F156" s="15" t="n">
        <f aca="false">IF($B156="","",IF($D156="kg",N($E156),IF($D156="sacos",N($E156)*97,IF($D156="jabas",N($E156)*IFERROR(VLOOKUP($C156,LISTAS!$A$2:$B$12,2,0),0),""))))</f>
        <v>54</v>
      </c>
      <c r="G156" s="14"/>
      <c r="H156" s="14"/>
      <c r="I156" s="0" t="n">
        <f aca="false">N($F156)</f>
        <v>54</v>
      </c>
    </row>
    <row r="157" customFormat="false" ht="15" hidden="false" customHeight="true" outlineLevel="0" collapsed="false">
      <c r="A157" s="13" t="n">
        <v>46227</v>
      </c>
      <c r="B157" s="14" t="s">
        <v>20</v>
      </c>
      <c r="C157" s="14" t="s">
        <v>22</v>
      </c>
      <c r="D157" s="14" t="s">
        <v>12</v>
      </c>
      <c r="E157" s="15" t="n">
        <v>5</v>
      </c>
      <c r="F157" s="15" t="n">
        <f aca="false">IF($B157="","",IF($D157="kg",N($E157),IF($D157="sacos",N($E157)*97,IF($D157="jabas",N($E157)*IFERROR(VLOOKUP($C157,LISTAS!$A$2:$B$12,2,0),0),""))))</f>
        <v>85</v>
      </c>
      <c r="G157" s="14"/>
      <c r="H157" s="14"/>
      <c r="I157" s="0" t="n">
        <f aca="false">N($F157)</f>
        <v>85</v>
      </c>
    </row>
    <row r="158" customFormat="false" ht="15" hidden="false" customHeight="true" outlineLevel="0" collapsed="false">
      <c r="A158" s="13" t="n">
        <v>46227</v>
      </c>
      <c r="B158" s="14" t="s">
        <v>20</v>
      </c>
      <c r="C158" s="14" t="s">
        <v>13</v>
      </c>
      <c r="D158" s="14" t="s">
        <v>12</v>
      </c>
      <c r="E158" s="15" t="n">
        <v>95</v>
      </c>
      <c r="F158" s="15" t="n">
        <f aca="false">IF($B158="","",IF($D158="kg",N($E158),IF($D158="sacos",N($E158)*97,IF($D158="jabas",N($E158)*IFERROR(VLOOKUP($C158,LISTAS!$A$2:$B$12,2,0),0),""))))</f>
        <v>1615</v>
      </c>
      <c r="G158" s="14"/>
      <c r="H158" s="14"/>
      <c r="I158" s="0" t="n">
        <f aca="false">N($F158)</f>
        <v>1615</v>
      </c>
    </row>
    <row r="159" customFormat="false" ht="15" hidden="false" customHeight="true" outlineLevel="0" collapsed="false">
      <c r="A159" s="13" t="n">
        <v>46227</v>
      </c>
      <c r="B159" s="14" t="s">
        <v>20</v>
      </c>
      <c r="C159" s="14" t="s">
        <v>15</v>
      </c>
      <c r="D159" s="14" t="s">
        <v>16</v>
      </c>
      <c r="E159" s="15" t="n">
        <v>6</v>
      </c>
      <c r="F159" s="15" t="n">
        <f aca="false">IF($B159="","",IF($D159="kg",N($E159),IF($D159="sacos",N($E159)*97,IF($D159="jabas",N($E159)*IFERROR(VLOOKUP($C159,LISTAS!$A$2:$B$12,2,0),0),""))))</f>
        <v>582</v>
      </c>
      <c r="G159" s="14"/>
      <c r="H159" s="14"/>
      <c r="I159" s="0" t="n">
        <f aca="false">N($F159)</f>
        <v>582</v>
      </c>
    </row>
    <row r="160" customFormat="false" ht="15" hidden="false" customHeight="true" outlineLevel="0" collapsed="false">
      <c r="A160" s="16" t="n">
        <v>46227</v>
      </c>
      <c r="B160" s="17" t="s">
        <v>23</v>
      </c>
      <c r="C160" s="17" t="s">
        <v>11</v>
      </c>
      <c r="D160" s="17" t="s">
        <v>12</v>
      </c>
      <c r="E160" s="18" t="n">
        <v>67</v>
      </c>
      <c r="F160" s="18" t="n">
        <f aca="false">IF($B160="","",IF($D160="kg",N($E160),IF($D160="sacos",N($E160)*97,IF($D160="jabas",N($E160)*IFERROR(VLOOKUP($C160,LISTAS!$A$2:$B$12,2,0),0),""))))</f>
        <v>1005</v>
      </c>
      <c r="G160" s="17" t="s">
        <v>54</v>
      </c>
      <c r="H160" s="17"/>
      <c r="I160" s="0" t="n">
        <f aca="false">N($F160)</f>
        <v>1005</v>
      </c>
    </row>
    <row r="161" customFormat="false" ht="15" hidden="false" customHeight="true" outlineLevel="0" collapsed="false">
      <c r="A161" s="16" t="n">
        <v>46227</v>
      </c>
      <c r="B161" s="17" t="s">
        <v>23</v>
      </c>
      <c r="C161" s="17" t="s">
        <v>21</v>
      </c>
      <c r="D161" s="17" t="s">
        <v>12</v>
      </c>
      <c r="E161" s="18" t="n">
        <v>11</v>
      </c>
      <c r="F161" s="18" t="n">
        <f aca="false">IF($B161="","",IF($D161="kg",N($E161),IF($D161="sacos",N($E161)*97,IF($D161="jabas",N($E161)*IFERROR(VLOOKUP($C161,LISTAS!$A$2:$B$12,2,0),0),""))))</f>
        <v>198</v>
      </c>
      <c r="G161" s="17" t="s">
        <v>54</v>
      </c>
      <c r="H161" s="17"/>
      <c r="I161" s="0" t="n">
        <f aca="false">N($F161)</f>
        <v>198</v>
      </c>
    </row>
    <row r="162" customFormat="false" ht="15" hidden="false" customHeight="true" outlineLevel="0" collapsed="false">
      <c r="A162" s="16" t="n">
        <v>46227</v>
      </c>
      <c r="B162" s="17" t="s">
        <v>23</v>
      </c>
      <c r="C162" s="17" t="s">
        <v>22</v>
      </c>
      <c r="D162" s="17" t="s">
        <v>12</v>
      </c>
      <c r="E162" s="18" t="n">
        <v>12</v>
      </c>
      <c r="F162" s="18" t="n">
        <f aca="false">IF($B162="","",IF($D162="kg",N($E162),IF($D162="sacos",N($E162)*97,IF($D162="jabas",N($E162)*IFERROR(VLOOKUP($C162,LISTAS!$A$2:$B$12,2,0),0),""))))</f>
        <v>204</v>
      </c>
      <c r="G162" s="17" t="s">
        <v>54</v>
      </c>
      <c r="H162" s="17"/>
      <c r="I162" s="0" t="n">
        <f aca="false">N($F162)</f>
        <v>204</v>
      </c>
    </row>
    <row r="163" customFormat="false" ht="15" hidden="false" customHeight="true" outlineLevel="0" collapsed="false">
      <c r="A163" s="16" t="n">
        <v>46227</v>
      </c>
      <c r="B163" s="17" t="s">
        <v>23</v>
      </c>
      <c r="C163" s="17" t="s">
        <v>13</v>
      </c>
      <c r="D163" s="17" t="s">
        <v>12</v>
      </c>
      <c r="E163" s="18" t="n">
        <v>118</v>
      </c>
      <c r="F163" s="18" t="n">
        <f aca="false">IF($B163="","",IF($D163="kg",N($E163),IF($D163="sacos",N($E163)*97,IF($D163="jabas",N($E163)*IFERROR(VLOOKUP($C163,LISTAS!$A$2:$B$12,2,0),0),""))))</f>
        <v>2006</v>
      </c>
      <c r="G163" s="17" t="s">
        <v>54</v>
      </c>
      <c r="H163" s="17"/>
      <c r="I163" s="0" t="n">
        <f aca="false">N($F163)</f>
        <v>2006</v>
      </c>
    </row>
    <row r="164" customFormat="false" ht="15" hidden="false" customHeight="true" outlineLevel="0" collapsed="false">
      <c r="A164" s="25" t="n">
        <v>46227</v>
      </c>
      <c r="B164" s="26" t="s">
        <v>42</v>
      </c>
      <c r="C164" s="26" t="s">
        <v>11</v>
      </c>
      <c r="D164" s="26" t="s">
        <v>12</v>
      </c>
      <c r="E164" s="27" t="n">
        <v>1</v>
      </c>
      <c r="F164" s="27" t="n">
        <f aca="false">IF($B164="","",IF($D164="kg",N($E164),IF($D164="sacos",N($E164)*97,IF($D164="jabas",N($E164)*IFERROR(VLOOKUP($C164,LISTAS!$A$2:$B$12,2,0),0),""))))</f>
        <v>15</v>
      </c>
      <c r="G164" s="26"/>
      <c r="H164" s="26"/>
      <c r="I164" s="0" t="n">
        <f aca="false">N($F164)</f>
        <v>15</v>
      </c>
    </row>
    <row r="165" customFormat="false" ht="15" hidden="false" customHeight="true" outlineLevel="0" collapsed="false">
      <c r="A165" s="28" t="n">
        <v>46227</v>
      </c>
      <c r="B165" s="29" t="s">
        <v>43</v>
      </c>
      <c r="C165" s="29" t="s">
        <v>11</v>
      </c>
      <c r="D165" s="29" t="s">
        <v>44</v>
      </c>
      <c r="E165" s="30" t="n">
        <v>11</v>
      </c>
      <c r="F165" s="30" t="n">
        <f aca="false">IF($B165="","",IF($D165="kg",N($E165),IF($D165="sacos",N($E165)*97,IF($D165="jabas",N($E165)*IFERROR(VLOOKUP($C165,LISTAS!$A$2:$B$12,2,0),0),""))))</f>
        <v>11</v>
      </c>
      <c r="G165" s="29"/>
      <c r="H165" s="29"/>
      <c r="I165" s="0" t="n">
        <f aca="false">N($F165)</f>
        <v>11</v>
      </c>
    </row>
    <row r="166" customFormat="false" ht="15" hidden="false" customHeight="true" outlineLevel="0" collapsed="false">
      <c r="A166" s="25" t="n">
        <v>46227</v>
      </c>
      <c r="B166" s="26" t="s">
        <v>42</v>
      </c>
      <c r="C166" s="26" t="s">
        <v>13</v>
      </c>
      <c r="D166" s="26" t="s">
        <v>12</v>
      </c>
      <c r="E166" s="27" t="n">
        <v>1</v>
      </c>
      <c r="F166" s="27" t="n">
        <f aca="false">IF($B166="","",IF($D166="kg",N($E166),IF($D166="sacos",N($E166)*97,IF($D166="jabas",N($E166)*IFERROR(VLOOKUP($C166,LISTAS!$A$2:$B$12,2,0),0),""))))</f>
        <v>17</v>
      </c>
      <c r="G166" s="26"/>
      <c r="H166" s="26"/>
      <c r="I166" s="0" t="n">
        <f aca="false">N($F166)</f>
        <v>17</v>
      </c>
    </row>
    <row r="167" customFormat="false" ht="15" hidden="false" customHeight="true" outlineLevel="0" collapsed="false">
      <c r="A167" s="28" t="n">
        <v>46227</v>
      </c>
      <c r="B167" s="29" t="s">
        <v>43</v>
      </c>
      <c r="C167" s="29" t="s">
        <v>13</v>
      </c>
      <c r="D167" s="29" t="s">
        <v>44</v>
      </c>
      <c r="E167" s="30" t="n">
        <v>10</v>
      </c>
      <c r="F167" s="30" t="n">
        <f aca="false">IF($B167="","",IF($D167="kg",N($E167),IF($D167="sacos",N($E167)*97,IF($D167="jabas",N($E167)*IFERROR(VLOOKUP($C167,LISTAS!$A$2:$B$12,2,0),0),""))))</f>
        <v>10</v>
      </c>
      <c r="G167" s="29"/>
      <c r="H167" s="29"/>
      <c r="I167" s="0" t="n">
        <f aca="false">N($F167)</f>
        <v>10</v>
      </c>
    </row>
    <row r="168" customFormat="false" ht="15" hidden="false" customHeight="true" outlineLevel="0" collapsed="false">
      <c r="A168" s="19" t="n">
        <v>46227</v>
      </c>
      <c r="B168" s="20" t="s">
        <v>28</v>
      </c>
      <c r="C168" s="20" t="s">
        <v>15</v>
      </c>
      <c r="D168" s="20" t="s">
        <v>16</v>
      </c>
      <c r="E168" s="21" t="n">
        <v>9</v>
      </c>
      <c r="F168" s="21" t="n">
        <f aca="false">IF($B168="","",IF($D168="kg",N($E168),IF($D168="sacos",N($E168)*97,IF($D168="jabas",N($E168)*IFERROR(VLOOKUP($C168,LISTAS!$A$2:$B$12,2,0),0),""))))</f>
        <v>873</v>
      </c>
      <c r="G168" s="20" t="s">
        <v>55</v>
      </c>
      <c r="H168" s="20"/>
      <c r="I168" s="0" t="n">
        <f aca="false">N($F168)</f>
        <v>873</v>
      </c>
    </row>
    <row r="169" customFormat="false" ht="15" hidden="false" customHeight="true" outlineLevel="0" collapsed="false">
      <c r="A169" s="19" t="n">
        <v>46227</v>
      </c>
      <c r="B169" s="20" t="s">
        <v>28</v>
      </c>
      <c r="C169" s="20" t="s">
        <v>15</v>
      </c>
      <c r="D169" s="20" t="s">
        <v>16</v>
      </c>
      <c r="E169" s="21" t="n">
        <v>1</v>
      </c>
      <c r="F169" s="21" t="n">
        <f aca="false">IF($B169="","",IF($D169="kg",N($E169),IF($D169="sacos",N($E169)*97,IF($D169="jabas",N($E169)*IFERROR(VLOOKUP($C169,LISTAS!$A$2:$B$12,2,0),0),""))))</f>
        <v>97</v>
      </c>
      <c r="G169" s="20"/>
      <c r="H169" s="20" t="s">
        <v>56</v>
      </c>
      <c r="I169" s="0" t="n">
        <f aca="false">N($F169)</f>
        <v>97</v>
      </c>
    </row>
    <row r="170" customFormat="false" ht="15" hidden="false" customHeight="true" outlineLevel="0" collapsed="false">
      <c r="A170" s="37" t="n">
        <v>46227</v>
      </c>
      <c r="B170" s="38" t="s">
        <v>57</v>
      </c>
      <c r="C170" s="38" t="s">
        <v>58</v>
      </c>
      <c r="D170" s="38" t="s">
        <v>44</v>
      </c>
      <c r="E170" s="39" t="n">
        <v>48</v>
      </c>
      <c r="F170" s="39" t="n">
        <f aca="false">IF($B170="","",IF($D170="kg",N($E170),IF($D170="sacos",N($E170)*97,IF($D170="jabas",N($E170)*IFERROR(VLOOKUP($C170,LISTAS!$A$2:$B$12,2,0),0),""))))</f>
        <v>48</v>
      </c>
      <c r="G170" s="38"/>
      <c r="H170" s="38" t="s">
        <v>59</v>
      </c>
      <c r="I170" s="0" t="n">
        <f aca="false">N($F170)</f>
        <v>48</v>
      </c>
    </row>
    <row r="171" customFormat="false" ht="15" hidden="false" customHeight="true" outlineLevel="0" collapsed="false">
      <c r="A171" s="16" t="n">
        <v>46228</v>
      </c>
      <c r="B171" s="17" t="s">
        <v>23</v>
      </c>
      <c r="C171" s="17" t="s">
        <v>11</v>
      </c>
      <c r="D171" s="17" t="s">
        <v>12</v>
      </c>
      <c r="E171" s="18" t="n">
        <v>67</v>
      </c>
      <c r="F171" s="18" t="n">
        <f aca="false">IF($B171="","",IF($D171="kg",N($E171),IF($D171="sacos",N($E171)*97,IF($D171="jabas",N($E171)*IFERROR(VLOOKUP($C171,LISTAS!$A$2:$B$12,2,0),0),""))))</f>
        <v>1005</v>
      </c>
      <c r="G171" s="17" t="n">
        <v>3014</v>
      </c>
      <c r="H171" s="17"/>
      <c r="I171" s="0" t="n">
        <f aca="false">N($F171)</f>
        <v>1005</v>
      </c>
    </row>
    <row r="172" customFormat="false" ht="15" hidden="false" customHeight="true" outlineLevel="0" collapsed="false">
      <c r="A172" s="16" t="n">
        <v>46228</v>
      </c>
      <c r="B172" s="17" t="s">
        <v>23</v>
      </c>
      <c r="C172" s="17" t="s">
        <v>21</v>
      </c>
      <c r="D172" s="17" t="s">
        <v>12</v>
      </c>
      <c r="E172" s="18" t="n">
        <v>4</v>
      </c>
      <c r="F172" s="18" t="n">
        <f aca="false">IF($B172="","",IF($D172="kg",N($E172),IF($D172="sacos",N($E172)*97,IF($D172="jabas",N($E172)*IFERROR(VLOOKUP($C172,LISTAS!$A$2:$B$12,2,0),0),""))))</f>
        <v>72</v>
      </c>
      <c r="G172" s="17" t="n">
        <v>3014</v>
      </c>
      <c r="H172" s="17"/>
      <c r="I172" s="0" t="n">
        <f aca="false">N($F172)</f>
        <v>72</v>
      </c>
    </row>
    <row r="173" customFormat="false" ht="15" hidden="false" customHeight="true" outlineLevel="0" collapsed="false">
      <c r="A173" s="16" t="n">
        <v>46228</v>
      </c>
      <c r="B173" s="17" t="s">
        <v>23</v>
      </c>
      <c r="C173" s="17" t="s">
        <v>22</v>
      </c>
      <c r="D173" s="17" t="s">
        <v>12</v>
      </c>
      <c r="E173" s="18" t="n">
        <v>5</v>
      </c>
      <c r="F173" s="18" t="n">
        <f aca="false">IF($B173="","",IF($D173="kg",N($E173),IF($D173="sacos",N($E173)*97,IF($D173="jabas",N($E173)*IFERROR(VLOOKUP($C173,LISTAS!$A$2:$B$12,2,0),0),""))))</f>
        <v>85</v>
      </c>
      <c r="G173" s="17" t="n">
        <v>3014</v>
      </c>
      <c r="H173" s="17"/>
      <c r="I173" s="0" t="n">
        <f aca="false">N($F173)</f>
        <v>85</v>
      </c>
    </row>
    <row r="174" customFormat="false" ht="15" hidden="false" customHeight="true" outlineLevel="0" collapsed="false">
      <c r="A174" s="16" t="n">
        <v>46228</v>
      </c>
      <c r="B174" s="17" t="s">
        <v>23</v>
      </c>
      <c r="C174" s="17" t="s">
        <v>13</v>
      </c>
      <c r="D174" s="17" t="s">
        <v>12</v>
      </c>
      <c r="E174" s="18" t="n">
        <v>118</v>
      </c>
      <c r="F174" s="18" t="n">
        <f aca="false">IF($B174="","",IF($D174="kg",N($E174),IF($D174="sacos",N($E174)*97,IF($D174="jabas",N($E174)*IFERROR(VLOOKUP($C174,LISTAS!$A$2:$B$12,2,0),0),""))))</f>
        <v>2006</v>
      </c>
      <c r="G174" s="17" t="n">
        <v>3014</v>
      </c>
      <c r="H174" s="17"/>
      <c r="I174" s="0" t="n">
        <f aca="false">N($F174)</f>
        <v>2006</v>
      </c>
    </row>
    <row r="175" customFormat="false" ht="15" hidden="false" customHeight="true" outlineLevel="0" collapsed="false">
      <c r="A175" s="13" t="n">
        <v>46228</v>
      </c>
      <c r="B175" s="14" t="s">
        <v>20</v>
      </c>
      <c r="C175" s="14" t="s">
        <v>11</v>
      </c>
      <c r="D175" s="14" t="s">
        <v>12</v>
      </c>
      <c r="E175" s="15" t="n">
        <v>96</v>
      </c>
      <c r="F175" s="15" t="n">
        <f aca="false">IF($B175="","",IF($D175="kg",N($E175),IF($D175="sacos",N($E175)*97,IF($D175="jabas",N($E175)*IFERROR(VLOOKUP($C175,LISTAS!$A$2:$B$12,2,0),0),""))))</f>
        <v>1440</v>
      </c>
      <c r="G175" s="14"/>
      <c r="H175" s="14" t="s">
        <v>60</v>
      </c>
      <c r="I175" s="0" t="n">
        <f aca="false">N($F175)</f>
        <v>1440</v>
      </c>
    </row>
    <row r="176" customFormat="false" ht="15" hidden="false" customHeight="true" outlineLevel="0" collapsed="false">
      <c r="A176" s="13" t="n">
        <v>46228</v>
      </c>
      <c r="B176" s="14" t="s">
        <v>20</v>
      </c>
      <c r="C176" s="14" t="s">
        <v>21</v>
      </c>
      <c r="D176" s="14" t="s">
        <v>12</v>
      </c>
      <c r="E176" s="15" t="n">
        <v>21</v>
      </c>
      <c r="F176" s="15" t="n">
        <f aca="false">IF($B176="","",IF($D176="kg",N($E176),IF($D176="sacos",N($E176)*97,IF($D176="jabas",N($E176)*IFERROR(VLOOKUP($C176,LISTAS!$A$2:$B$12,2,0),0),""))))</f>
        <v>378</v>
      </c>
      <c r="G176" s="14"/>
      <c r="H176" s="14"/>
      <c r="I176" s="0" t="n">
        <f aca="false">N($F176)</f>
        <v>378</v>
      </c>
    </row>
    <row r="177" customFormat="false" ht="15" hidden="false" customHeight="true" outlineLevel="0" collapsed="false">
      <c r="A177" s="13" t="n">
        <v>46228</v>
      </c>
      <c r="B177" s="14" t="s">
        <v>20</v>
      </c>
      <c r="C177" s="14" t="s">
        <v>22</v>
      </c>
      <c r="D177" s="14" t="s">
        <v>12</v>
      </c>
      <c r="E177" s="15" t="n">
        <v>12</v>
      </c>
      <c r="F177" s="15" t="n">
        <f aca="false">IF($B177="","",IF($D177="kg",N($E177),IF($D177="sacos",N($E177)*97,IF($D177="jabas",N($E177)*IFERROR(VLOOKUP($C177,LISTAS!$A$2:$B$12,2,0),0),""))))</f>
        <v>204</v>
      </c>
      <c r="G177" s="14"/>
      <c r="H177" s="14"/>
      <c r="I177" s="0" t="n">
        <f aca="false">N($F177)</f>
        <v>204</v>
      </c>
    </row>
    <row r="178" customFormat="false" ht="15" hidden="false" customHeight="true" outlineLevel="0" collapsed="false">
      <c r="A178" s="13" t="n">
        <v>46228</v>
      </c>
      <c r="B178" s="14" t="s">
        <v>20</v>
      </c>
      <c r="C178" s="14" t="s">
        <v>13</v>
      </c>
      <c r="D178" s="14" t="s">
        <v>12</v>
      </c>
      <c r="E178" s="15" t="n">
        <v>110</v>
      </c>
      <c r="F178" s="15" t="n">
        <f aca="false">IF($B178="","",IF($D178="kg",N($E178),IF($D178="sacos",N($E178)*97,IF($D178="jabas",N($E178)*IFERROR(VLOOKUP($C178,LISTAS!$A$2:$B$12,2,0),0),""))))</f>
        <v>1870</v>
      </c>
      <c r="G178" s="14"/>
      <c r="H178" s="14"/>
      <c r="I178" s="0" t="n">
        <f aca="false">N($F178)</f>
        <v>1870</v>
      </c>
    </row>
    <row r="179" customFormat="false" ht="15" hidden="false" customHeight="true" outlineLevel="0" collapsed="false">
      <c r="A179" s="13" t="n">
        <v>46228</v>
      </c>
      <c r="B179" s="14" t="s">
        <v>20</v>
      </c>
      <c r="C179" s="14" t="s">
        <v>15</v>
      </c>
      <c r="D179" s="14" t="s">
        <v>16</v>
      </c>
      <c r="E179" s="15" t="n">
        <v>9.5</v>
      </c>
      <c r="F179" s="15" t="n">
        <f aca="false">IF($B179="","",IF($D179="kg",N($E179),IF($D179="sacos",N($E179)*97,IF($D179="jabas",N($E179)*IFERROR(VLOOKUP($C179,LISTAS!$A$2:$B$12,2,0),0),""))))</f>
        <v>921.5</v>
      </c>
      <c r="G179" s="14"/>
      <c r="H179" s="14"/>
      <c r="I179" s="0" t="n">
        <f aca="false">N($F179)</f>
        <v>921.5</v>
      </c>
    </row>
    <row r="180" customFormat="false" ht="15" hidden="false" customHeight="true" outlineLevel="0" collapsed="false">
      <c r="A180" s="16" t="n">
        <v>46229</v>
      </c>
      <c r="B180" s="17" t="s">
        <v>23</v>
      </c>
      <c r="C180" s="17" t="s">
        <v>11</v>
      </c>
      <c r="D180" s="17" t="s">
        <v>12</v>
      </c>
      <c r="E180" s="18" t="n">
        <v>67</v>
      </c>
      <c r="F180" s="18" t="n">
        <f aca="false">IF($B180="","",IF($D180="kg",N($E180),IF($D180="sacos",N($E180)*97,IF($D180="jabas",N($E180)*IFERROR(VLOOKUP($C180,LISTAS!$A$2:$B$12,2,0),0),""))))</f>
        <v>1005</v>
      </c>
      <c r="G180" s="17" t="n">
        <v>3018</v>
      </c>
      <c r="H180" s="17"/>
      <c r="I180" s="0" t="n">
        <f aca="false">N($F180)</f>
        <v>1005</v>
      </c>
    </row>
    <row r="181" customFormat="false" ht="15" hidden="false" customHeight="true" outlineLevel="0" collapsed="false">
      <c r="A181" s="16" t="n">
        <v>46229</v>
      </c>
      <c r="B181" s="17" t="s">
        <v>23</v>
      </c>
      <c r="C181" s="17" t="s">
        <v>21</v>
      </c>
      <c r="D181" s="17" t="s">
        <v>12</v>
      </c>
      <c r="E181" s="18" t="n">
        <v>11</v>
      </c>
      <c r="F181" s="18" t="n">
        <f aca="false">IF($B181="","",IF($D181="kg",N($E181),IF($D181="sacos",N($E181)*97,IF($D181="jabas",N($E181)*IFERROR(VLOOKUP($C181,LISTAS!$A$2:$B$12,2,0),0),""))))</f>
        <v>198</v>
      </c>
      <c r="G181" s="17" t="n">
        <v>3018</v>
      </c>
      <c r="H181" s="17"/>
      <c r="I181" s="0" t="n">
        <f aca="false">N($F181)</f>
        <v>198</v>
      </c>
    </row>
    <row r="182" customFormat="false" ht="15" hidden="false" customHeight="true" outlineLevel="0" collapsed="false">
      <c r="A182" s="16" t="n">
        <v>46229</v>
      </c>
      <c r="B182" s="17" t="s">
        <v>23</v>
      </c>
      <c r="C182" s="17" t="s">
        <v>22</v>
      </c>
      <c r="D182" s="17" t="s">
        <v>12</v>
      </c>
      <c r="E182" s="18" t="n">
        <v>12</v>
      </c>
      <c r="F182" s="18" t="n">
        <f aca="false">IF($B182="","",IF($D182="kg",N($E182),IF($D182="sacos",N($E182)*97,IF($D182="jabas",N($E182)*IFERROR(VLOOKUP($C182,LISTAS!$A$2:$B$12,2,0),0),""))))</f>
        <v>204</v>
      </c>
      <c r="G182" s="17" t="n">
        <v>3018</v>
      </c>
      <c r="H182" s="17"/>
      <c r="I182" s="0" t="n">
        <f aca="false">N($F182)</f>
        <v>204</v>
      </c>
    </row>
    <row r="183" customFormat="false" ht="15" hidden="false" customHeight="true" outlineLevel="0" collapsed="false">
      <c r="A183" s="10" t="n">
        <v>46230</v>
      </c>
      <c r="B183" s="11" t="s">
        <v>17</v>
      </c>
      <c r="C183" s="11" t="s">
        <v>18</v>
      </c>
      <c r="D183" s="11" t="s">
        <v>16</v>
      </c>
      <c r="E183" s="12" t="n">
        <v>45</v>
      </c>
      <c r="F183" s="12" t="n">
        <v>4459</v>
      </c>
      <c r="G183" s="11"/>
      <c r="H183" s="11" t="s">
        <v>61</v>
      </c>
      <c r="I183" s="0" t="n">
        <f aca="false">N($F183)</f>
        <v>4459</v>
      </c>
    </row>
    <row r="184" customFormat="false" ht="15" hidden="false" customHeight="true" outlineLevel="0" collapsed="false">
      <c r="A184" s="13" t="n">
        <v>46230</v>
      </c>
      <c r="B184" s="14" t="s">
        <v>20</v>
      </c>
      <c r="C184" s="14" t="s">
        <v>11</v>
      </c>
      <c r="D184" s="14" t="s">
        <v>12</v>
      </c>
      <c r="E184" s="15" t="n">
        <v>97</v>
      </c>
      <c r="F184" s="15" t="n">
        <f aca="false">IF($B184="","",IF($D184="kg",N($E184),IF($D184="sacos",N($E184)*97,IF($D184="jabas",N($E184)*IFERROR(VLOOKUP($C184,LISTAS!$A$2:$B$12,2,0),0),""))))</f>
        <v>1455</v>
      </c>
      <c r="G184" s="14"/>
      <c r="H184" s="14"/>
      <c r="I184" s="0" t="n">
        <f aca="false">N($F184)</f>
        <v>1455</v>
      </c>
    </row>
    <row r="185" customFormat="false" ht="15" hidden="false" customHeight="true" outlineLevel="0" collapsed="false">
      <c r="A185" s="13" t="n">
        <v>46230</v>
      </c>
      <c r="B185" s="14" t="s">
        <v>20</v>
      </c>
      <c r="C185" s="14" t="s">
        <v>21</v>
      </c>
      <c r="D185" s="14" t="s">
        <v>12</v>
      </c>
      <c r="E185" s="15" t="n">
        <v>13</v>
      </c>
      <c r="F185" s="15" t="n">
        <f aca="false">IF($B185="","",IF($D185="kg",N($E185),IF($D185="sacos",N($E185)*97,IF($D185="jabas",N($E185)*IFERROR(VLOOKUP($C185,LISTAS!$A$2:$B$12,2,0),0),""))))</f>
        <v>234</v>
      </c>
      <c r="G185" s="14"/>
      <c r="H185" s="14"/>
      <c r="I185" s="0" t="n">
        <f aca="false">N($F185)</f>
        <v>234</v>
      </c>
    </row>
    <row r="186" customFormat="false" ht="15" hidden="false" customHeight="true" outlineLevel="0" collapsed="false">
      <c r="A186" s="13" t="n">
        <v>46230</v>
      </c>
      <c r="B186" s="14" t="s">
        <v>20</v>
      </c>
      <c r="C186" s="14" t="s">
        <v>22</v>
      </c>
      <c r="D186" s="14" t="s">
        <v>12</v>
      </c>
      <c r="E186" s="15" t="n">
        <v>18</v>
      </c>
      <c r="F186" s="15" t="n">
        <f aca="false">IF($B186="","",IF($D186="kg",N($E186),IF($D186="sacos",N($E186)*97,IF($D186="jabas",N($E186)*IFERROR(VLOOKUP($C186,LISTAS!$A$2:$B$12,2,0),0),""))))</f>
        <v>306</v>
      </c>
      <c r="G186" s="14"/>
      <c r="H186" s="14"/>
      <c r="I186" s="0" t="n">
        <f aca="false">N($F186)</f>
        <v>306</v>
      </c>
    </row>
    <row r="187" customFormat="false" ht="15" hidden="false" customHeight="true" outlineLevel="0" collapsed="false">
      <c r="A187" s="13" t="n">
        <v>46230</v>
      </c>
      <c r="B187" s="14" t="s">
        <v>20</v>
      </c>
      <c r="C187" s="14" t="s">
        <v>13</v>
      </c>
      <c r="D187" s="14" t="s">
        <v>12</v>
      </c>
      <c r="E187" s="15" t="n">
        <v>77</v>
      </c>
      <c r="F187" s="15" t="n">
        <f aca="false">IF($B187="","",IF($D187="kg",N($E187),IF($D187="sacos",N($E187)*97,IF($D187="jabas",N($E187)*IFERROR(VLOOKUP($C187,LISTAS!$A$2:$B$12,2,0),0),""))))</f>
        <v>1309</v>
      </c>
      <c r="G187" s="14"/>
      <c r="H187" s="14"/>
      <c r="I187" s="0" t="n">
        <f aca="false">N($F187)</f>
        <v>1309</v>
      </c>
    </row>
    <row r="188" customFormat="false" ht="15" hidden="false" customHeight="true" outlineLevel="0" collapsed="false">
      <c r="A188" s="13" t="n">
        <v>46230</v>
      </c>
      <c r="B188" s="14" t="s">
        <v>20</v>
      </c>
      <c r="C188" s="14" t="s">
        <v>15</v>
      </c>
      <c r="D188" s="14" t="s">
        <v>16</v>
      </c>
      <c r="E188" s="15" t="n">
        <v>8.5</v>
      </c>
      <c r="F188" s="15" t="n">
        <f aca="false">IF($B188="","",IF($D188="kg",N($E188),IF($D188="sacos",N($E188)*97,IF($D188="jabas",N($E188)*IFERROR(VLOOKUP($C188,LISTAS!$A$2:$B$12,2,0),0),""))))</f>
        <v>824.5</v>
      </c>
      <c r="G188" s="14"/>
      <c r="H188" s="14"/>
      <c r="I188" s="0" t="n">
        <f aca="false">N($F188)</f>
        <v>824.5</v>
      </c>
    </row>
    <row r="189" customFormat="false" ht="15" hidden="false" customHeight="true" outlineLevel="0" collapsed="false">
      <c r="A189" s="16" t="n">
        <v>46230</v>
      </c>
      <c r="B189" s="17" t="s">
        <v>23</v>
      </c>
      <c r="C189" s="17" t="s">
        <v>11</v>
      </c>
      <c r="D189" s="17" t="s">
        <v>12</v>
      </c>
      <c r="E189" s="18" t="n">
        <v>67</v>
      </c>
      <c r="F189" s="18" t="n">
        <f aca="false">IF($B189="","",IF($D189="kg",N($E189),IF($D189="sacos",N($E189)*97,IF($D189="jabas",N($E189)*IFERROR(VLOOKUP($C189,LISTAS!$A$2:$B$12,2,0),0),""))))</f>
        <v>1005</v>
      </c>
      <c r="G189" s="17" t="n">
        <v>3021</v>
      </c>
      <c r="H189" s="17"/>
      <c r="I189" s="0" t="n">
        <f aca="false">N($F189)</f>
        <v>1005</v>
      </c>
    </row>
    <row r="190" customFormat="false" ht="15" hidden="false" customHeight="true" outlineLevel="0" collapsed="false">
      <c r="A190" s="16" t="n">
        <v>46230</v>
      </c>
      <c r="B190" s="17" t="s">
        <v>23</v>
      </c>
      <c r="C190" s="17" t="s">
        <v>21</v>
      </c>
      <c r="D190" s="17" t="s">
        <v>12</v>
      </c>
      <c r="E190" s="18" t="n">
        <v>11</v>
      </c>
      <c r="F190" s="18" t="n">
        <f aca="false">IF($B190="","",IF($D190="kg",N($E190),IF($D190="sacos",N($E190)*97,IF($D190="jabas",N($E190)*IFERROR(VLOOKUP($C190,LISTAS!$A$2:$B$12,2,0),0),""))))</f>
        <v>198</v>
      </c>
      <c r="G190" s="17" t="n">
        <v>3021</v>
      </c>
      <c r="H190" s="17"/>
      <c r="I190" s="0" t="n">
        <f aca="false">N($F190)</f>
        <v>198</v>
      </c>
    </row>
    <row r="191" customFormat="false" ht="15" hidden="false" customHeight="true" outlineLevel="0" collapsed="false">
      <c r="A191" s="16" t="n">
        <v>46230</v>
      </c>
      <c r="B191" s="17" t="s">
        <v>23</v>
      </c>
      <c r="C191" s="17" t="s">
        <v>22</v>
      </c>
      <c r="D191" s="17" t="s">
        <v>12</v>
      </c>
      <c r="E191" s="18" t="n">
        <v>8</v>
      </c>
      <c r="F191" s="18" t="n">
        <f aca="false">IF($B191="","",IF($D191="kg",N($E191),IF($D191="sacos",N($E191)*97,IF($D191="jabas",N($E191)*IFERROR(VLOOKUP($C191,LISTAS!$A$2:$B$12,2,0),0),""))))</f>
        <v>136</v>
      </c>
      <c r="G191" s="17" t="n">
        <v>3021</v>
      </c>
      <c r="H191" s="17"/>
      <c r="I191" s="0" t="n">
        <f aca="false">N($F191)</f>
        <v>136</v>
      </c>
    </row>
    <row r="192" customFormat="false" ht="15" hidden="false" customHeight="true" outlineLevel="0" collapsed="false">
      <c r="A192" s="19" t="n">
        <v>46230</v>
      </c>
      <c r="B192" s="20" t="s">
        <v>28</v>
      </c>
      <c r="C192" s="20" t="s">
        <v>15</v>
      </c>
      <c r="D192" s="20" t="s">
        <v>16</v>
      </c>
      <c r="E192" s="21" t="n">
        <v>16</v>
      </c>
      <c r="F192" s="21" t="n">
        <f aca="false">IF($B192="","",IF($D192="kg",N($E192),IF($D192="sacos",N($E192)*97,IF($D192="jabas",N($E192)*IFERROR(VLOOKUP($C192,LISTAS!$A$2:$B$12,2,0),0),""))))</f>
        <v>1552</v>
      </c>
      <c r="G192" s="20"/>
      <c r="H192" s="20" t="s">
        <v>62</v>
      </c>
      <c r="I192" s="0" t="n">
        <f aca="false">N($F192)</f>
        <v>1552</v>
      </c>
    </row>
    <row r="193" customFormat="false" ht="15" hidden="false" customHeight="true" outlineLevel="0" collapsed="false">
      <c r="A193" s="19" t="n">
        <v>46230</v>
      </c>
      <c r="B193" s="20" t="s">
        <v>28</v>
      </c>
      <c r="C193" s="20" t="s">
        <v>15</v>
      </c>
      <c r="D193" s="20" t="s">
        <v>16</v>
      </c>
      <c r="E193" s="21" t="n">
        <v>8.5</v>
      </c>
      <c r="F193" s="21" t="n">
        <f aca="false">IF($B193="","",IF($D193="kg",N($E193),IF($D193="sacos",N($E193)*97,IF($D193="jabas",N($E193)*IFERROR(VLOOKUP($C193,LISTAS!$A$2:$B$12,2,0),0),""))))</f>
        <v>824.5</v>
      </c>
      <c r="G193" s="20"/>
      <c r="H193" s="20" t="s">
        <v>63</v>
      </c>
      <c r="I193" s="0" t="n">
        <f aca="false">N($F193)</f>
        <v>824.5</v>
      </c>
    </row>
    <row r="194" customFormat="false" ht="15" hidden="false" customHeight="true" outlineLevel="0" collapsed="false">
      <c r="A194" s="25" t="n">
        <v>46230</v>
      </c>
      <c r="B194" s="26" t="s">
        <v>42</v>
      </c>
      <c r="C194" s="26" t="s">
        <v>11</v>
      </c>
      <c r="D194" s="26" t="s">
        <v>12</v>
      </c>
      <c r="E194" s="27" t="n">
        <v>1</v>
      </c>
      <c r="F194" s="27" t="n">
        <f aca="false">IF($B194="","",IF($D194="kg",N($E194),IF($D194="sacos",N($E194)*97,IF($D194="jabas",N($E194)*IFERROR(VLOOKUP($C194,LISTAS!$A$2:$B$12,2,0),0),""))))</f>
        <v>15</v>
      </c>
      <c r="G194" s="26"/>
      <c r="H194" s="26"/>
      <c r="I194" s="0" t="n">
        <f aca="false">N($F194)</f>
        <v>15</v>
      </c>
    </row>
    <row r="195" customFormat="false" ht="15" hidden="false" customHeight="true" outlineLevel="0" collapsed="false">
      <c r="A195" s="28" t="n">
        <v>46230</v>
      </c>
      <c r="B195" s="29" t="s">
        <v>43</v>
      </c>
      <c r="C195" s="29" t="s">
        <v>11</v>
      </c>
      <c r="D195" s="29" t="s">
        <v>44</v>
      </c>
      <c r="E195" s="30" t="n">
        <v>7</v>
      </c>
      <c r="F195" s="30" t="n">
        <f aca="false">IF($B195="","",IF($D195="kg",N($E195),IF($D195="sacos",N($E195)*97,IF($D195="jabas",N($E195)*IFERROR(VLOOKUP($C195,LISTAS!$A$2:$B$12,2,0),0),""))))</f>
        <v>7</v>
      </c>
      <c r="G195" s="29"/>
      <c r="H195" s="29"/>
      <c r="I195" s="0" t="n">
        <f aca="false">N($F195)</f>
        <v>7</v>
      </c>
    </row>
    <row r="196" customFormat="false" ht="15" hidden="false" customHeight="true" outlineLevel="0" collapsed="false">
      <c r="A196" s="10" t="n">
        <v>46231</v>
      </c>
      <c r="B196" s="11" t="s">
        <v>17</v>
      </c>
      <c r="C196" s="11" t="s">
        <v>18</v>
      </c>
      <c r="D196" s="11" t="s">
        <v>16</v>
      </c>
      <c r="E196" s="12" t="n">
        <v>55</v>
      </c>
      <c r="F196" s="12" t="n">
        <v>5451</v>
      </c>
      <c r="G196" s="11"/>
      <c r="H196" s="11"/>
      <c r="I196" s="0" t="n">
        <f aca="false">N($F196)</f>
        <v>5451</v>
      </c>
    </row>
    <row r="197" customFormat="false" ht="15" hidden="false" customHeight="true" outlineLevel="0" collapsed="false">
      <c r="A197" s="13" t="n">
        <v>46231</v>
      </c>
      <c r="B197" s="14" t="s">
        <v>20</v>
      </c>
      <c r="C197" s="14" t="s">
        <v>11</v>
      </c>
      <c r="D197" s="14" t="s">
        <v>12</v>
      </c>
      <c r="E197" s="15" t="n">
        <v>133</v>
      </c>
      <c r="F197" s="15" t="n">
        <f aca="false">IF($B197="","",IF($D197="kg",N($E197),IF($D197="sacos",N($E197)*97,IF($D197="jabas",N($E197)*IFERROR(VLOOKUP($C197,LISTAS!$A$2:$B$12,2,0),0),""))))</f>
        <v>1995</v>
      </c>
      <c r="G197" s="14"/>
      <c r="H197" s="14"/>
      <c r="I197" s="0" t="n">
        <f aca="false">N($F197)</f>
        <v>1995</v>
      </c>
    </row>
    <row r="198" customFormat="false" ht="15" hidden="false" customHeight="true" outlineLevel="0" collapsed="false">
      <c r="A198" s="13" t="n">
        <v>46231</v>
      </c>
      <c r="B198" s="14" t="s">
        <v>20</v>
      </c>
      <c r="C198" s="14" t="s">
        <v>21</v>
      </c>
      <c r="D198" s="14" t="s">
        <v>12</v>
      </c>
      <c r="E198" s="15" t="n">
        <v>4</v>
      </c>
      <c r="F198" s="15" t="n">
        <f aca="false">IF($B198="","",IF($D198="kg",N($E198),IF($D198="sacos",N($E198)*97,IF($D198="jabas",N($E198)*IFERROR(VLOOKUP($C198,LISTAS!$A$2:$B$12,2,0),0),""))))</f>
        <v>72</v>
      </c>
      <c r="G198" s="14"/>
      <c r="H198" s="14"/>
      <c r="I198" s="0" t="n">
        <f aca="false">N($F198)</f>
        <v>72</v>
      </c>
    </row>
    <row r="199" customFormat="false" ht="15" hidden="false" customHeight="true" outlineLevel="0" collapsed="false">
      <c r="A199" s="13" t="n">
        <v>46231</v>
      </c>
      <c r="B199" s="14" t="s">
        <v>20</v>
      </c>
      <c r="C199" s="14" t="s">
        <v>22</v>
      </c>
      <c r="D199" s="14" t="s">
        <v>12</v>
      </c>
      <c r="E199" s="15" t="n">
        <v>12</v>
      </c>
      <c r="F199" s="15" t="n">
        <f aca="false">IF($B199="","",IF($D199="kg",N($E199),IF($D199="sacos",N($E199)*97,IF($D199="jabas",N($E199)*IFERROR(VLOOKUP($C199,LISTAS!$A$2:$B$12,2,0),0),""))))</f>
        <v>204</v>
      </c>
      <c r="G199" s="14"/>
      <c r="H199" s="14"/>
      <c r="I199" s="0" t="n">
        <f aca="false">N($F199)</f>
        <v>204</v>
      </c>
    </row>
    <row r="200" customFormat="false" ht="15" hidden="false" customHeight="true" outlineLevel="0" collapsed="false">
      <c r="A200" s="13" t="n">
        <v>46231</v>
      </c>
      <c r="B200" s="14" t="s">
        <v>20</v>
      </c>
      <c r="C200" s="14" t="s">
        <v>13</v>
      </c>
      <c r="D200" s="14" t="s">
        <v>12</v>
      </c>
      <c r="E200" s="15" t="n">
        <v>94</v>
      </c>
      <c r="F200" s="15" t="n">
        <f aca="false">IF($B200="","",IF($D200="kg",N($E200),IF($D200="sacos",N($E200)*97,IF($D200="jabas",N($E200)*IFERROR(VLOOKUP($C200,LISTAS!$A$2:$B$12,2,0),0),""))))</f>
        <v>1598</v>
      </c>
      <c r="G200" s="14"/>
      <c r="H200" s="14"/>
      <c r="I200" s="0" t="n">
        <f aca="false">N($F200)</f>
        <v>1598</v>
      </c>
    </row>
    <row r="201" customFormat="false" ht="15" hidden="false" customHeight="true" outlineLevel="0" collapsed="false">
      <c r="A201" s="13" t="n">
        <v>46231</v>
      </c>
      <c r="B201" s="14" t="s">
        <v>20</v>
      </c>
      <c r="C201" s="14" t="s">
        <v>15</v>
      </c>
      <c r="D201" s="14" t="s">
        <v>16</v>
      </c>
      <c r="E201" s="15" t="n">
        <v>14.5</v>
      </c>
      <c r="F201" s="15" t="n">
        <f aca="false">IF($B201="","",IF($D201="kg",N($E201),IF($D201="sacos",N($E201)*97,IF($D201="jabas",N($E201)*IFERROR(VLOOKUP($C201,LISTAS!$A$2:$B$12,2,0),0),""))))</f>
        <v>1406.5</v>
      </c>
      <c r="G201" s="14"/>
      <c r="H201" s="14"/>
      <c r="I201" s="0" t="n">
        <f aca="false">N($F201)</f>
        <v>1406.5</v>
      </c>
    </row>
    <row r="202" customFormat="false" ht="15" hidden="false" customHeight="true" outlineLevel="0" collapsed="false">
      <c r="A202" s="16" t="n">
        <v>46231</v>
      </c>
      <c r="B202" s="17" t="s">
        <v>23</v>
      </c>
      <c r="C202" s="17" t="s">
        <v>11</v>
      </c>
      <c r="D202" s="17" t="s">
        <v>12</v>
      </c>
      <c r="E202" s="18" t="n">
        <v>67</v>
      </c>
      <c r="F202" s="18" t="n">
        <f aca="false">IF($B202="","",IF($D202="kg",N($E202),IF($D202="sacos",N($E202)*97,IF($D202="jabas",N($E202)*IFERROR(VLOOKUP($C202,LISTAS!$A$2:$B$12,2,0),0),""))))</f>
        <v>1005</v>
      </c>
      <c r="G202" s="17" t="n">
        <v>3023</v>
      </c>
      <c r="H202" s="17"/>
      <c r="I202" s="0" t="n">
        <f aca="false">N($F202)</f>
        <v>1005</v>
      </c>
    </row>
    <row r="203" customFormat="false" ht="15" hidden="false" customHeight="true" outlineLevel="0" collapsed="false">
      <c r="A203" s="16" t="n">
        <v>46231</v>
      </c>
      <c r="B203" s="17" t="s">
        <v>23</v>
      </c>
      <c r="C203" s="17" t="s">
        <v>21</v>
      </c>
      <c r="D203" s="17" t="s">
        <v>12</v>
      </c>
      <c r="E203" s="18" t="n">
        <v>11</v>
      </c>
      <c r="F203" s="18" t="n">
        <f aca="false">IF($B203="","",IF($D203="kg",N($E203),IF($D203="sacos",N($E203)*97,IF($D203="jabas",N($E203)*IFERROR(VLOOKUP($C203,LISTAS!$A$2:$B$12,2,0),0),""))))</f>
        <v>198</v>
      </c>
      <c r="G203" s="17" t="n">
        <v>3023</v>
      </c>
      <c r="H203" s="17"/>
      <c r="I203" s="0" t="n">
        <f aca="false">N($F203)</f>
        <v>198</v>
      </c>
    </row>
    <row r="204" customFormat="false" ht="15" hidden="false" customHeight="true" outlineLevel="0" collapsed="false">
      <c r="A204" s="16" t="n">
        <v>46231</v>
      </c>
      <c r="B204" s="17" t="s">
        <v>23</v>
      </c>
      <c r="C204" s="17" t="s">
        <v>22</v>
      </c>
      <c r="D204" s="17" t="s">
        <v>12</v>
      </c>
      <c r="E204" s="18" t="n">
        <v>10</v>
      </c>
      <c r="F204" s="18" t="n">
        <f aca="false">IF($B204="","",IF($D204="kg",N($E204),IF($D204="sacos",N($E204)*97,IF($D204="jabas",N($E204)*IFERROR(VLOOKUP($C204,LISTAS!$A$2:$B$12,2,0),0),""))))</f>
        <v>170</v>
      </c>
      <c r="G204" s="17" t="n">
        <v>3023</v>
      </c>
      <c r="H204" s="17"/>
      <c r="I204" s="0" t="n">
        <f aca="false">N($F204)</f>
        <v>170</v>
      </c>
    </row>
    <row r="205" customFormat="false" ht="15" hidden="false" customHeight="true" outlineLevel="0" collapsed="false">
      <c r="A205" s="16" t="n">
        <v>46231</v>
      </c>
      <c r="B205" s="17" t="s">
        <v>23</v>
      </c>
      <c r="C205" s="17" t="s">
        <v>13</v>
      </c>
      <c r="D205" s="17" t="s">
        <v>12</v>
      </c>
      <c r="E205" s="18" t="n">
        <v>118</v>
      </c>
      <c r="F205" s="18" t="n">
        <f aca="false">IF($B205="","",IF($D205="kg",N($E205),IF($D205="sacos",N($E205)*97,IF($D205="jabas",N($E205)*IFERROR(VLOOKUP($C205,LISTAS!$A$2:$B$12,2,0),0),""))))</f>
        <v>2006</v>
      </c>
      <c r="G205" s="17" t="n">
        <v>3023</v>
      </c>
      <c r="H205" s="17"/>
      <c r="I205" s="0" t="n">
        <f aca="false">N($F205)</f>
        <v>2006</v>
      </c>
    </row>
    <row r="206" customFormat="false" ht="15" hidden="false" customHeight="true" outlineLevel="0" collapsed="false">
      <c r="A206" s="16" t="n">
        <v>46232</v>
      </c>
      <c r="B206" s="17" t="s">
        <v>23</v>
      </c>
      <c r="C206" s="17" t="s">
        <v>11</v>
      </c>
      <c r="D206" s="17" t="s">
        <v>12</v>
      </c>
      <c r="E206" s="18" t="n">
        <v>67</v>
      </c>
      <c r="F206" s="18" t="n">
        <f aca="false">IF($B206="","",IF($D206="kg",N($E206),IF($D206="sacos",N($E206)*97,IF($D206="jabas",N($E206)*IFERROR(VLOOKUP($C206,LISTAS!$A$2:$B$12,2,0),0),""))))</f>
        <v>1005</v>
      </c>
      <c r="G206" s="17" t="n">
        <v>3025</v>
      </c>
      <c r="H206" s="17"/>
      <c r="I206" s="0" t="n">
        <f aca="false">N($F206)</f>
        <v>1005</v>
      </c>
    </row>
    <row r="207" customFormat="false" ht="15" hidden="false" customHeight="true" outlineLevel="0" collapsed="false">
      <c r="A207" s="16" t="n">
        <v>46232</v>
      </c>
      <c r="B207" s="17" t="s">
        <v>23</v>
      </c>
      <c r="C207" s="17" t="s">
        <v>21</v>
      </c>
      <c r="D207" s="17" t="s">
        <v>12</v>
      </c>
      <c r="E207" s="18" t="n">
        <v>4</v>
      </c>
      <c r="F207" s="18" t="n">
        <f aca="false">IF($B207="","",IF($D207="kg",N($E207),IF($D207="sacos",N($E207)*97,IF($D207="jabas",N($E207)*IFERROR(VLOOKUP($C207,LISTAS!$A$2:$B$12,2,0),0),""))))</f>
        <v>72</v>
      </c>
      <c r="G207" s="17" t="n">
        <v>3025</v>
      </c>
      <c r="H207" s="17"/>
      <c r="I207" s="0" t="n">
        <f aca="false">N($F207)</f>
        <v>72</v>
      </c>
    </row>
    <row r="208" customFormat="false" ht="15" hidden="false" customHeight="true" outlineLevel="0" collapsed="false">
      <c r="A208" s="16" t="n">
        <v>46232</v>
      </c>
      <c r="B208" s="17" t="s">
        <v>23</v>
      </c>
      <c r="C208" s="17" t="s">
        <v>22</v>
      </c>
      <c r="D208" s="17" t="s">
        <v>12</v>
      </c>
      <c r="E208" s="18" t="n">
        <v>12</v>
      </c>
      <c r="F208" s="18" t="n">
        <f aca="false">IF($B208="","",IF($D208="kg",N($E208),IF($D208="sacos",N($E208)*97,IF($D208="jabas",N($E208)*IFERROR(VLOOKUP($C208,LISTAS!$A$2:$B$12,2,0),0),""))))</f>
        <v>204</v>
      </c>
      <c r="G208" s="17" t="n">
        <v>3025</v>
      </c>
      <c r="H208" s="17"/>
      <c r="I208" s="0" t="n">
        <f aca="false">N($F208)</f>
        <v>204</v>
      </c>
    </row>
    <row r="209" customFormat="false" ht="15" hidden="false" customHeight="true" outlineLevel="0" collapsed="false">
      <c r="A209" s="16" t="n">
        <v>46232</v>
      </c>
      <c r="B209" s="17" t="s">
        <v>23</v>
      </c>
      <c r="C209" s="17" t="s">
        <v>13</v>
      </c>
      <c r="D209" s="17" t="s">
        <v>12</v>
      </c>
      <c r="E209" s="18" t="n">
        <v>89</v>
      </c>
      <c r="F209" s="18" t="n">
        <f aca="false">IF($B209="","",IF($D209="kg",N($E209),IF($D209="sacos",N($E209)*97,IF($D209="jabas",N($E209)*IFERROR(VLOOKUP($C209,LISTAS!$A$2:$B$12,2,0),0),""))))</f>
        <v>1513</v>
      </c>
      <c r="G209" s="17" t="n">
        <v>3025</v>
      </c>
      <c r="H209" s="17"/>
      <c r="I209" s="0" t="n">
        <f aca="false">N($F209)</f>
        <v>1513</v>
      </c>
      <c r="N209" s="0" t="n">
        <v>100</v>
      </c>
    </row>
    <row r="210" customFormat="false" ht="15" hidden="false" customHeight="true" outlineLevel="0" collapsed="false">
      <c r="A210" s="19" t="n">
        <v>46232</v>
      </c>
      <c r="B210" s="20" t="s">
        <v>28</v>
      </c>
      <c r="C210" s="20" t="s">
        <v>15</v>
      </c>
      <c r="D210" s="20" t="s">
        <v>16</v>
      </c>
      <c r="E210" s="21" t="n">
        <v>10</v>
      </c>
      <c r="F210" s="21" t="n">
        <f aca="false">IF($B210="","",IF($D210="kg",N($E210),IF($D210="sacos",N($E210)*97,IF($D210="jabas",N($E210)*IFERROR(VLOOKUP($C210,LISTAS!$A$2:$B$12,2,0),0),""))))</f>
        <v>970</v>
      </c>
      <c r="G210" s="20" t="s">
        <v>64</v>
      </c>
      <c r="H210" s="20"/>
      <c r="I210" s="0" t="n">
        <f aca="false">N($F210)</f>
        <v>970</v>
      </c>
    </row>
    <row r="211" customFormat="false" ht="15" hidden="false" customHeight="true" outlineLevel="0" collapsed="false">
      <c r="A211" s="10" t="n">
        <v>46233</v>
      </c>
      <c r="B211" s="11" t="s">
        <v>17</v>
      </c>
      <c r="C211" s="11" t="s">
        <v>18</v>
      </c>
      <c r="D211" s="11" t="s">
        <v>16</v>
      </c>
      <c r="E211" s="12" t="n">
        <v>30</v>
      </c>
      <c r="F211" s="12" t="n">
        <f aca="false">IF($B211="","",IF($D211="kg",N($E211),IF($D211="sacos",N($E211)*97,IF($D211="jabas",N($E211)*IFERROR(VLOOKUP($C211,LISTAS!$A$2:$B$12,2,0),0),""))))</f>
        <v>2910</v>
      </c>
      <c r="G211" s="11"/>
      <c r="H211" s="11" t="s">
        <v>65</v>
      </c>
      <c r="I211" s="0" t="n">
        <f aca="false">N($F211)</f>
        <v>2910</v>
      </c>
    </row>
    <row r="212" customFormat="false" ht="15" hidden="false" customHeight="true" outlineLevel="0" collapsed="false">
      <c r="A212" s="13" t="n">
        <v>46233</v>
      </c>
      <c r="B212" s="14" t="s">
        <v>20</v>
      </c>
      <c r="C212" s="14" t="s">
        <v>11</v>
      </c>
      <c r="D212" s="14" t="s">
        <v>12</v>
      </c>
      <c r="E212" s="15" t="n">
        <v>46</v>
      </c>
      <c r="F212" s="15" t="n">
        <f aca="false">IF($B212="","",IF($D212="kg",N($E212),IF($D212="sacos",N($E212)*97,IF($D212="jabas",N($E212)*IFERROR(VLOOKUP($C212,LISTAS!$A$2:$B$12,2,0),0),""))))</f>
        <v>690</v>
      </c>
      <c r="G212" s="14"/>
      <c r="H212" s="14"/>
      <c r="I212" s="0" t="n">
        <f aca="false">N($F212)</f>
        <v>690</v>
      </c>
    </row>
    <row r="213" customFormat="false" ht="15" hidden="false" customHeight="true" outlineLevel="0" collapsed="false">
      <c r="A213" s="13" t="n">
        <v>46233</v>
      </c>
      <c r="B213" s="14" t="s">
        <v>20</v>
      </c>
      <c r="C213" s="14" t="s">
        <v>21</v>
      </c>
      <c r="D213" s="14" t="s">
        <v>12</v>
      </c>
      <c r="E213" s="15" t="n">
        <v>11</v>
      </c>
      <c r="F213" s="15" t="n">
        <f aca="false">IF($B213="","",IF($D213="kg",N($E213),IF($D213="sacos",N($E213)*97,IF($D213="jabas",N($E213)*IFERROR(VLOOKUP($C213,LISTAS!$A$2:$B$12,2,0),0),""))))</f>
        <v>198</v>
      </c>
      <c r="G213" s="14"/>
      <c r="H213" s="14"/>
      <c r="I213" s="0" t="n">
        <f aca="false">N($F213)</f>
        <v>198</v>
      </c>
    </row>
    <row r="214" customFormat="false" ht="15" hidden="false" customHeight="true" outlineLevel="0" collapsed="false">
      <c r="A214" s="13" t="n">
        <v>46233</v>
      </c>
      <c r="B214" s="14" t="s">
        <v>20</v>
      </c>
      <c r="C214" s="14" t="s">
        <v>22</v>
      </c>
      <c r="D214" s="14" t="s">
        <v>12</v>
      </c>
      <c r="E214" s="15" t="n">
        <v>5</v>
      </c>
      <c r="F214" s="15" t="n">
        <f aca="false">IF($B214="","",IF($D214="kg",N($E214),IF($D214="sacos",N($E214)*97,IF($D214="jabas",N($E214)*IFERROR(VLOOKUP($C214,LISTAS!$A$2:$B$12,2,0),0),""))))</f>
        <v>85</v>
      </c>
      <c r="G214" s="14"/>
      <c r="H214" s="14"/>
      <c r="I214" s="0" t="n">
        <f aca="false">N($F214)</f>
        <v>85</v>
      </c>
    </row>
    <row r="215" customFormat="false" ht="15" hidden="false" customHeight="true" outlineLevel="0" collapsed="false">
      <c r="A215" s="13" t="n">
        <v>46233</v>
      </c>
      <c r="B215" s="14" t="s">
        <v>20</v>
      </c>
      <c r="C215" s="14" t="s">
        <v>13</v>
      </c>
      <c r="D215" s="14" t="s">
        <v>12</v>
      </c>
      <c r="E215" s="15" t="n">
        <v>90</v>
      </c>
      <c r="F215" s="15" t="n">
        <f aca="false">IF($B215="","",IF($D215="kg",N($E215),IF($D215="sacos",N($E215)*97,IF($D215="jabas",N($E215)*IFERROR(VLOOKUP($C215,LISTAS!$A$2:$B$12,2,0),0),""))))</f>
        <v>1530</v>
      </c>
      <c r="G215" s="14"/>
      <c r="H215" s="14"/>
      <c r="I215" s="0" t="n">
        <f aca="false">N($F215)</f>
        <v>1530</v>
      </c>
    </row>
    <row r="216" customFormat="false" ht="15" hidden="false" customHeight="true" outlineLevel="0" collapsed="false">
      <c r="A216" s="13" t="n">
        <v>46233</v>
      </c>
      <c r="B216" s="14" t="s">
        <v>20</v>
      </c>
      <c r="C216" s="14" t="s">
        <v>15</v>
      </c>
      <c r="D216" s="14" t="s">
        <v>16</v>
      </c>
      <c r="E216" s="15" t="n">
        <v>5</v>
      </c>
      <c r="F216" s="15" t="n">
        <f aca="false">IF($B216="","",IF($D216="kg",N($E216),IF($D216="sacos",N($E216)*97,IF($D216="jabas",N($E216)*IFERROR(VLOOKUP($C216,LISTAS!$A$2:$B$12,2,0),0),""))))</f>
        <v>485</v>
      </c>
      <c r="G216" s="14"/>
      <c r="H216" s="14"/>
      <c r="I216" s="0" t="n">
        <f aca="false">N($F216)</f>
        <v>485</v>
      </c>
    </row>
    <row r="217" customFormat="false" ht="15" hidden="false" customHeight="true" outlineLevel="0" collapsed="false">
      <c r="A217" s="22" t="n">
        <v>46233</v>
      </c>
      <c r="B217" s="23" t="s">
        <v>34</v>
      </c>
      <c r="C217" s="23" t="s">
        <v>13</v>
      </c>
      <c r="D217" s="23" t="s">
        <v>12</v>
      </c>
      <c r="E217" s="24" t="n">
        <v>1</v>
      </c>
      <c r="F217" s="24" t="n">
        <v>17</v>
      </c>
      <c r="G217" s="23"/>
      <c r="H217" s="23"/>
      <c r="I217" s="0" t="n">
        <f aca="false">N($F217)</f>
        <v>17</v>
      </c>
    </row>
    <row r="218" customFormat="false" ht="15" hidden="false" customHeight="true" outlineLevel="0" collapsed="false">
      <c r="A218" s="16" t="n">
        <v>46233</v>
      </c>
      <c r="B218" s="17" t="s">
        <v>23</v>
      </c>
      <c r="C218" s="17" t="s">
        <v>11</v>
      </c>
      <c r="D218" s="17" t="s">
        <v>12</v>
      </c>
      <c r="E218" s="18" t="n">
        <v>67</v>
      </c>
      <c r="F218" s="18" t="n">
        <f aca="false">IF($B218="","",IF($D218="kg",N($E218),IF($D218="sacos",N($E218)*97,IF($D218="jabas",N($E218)*IFERROR(VLOOKUP($C218,LISTAS!$A$2:$B$12,2,0),0),""))))</f>
        <v>1005</v>
      </c>
      <c r="G218" s="17"/>
      <c r="H218" s="17"/>
      <c r="I218" s="0" t="n">
        <f aca="false">N($F218)</f>
        <v>1005</v>
      </c>
    </row>
    <row r="219" customFormat="false" ht="15" hidden="false" customHeight="true" outlineLevel="0" collapsed="false">
      <c r="A219" s="16" t="n">
        <v>46233</v>
      </c>
      <c r="B219" s="17" t="s">
        <v>23</v>
      </c>
      <c r="C219" s="17" t="s">
        <v>21</v>
      </c>
      <c r="D219" s="17" t="s">
        <v>12</v>
      </c>
      <c r="E219" s="18" t="n">
        <v>11</v>
      </c>
      <c r="F219" s="18" t="n">
        <f aca="false">IF($B219="","",IF($D219="kg",N($E219),IF($D219="sacos",N($E219)*97,IF($D219="jabas",N($E219)*IFERROR(VLOOKUP($C219,LISTAS!$A$2:$B$12,2,0),0),""))))</f>
        <v>198</v>
      </c>
      <c r="G219" s="17"/>
      <c r="H219" s="17"/>
      <c r="I219" s="0" t="n">
        <f aca="false">N($F219)</f>
        <v>198</v>
      </c>
    </row>
    <row r="220" customFormat="false" ht="15" hidden="false" customHeight="true" outlineLevel="0" collapsed="false">
      <c r="A220" s="16" t="n">
        <v>46233</v>
      </c>
      <c r="B220" s="17" t="s">
        <v>23</v>
      </c>
      <c r="C220" s="17" t="s">
        <v>22</v>
      </c>
      <c r="D220" s="17" t="s">
        <v>12</v>
      </c>
      <c r="E220" s="18" t="n">
        <v>5</v>
      </c>
      <c r="F220" s="18" t="n">
        <f aca="false">IF($B220="","",IF($D220="kg",N($E220),IF($D220="sacos",N($E220)*97,IF($D220="jabas",N($E220)*IFERROR(VLOOKUP($C220,LISTAS!$A$2:$B$12,2,0),0),""))))</f>
        <v>85</v>
      </c>
      <c r="G220" s="17"/>
      <c r="H220" s="17"/>
      <c r="I220" s="0" t="n">
        <f aca="false">N($F220)</f>
        <v>85</v>
      </c>
    </row>
    <row r="221" customFormat="false" ht="15" hidden="false" customHeight="true" outlineLevel="0" collapsed="false">
      <c r="A221" s="16" t="n">
        <v>46233</v>
      </c>
      <c r="B221" s="17" t="s">
        <v>23</v>
      </c>
      <c r="C221" s="17" t="s">
        <v>13</v>
      </c>
      <c r="D221" s="17" t="s">
        <v>12</v>
      </c>
      <c r="E221" s="18" t="n">
        <v>118</v>
      </c>
      <c r="F221" s="18" t="n">
        <f aca="false">IF($B221="","",IF($D221="kg",N($E221),IF($D221="sacos",N($E221)*97,IF($D221="jabas",N($E221)*IFERROR(VLOOKUP($C221,LISTAS!$A$2:$B$12,2,0),0),""))))</f>
        <v>2006</v>
      </c>
      <c r="G221" s="17"/>
      <c r="H221" s="17"/>
      <c r="I221" s="0" t="n">
        <f aca="false">N($F221)</f>
        <v>2006</v>
      </c>
    </row>
    <row r="222" customFormat="false" ht="15" hidden="false" customHeight="true" outlineLevel="0" collapsed="false">
      <c r="A222" s="10" t="n">
        <v>46234</v>
      </c>
      <c r="B222" s="11" t="s">
        <v>17</v>
      </c>
      <c r="C222" s="11" t="s">
        <v>18</v>
      </c>
      <c r="D222" s="11" t="s">
        <v>16</v>
      </c>
      <c r="E222" s="12" t="n">
        <v>70</v>
      </c>
      <c r="F222" s="12" t="n">
        <f aca="false">IF($B222="","",IF($D222="kg",N($E222),IF($D222="sacos",N($E222)*97,IF($D222="jabas",N($E222)*IFERROR(VLOOKUP($C222,LISTAS!$A$2:$B$12,2,0),0),""))))</f>
        <v>6790</v>
      </c>
      <c r="G222" s="11"/>
      <c r="H222" s="11" t="s">
        <v>66</v>
      </c>
      <c r="I222" s="0" t="n">
        <f aca="false">N($F222)</f>
        <v>6790</v>
      </c>
    </row>
    <row r="223" customFormat="false" ht="15" hidden="false" customHeight="true" outlineLevel="0" collapsed="false">
      <c r="A223" s="40"/>
      <c r="B223" s="41"/>
      <c r="C223" s="41"/>
      <c r="D223" s="41"/>
      <c r="E223" s="42"/>
      <c r="F223" s="42" t="str">
        <f aca="false">IF($B223="","",IF($D223="kg",N($E223),IF($D223="sacos",N($E223)*97,IF($D223="jabas",N($E223)*IFERROR(VLOOKUP($C223,LISTAS!$A$2:$B$12,2,0),0),""))))</f>
        <v/>
      </c>
      <c r="G223" s="41"/>
      <c r="H223" s="41"/>
      <c r="I223" s="0" t="n">
        <f aca="false">N($F223)</f>
        <v>0</v>
      </c>
    </row>
    <row r="224" customFormat="false" ht="15" hidden="false" customHeight="true" outlineLevel="0" collapsed="false">
      <c r="A224" s="40"/>
      <c r="B224" s="41"/>
      <c r="C224" s="41"/>
      <c r="D224" s="41"/>
      <c r="E224" s="42"/>
      <c r="F224" s="42" t="str">
        <f aca="false">IF($B224="","",IF($D224="kg",N($E224),IF($D224="sacos",N($E224)*97,IF($D224="jabas",N($E224)*IFERROR(VLOOKUP($C224,LISTAS!$A$2:$B$12,2,0),0),""))))</f>
        <v/>
      </c>
      <c r="G224" s="41"/>
      <c r="H224" s="41"/>
      <c r="I224" s="0" t="n">
        <f aca="false">N($F224)</f>
        <v>0</v>
      </c>
    </row>
    <row r="225" customFormat="false" ht="15" hidden="false" customHeight="true" outlineLevel="0" collapsed="false">
      <c r="A225" s="40"/>
      <c r="B225" s="41"/>
      <c r="C225" s="41"/>
      <c r="D225" s="41"/>
      <c r="E225" s="42"/>
      <c r="F225" s="42" t="str">
        <f aca="false">IF($B225="","",IF($D225="kg",N($E225),IF($D225="sacos",N($E225)*97,IF($D225="jabas",N($E225)*IFERROR(VLOOKUP($C225,LISTAS!$A$2:$B$12,2,0),0),""))))</f>
        <v/>
      </c>
      <c r="G225" s="41"/>
      <c r="H225" s="41"/>
      <c r="I225" s="0" t="n">
        <f aca="false">N($F225)</f>
        <v>0</v>
      </c>
    </row>
    <row r="226" customFormat="false" ht="15" hidden="false" customHeight="true" outlineLevel="0" collapsed="false">
      <c r="A226" s="40"/>
      <c r="B226" s="41"/>
      <c r="C226" s="41"/>
      <c r="D226" s="41"/>
      <c r="E226" s="42"/>
      <c r="F226" s="42" t="str">
        <f aca="false">IF($B226="","",IF($D226="kg",N($E226),IF($D226="sacos",N($E226)*97,IF($D226="jabas",N($E226)*IFERROR(VLOOKUP($C226,LISTAS!$A$2:$B$12,2,0),0),""))))</f>
        <v/>
      </c>
      <c r="G226" s="41"/>
      <c r="H226" s="41"/>
      <c r="I226" s="0" t="n">
        <f aca="false">N($F226)</f>
        <v>0</v>
      </c>
    </row>
    <row r="227" customFormat="false" ht="15" hidden="false" customHeight="true" outlineLevel="0" collapsed="false">
      <c r="A227" s="40"/>
      <c r="B227" s="41"/>
      <c r="C227" s="41"/>
      <c r="D227" s="41"/>
      <c r="E227" s="42"/>
      <c r="F227" s="42" t="str">
        <f aca="false">IF($B227="","",IF($D227="kg",N($E227),IF($D227="sacos",N($E227)*97,IF($D227="jabas",N($E227)*IFERROR(VLOOKUP($C227,LISTAS!$A$2:$B$12,2,0),0),""))))</f>
        <v/>
      </c>
      <c r="G227" s="41"/>
      <c r="H227" s="41"/>
      <c r="I227" s="0" t="n">
        <f aca="false">N($F227)</f>
        <v>0</v>
      </c>
    </row>
    <row r="228" customFormat="false" ht="15" hidden="false" customHeight="true" outlineLevel="0" collapsed="false">
      <c r="A228" s="40"/>
      <c r="B228" s="41"/>
      <c r="C228" s="41"/>
      <c r="D228" s="41"/>
      <c r="E228" s="42"/>
      <c r="F228" s="42" t="str">
        <f aca="false">IF($B228="","",IF($D228="kg",N($E228),IF($D228="sacos",N($E228)*97,IF($D228="jabas",N($E228)*IFERROR(VLOOKUP($C228,LISTAS!$A$2:$B$12,2,0),0),""))))</f>
        <v/>
      </c>
      <c r="G228" s="41"/>
      <c r="H228" s="41"/>
      <c r="I228" s="0" t="n">
        <f aca="false">N($F228)</f>
        <v>0</v>
      </c>
    </row>
    <row r="229" customFormat="false" ht="15" hidden="false" customHeight="true" outlineLevel="0" collapsed="false">
      <c r="A229" s="40"/>
      <c r="B229" s="41"/>
      <c r="C229" s="41"/>
      <c r="D229" s="41"/>
      <c r="E229" s="42"/>
      <c r="F229" s="42" t="str">
        <f aca="false">IF($B229="","",IF($D229="kg",N($E229),IF($D229="sacos",N($E229)*97,IF($D229="jabas",N($E229)*IFERROR(VLOOKUP($C229,LISTAS!$A$2:$B$12,2,0),0),""))))</f>
        <v/>
      </c>
      <c r="G229" s="41"/>
      <c r="H229" s="41"/>
      <c r="I229" s="0" t="n">
        <f aca="false">N($F229)</f>
        <v>0</v>
      </c>
    </row>
    <row r="230" customFormat="false" ht="15" hidden="false" customHeight="true" outlineLevel="0" collapsed="false">
      <c r="A230" s="40"/>
      <c r="B230" s="41"/>
      <c r="C230" s="41"/>
      <c r="D230" s="41"/>
      <c r="E230" s="42"/>
      <c r="F230" s="42" t="str">
        <f aca="false">IF($B230="","",IF($D230="kg",N($E230),IF($D230="sacos",N($E230)*97,IF($D230="jabas",N($E230)*IFERROR(VLOOKUP($C230,LISTAS!$A$2:$B$12,2,0),0),""))))</f>
        <v/>
      </c>
      <c r="G230" s="41"/>
      <c r="H230" s="41"/>
      <c r="I230" s="0" t="n">
        <f aca="false">N($F230)</f>
        <v>0</v>
      </c>
    </row>
    <row r="231" customFormat="false" ht="15" hidden="false" customHeight="true" outlineLevel="0" collapsed="false">
      <c r="A231" s="40"/>
      <c r="B231" s="41"/>
      <c r="C231" s="41"/>
      <c r="D231" s="41"/>
      <c r="E231" s="42"/>
      <c r="F231" s="42" t="str">
        <f aca="false">IF($B231="","",IF($D231="kg",N($E231),IF($D231="sacos",N($E231)*97,IF($D231="jabas",N($E231)*IFERROR(VLOOKUP($C231,LISTAS!$A$2:$B$12,2,0),0),""))))</f>
        <v/>
      </c>
      <c r="G231" s="41"/>
      <c r="H231" s="41"/>
      <c r="I231" s="0" t="n">
        <f aca="false">N($F231)</f>
        <v>0</v>
      </c>
    </row>
    <row r="232" customFormat="false" ht="15" hidden="false" customHeight="true" outlineLevel="0" collapsed="false">
      <c r="A232" s="40"/>
      <c r="B232" s="41"/>
      <c r="C232" s="41"/>
      <c r="D232" s="41"/>
      <c r="E232" s="42"/>
      <c r="F232" s="42" t="str">
        <f aca="false">IF($B232="","",IF($D232="kg",N($E232),IF($D232="sacos",N($E232)*97,IF($D232="jabas",N($E232)*IFERROR(VLOOKUP($C232,LISTAS!$A$2:$B$12,2,0),0),""))))</f>
        <v/>
      </c>
      <c r="G232" s="41"/>
      <c r="H232" s="41"/>
      <c r="I232" s="0" t="n">
        <f aca="false">N($F232)</f>
        <v>0</v>
      </c>
    </row>
    <row r="233" customFormat="false" ht="15" hidden="false" customHeight="true" outlineLevel="0" collapsed="false">
      <c r="A233" s="40"/>
      <c r="B233" s="41"/>
      <c r="C233" s="41"/>
      <c r="D233" s="41"/>
      <c r="E233" s="42"/>
      <c r="F233" s="42" t="str">
        <f aca="false">IF($B233="","",IF($D233="kg",N($E233),IF($D233="sacos",N($E233)*97,IF($D233="jabas",N($E233)*IFERROR(VLOOKUP($C233,LISTAS!$A$2:$B$12,2,0),0),""))))</f>
        <v/>
      </c>
      <c r="G233" s="41"/>
      <c r="H233" s="41"/>
      <c r="I233" s="0" t="n">
        <f aca="false">N($F233)</f>
        <v>0</v>
      </c>
    </row>
    <row r="234" customFormat="false" ht="15" hidden="false" customHeight="true" outlineLevel="0" collapsed="false">
      <c r="A234" s="40"/>
      <c r="B234" s="41"/>
      <c r="C234" s="41"/>
      <c r="D234" s="41"/>
      <c r="E234" s="42"/>
      <c r="F234" s="42" t="str">
        <f aca="false">IF($B234="","",IF($D234="kg",N($E234),IF($D234="sacos",N($E234)*97,IF($D234="jabas",N($E234)*IFERROR(VLOOKUP($C234,LISTAS!$A$2:$B$12,2,0),0),""))))</f>
        <v/>
      </c>
      <c r="G234" s="41"/>
      <c r="H234" s="41"/>
      <c r="I234" s="0" t="n">
        <f aca="false">N($F234)</f>
        <v>0</v>
      </c>
    </row>
    <row r="235" customFormat="false" ht="15" hidden="false" customHeight="true" outlineLevel="0" collapsed="false">
      <c r="A235" s="40"/>
      <c r="B235" s="41"/>
      <c r="C235" s="41"/>
      <c r="D235" s="41"/>
      <c r="E235" s="42"/>
      <c r="F235" s="42" t="str">
        <f aca="false">IF($B235="","",IF($D235="kg",N($E235),IF($D235="sacos",N($E235)*97,IF($D235="jabas",N($E235)*IFERROR(VLOOKUP($C235,LISTAS!$A$2:$B$12,2,0),0),""))))</f>
        <v/>
      </c>
      <c r="G235" s="41"/>
      <c r="H235" s="41"/>
      <c r="I235" s="0" t="n">
        <f aca="false">N($F235)</f>
        <v>0</v>
      </c>
    </row>
    <row r="236" customFormat="false" ht="15" hidden="false" customHeight="true" outlineLevel="0" collapsed="false">
      <c r="A236" s="40"/>
      <c r="B236" s="41"/>
      <c r="C236" s="41"/>
      <c r="D236" s="41"/>
      <c r="E236" s="42"/>
      <c r="F236" s="42" t="str">
        <f aca="false">IF($B236="","",IF($D236="kg",N($E236),IF($D236="sacos",N($E236)*97,IF($D236="jabas",N($E236)*IFERROR(VLOOKUP($C236,LISTAS!$A$2:$B$12,2,0),0),""))))</f>
        <v/>
      </c>
      <c r="G236" s="41"/>
      <c r="H236" s="41"/>
      <c r="I236" s="0" t="n">
        <f aca="false">N($F236)</f>
        <v>0</v>
      </c>
    </row>
    <row r="237" customFormat="false" ht="15" hidden="false" customHeight="true" outlineLevel="0" collapsed="false">
      <c r="A237" s="40"/>
      <c r="B237" s="41"/>
      <c r="C237" s="41"/>
      <c r="D237" s="41"/>
      <c r="E237" s="42"/>
      <c r="F237" s="42" t="str">
        <f aca="false">IF($B237="","",IF($D237="kg",N($E237),IF($D237="sacos",N($E237)*97,IF($D237="jabas",N($E237)*IFERROR(VLOOKUP($C237,LISTAS!$A$2:$B$12,2,0),0),""))))</f>
        <v/>
      </c>
      <c r="G237" s="41"/>
      <c r="H237" s="41"/>
      <c r="I237" s="0" t="n">
        <f aca="false">N($F237)</f>
        <v>0</v>
      </c>
    </row>
    <row r="238" customFormat="false" ht="15" hidden="false" customHeight="true" outlineLevel="0" collapsed="false">
      <c r="A238" s="40"/>
      <c r="B238" s="41"/>
      <c r="C238" s="41"/>
      <c r="D238" s="41"/>
      <c r="E238" s="42"/>
      <c r="F238" s="42" t="str">
        <f aca="false">IF($B238="","",IF($D238="kg",N($E238),IF($D238="sacos",N($E238)*97,IF($D238="jabas",N($E238)*IFERROR(VLOOKUP($C238,LISTAS!$A$2:$B$12,2,0),0),""))))</f>
        <v/>
      </c>
      <c r="G238" s="41"/>
      <c r="H238" s="41"/>
      <c r="I238" s="0" t="n">
        <f aca="false">N($F238)</f>
        <v>0</v>
      </c>
    </row>
    <row r="239" customFormat="false" ht="15" hidden="false" customHeight="true" outlineLevel="0" collapsed="false">
      <c r="A239" s="40"/>
      <c r="B239" s="41"/>
      <c r="C239" s="41"/>
      <c r="D239" s="41"/>
      <c r="E239" s="42"/>
      <c r="F239" s="42" t="str">
        <f aca="false">IF($B239="","",IF($D239="kg",N($E239),IF($D239="sacos",N($E239)*97,IF($D239="jabas",N($E239)*IFERROR(VLOOKUP($C239,LISTAS!$A$2:$B$12,2,0),0),""))))</f>
        <v/>
      </c>
      <c r="G239" s="41"/>
      <c r="H239" s="41"/>
      <c r="I239" s="0" t="n">
        <f aca="false">N($F239)</f>
        <v>0</v>
      </c>
    </row>
    <row r="240" customFormat="false" ht="15" hidden="false" customHeight="true" outlineLevel="0" collapsed="false">
      <c r="A240" s="40"/>
      <c r="B240" s="41"/>
      <c r="C240" s="41"/>
      <c r="D240" s="41"/>
      <c r="E240" s="42"/>
      <c r="F240" s="42" t="str">
        <f aca="false">IF($B240="","",IF($D240="kg",N($E240),IF($D240="sacos",N($E240)*97,IF($D240="jabas",N($E240)*IFERROR(VLOOKUP($C240,LISTAS!$A$2:$B$12,2,0),0),""))))</f>
        <v/>
      </c>
      <c r="G240" s="41"/>
      <c r="H240" s="41"/>
      <c r="I240" s="0" t="n">
        <f aca="false">N($F240)</f>
        <v>0</v>
      </c>
    </row>
    <row r="241" customFormat="false" ht="15" hidden="false" customHeight="true" outlineLevel="0" collapsed="false">
      <c r="A241" s="40"/>
      <c r="B241" s="41"/>
      <c r="C241" s="41"/>
      <c r="D241" s="41"/>
      <c r="E241" s="42"/>
      <c r="F241" s="42" t="str">
        <f aca="false">IF($B241="","",IF($D241="kg",N($E241),IF($D241="sacos",N($E241)*97,IF($D241="jabas",N($E241)*IFERROR(VLOOKUP($C241,LISTAS!$A$2:$B$12,2,0),0),""))))</f>
        <v/>
      </c>
      <c r="G241" s="41"/>
      <c r="H241" s="41"/>
      <c r="I241" s="0" t="n">
        <f aca="false">N($F241)</f>
        <v>0</v>
      </c>
    </row>
    <row r="242" customFormat="false" ht="15" hidden="false" customHeight="true" outlineLevel="0" collapsed="false">
      <c r="A242" s="40"/>
      <c r="B242" s="41"/>
      <c r="C242" s="41"/>
      <c r="D242" s="41"/>
      <c r="E242" s="42"/>
      <c r="F242" s="42" t="str">
        <f aca="false">IF($B242="","",IF($D242="kg",N($E242),IF($D242="sacos",N($E242)*97,IF($D242="jabas",N($E242)*IFERROR(VLOOKUP($C242,LISTAS!$A$2:$B$12,2,0),0),""))))</f>
        <v/>
      </c>
      <c r="G242" s="41"/>
      <c r="H242" s="41"/>
      <c r="I242" s="0" t="n">
        <f aca="false">N($F242)</f>
        <v>0</v>
      </c>
    </row>
    <row r="243" customFormat="false" ht="15" hidden="false" customHeight="true" outlineLevel="0" collapsed="false">
      <c r="A243" s="40"/>
      <c r="B243" s="41"/>
      <c r="C243" s="41"/>
      <c r="D243" s="41"/>
      <c r="E243" s="42"/>
      <c r="F243" s="42" t="str">
        <f aca="false">IF($B243="","",IF($D243="kg",N($E243),IF($D243="sacos",N($E243)*97,IF($D243="jabas",N($E243)*IFERROR(VLOOKUP($C243,LISTAS!$A$2:$B$12,2,0),0),""))))</f>
        <v/>
      </c>
      <c r="G243" s="41"/>
      <c r="H243" s="41"/>
      <c r="I243" s="0" t="n">
        <f aca="false">N($F243)</f>
        <v>0</v>
      </c>
    </row>
    <row r="244" customFormat="false" ht="15" hidden="false" customHeight="true" outlineLevel="0" collapsed="false">
      <c r="A244" s="40"/>
      <c r="B244" s="41"/>
      <c r="C244" s="41"/>
      <c r="D244" s="41"/>
      <c r="E244" s="42"/>
      <c r="F244" s="42" t="str">
        <f aca="false">IF($B244="","",IF($D244="kg",N($E244),IF($D244="sacos",N($E244)*97,IF($D244="jabas",N($E244)*IFERROR(VLOOKUP($C244,LISTAS!$A$2:$B$12,2,0),0),""))))</f>
        <v/>
      </c>
      <c r="G244" s="41"/>
      <c r="H244" s="41"/>
      <c r="I244" s="0" t="n">
        <f aca="false">N($F244)</f>
        <v>0</v>
      </c>
    </row>
    <row r="245" customFormat="false" ht="15" hidden="false" customHeight="true" outlineLevel="0" collapsed="false">
      <c r="A245" s="40"/>
      <c r="B245" s="41"/>
      <c r="C245" s="41"/>
      <c r="D245" s="41"/>
      <c r="E245" s="42"/>
      <c r="F245" s="42" t="str">
        <f aca="false">IF($B245="","",IF($D245="kg",N($E245),IF($D245="sacos",N($E245)*97,IF($D245="jabas",N($E245)*IFERROR(VLOOKUP($C245,LISTAS!$A$2:$B$12,2,0),0),""))))</f>
        <v/>
      </c>
      <c r="G245" s="41"/>
      <c r="H245" s="41"/>
      <c r="I245" s="0" t="n">
        <f aca="false">N($F245)</f>
        <v>0</v>
      </c>
    </row>
    <row r="246" customFormat="false" ht="15" hidden="false" customHeight="true" outlineLevel="0" collapsed="false">
      <c r="A246" s="40"/>
      <c r="B246" s="41"/>
      <c r="C246" s="41"/>
      <c r="D246" s="41"/>
      <c r="E246" s="42"/>
      <c r="F246" s="42" t="str">
        <f aca="false">IF($B246="","",IF($D246="kg",N($E246),IF($D246="sacos",N($E246)*97,IF($D246="jabas",N($E246)*IFERROR(VLOOKUP($C246,LISTAS!$A$2:$B$12,2,0),0),""))))</f>
        <v/>
      </c>
      <c r="G246" s="41"/>
      <c r="H246" s="41"/>
      <c r="I246" s="0" t="n">
        <f aca="false">N($F246)</f>
        <v>0</v>
      </c>
    </row>
    <row r="247" customFormat="false" ht="15" hidden="false" customHeight="true" outlineLevel="0" collapsed="false">
      <c r="A247" s="40"/>
      <c r="B247" s="41"/>
      <c r="C247" s="41"/>
      <c r="D247" s="41"/>
      <c r="E247" s="42"/>
      <c r="F247" s="42" t="str">
        <f aca="false">IF($B247="","",IF($D247="kg",N($E247),IF($D247="sacos",N($E247)*97,IF($D247="jabas",N($E247)*IFERROR(VLOOKUP($C247,LISTAS!$A$2:$B$12,2,0),0),""))))</f>
        <v/>
      </c>
      <c r="G247" s="41"/>
      <c r="H247" s="41"/>
      <c r="I247" s="0" t="n">
        <f aca="false">N($F247)</f>
        <v>0</v>
      </c>
    </row>
    <row r="248" customFormat="false" ht="15" hidden="false" customHeight="true" outlineLevel="0" collapsed="false">
      <c r="A248" s="40"/>
      <c r="B248" s="41"/>
      <c r="C248" s="41"/>
      <c r="D248" s="41"/>
      <c r="E248" s="42"/>
      <c r="F248" s="42" t="str">
        <f aca="false">IF($B248="","",IF($D248="kg",N($E248),IF($D248="sacos",N($E248)*97,IF($D248="jabas",N($E248)*IFERROR(VLOOKUP($C248,LISTAS!$A$2:$B$12,2,0),0),""))))</f>
        <v/>
      </c>
      <c r="G248" s="41"/>
      <c r="H248" s="41"/>
      <c r="I248" s="0" t="n">
        <f aca="false">N($F248)</f>
        <v>0</v>
      </c>
    </row>
    <row r="249" customFormat="false" ht="15" hidden="false" customHeight="true" outlineLevel="0" collapsed="false">
      <c r="A249" s="40"/>
      <c r="B249" s="41"/>
      <c r="C249" s="41"/>
      <c r="D249" s="41"/>
      <c r="E249" s="42"/>
      <c r="F249" s="42" t="str">
        <f aca="false">IF($B249="","",IF($D249="kg",N($E249),IF($D249="sacos",N($E249)*97,IF($D249="jabas",N($E249)*IFERROR(VLOOKUP($C249,LISTAS!$A$2:$B$12,2,0),0),""))))</f>
        <v/>
      </c>
      <c r="G249" s="41"/>
      <c r="H249" s="41"/>
      <c r="I249" s="0" t="n">
        <f aca="false">N($F249)</f>
        <v>0</v>
      </c>
    </row>
    <row r="250" customFormat="false" ht="15" hidden="false" customHeight="true" outlineLevel="0" collapsed="false">
      <c r="A250" s="40"/>
      <c r="B250" s="41"/>
      <c r="C250" s="41"/>
      <c r="D250" s="41"/>
      <c r="E250" s="42"/>
      <c r="F250" s="42" t="str">
        <f aca="false">IF($B250="","",IF($D250="kg",N($E250),IF($D250="sacos",N($E250)*97,IF($D250="jabas",N($E250)*IFERROR(VLOOKUP($C250,LISTAS!$A$2:$B$12,2,0),0),""))))</f>
        <v/>
      </c>
      <c r="G250" s="41"/>
      <c r="H250" s="41"/>
      <c r="I250" s="0" t="n">
        <f aca="false">N($F250)</f>
        <v>0</v>
      </c>
    </row>
    <row r="251" customFormat="false" ht="15" hidden="false" customHeight="true" outlineLevel="0" collapsed="false">
      <c r="A251" s="40"/>
      <c r="B251" s="41"/>
      <c r="C251" s="41"/>
      <c r="D251" s="41"/>
      <c r="E251" s="42"/>
      <c r="F251" s="42" t="str">
        <f aca="false">IF($B251="","",IF($D251="kg",N($E251),IF($D251="sacos",N($E251)*97,IF($D251="jabas",N($E251)*IFERROR(VLOOKUP($C251,LISTAS!$A$2:$B$12,2,0),0),""))))</f>
        <v/>
      </c>
      <c r="G251" s="41"/>
      <c r="H251" s="41"/>
      <c r="I251" s="0" t="n">
        <f aca="false">N($F251)</f>
        <v>0</v>
      </c>
    </row>
    <row r="252" customFormat="false" ht="15" hidden="false" customHeight="true" outlineLevel="0" collapsed="false">
      <c r="A252" s="40"/>
      <c r="B252" s="41"/>
      <c r="C252" s="41"/>
      <c r="D252" s="41"/>
      <c r="E252" s="42"/>
      <c r="F252" s="42" t="str">
        <f aca="false">IF($B252="","",IF($D252="kg",N($E252),IF($D252="sacos",N($E252)*97,IF($D252="jabas",N($E252)*IFERROR(VLOOKUP($C252,LISTAS!$A$2:$B$12,2,0),0),""))))</f>
        <v/>
      </c>
      <c r="G252" s="41"/>
      <c r="H252" s="41"/>
      <c r="I252" s="0" t="n">
        <f aca="false">N($F252)</f>
        <v>0</v>
      </c>
    </row>
    <row r="253" customFormat="false" ht="15" hidden="false" customHeight="true" outlineLevel="0" collapsed="false">
      <c r="A253" s="40"/>
      <c r="B253" s="41"/>
      <c r="C253" s="41"/>
      <c r="D253" s="41"/>
      <c r="E253" s="42"/>
      <c r="F253" s="42" t="str">
        <f aca="false">IF($B253="","",IF($D253="kg",N($E253),IF($D253="sacos",N($E253)*97,IF($D253="jabas",N($E253)*IFERROR(VLOOKUP($C253,LISTAS!$A$2:$B$12,2,0),0),""))))</f>
        <v/>
      </c>
      <c r="G253" s="41"/>
      <c r="H253" s="41"/>
      <c r="I253" s="0" t="n">
        <f aca="false">N($F253)</f>
        <v>0</v>
      </c>
    </row>
    <row r="254" customFormat="false" ht="15" hidden="false" customHeight="true" outlineLevel="0" collapsed="false">
      <c r="A254" s="40"/>
      <c r="B254" s="41"/>
      <c r="C254" s="41"/>
      <c r="D254" s="41"/>
      <c r="E254" s="42"/>
      <c r="F254" s="42" t="str">
        <f aca="false">IF($B254="","",IF($D254="kg",N($E254),IF($D254="sacos",N($E254)*97,IF($D254="jabas",N($E254)*IFERROR(VLOOKUP($C254,LISTAS!$A$2:$B$12,2,0),0),""))))</f>
        <v/>
      </c>
      <c r="G254" s="41"/>
      <c r="H254" s="41"/>
      <c r="I254" s="0" t="n">
        <f aca="false">N($F254)</f>
        <v>0</v>
      </c>
    </row>
    <row r="255" customFormat="false" ht="15" hidden="false" customHeight="true" outlineLevel="0" collapsed="false">
      <c r="A255" s="40"/>
      <c r="B255" s="41"/>
      <c r="C255" s="41"/>
      <c r="D255" s="41"/>
      <c r="E255" s="42"/>
      <c r="F255" s="42" t="str">
        <f aca="false">IF($B255="","",IF($D255="kg",N($E255),IF($D255="sacos",N($E255)*97,IF($D255="jabas",N($E255)*IFERROR(VLOOKUP($C255,LISTAS!$A$2:$B$12,2,0),0),""))))</f>
        <v/>
      </c>
      <c r="G255" s="41"/>
      <c r="H255" s="41"/>
      <c r="I255" s="0" t="n">
        <f aca="false">N($F255)</f>
        <v>0</v>
      </c>
    </row>
    <row r="256" customFormat="false" ht="15" hidden="false" customHeight="true" outlineLevel="0" collapsed="false">
      <c r="A256" s="40"/>
      <c r="B256" s="41"/>
      <c r="C256" s="41"/>
      <c r="D256" s="41"/>
      <c r="E256" s="42"/>
      <c r="F256" s="42" t="str">
        <f aca="false">IF($B256="","",IF($D256="kg",N($E256),IF($D256="sacos",N($E256)*97,IF($D256="jabas",N($E256)*IFERROR(VLOOKUP($C256,LISTAS!$A$2:$B$12,2,0),0),""))))</f>
        <v/>
      </c>
      <c r="G256" s="41"/>
      <c r="H256" s="41"/>
      <c r="I256" s="0" t="n">
        <f aca="false">N($F256)</f>
        <v>0</v>
      </c>
    </row>
    <row r="257" customFormat="false" ht="15" hidden="false" customHeight="true" outlineLevel="0" collapsed="false">
      <c r="A257" s="40"/>
      <c r="B257" s="41"/>
      <c r="C257" s="41"/>
      <c r="D257" s="41"/>
      <c r="E257" s="42"/>
      <c r="F257" s="42" t="str">
        <f aca="false">IF($B257="","",IF($D257="kg",N($E257),IF($D257="sacos",N($E257)*97,IF($D257="jabas",N($E257)*IFERROR(VLOOKUP($C257,LISTAS!$A$2:$B$12,2,0),0),""))))</f>
        <v/>
      </c>
      <c r="G257" s="41"/>
      <c r="H257" s="41"/>
      <c r="I257" s="0" t="n">
        <f aca="false">N($F257)</f>
        <v>0</v>
      </c>
    </row>
    <row r="258" customFormat="false" ht="15" hidden="false" customHeight="true" outlineLevel="0" collapsed="false">
      <c r="A258" s="40"/>
      <c r="B258" s="41"/>
      <c r="C258" s="41"/>
      <c r="D258" s="41"/>
      <c r="E258" s="42"/>
      <c r="F258" s="42" t="str">
        <f aca="false">IF($B258="","",IF($D258="kg",N($E258),IF($D258="sacos",N($E258)*97,IF($D258="jabas",N($E258)*IFERROR(VLOOKUP($C258,LISTAS!$A$2:$B$12,2,0),0),""))))</f>
        <v/>
      </c>
      <c r="G258" s="41"/>
      <c r="H258" s="41"/>
      <c r="I258" s="0" t="n">
        <f aca="false">N($F258)</f>
        <v>0</v>
      </c>
    </row>
    <row r="259" customFormat="false" ht="15" hidden="false" customHeight="true" outlineLevel="0" collapsed="false">
      <c r="A259" s="40"/>
      <c r="B259" s="41"/>
      <c r="C259" s="41"/>
      <c r="D259" s="41"/>
      <c r="E259" s="42"/>
      <c r="F259" s="42" t="str">
        <f aca="false">IF($B259="","",IF($D259="kg",N($E259),IF($D259="sacos",N($E259)*97,IF($D259="jabas",N($E259)*IFERROR(VLOOKUP($C259,LISTAS!$A$2:$B$12,2,0),0),""))))</f>
        <v/>
      </c>
      <c r="G259" s="41"/>
      <c r="H259" s="41"/>
      <c r="I259" s="0" t="n">
        <f aca="false">N($F259)</f>
        <v>0</v>
      </c>
    </row>
    <row r="260" customFormat="false" ht="15" hidden="false" customHeight="true" outlineLevel="0" collapsed="false">
      <c r="A260" s="40"/>
      <c r="B260" s="41"/>
      <c r="C260" s="41"/>
      <c r="D260" s="41"/>
      <c r="E260" s="42"/>
      <c r="F260" s="42" t="str">
        <f aca="false">IF($B260="","",IF($D260="kg",N($E260),IF($D260="sacos",N($E260)*97,IF($D260="jabas",N($E260)*IFERROR(VLOOKUP($C260,LISTAS!$A$2:$B$12,2,0),0),""))))</f>
        <v/>
      </c>
      <c r="G260" s="41"/>
      <c r="H260" s="41"/>
      <c r="I260" s="0" t="n">
        <f aca="false">N($F260)</f>
        <v>0</v>
      </c>
    </row>
    <row r="261" customFormat="false" ht="15" hidden="false" customHeight="true" outlineLevel="0" collapsed="false">
      <c r="A261" s="40"/>
      <c r="B261" s="41"/>
      <c r="C261" s="41"/>
      <c r="D261" s="41"/>
      <c r="E261" s="42"/>
      <c r="F261" s="42" t="str">
        <f aca="false">IF($B261="","",IF($D261="kg",N($E261),IF($D261="sacos",N($E261)*97,IF($D261="jabas",N($E261)*IFERROR(VLOOKUP($C261,LISTAS!$A$2:$B$12,2,0),0),""))))</f>
        <v/>
      </c>
      <c r="G261" s="41"/>
      <c r="H261" s="41"/>
      <c r="I261" s="0" t="n">
        <f aca="false">N($F261)</f>
        <v>0</v>
      </c>
    </row>
    <row r="262" customFormat="false" ht="15" hidden="false" customHeight="true" outlineLevel="0" collapsed="false">
      <c r="A262" s="40"/>
      <c r="B262" s="41"/>
      <c r="C262" s="41"/>
      <c r="D262" s="41"/>
      <c r="E262" s="42"/>
      <c r="F262" s="42" t="str">
        <f aca="false">IF($B262="","",IF($D262="kg",N($E262),IF($D262="sacos",N($E262)*97,IF($D262="jabas",N($E262)*IFERROR(VLOOKUP($C262,LISTAS!$A$2:$B$12,2,0),0),""))))</f>
        <v/>
      </c>
      <c r="G262" s="41"/>
      <c r="H262" s="41"/>
      <c r="I262" s="0" t="n">
        <f aca="false">N($F262)</f>
        <v>0</v>
      </c>
    </row>
    <row r="263" customFormat="false" ht="15" hidden="false" customHeight="true" outlineLevel="0" collapsed="false">
      <c r="A263" s="40"/>
      <c r="B263" s="41"/>
      <c r="C263" s="41"/>
      <c r="D263" s="41"/>
      <c r="E263" s="42"/>
      <c r="F263" s="42" t="str">
        <f aca="false">IF($B263="","",IF($D263="kg",N($E263),IF($D263="sacos",N($E263)*97,IF($D263="jabas",N($E263)*IFERROR(VLOOKUP($C263,LISTAS!$A$2:$B$12,2,0),0),""))))</f>
        <v/>
      </c>
      <c r="G263" s="41"/>
      <c r="H263" s="41"/>
      <c r="I263" s="0" t="n">
        <f aca="false">N($F263)</f>
        <v>0</v>
      </c>
    </row>
    <row r="264" customFormat="false" ht="15" hidden="false" customHeight="true" outlineLevel="0" collapsed="false">
      <c r="A264" s="40"/>
      <c r="B264" s="41"/>
      <c r="C264" s="41"/>
      <c r="D264" s="41"/>
      <c r="E264" s="42"/>
      <c r="F264" s="42" t="str">
        <f aca="false">IF($B264="","",IF($D264="kg",N($E264),IF($D264="sacos",N($E264)*97,IF($D264="jabas",N($E264)*IFERROR(VLOOKUP($C264,LISTAS!$A$2:$B$12,2,0),0),""))))</f>
        <v/>
      </c>
      <c r="G264" s="41"/>
      <c r="H264" s="41"/>
      <c r="I264" s="0" t="n">
        <f aca="false">N($F264)</f>
        <v>0</v>
      </c>
    </row>
    <row r="265" customFormat="false" ht="15" hidden="false" customHeight="true" outlineLevel="0" collapsed="false">
      <c r="A265" s="40"/>
      <c r="B265" s="41"/>
      <c r="C265" s="41"/>
      <c r="D265" s="41"/>
      <c r="E265" s="42"/>
      <c r="F265" s="42" t="str">
        <f aca="false">IF($B265="","",IF($D265="kg",N($E265),IF($D265="sacos",N($E265)*97,IF($D265="jabas",N($E265)*IFERROR(VLOOKUP($C265,LISTAS!$A$2:$B$12,2,0),0),""))))</f>
        <v/>
      </c>
      <c r="G265" s="41"/>
      <c r="H265" s="41"/>
      <c r="I265" s="0" t="n">
        <f aca="false">N($F265)</f>
        <v>0</v>
      </c>
    </row>
    <row r="266" customFormat="false" ht="15" hidden="false" customHeight="true" outlineLevel="0" collapsed="false">
      <c r="A266" s="40"/>
      <c r="B266" s="41"/>
      <c r="C266" s="41"/>
      <c r="D266" s="41"/>
      <c r="E266" s="42"/>
      <c r="F266" s="42" t="str">
        <f aca="false">IF($B266="","",IF($D266="kg",N($E266),IF($D266="sacos",N($E266)*97,IF($D266="jabas",N($E266)*IFERROR(VLOOKUP($C266,LISTAS!$A$2:$B$12,2,0),0),""))))</f>
        <v/>
      </c>
      <c r="G266" s="41"/>
      <c r="H266" s="41"/>
      <c r="I266" s="0" t="n">
        <f aca="false">N($F266)</f>
        <v>0</v>
      </c>
    </row>
    <row r="267" customFormat="false" ht="15" hidden="false" customHeight="true" outlineLevel="0" collapsed="false">
      <c r="A267" s="40"/>
      <c r="B267" s="41"/>
      <c r="C267" s="41"/>
      <c r="D267" s="41"/>
      <c r="E267" s="42"/>
      <c r="F267" s="42" t="str">
        <f aca="false">IF($B267="","",IF($D267="kg",N($E267),IF($D267="sacos",N($E267)*97,IF($D267="jabas",N($E267)*IFERROR(VLOOKUP($C267,LISTAS!$A$2:$B$12,2,0),0),""))))</f>
        <v/>
      </c>
      <c r="G267" s="41"/>
      <c r="H267" s="41"/>
      <c r="I267" s="0" t="n">
        <f aca="false">N($F267)</f>
        <v>0</v>
      </c>
    </row>
    <row r="268" customFormat="false" ht="15" hidden="false" customHeight="true" outlineLevel="0" collapsed="false">
      <c r="A268" s="40"/>
      <c r="B268" s="41"/>
      <c r="C268" s="41"/>
      <c r="D268" s="41"/>
      <c r="E268" s="42"/>
      <c r="F268" s="42" t="str">
        <f aca="false">IF($B268="","",IF($D268="kg",N($E268),IF($D268="sacos",N($E268)*97,IF($D268="jabas",N($E268)*IFERROR(VLOOKUP($C268,LISTAS!$A$2:$B$12,2,0),0),""))))</f>
        <v/>
      </c>
      <c r="G268" s="41"/>
      <c r="H268" s="41"/>
      <c r="I268" s="0" t="n">
        <f aca="false">N($F268)</f>
        <v>0</v>
      </c>
    </row>
    <row r="269" customFormat="false" ht="15" hidden="false" customHeight="true" outlineLevel="0" collapsed="false">
      <c r="A269" s="40"/>
      <c r="B269" s="41"/>
      <c r="C269" s="41"/>
      <c r="D269" s="41"/>
      <c r="E269" s="42"/>
      <c r="F269" s="42" t="str">
        <f aca="false">IF($B269="","",IF($D269="kg",N($E269),IF($D269="sacos",N($E269)*97,IF($D269="jabas",N($E269)*IFERROR(VLOOKUP($C269,LISTAS!$A$2:$B$12,2,0),0),""))))</f>
        <v/>
      </c>
      <c r="G269" s="41"/>
      <c r="H269" s="41"/>
      <c r="I269" s="0" t="n">
        <f aca="false">N($F269)</f>
        <v>0</v>
      </c>
    </row>
    <row r="270" customFormat="false" ht="15" hidden="false" customHeight="true" outlineLevel="0" collapsed="false">
      <c r="A270" s="40"/>
      <c r="B270" s="41"/>
      <c r="C270" s="41"/>
      <c r="D270" s="41"/>
      <c r="E270" s="42"/>
      <c r="F270" s="42" t="str">
        <f aca="false">IF($B270="","",IF($D270="kg",N($E270),IF($D270="sacos",N($E270)*97,IF($D270="jabas",N($E270)*IFERROR(VLOOKUP($C270,LISTAS!$A$2:$B$12,2,0),0),""))))</f>
        <v/>
      </c>
      <c r="G270" s="41"/>
      <c r="H270" s="41"/>
      <c r="I270" s="0" t="n">
        <f aca="false">N($F270)</f>
        <v>0</v>
      </c>
    </row>
    <row r="271" customFormat="false" ht="15" hidden="false" customHeight="true" outlineLevel="0" collapsed="false">
      <c r="A271" s="40"/>
      <c r="B271" s="41"/>
      <c r="C271" s="41"/>
      <c r="D271" s="41"/>
      <c r="E271" s="42"/>
      <c r="F271" s="42" t="str">
        <f aca="false">IF($B271="","",IF($D271="kg",N($E271),IF($D271="sacos",N($E271)*97,IF($D271="jabas",N($E271)*IFERROR(VLOOKUP($C271,LISTAS!$A$2:$B$12,2,0),0),""))))</f>
        <v/>
      </c>
      <c r="G271" s="41"/>
      <c r="H271" s="41"/>
      <c r="I271" s="0" t="n">
        <f aca="false">N($F271)</f>
        <v>0</v>
      </c>
    </row>
    <row r="272" customFormat="false" ht="15" hidden="false" customHeight="true" outlineLevel="0" collapsed="false">
      <c r="A272" s="40"/>
      <c r="B272" s="41"/>
      <c r="C272" s="41"/>
      <c r="D272" s="41"/>
      <c r="E272" s="42"/>
      <c r="F272" s="42" t="str">
        <f aca="false">IF($B272="","",IF($D272="kg",N($E272),IF($D272="sacos",N($E272)*97,IF($D272="jabas",N($E272)*IFERROR(VLOOKUP($C272,LISTAS!$A$2:$B$12,2,0),0),""))))</f>
        <v/>
      </c>
      <c r="G272" s="41"/>
      <c r="H272" s="41"/>
      <c r="I272" s="0" t="n">
        <f aca="false">N($F272)</f>
        <v>0</v>
      </c>
    </row>
    <row r="273" customFormat="false" ht="15" hidden="false" customHeight="true" outlineLevel="0" collapsed="false">
      <c r="A273" s="40"/>
      <c r="B273" s="41"/>
      <c r="C273" s="41"/>
      <c r="D273" s="41"/>
      <c r="E273" s="42"/>
      <c r="F273" s="42" t="str">
        <f aca="false">IF($B273="","",IF($D273="kg",N($E273),IF($D273="sacos",N($E273)*97,IF($D273="jabas",N($E273)*IFERROR(VLOOKUP($C273,LISTAS!$A$2:$B$12,2,0),0),""))))</f>
        <v/>
      </c>
      <c r="G273" s="41"/>
      <c r="H273" s="41"/>
      <c r="I273" s="0" t="n">
        <f aca="false">N($F273)</f>
        <v>0</v>
      </c>
    </row>
    <row r="274" customFormat="false" ht="15" hidden="false" customHeight="true" outlineLevel="0" collapsed="false">
      <c r="A274" s="40"/>
      <c r="B274" s="41"/>
      <c r="C274" s="41"/>
      <c r="D274" s="41"/>
      <c r="E274" s="42"/>
      <c r="F274" s="42" t="str">
        <f aca="false">IF($B274="","",IF($D274="kg",N($E274),IF($D274="sacos",N($E274)*97,IF($D274="jabas",N($E274)*IFERROR(VLOOKUP($C274,LISTAS!$A$2:$B$12,2,0),0),""))))</f>
        <v/>
      </c>
      <c r="G274" s="41"/>
      <c r="H274" s="41"/>
      <c r="I274" s="0" t="n">
        <f aca="false">N($F274)</f>
        <v>0</v>
      </c>
    </row>
    <row r="275" customFormat="false" ht="15" hidden="false" customHeight="true" outlineLevel="0" collapsed="false">
      <c r="A275" s="40"/>
      <c r="B275" s="41"/>
      <c r="C275" s="41"/>
      <c r="D275" s="41"/>
      <c r="E275" s="42"/>
      <c r="F275" s="42" t="str">
        <f aca="false">IF($B275="","",IF($D275="kg",N($E275),IF($D275="sacos",N($E275)*97,IF($D275="jabas",N($E275)*IFERROR(VLOOKUP($C275,LISTAS!$A$2:$B$12,2,0),0),""))))</f>
        <v/>
      </c>
      <c r="G275" s="41"/>
      <c r="H275" s="41"/>
      <c r="I275" s="0" t="n">
        <f aca="false">N($F275)</f>
        <v>0</v>
      </c>
    </row>
    <row r="276" customFormat="false" ht="15" hidden="false" customHeight="true" outlineLevel="0" collapsed="false">
      <c r="A276" s="40"/>
      <c r="B276" s="41"/>
      <c r="C276" s="41"/>
      <c r="D276" s="41"/>
      <c r="E276" s="42"/>
      <c r="F276" s="42" t="str">
        <f aca="false">IF($B276="","",IF($D276="kg",N($E276),IF($D276="sacos",N($E276)*97,IF($D276="jabas",N($E276)*IFERROR(VLOOKUP($C276,LISTAS!$A$2:$B$12,2,0),0),""))))</f>
        <v/>
      </c>
      <c r="G276" s="41"/>
      <c r="H276" s="41"/>
      <c r="I276" s="0" t="n">
        <f aca="false">N($F276)</f>
        <v>0</v>
      </c>
    </row>
    <row r="277" customFormat="false" ht="15" hidden="false" customHeight="true" outlineLevel="0" collapsed="false">
      <c r="A277" s="40"/>
      <c r="B277" s="41"/>
      <c r="C277" s="41"/>
      <c r="D277" s="41"/>
      <c r="E277" s="42"/>
      <c r="F277" s="42" t="str">
        <f aca="false">IF($B277="","",IF($D277="kg",N($E277),IF($D277="sacos",N($E277)*97,IF($D277="jabas",N($E277)*IFERROR(VLOOKUP($C277,LISTAS!$A$2:$B$12,2,0),0),""))))</f>
        <v/>
      </c>
      <c r="G277" s="41"/>
      <c r="H277" s="41"/>
      <c r="I277" s="0" t="n">
        <f aca="false">N($F277)</f>
        <v>0</v>
      </c>
    </row>
    <row r="278" customFormat="false" ht="15" hidden="false" customHeight="true" outlineLevel="0" collapsed="false">
      <c r="A278" s="40"/>
      <c r="B278" s="41"/>
      <c r="C278" s="41"/>
      <c r="D278" s="41"/>
      <c r="E278" s="42"/>
      <c r="F278" s="42" t="str">
        <f aca="false">IF($B278="","",IF($D278="kg",N($E278),IF($D278="sacos",N($E278)*97,IF($D278="jabas",N($E278)*IFERROR(VLOOKUP($C278,LISTAS!$A$2:$B$12,2,0),0),""))))</f>
        <v/>
      </c>
      <c r="G278" s="41"/>
      <c r="H278" s="41"/>
      <c r="I278" s="0" t="n">
        <f aca="false">N($F278)</f>
        <v>0</v>
      </c>
    </row>
    <row r="279" customFormat="false" ht="15" hidden="false" customHeight="true" outlineLevel="0" collapsed="false">
      <c r="A279" s="40"/>
      <c r="B279" s="41"/>
      <c r="C279" s="41"/>
      <c r="D279" s="41"/>
      <c r="E279" s="42"/>
      <c r="F279" s="42" t="str">
        <f aca="false">IF($B279="","",IF($D279="kg",N($E279),IF($D279="sacos",N($E279)*97,IF($D279="jabas",N($E279)*IFERROR(VLOOKUP($C279,LISTAS!$A$2:$B$12,2,0),0),""))))</f>
        <v/>
      </c>
      <c r="G279" s="41"/>
      <c r="H279" s="41"/>
      <c r="I279" s="0" t="n">
        <f aca="false">N($F279)</f>
        <v>0</v>
      </c>
    </row>
    <row r="280" customFormat="false" ht="15" hidden="false" customHeight="true" outlineLevel="0" collapsed="false">
      <c r="A280" s="40"/>
      <c r="B280" s="41"/>
      <c r="C280" s="41"/>
      <c r="D280" s="41"/>
      <c r="E280" s="42"/>
      <c r="F280" s="42" t="str">
        <f aca="false">IF($B280="","",IF($D280="kg",N($E280),IF($D280="sacos",N($E280)*97,IF($D280="jabas",N($E280)*IFERROR(VLOOKUP($C280,LISTAS!$A$2:$B$12,2,0),0),""))))</f>
        <v/>
      </c>
      <c r="G280" s="41"/>
      <c r="H280" s="41"/>
      <c r="I280" s="0" t="n">
        <f aca="false">N($F280)</f>
        <v>0</v>
      </c>
    </row>
    <row r="281" customFormat="false" ht="15" hidden="false" customHeight="true" outlineLevel="0" collapsed="false">
      <c r="A281" s="40"/>
      <c r="B281" s="41"/>
      <c r="C281" s="41"/>
      <c r="D281" s="41"/>
      <c r="E281" s="42"/>
      <c r="F281" s="42" t="str">
        <f aca="false">IF($B281="","",IF($D281="kg",N($E281),IF($D281="sacos",N($E281)*97,IF($D281="jabas",N($E281)*IFERROR(VLOOKUP($C281,LISTAS!$A$2:$B$12,2,0),0),""))))</f>
        <v/>
      </c>
      <c r="G281" s="41"/>
      <c r="H281" s="41"/>
      <c r="I281" s="0" t="n">
        <f aca="false">N($F281)</f>
        <v>0</v>
      </c>
    </row>
    <row r="282" customFormat="false" ht="15" hidden="false" customHeight="true" outlineLevel="0" collapsed="false">
      <c r="A282" s="40"/>
      <c r="B282" s="41"/>
      <c r="C282" s="41"/>
      <c r="D282" s="41"/>
      <c r="E282" s="42"/>
      <c r="F282" s="42" t="str">
        <f aca="false">IF($B282="","",IF($D282="kg",N($E282),IF($D282="sacos",N($E282)*97,IF($D282="jabas",N($E282)*IFERROR(VLOOKUP($C282,LISTAS!$A$2:$B$12,2,0),0),""))))</f>
        <v/>
      </c>
      <c r="G282" s="41"/>
      <c r="H282" s="41"/>
      <c r="I282" s="0" t="n">
        <f aca="false">N($F282)</f>
        <v>0</v>
      </c>
    </row>
    <row r="283" customFormat="false" ht="15" hidden="false" customHeight="true" outlineLevel="0" collapsed="false">
      <c r="A283" s="40"/>
      <c r="B283" s="41"/>
      <c r="C283" s="41"/>
      <c r="D283" s="41"/>
      <c r="E283" s="42"/>
      <c r="F283" s="42" t="str">
        <f aca="false">IF($B283="","",IF($D283="kg",N($E283),IF($D283="sacos",N($E283)*97,IF($D283="jabas",N($E283)*IFERROR(VLOOKUP($C283,LISTAS!$A$2:$B$12,2,0),0),""))))</f>
        <v/>
      </c>
      <c r="G283" s="41"/>
      <c r="H283" s="41"/>
      <c r="I283" s="0" t="n">
        <f aca="false">N($F283)</f>
        <v>0</v>
      </c>
    </row>
    <row r="284" customFormat="false" ht="15" hidden="false" customHeight="true" outlineLevel="0" collapsed="false">
      <c r="A284" s="40"/>
      <c r="B284" s="41"/>
      <c r="C284" s="41"/>
      <c r="D284" s="41"/>
      <c r="E284" s="42"/>
      <c r="F284" s="42" t="str">
        <f aca="false">IF($B284="","",IF($D284="kg",N($E284),IF($D284="sacos",N($E284)*97,IF($D284="jabas",N($E284)*IFERROR(VLOOKUP($C284,LISTAS!$A$2:$B$12,2,0),0),""))))</f>
        <v/>
      </c>
      <c r="G284" s="41"/>
      <c r="H284" s="41"/>
      <c r="I284" s="0" t="n">
        <f aca="false">N($F284)</f>
        <v>0</v>
      </c>
    </row>
    <row r="285" customFormat="false" ht="15" hidden="false" customHeight="true" outlineLevel="0" collapsed="false">
      <c r="A285" s="40"/>
      <c r="B285" s="41"/>
      <c r="C285" s="41"/>
      <c r="D285" s="41"/>
      <c r="E285" s="42"/>
      <c r="F285" s="42" t="str">
        <f aca="false">IF($B285="","",IF($D285="kg",N($E285),IF($D285="sacos",N($E285)*97,IF($D285="jabas",N($E285)*IFERROR(VLOOKUP($C285,LISTAS!$A$2:$B$12,2,0),0),""))))</f>
        <v/>
      </c>
      <c r="G285" s="41"/>
      <c r="H285" s="41"/>
      <c r="I285" s="0" t="n">
        <f aca="false">N($F285)</f>
        <v>0</v>
      </c>
    </row>
    <row r="286" customFormat="false" ht="15" hidden="false" customHeight="true" outlineLevel="0" collapsed="false">
      <c r="A286" s="40"/>
      <c r="B286" s="41"/>
      <c r="C286" s="41"/>
      <c r="D286" s="41"/>
      <c r="E286" s="42"/>
      <c r="F286" s="42" t="str">
        <f aca="false">IF($B286="","",IF($D286="kg",N($E286),IF($D286="sacos",N($E286)*97,IF($D286="jabas",N($E286)*IFERROR(VLOOKUP($C286,LISTAS!$A$2:$B$12,2,0),0),""))))</f>
        <v/>
      </c>
      <c r="G286" s="41"/>
      <c r="H286" s="41"/>
      <c r="I286" s="0" t="n">
        <f aca="false">N($F286)</f>
        <v>0</v>
      </c>
    </row>
    <row r="287" customFormat="false" ht="15" hidden="false" customHeight="true" outlineLevel="0" collapsed="false">
      <c r="A287" s="40"/>
      <c r="B287" s="41"/>
      <c r="C287" s="41"/>
      <c r="D287" s="41"/>
      <c r="E287" s="42"/>
      <c r="F287" s="42" t="str">
        <f aca="false">IF($B287="","",IF($D287="kg",N($E287),IF($D287="sacos",N($E287)*97,IF($D287="jabas",N($E287)*IFERROR(VLOOKUP($C287,LISTAS!$A$2:$B$12,2,0),0),""))))</f>
        <v/>
      </c>
      <c r="G287" s="41"/>
      <c r="H287" s="41"/>
      <c r="I287" s="0" t="n">
        <f aca="false">N($F287)</f>
        <v>0</v>
      </c>
    </row>
    <row r="288" customFormat="false" ht="15" hidden="false" customHeight="true" outlineLevel="0" collapsed="false">
      <c r="A288" s="40"/>
      <c r="B288" s="41"/>
      <c r="C288" s="41"/>
      <c r="D288" s="41"/>
      <c r="E288" s="42"/>
      <c r="F288" s="42" t="str">
        <f aca="false">IF($B288="","",IF($D288="kg",N($E288),IF($D288="sacos",N($E288)*97,IF($D288="jabas",N($E288)*IFERROR(VLOOKUP($C288,LISTAS!$A$2:$B$12,2,0),0),""))))</f>
        <v/>
      </c>
      <c r="G288" s="41"/>
      <c r="H288" s="41"/>
      <c r="I288" s="0" t="n">
        <f aca="false">N($F288)</f>
        <v>0</v>
      </c>
    </row>
    <row r="289" customFormat="false" ht="15" hidden="false" customHeight="true" outlineLevel="0" collapsed="false">
      <c r="A289" s="40"/>
      <c r="B289" s="41"/>
      <c r="C289" s="41"/>
      <c r="D289" s="41"/>
      <c r="E289" s="42"/>
      <c r="F289" s="42" t="str">
        <f aca="false">IF($B289="","",IF($D289="kg",N($E289),IF($D289="sacos",N($E289)*97,IF($D289="jabas",N($E289)*IFERROR(VLOOKUP($C289,LISTAS!$A$2:$B$12,2,0),0),""))))</f>
        <v/>
      </c>
      <c r="G289" s="41"/>
      <c r="H289" s="41"/>
      <c r="I289" s="0" t="n">
        <f aca="false">N($F289)</f>
        <v>0</v>
      </c>
    </row>
    <row r="290" customFormat="false" ht="15" hidden="false" customHeight="true" outlineLevel="0" collapsed="false">
      <c r="A290" s="40"/>
      <c r="B290" s="41"/>
      <c r="C290" s="41"/>
      <c r="D290" s="41"/>
      <c r="E290" s="42"/>
      <c r="F290" s="42" t="str">
        <f aca="false">IF($B290="","",IF($D290="kg",N($E290),IF($D290="sacos",N($E290)*97,IF($D290="jabas",N($E290)*IFERROR(VLOOKUP($C290,LISTAS!$A$2:$B$12,2,0),0),""))))</f>
        <v/>
      </c>
      <c r="G290" s="41"/>
      <c r="H290" s="41"/>
      <c r="I290" s="0" t="n">
        <f aca="false">N($F290)</f>
        <v>0</v>
      </c>
    </row>
    <row r="291" customFormat="false" ht="15" hidden="false" customHeight="true" outlineLevel="0" collapsed="false">
      <c r="A291" s="40"/>
      <c r="B291" s="41"/>
      <c r="C291" s="41"/>
      <c r="D291" s="41"/>
      <c r="E291" s="42"/>
      <c r="F291" s="42" t="str">
        <f aca="false">IF($B291="","",IF($D291="kg",N($E291),IF($D291="sacos",N($E291)*97,IF($D291="jabas",N($E291)*IFERROR(VLOOKUP($C291,LISTAS!$A$2:$B$12,2,0),0),""))))</f>
        <v/>
      </c>
      <c r="G291" s="41"/>
      <c r="H291" s="41"/>
      <c r="I291" s="0" t="n">
        <f aca="false">N($F291)</f>
        <v>0</v>
      </c>
    </row>
    <row r="292" customFormat="false" ht="15" hidden="false" customHeight="true" outlineLevel="0" collapsed="false">
      <c r="A292" s="40"/>
      <c r="B292" s="41"/>
      <c r="C292" s="41"/>
      <c r="D292" s="41"/>
      <c r="E292" s="42"/>
      <c r="F292" s="42" t="str">
        <f aca="false">IF($B292="","",IF($D292="kg",N($E292),IF($D292="sacos",N($E292)*97,IF($D292="jabas",N($E292)*IFERROR(VLOOKUP($C292,LISTAS!$A$2:$B$12,2,0),0),""))))</f>
        <v/>
      </c>
      <c r="G292" s="41"/>
      <c r="H292" s="41"/>
      <c r="I292" s="0" t="n">
        <f aca="false">N($F292)</f>
        <v>0</v>
      </c>
    </row>
    <row r="293" customFormat="false" ht="15" hidden="false" customHeight="true" outlineLevel="0" collapsed="false">
      <c r="A293" s="40"/>
      <c r="B293" s="41"/>
      <c r="C293" s="41"/>
      <c r="D293" s="41"/>
      <c r="E293" s="42"/>
      <c r="F293" s="42" t="str">
        <f aca="false">IF($B293="","",IF($D293="kg",N($E293),IF($D293="sacos",N($E293)*97,IF($D293="jabas",N($E293)*IFERROR(VLOOKUP($C293,LISTAS!$A$2:$B$12,2,0),0),""))))</f>
        <v/>
      </c>
      <c r="G293" s="41"/>
      <c r="H293" s="41"/>
      <c r="I293" s="0" t="n">
        <f aca="false">N($F293)</f>
        <v>0</v>
      </c>
    </row>
    <row r="294" customFormat="false" ht="15" hidden="false" customHeight="true" outlineLevel="0" collapsed="false">
      <c r="A294" s="40"/>
      <c r="B294" s="41"/>
      <c r="C294" s="41"/>
      <c r="D294" s="41"/>
      <c r="E294" s="42"/>
      <c r="F294" s="42" t="str">
        <f aca="false">IF($B294="","",IF($D294="kg",N($E294),IF($D294="sacos",N($E294)*97,IF($D294="jabas",N($E294)*IFERROR(VLOOKUP($C294,LISTAS!$A$2:$B$12,2,0),0),""))))</f>
        <v/>
      </c>
      <c r="G294" s="41"/>
      <c r="H294" s="41"/>
      <c r="I294" s="0" t="n">
        <f aca="false">N($F294)</f>
        <v>0</v>
      </c>
    </row>
    <row r="295" customFormat="false" ht="15" hidden="false" customHeight="true" outlineLevel="0" collapsed="false">
      <c r="A295" s="40"/>
      <c r="B295" s="41"/>
      <c r="C295" s="41"/>
      <c r="D295" s="41"/>
      <c r="E295" s="42"/>
      <c r="F295" s="42" t="str">
        <f aca="false">IF($B295="","",IF($D295="kg",N($E295),IF($D295="sacos",N($E295)*97,IF($D295="jabas",N($E295)*IFERROR(VLOOKUP($C295,LISTAS!$A$2:$B$12,2,0),0),""))))</f>
        <v/>
      </c>
      <c r="G295" s="41"/>
      <c r="H295" s="41"/>
      <c r="I295" s="0" t="n">
        <f aca="false">N($F295)</f>
        <v>0</v>
      </c>
    </row>
    <row r="296" customFormat="false" ht="15" hidden="false" customHeight="true" outlineLevel="0" collapsed="false">
      <c r="A296" s="40"/>
      <c r="B296" s="41"/>
      <c r="C296" s="41"/>
      <c r="D296" s="41"/>
      <c r="E296" s="42"/>
      <c r="F296" s="42" t="str">
        <f aca="false">IF($B296="","",IF($D296="kg",N($E296),IF($D296="sacos",N($E296)*97,IF($D296="jabas",N($E296)*IFERROR(VLOOKUP($C296,LISTAS!$A$2:$B$12,2,0),0),""))))</f>
        <v/>
      </c>
      <c r="G296" s="41"/>
      <c r="H296" s="41"/>
      <c r="I296" s="0" t="n">
        <f aca="false">N($F296)</f>
        <v>0</v>
      </c>
    </row>
    <row r="297" customFormat="false" ht="15" hidden="false" customHeight="true" outlineLevel="0" collapsed="false">
      <c r="A297" s="40"/>
      <c r="B297" s="41"/>
      <c r="C297" s="41"/>
      <c r="D297" s="41"/>
      <c r="E297" s="42"/>
      <c r="F297" s="42" t="str">
        <f aca="false">IF($B297="","",IF($D297="kg",N($E297),IF($D297="sacos",N($E297)*97,IF($D297="jabas",N($E297)*IFERROR(VLOOKUP($C297,LISTAS!$A$2:$B$12,2,0),0),""))))</f>
        <v/>
      </c>
      <c r="G297" s="41"/>
      <c r="H297" s="41"/>
      <c r="I297" s="0" t="n">
        <f aca="false">N($F297)</f>
        <v>0</v>
      </c>
    </row>
    <row r="298" customFormat="false" ht="15" hidden="false" customHeight="true" outlineLevel="0" collapsed="false">
      <c r="A298" s="40"/>
      <c r="B298" s="41"/>
      <c r="C298" s="41"/>
      <c r="D298" s="41"/>
      <c r="E298" s="42"/>
      <c r="F298" s="42" t="str">
        <f aca="false">IF($B298="","",IF($D298="kg",N($E298),IF($D298="sacos",N($E298)*97,IF($D298="jabas",N($E298)*IFERROR(VLOOKUP($C298,LISTAS!$A$2:$B$12,2,0),0),""))))</f>
        <v/>
      </c>
      <c r="G298" s="41"/>
      <c r="H298" s="41"/>
      <c r="I298" s="0" t="n">
        <f aca="false">N($F298)</f>
        <v>0</v>
      </c>
    </row>
    <row r="299" customFormat="false" ht="15" hidden="false" customHeight="true" outlineLevel="0" collapsed="false">
      <c r="A299" s="40"/>
      <c r="B299" s="41"/>
      <c r="C299" s="41"/>
      <c r="D299" s="41"/>
      <c r="E299" s="42"/>
      <c r="F299" s="42" t="str">
        <f aca="false">IF($B299="","",IF($D299="kg",N($E299),IF($D299="sacos",N($E299)*97,IF($D299="jabas",N($E299)*IFERROR(VLOOKUP($C299,LISTAS!$A$2:$B$12,2,0),0),""))))</f>
        <v/>
      </c>
      <c r="G299" s="41"/>
      <c r="H299" s="41"/>
      <c r="I299" s="0" t="n">
        <f aca="false">N($F299)</f>
        <v>0</v>
      </c>
    </row>
    <row r="300" customFormat="false" ht="15" hidden="false" customHeight="true" outlineLevel="0" collapsed="false">
      <c r="A300" s="40"/>
      <c r="B300" s="41"/>
      <c r="C300" s="41"/>
      <c r="D300" s="41"/>
      <c r="E300" s="42"/>
      <c r="F300" s="42" t="str">
        <f aca="false">IF($B300="","",IF($D300="kg",N($E300),IF($D300="sacos",N($E300)*97,IF($D300="jabas",N($E300)*IFERROR(VLOOKUP($C300,LISTAS!$A$2:$B$12,2,0),0),""))))</f>
        <v/>
      </c>
      <c r="G300" s="41"/>
      <c r="H300" s="41"/>
      <c r="I300" s="0" t="n">
        <f aca="false">N($F300)</f>
        <v>0</v>
      </c>
    </row>
    <row r="301" customFormat="false" ht="15" hidden="false" customHeight="true" outlineLevel="0" collapsed="false">
      <c r="A301" s="40"/>
      <c r="B301" s="41"/>
      <c r="C301" s="41"/>
      <c r="D301" s="41"/>
      <c r="E301" s="42"/>
      <c r="F301" s="42" t="str">
        <f aca="false">IF($B301="","",IF($D301="kg",N($E301),IF($D301="sacos",N($E301)*97,IF($D301="jabas",N($E301)*IFERROR(VLOOKUP($C301,LISTAS!$A$2:$B$12,2,0),0),""))))</f>
        <v/>
      </c>
      <c r="G301" s="41"/>
      <c r="H301" s="41"/>
      <c r="I301" s="0" t="n">
        <f aca="false">N($F301)</f>
        <v>0</v>
      </c>
    </row>
    <row r="302" customFormat="false" ht="15" hidden="false" customHeight="true" outlineLevel="0" collapsed="false">
      <c r="A302" s="40"/>
      <c r="B302" s="41"/>
      <c r="C302" s="41"/>
      <c r="D302" s="41"/>
      <c r="E302" s="42"/>
      <c r="F302" s="42" t="str">
        <f aca="false">IF($B302="","",IF($D302="kg",N($E302),IF($D302="sacos",N($E302)*97,IF($D302="jabas",N($E302)*IFERROR(VLOOKUP($C302,LISTAS!$A$2:$B$12,2,0),0),""))))</f>
        <v/>
      </c>
      <c r="G302" s="41"/>
      <c r="H302" s="41"/>
      <c r="I302" s="0" t="n">
        <f aca="false">N($F302)</f>
        <v>0</v>
      </c>
    </row>
    <row r="303" customFormat="false" ht="15" hidden="false" customHeight="true" outlineLevel="0" collapsed="false">
      <c r="A303" s="40"/>
      <c r="B303" s="41"/>
      <c r="C303" s="41"/>
      <c r="D303" s="41"/>
      <c r="E303" s="42"/>
      <c r="F303" s="42" t="str">
        <f aca="false">IF($B303="","",IF($D303="kg",N($E303),IF($D303="sacos",N($E303)*97,IF($D303="jabas",N($E303)*IFERROR(VLOOKUP($C303,LISTAS!$A$2:$B$12,2,0),0),""))))</f>
        <v/>
      </c>
      <c r="G303" s="41"/>
      <c r="H303" s="41"/>
      <c r="I303" s="0" t="n">
        <f aca="false">N($F303)</f>
        <v>0</v>
      </c>
    </row>
    <row r="304" customFormat="false" ht="15" hidden="false" customHeight="true" outlineLevel="0" collapsed="false">
      <c r="A304" s="40"/>
      <c r="B304" s="41"/>
      <c r="C304" s="41"/>
      <c r="D304" s="41"/>
      <c r="E304" s="42"/>
      <c r="F304" s="42" t="str">
        <f aca="false">IF($B304="","",IF($D304="kg",N($E304),IF($D304="sacos",N($E304)*97,IF($D304="jabas",N($E304)*IFERROR(VLOOKUP($C304,LISTAS!$A$2:$B$12,2,0),0),""))))</f>
        <v/>
      </c>
      <c r="G304" s="41"/>
      <c r="H304" s="41"/>
      <c r="I304" s="0" t="n">
        <f aca="false">N($F304)</f>
        <v>0</v>
      </c>
    </row>
    <row r="305" customFormat="false" ht="15" hidden="false" customHeight="true" outlineLevel="0" collapsed="false">
      <c r="A305" s="40"/>
      <c r="B305" s="41"/>
      <c r="C305" s="41"/>
      <c r="D305" s="41"/>
      <c r="E305" s="42"/>
      <c r="F305" s="42" t="str">
        <f aca="false">IF($B305="","",IF($D305="kg",N($E305),IF($D305="sacos",N($E305)*97,IF($D305="jabas",N($E305)*IFERROR(VLOOKUP($C305,LISTAS!$A$2:$B$12,2,0),0),""))))</f>
        <v/>
      </c>
      <c r="G305" s="41"/>
      <c r="H305" s="41"/>
      <c r="I305" s="0" t="n">
        <f aca="false">N($F305)</f>
        <v>0</v>
      </c>
    </row>
    <row r="306" customFormat="false" ht="15" hidden="false" customHeight="true" outlineLevel="0" collapsed="false">
      <c r="A306" s="40"/>
      <c r="B306" s="41"/>
      <c r="C306" s="41"/>
      <c r="D306" s="41"/>
      <c r="E306" s="42"/>
      <c r="F306" s="42" t="str">
        <f aca="false">IF($B306="","",IF($D306="kg",N($E306),IF($D306="sacos",N($E306)*97,IF($D306="jabas",N($E306)*IFERROR(VLOOKUP($C306,LISTAS!$A$2:$B$12,2,0),0),""))))</f>
        <v/>
      </c>
      <c r="G306" s="41"/>
      <c r="H306" s="41"/>
      <c r="I306" s="0" t="n">
        <f aca="false">N($F306)</f>
        <v>0</v>
      </c>
    </row>
    <row r="307" customFormat="false" ht="15" hidden="false" customHeight="true" outlineLevel="0" collapsed="false">
      <c r="A307" s="40"/>
      <c r="B307" s="41"/>
      <c r="C307" s="41"/>
      <c r="D307" s="41"/>
      <c r="E307" s="42"/>
      <c r="F307" s="42" t="str">
        <f aca="false">IF($B307="","",IF($D307="kg",N($E307),IF($D307="sacos",N($E307)*97,IF($D307="jabas",N($E307)*IFERROR(VLOOKUP($C307,LISTAS!$A$2:$B$12,2,0),0),""))))</f>
        <v/>
      </c>
      <c r="G307" s="41"/>
      <c r="H307" s="41"/>
      <c r="I307" s="0" t="n">
        <f aca="false">N($F307)</f>
        <v>0</v>
      </c>
    </row>
    <row r="308" customFormat="false" ht="15" hidden="false" customHeight="true" outlineLevel="0" collapsed="false">
      <c r="A308" s="40"/>
      <c r="B308" s="41"/>
      <c r="C308" s="41"/>
      <c r="D308" s="41"/>
      <c r="E308" s="42"/>
      <c r="F308" s="42" t="str">
        <f aca="false">IF($B308="","",IF($D308="kg",N($E308),IF($D308="sacos",N($E308)*97,IF($D308="jabas",N($E308)*IFERROR(VLOOKUP($C308,LISTAS!$A$2:$B$12,2,0),0),""))))</f>
        <v/>
      </c>
      <c r="G308" s="41"/>
      <c r="H308" s="41"/>
      <c r="I308" s="0" t="n">
        <f aca="false">N($F308)</f>
        <v>0</v>
      </c>
    </row>
    <row r="309" customFormat="false" ht="15" hidden="false" customHeight="true" outlineLevel="0" collapsed="false">
      <c r="A309" s="40"/>
      <c r="B309" s="41"/>
      <c r="C309" s="41"/>
      <c r="D309" s="41"/>
      <c r="E309" s="42"/>
      <c r="F309" s="42" t="str">
        <f aca="false">IF($B309="","",IF($D309="kg",N($E309),IF($D309="sacos",N($E309)*97,IF($D309="jabas",N($E309)*IFERROR(VLOOKUP($C309,LISTAS!$A$2:$B$12,2,0),0),""))))</f>
        <v/>
      </c>
      <c r="G309" s="41"/>
      <c r="H309" s="41"/>
      <c r="I309" s="0" t="n">
        <f aca="false">N($F309)</f>
        <v>0</v>
      </c>
    </row>
    <row r="310" customFormat="false" ht="15" hidden="false" customHeight="true" outlineLevel="0" collapsed="false">
      <c r="A310" s="40"/>
      <c r="B310" s="41"/>
      <c r="C310" s="41"/>
      <c r="D310" s="41"/>
      <c r="E310" s="42"/>
      <c r="F310" s="42" t="str">
        <f aca="false">IF($B310="","",IF($D310="kg",N($E310),IF($D310="sacos",N($E310)*97,IF($D310="jabas",N($E310)*IFERROR(VLOOKUP($C310,LISTAS!$A$2:$B$12,2,0),0),""))))</f>
        <v/>
      </c>
      <c r="G310" s="41"/>
      <c r="H310" s="41"/>
      <c r="I310" s="0" t="n">
        <f aca="false">N($F310)</f>
        <v>0</v>
      </c>
    </row>
    <row r="311" customFormat="false" ht="15" hidden="false" customHeight="true" outlineLevel="0" collapsed="false">
      <c r="A311" s="40"/>
      <c r="B311" s="41"/>
      <c r="C311" s="41"/>
      <c r="D311" s="41"/>
      <c r="E311" s="42"/>
      <c r="F311" s="42" t="str">
        <f aca="false">IF($B311="","",IF($D311="kg",N($E311),IF($D311="sacos",N($E311)*97,IF($D311="jabas",N($E311)*IFERROR(VLOOKUP($C311,LISTAS!$A$2:$B$12,2,0),0),""))))</f>
        <v/>
      </c>
      <c r="G311" s="41"/>
      <c r="H311" s="41"/>
      <c r="I311" s="0" t="n">
        <f aca="false">N($F311)</f>
        <v>0</v>
      </c>
    </row>
    <row r="312" customFormat="false" ht="15" hidden="false" customHeight="true" outlineLevel="0" collapsed="false">
      <c r="A312" s="40"/>
      <c r="B312" s="41"/>
      <c r="C312" s="41"/>
      <c r="D312" s="41"/>
      <c r="E312" s="42"/>
      <c r="F312" s="42" t="str">
        <f aca="false">IF($B312="","",IF($D312="kg",N($E312),IF($D312="sacos",N($E312)*97,IF($D312="jabas",N($E312)*IFERROR(VLOOKUP($C312,LISTAS!$A$2:$B$12,2,0),0),""))))</f>
        <v/>
      </c>
      <c r="G312" s="41"/>
      <c r="H312" s="41"/>
      <c r="I312" s="0" t="n">
        <f aca="false">N($F312)</f>
        <v>0</v>
      </c>
    </row>
    <row r="313" customFormat="false" ht="15" hidden="false" customHeight="true" outlineLevel="0" collapsed="false">
      <c r="A313" s="40"/>
      <c r="B313" s="41"/>
      <c r="C313" s="41"/>
      <c r="D313" s="41"/>
      <c r="E313" s="42"/>
      <c r="F313" s="42" t="str">
        <f aca="false">IF($B313="","",IF($D313="kg",N($E313),IF($D313="sacos",N($E313)*97,IF($D313="jabas",N($E313)*IFERROR(VLOOKUP($C313,LISTAS!$A$2:$B$12,2,0),0),""))))</f>
        <v/>
      </c>
      <c r="G313" s="41"/>
      <c r="H313" s="41"/>
      <c r="I313" s="0" t="n">
        <f aca="false">N($F313)</f>
        <v>0</v>
      </c>
    </row>
    <row r="314" customFormat="false" ht="15" hidden="false" customHeight="true" outlineLevel="0" collapsed="false">
      <c r="A314" s="40"/>
      <c r="B314" s="41"/>
      <c r="C314" s="41"/>
      <c r="D314" s="41"/>
      <c r="E314" s="42"/>
      <c r="F314" s="42" t="str">
        <f aca="false">IF($B314="","",IF($D314="kg",N($E314),IF($D314="sacos",N($E314)*97,IF($D314="jabas",N($E314)*IFERROR(VLOOKUP($C314,LISTAS!$A$2:$B$12,2,0),0),""))))</f>
        <v/>
      </c>
      <c r="G314" s="41"/>
      <c r="H314" s="41"/>
      <c r="I314" s="0" t="n">
        <f aca="false">N($F314)</f>
        <v>0</v>
      </c>
    </row>
    <row r="315" customFormat="false" ht="15" hidden="false" customHeight="true" outlineLevel="0" collapsed="false">
      <c r="A315" s="40"/>
      <c r="B315" s="41"/>
      <c r="C315" s="41"/>
      <c r="D315" s="41"/>
      <c r="E315" s="42"/>
      <c r="F315" s="42" t="str">
        <f aca="false">IF($B315="","",IF($D315="kg",N($E315),IF($D315="sacos",N($E315)*97,IF($D315="jabas",N($E315)*IFERROR(VLOOKUP($C315,LISTAS!$A$2:$B$12,2,0),0),""))))</f>
        <v/>
      </c>
      <c r="G315" s="41"/>
      <c r="H315" s="41"/>
      <c r="I315" s="0" t="n">
        <f aca="false">N($F315)</f>
        <v>0</v>
      </c>
    </row>
    <row r="316" customFormat="false" ht="15" hidden="false" customHeight="true" outlineLevel="0" collapsed="false">
      <c r="A316" s="40"/>
      <c r="B316" s="41"/>
      <c r="C316" s="41"/>
      <c r="D316" s="41"/>
      <c r="E316" s="42"/>
      <c r="F316" s="42" t="str">
        <f aca="false">IF($B316="","",IF($D316="kg",N($E316),IF($D316="sacos",N($E316)*97,IF($D316="jabas",N($E316)*IFERROR(VLOOKUP($C316,LISTAS!$A$2:$B$12,2,0),0),""))))</f>
        <v/>
      </c>
      <c r="G316" s="41"/>
      <c r="H316" s="41"/>
      <c r="I316" s="0" t="n">
        <f aca="false">N($F316)</f>
        <v>0</v>
      </c>
    </row>
    <row r="317" customFormat="false" ht="15" hidden="false" customHeight="true" outlineLevel="0" collapsed="false">
      <c r="A317" s="40"/>
      <c r="B317" s="41"/>
      <c r="C317" s="41"/>
      <c r="D317" s="41"/>
      <c r="E317" s="42"/>
      <c r="F317" s="42" t="str">
        <f aca="false">IF($B317="","",IF($D317="kg",N($E317),IF($D317="sacos",N($E317)*97,IF($D317="jabas",N($E317)*IFERROR(VLOOKUP($C317,LISTAS!$A$2:$B$12,2,0),0),""))))</f>
        <v/>
      </c>
      <c r="G317" s="41"/>
      <c r="H317" s="41"/>
      <c r="I317" s="0" t="n">
        <f aca="false">N($F317)</f>
        <v>0</v>
      </c>
    </row>
    <row r="318" customFormat="false" ht="15" hidden="false" customHeight="true" outlineLevel="0" collapsed="false">
      <c r="A318" s="40"/>
      <c r="B318" s="41"/>
      <c r="C318" s="41"/>
      <c r="D318" s="41"/>
      <c r="E318" s="42"/>
      <c r="F318" s="42" t="str">
        <f aca="false">IF($B318="","",IF($D318="kg",N($E318),IF($D318="sacos",N($E318)*97,IF($D318="jabas",N($E318)*IFERROR(VLOOKUP($C318,LISTAS!$A$2:$B$12,2,0),0),""))))</f>
        <v/>
      </c>
      <c r="G318" s="41"/>
      <c r="H318" s="41"/>
      <c r="I318" s="0" t="n">
        <f aca="false">N($F318)</f>
        <v>0</v>
      </c>
    </row>
    <row r="319" customFormat="false" ht="15" hidden="false" customHeight="true" outlineLevel="0" collapsed="false">
      <c r="A319" s="40"/>
      <c r="B319" s="41"/>
      <c r="C319" s="41"/>
      <c r="D319" s="41"/>
      <c r="E319" s="42"/>
      <c r="F319" s="42" t="str">
        <f aca="false">IF($B319="","",IF($D319="kg",N($E319),IF($D319="sacos",N($E319)*97,IF($D319="jabas",N($E319)*IFERROR(VLOOKUP($C319,LISTAS!$A$2:$B$12,2,0),0),""))))</f>
        <v/>
      </c>
      <c r="G319" s="41"/>
      <c r="H319" s="41"/>
      <c r="I319" s="0" t="n">
        <f aca="false">N($F319)</f>
        <v>0</v>
      </c>
    </row>
    <row r="320" customFormat="false" ht="15" hidden="false" customHeight="true" outlineLevel="0" collapsed="false">
      <c r="A320" s="40"/>
      <c r="B320" s="41"/>
      <c r="C320" s="41"/>
      <c r="D320" s="41"/>
      <c r="E320" s="42"/>
      <c r="F320" s="42" t="str">
        <f aca="false">IF($B320="","",IF($D320="kg",N($E320),IF($D320="sacos",N($E320)*97,IF($D320="jabas",N($E320)*IFERROR(VLOOKUP($C320,LISTAS!$A$2:$B$12,2,0),0),""))))</f>
        <v/>
      </c>
      <c r="G320" s="41"/>
      <c r="H320" s="41"/>
      <c r="I320" s="0" t="n">
        <f aca="false">N($F320)</f>
        <v>0</v>
      </c>
    </row>
    <row r="321" customFormat="false" ht="15" hidden="false" customHeight="true" outlineLevel="0" collapsed="false">
      <c r="A321" s="40"/>
      <c r="B321" s="41"/>
      <c r="C321" s="41"/>
      <c r="D321" s="41"/>
      <c r="E321" s="42"/>
      <c r="F321" s="42" t="str">
        <f aca="false">IF($B321="","",IF($D321="kg",N($E321),IF($D321="sacos",N($E321)*97,IF($D321="jabas",N($E321)*IFERROR(VLOOKUP($C321,LISTAS!$A$2:$B$12,2,0),0),""))))</f>
        <v/>
      </c>
      <c r="G321" s="41"/>
      <c r="H321" s="41"/>
      <c r="I321" s="0" t="n">
        <f aca="false">N($F321)</f>
        <v>0</v>
      </c>
    </row>
    <row r="322" customFormat="false" ht="15" hidden="false" customHeight="true" outlineLevel="0" collapsed="false">
      <c r="A322" s="40"/>
      <c r="B322" s="41"/>
      <c r="C322" s="41"/>
      <c r="D322" s="41"/>
      <c r="E322" s="42"/>
      <c r="F322" s="42" t="str">
        <f aca="false">IF($B322="","",IF($D322="kg",N($E322),IF($D322="sacos",N($E322)*97,IF($D322="jabas",N($E322)*IFERROR(VLOOKUP($C322,LISTAS!$A$2:$B$12,2,0),0),""))))</f>
        <v/>
      </c>
      <c r="G322" s="41"/>
      <c r="H322" s="41"/>
      <c r="I322" s="0" t="n">
        <f aca="false">N($F322)</f>
        <v>0</v>
      </c>
    </row>
    <row r="323" customFormat="false" ht="15" hidden="false" customHeight="true" outlineLevel="0" collapsed="false">
      <c r="A323" s="40"/>
      <c r="B323" s="41"/>
      <c r="C323" s="41"/>
      <c r="D323" s="41"/>
      <c r="E323" s="42"/>
      <c r="F323" s="42" t="str">
        <f aca="false">IF($B323="","",IF($D323="kg",N($E323),IF($D323="sacos",N($E323)*97,IF($D323="jabas",N($E323)*IFERROR(VLOOKUP($C323,LISTAS!$A$2:$B$12,2,0),0),""))))</f>
        <v/>
      </c>
      <c r="G323" s="41"/>
      <c r="H323" s="41"/>
      <c r="I323" s="0" t="n">
        <f aca="false">N($F323)</f>
        <v>0</v>
      </c>
    </row>
    <row r="324" customFormat="false" ht="15" hidden="false" customHeight="true" outlineLevel="0" collapsed="false">
      <c r="A324" s="40"/>
      <c r="B324" s="41"/>
      <c r="C324" s="41"/>
      <c r="D324" s="41"/>
      <c r="E324" s="42"/>
      <c r="F324" s="42" t="str">
        <f aca="false">IF($B324="","",IF($D324="kg",N($E324),IF($D324="sacos",N($E324)*97,IF($D324="jabas",N($E324)*IFERROR(VLOOKUP($C324,LISTAS!$A$2:$B$12,2,0),0),""))))</f>
        <v/>
      </c>
      <c r="G324" s="41"/>
      <c r="H324" s="41"/>
      <c r="I324" s="0" t="n">
        <f aca="false">N($F324)</f>
        <v>0</v>
      </c>
    </row>
    <row r="325" customFormat="false" ht="15" hidden="false" customHeight="true" outlineLevel="0" collapsed="false">
      <c r="A325" s="40"/>
      <c r="B325" s="41"/>
      <c r="C325" s="41"/>
      <c r="D325" s="41"/>
      <c r="E325" s="42"/>
      <c r="F325" s="42" t="str">
        <f aca="false">IF($B325="","",IF($D325="kg",N($E325),IF($D325="sacos",N($E325)*97,IF($D325="jabas",N($E325)*IFERROR(VLOOKUP($C325,LISTAS!$A$2:$B$12,2,0),0),""))))</f>
        <v/>
      </c>
      <c r="G325" s="41"/>
      <c r="H325" s="41"/>
      <c r="I325" s="0" t="n">
        <f aca="false">N($F325)</f>
        <v>0</v>
      </c>
    </row>
    <row r="326" customFormat="false" ht="15" hidden="false" customHeight="true" outlineLevel="0" collapsed="false">
      <c r="A326" s="40"/>
      <c r="B326" s="41"/>
      <c r="C326" s="41"/>
      <c r="D326" s="41"/>
      <c r="E326" s="42"/>
      <c r="F326" s="42" t="str">
        <f aca="false">IF($B326="","",IF($D326="kg",N($E326),IF($D326="sacos",N($E326)*97,IF($D326="jabas",N($E326)*IFERROR(VLOOKUP($C326,LISTAS!$A$2:$B$12,2,0),0),""))))</f>
        <v/>
      </c>
      <c r="G326" s="41"/>
      <c r="H326" s="41"/>
      <c r="I326" s="0" t="n">
        <f aca="false">N($F326)</f>
        <v>0</v>
      </c>
    </row>
    <row r="327" customFormat="false" ht="15" hidden="false" customHeight="true" outlineLevel="0" collapsed="false">
      <c r="A327" s="40"/>
      <c r="B327" s="41"/>
      <c r="C327" s="41"/>
      <c r="D327" s="41"/>
      <c r="E327" s="42"/>
      <c r="F327" s="42" t="str">
        <f aca="false">IF($B327="","",IF($D327="kg",N($E327),IF($D327="sacos",N($E327)*97,IF($D327="jabas",N($E327)*IFERROR(VLOOKUP($C327,LISTAS!$A$2:$B$12,2,0),0),""))))</f>
        <v/>
      </c>
      <c r="G327" s="41"/>
      <c r="H327" s="41"/>
      <c r="I327" s="0" t="n">
        <f aca="false">N($F327)</f>
        <v>0</v>
      </c>
    </row>
    <row r="328" customFormat="false" ht="15" hidden="false" customHeight="true" outlineLevel="0" collapsed="false">
      <c r="A328" s="40"/>
      <c r="B328" s="41"/>
      <c r="C328" s="41"/>
      <c r="D328" s="41"/>
      <c r="E328" s="42"/>
      <c r="F328" s="42" t="str">
        <f aca="false">IF($B328="","",IF($D328="kg",N($E328),IF($D328="sacos",N($E328)*97,IF($D328="jabas",N($E328)*IFERROR(VLOOKUP($C328,LISTAS!$A$2:$B$12,2,0),0),""))))</f>
        <v/>
      </c>
      <c r="G328" s="41"/>
      <c r="H328" s="41"/>
      <c r="I328" s="0" t="n">
        <f aca="false">N($F328)</f>
        <v>0</v>
      </c>
    </row>
    <row r="329" customFormat="false" ht="15" hidden="false" customHeight="true" outlineLevel="0" collapsed="false">
      <c r="A329" s="40"/>
      <c r="B329" s="41"/>
      <c r="C329" s="41"/>
      <c r="D329" s="41"/>
      <c r="E329" s="42"/>
      <c r="F329" s="42" t="str">
        <f aca="false">IF($B329="","",IF($D329="kg",N($E329),IF($D329="sacos",N($E329)*97,IF($D329="jabas",N($E329)*IFERROR(VLOOKUP($C329,LISTAS!$A$2:$B$12,2,0),0),""))))</f>
        <v/>
      </c>
      <c r="G329" s="41"/>
      <c r="H329" s="41"/>
      <c r="I329" s="0" t="n">
        <f aca="false">N($F329)</f>
        <v>0</v>
      </c>
    </row>
    <row r="330" customFormat="false" ht="15" hidden="false" customHeight="true" outlineLevel="0" collapsed="false">
      <c r="A330" s="40"/>
      <c r="B330" s="41"/>
      <c r="C330" s="41"/>
      <c r="D330" s="41"/>
      <c r="E330" s="42"/>
      <c r="F330" s="42" t="str">
        <f aca="false">IF($B330="","",IF($D330="kg",N($E330),IF($D330="sacos",N($E330)*97,IF($D330="jabas",N($E330)*IFERROR(VLOOKUP($C330,LISTAS!$A$2:$B$12,2,0),0),""))))</f>
        <v/>
      </c>
      <c r="G330" s="41"/>
      <c r="H330" s="41"/>
      <c r="I330" s="0" t="n">
        <f aca="false">N($F330)</f>
        <v>0</v>
      </c>
    </row>
    <row r="331" customFormat="false" ht="15" hidden="false" customHeight="true" outlineLevel="0" collapsed="false">
      <c r="A331" s="40"/>
      <c r="B331" s="41"/>
      <c r="C331" s="41"/>
      <c r="D331" s="41"/>
      <c r="E331" s="42"/>
      <c r="F331" s="42" t="str">
        <f aca="false">IF($B331="","",IF($D331="kg",N($E331),IF($D331="sacos",N($E331)*97,IF($D331="jabas",N($E331)*IFERROR(VLOOKUP($C331,LISTAS!$A$2:$B$12,2,0),0),""))))</f>
        <v/>
      </c>
      <c r="G331" s="41"/>
      <c r="H331" s="41"/>
      <c r="I331" s="0" t="n">
        <f aca="false">N($F331)</f>
        <v>0</v>
      </c>
    </row>
    <row r="332" customFormat="false" ht="15" hidden="false" customHeight="true" outlineLevel="0" collapsed="false">
      <c r="A332" s="40"/>
      <c r="B332" s="41"/>
      <c r="C332" s="41"/>
      <c r="D332" s="41"/>
      <c r="E332" s="42"/>
      <c r="F332" s="42" t="str">
        <f aca="false">IF($B332="","",IF($D332="kg",N($E332),IF($D332="sacos",N($E332)*97,IF($D332="jabas",N($E332)*IFERROR(VLOOKUP($C332,LISTAS!$A$2:$B$12,2,0),0),""))))</f>
        <v/>
      </c>
      <c r="G332" s="41"/>
      <c r="H332" s="41"/>
      <c r="I332" s="0" t="n">
        <f aca="false">N($F332)</f>
        <v>0</v>
      </c>
    </row>
    <row r="333" customFormat="false" ht="15" hidden="false" customHeight="true" outlineLevel="0" collapsed="false">
      <c r="A333" s="40"/>
      <c r="B333" s="41"/>
      <c r="C333" s="41"/>
      <c r="D333" s="41"/>
      <c r="E333" s="42"/>
      <c r="F333" s="42" t="str">
        <f aca="false">IF($B333="","",IF($D333="kg",N($E333),IF($D333="sacos",N($E333)*97,IF($D333="jabas",N($E333)*IFERROR(VLOOKUP($C333,LISTAS!$A$2:$B$12,2,0),0),""))))</f>
        <v/>
      </c>
      <c r="G333" s="41"/>
      <c r="H333" s="41"/>
      <c r="I333" s="0" t="n">
        <f aca="false">N($F333)</f>
        <v>0</v>
      </c>
    </row>
    <row r="334" customFormat="false" ht="15" hidden="false" customHeight="true" outlineLevel="0" collapsed="false">
      <c r="A334" s="40"/>
      <c r="B334" s="41"/>
      <c r="C334" s="41"/>
      <c r="D334" s="41"/>
      <c r="E334" s="42"/>
      <c r="F334" s="42" t="str">
        <f aca="false">IF($B334="","",IF($D334="kg",N($E334),IF($D334="sacos",N($E334)*97,IF($D334="jabas",N($E334)*IFERROR(VLOOKUP($C334,LISTAS!$A$2:$B$12,2,0),0),""))))</f>
        <v/>
      </c>
      <c r="G334" s="41"/>
      <c r="H334" s="41"/>
      <c r="I334" s="0" t="n">
        <f aca="false">N($F334)</f>
        <v>0</v>
      </c>
    </row>
    <row r="335" customFormat="false" ht="15" hidden="false" customHeight="true" outlineLevel="0" collapsed="false">
      <c r="A335" s="40"/>
      <c r="B335" s="41"/>
      <c r="C335" s="41"/>
      <c r="D335" s="41"/>
      <c r="E335" s="42"/>
      <c r="F335" s="42" t="str">
        <f aca="false">IF($B335="","",IF($D335="kg",N($E335),IF($D335="sacos",N($E335)*97,IF($D335="jabas",N($E335)*IFERROR(VLOOKUP($C335,LISTAS!$A$2:$B$12,2,0),0),""))))</f>
        <v/>
      </c>
      <c r="G335" s="41"/>
      <c r="H335" s="41"/>
      <c r="I335" s="0" t="n">
        <f aca="false">N($F335)</f>
        <v>0</v>
      </c>
    </row>
    <row r="336" customFormat="false" ht="15" hidden="false" customHeight="true" outlineLevel="0" collapsed="false">
      <c r="A336" s="40"/>
      <c r="B336" s="41"/>
      <c r="C336" s="41"/>
      <c r="D336" s="41"/>
      <c r="E336" s="42"/>
      <c r="F336" s="42" t="str">
        <f aca="false">IF($B336="","",IF($D336="kg",N($E336),IF($D336="sacos",N($E336)*97,IF($D336="jabas",N($E336)*IFERROR(VLOOKUP($C336,LISTAS!$A$2:$B$12,2,0),0),""))))</f>
        <v/>
      </c>
      <c r="G336" s="41"/>
      <c r="H336" s="41"/>
      <c r="I336" s="0" t="n">
        <f aca="false">N($F336)</f>
        <v>0</v>
      </c>
    </row>
    <row r="337" customFormat="false" ht="15" hidden="false" customHeight="true" outlineLevel="0" collapsed="false">
      <c r="A337" s="40"/>
      <c r="B337" s="41"/>
      <c r="C337" s="41"/>
      <c r="D337" s="41"/>
      <c r="E337" s="42"/>
      <c r="F337" s="42" t="str">
        <f aca="false">IF($B337="","",IF($D337="kg",N($E337),IF($D337="sacos",N($E337)*97,IF($D337="jabas",N($E337)*IFERROR(VLOOKUP($C337,LISTAS!$A$2:$B$12,2,0),0),""))))</f>
        <v/>
      </c>
      <c r="G337" s="41"/>
      <c r="H337" s="41"/>
      <c r="I337" s="0" t="n">
        <f aca="false">N($F337)</f>
        <v>0</v>
      </c>
    </row>
    <row r="338" customFormat="false" ht="15" hidden="false" customHeight="true" outlineLevel="0" collapsed="false">
      <c r="A338" s="40"/>
      <c r="B338" s="41"/>
      <c r="C338" s="41"/>
      <c r="D338" s="41"/>
      <c r="E338" s="42"/>
      <c r="F338" s="42" t="str">
        <f aca="false">IF($B338="","",IF($D338="kg",N($E338),IF($D338="sacos",N($E338)*97,IF($D338="jabas",N($E338)*IFERROR(VLOOKUP($C338,LISTAS!$A$2:$B$12,2,0),0),""))))</f>
        <v/>
      </c>
      <c r="G338" s="41"/>
      <c r="H338" s="41"/>
      <c r="I338" s="0" t="n">
        <f aca="false">N($F338)</f>
        <v>0</v>
      </c>
    </row>
    <row r="339" customFormat="false" ht="15" hidden="false" customHeight="true" outlineLevel="0" collapsed="false">
      <c r="A339" s="40"/>
      <c r="B339" s="41"/>
      <c r="C339" s="41"/>
      <c r="D339" s="41"/>
      <c r="E339" s="42"/>
      <c r="F339" s="42" t="str">
        <f aca="false">IF($B339="","",IF($D339="kg",N($E339),IF($D339="sacos",N($E339)*97,IF($D339="jabas",N($E339)*IFERROR(VLOOKUP($C339,LISTAS!$A$2:$B$12,2,0),0),""))))</f>
        <v/>
      </c>
      <c r="G339" s="41"/>
      <c r="H339" s="41"/>
      <c r="I339" s="0" t="n">
        <f aca="false">N($F339)</f>
        <v>0</v>
      </c>
    </row>
    <row r="340" customFormat="false" ht="15" hidden="false" customHeight="true" outlineLevel="0" collapsed="false">
      <c r="A340" s="40"/>
      <c r="B340" s="41"/>
      <c r="C340" s="41"/>
      <c r="D340" s="41"/>
      <c r="E340" s="42"/>
      <c r="F340" s="42" t="str">
        <f aca="false">IF($B340="","",IF($D340="kg",N($E340),IF($D340="sacos",N($E340)*97,IF($D340="jabas",N($E340)*IFERROR(VLOOKUP($C340,LISTAS!$A$2:$B$12,2,0),0),""))))</f>
        <v/>
      </c>
      <c r="G340" s="41"/>
      <c r="H340" s="41"/>
      <c r="I340" s="0" t="n">
        <f aca="false">N($F340)</f>
        <v>0</v>
      </c>
    </row>
    <row r="341" customFormat="false" ht="15" hidden="false" customHeight="true" outlineLevel="0" collapsed="false">
      <c r="A341" s="40"/>
      <c r="B341" s="41"/>
      <c r="C341" s="41"/>
      <c r="D341" s="41"/>
      <c r="E341" s="42"/>
      <c r="F341" s="42" t="str">
        <f aca="false">IF($B341="","",IF($D341="kg",N($E341),IF($D341="sacos",N($E341)*97,IF($D341="jabas",N($E341)*IFERROR(VLOOKUP($C341,LISTAS!$A$2:$B$12,2,0),0),""))))</f>
        <v/>
      </c>
      <c r="G341" s="41"/>
      <c r="H341" s="41"/>
      <c r="I341" s="0" t="n">
        <f aca="false">N($F341)</f>
        <v>0</v>
      </c>
    </row>
    <row r="342" customFormat="false" ht="15" hidden="false" customHeight="true" outlineLevel="0" collapsed="false">
      <c r="A342" s="40"/>
      <c r="B342" s="41"/>
      <c r="C342" s="41"/>
      <c r="D342" s="41"/>
      <c r="E342" s="42"/>
      <c r="F342" s="42" t="str">
        <f aca="false">IF($B342="","",IF($D342="kg",N($E342),IF($D342="sacos",N($E342)*97,IF($D342="jabas",N($E342)*IFERROR(VLOOKUP($C342,LISTAS!$A$2:$B$12,2,0),0),""))))</f>
        <v/>
      </c>
      <c r="G342" s="41"/>
      <c r="H342" s="41"/>
      <c r="I342" s="0" t="n">
        <f aca="false">N($F342)</f>
        <v>0</v>
      </c>
    </row>
    <row r="343" customFormat="false" ht="15" hidden="false" customHeight="true" outlineLevel="0" collapsed="false">
      <c r="A343" s="40"/>
      <c r="B343" s="41"/>
      <c r="C343" s="41"/>
      <c r="D343" s="41"/>
      <c r="E343" s="42"/>
      <c r="F343" s="42" t="str">
        <f aca="false">IF($B343="","",IF($D343="kg",N($E343),IF($D343="sacos",N($E343)*97,IF($D343="jabas",N($E343)*IFERROR(VLOOKUP($C343,LISTAS!$A$2:$B$12,2,0),0),""))))</f>
        <v/>
      </c>
      <c r="G343" s="41"/>
      <c r="H343" s="41"/>
      <c r="I343" s="0" t="n">
        <f aca="false">N($F343)</f>
        <v>0</v>
      </c>
    </row>
    <row r="344" customFormat="false" ht="15" hidden="false" customHeight="true" outlineLevel="0" collapsed="false">
      <c r="A344" s="40"/>
      <c r="B344" s="41"/>
      <c r="C344" s="41"/>
      <c r="D344" s="41"/>
      <c r="E344" s="42"/>
      <c r="F344" s="42" t="str">
        <f aca="false">IF($B344="","",IF($D344="kg",N($E344),IF($D344="sacos",N($E344)*97,IF($D344="jabas",N($E344)*IFERROR(VLOOKUP($C344,LISTAS!$A$2:$B$12,2,0),0),""))))</f>
        <v/>
      </c>
      <c r="G344" s="41"/>
      <c r="H344" s="41"/>
      <c r="I344" s="0" t="n">
        <f aca="false">N($F344)</f>
        <v>0</v>
      </c>
    </row>
    <row r="345" customFormat="false" ht="15" hidden="false" customHeight="true" outlineLevel="0" collapsed="false">
      <c r="A345" s="40"/>
      <c r="B345" s="41"/>
      <c r="C345" s="41"/>
      <c r="D345" s="41"/>
      <c r="E345" s="42"/>
      <c r="F345" s="42" t="str">
        <f aca="false">IF($B345="","",IF($D345="kg",N($E345),IF($D345="sacos",N($E345)*97,IF($D345="jabas",N($E345)*IFERROR(VLOOKUP($C345,LISTAS!$A$2:$B$12,2,0),0),""))))</f>
        <v/>
      </c>
      <c r="G345" s="41"/>
      <c r="H345" s="41"/>
      <c r="I345" s="0" t="n">
        <f aca="false">N($F345)</f>
        <v>0</v>
      </c>
    </row>
    <row r="346" customFormat="false" ht="15" hidden="false" customHeight="true" outlineLevel="0" collapsed="false">
      <c r="A346" s="40"/>
      <c r="B346" s="41"/>
      <c r="C346" s="41"/>
      <c r="D346" s="41"/>
      <c r="E346" s="42"/>
      <c r="F346" s="42" t="str">
        <f aca="false">IF($B346="","",IF($D346="kg",N($E346),IF($D346="sacos",N($E346)*97,IF($D346="jabas",N($E346)*IFERROR(VLOOKUP($C346,LISTAS!$A$2:$B$12,2,0),0),""))))</f>
        <v/>
      </c>
      <c r="G346" s="41"/>
      <c r="H346" s="41"/>
      <c r="I346" s="0" t="n">
        <f aca="false">N($F346)</f>
        <v>0</v>
      </c>
    </row>
    <row r="347" customFormat="false" ht="15" hidden="false" customHeight="true" outlineLevel="0" collapsed="false">
      <c r="A347" s="40"/>
      <c r="B347" s="41"/>
      <c r="C347" s="41"/>
      <c r="D347" s="41"/>
      <c r="E347" s="42"/>
      <c r="F347" s="42" t="str">
        <f aca="false">IF($B347="","",IF($D347="kg",N($E347),IF($D347="sacos",N($E347)*97,IF($D347="jabas",N($E347)*IFERROR(VLOOKUP($C347,LISTAS!$A$2:$B$12,2,0),0),""))))</f>
        <v/>
      </c>
      <c r="G347" s="41"/>
      <c r="H347" s="41"/>
      <c r="I347" s="0" t="n">
        <f aca="false">N($F347)</f>
        <v>0</v>
      </c>
    </row>
    <row r="348" customFormat="false" ht="15" hidden="false" customHeight="true" outlineLevel="0" collapsed="false">
      <c r="A348" s="40"/>
      <c r="B348" s="41"/>
      <c r="C348" s="41"/>
      <c r="D348" s="41"/>
      <c r="E348" s="42"/>
      <c r="F348" s="42" t="str">
        <f aca="false">IF($B348="","",IF($D348="kg",N($E348),IF($D348="sacos",N($E348)*97,IF($D348="jabas",N($E348)*IFERROR(VLOOKUP($C348,LISTAS!$A$2:$B$12,2,0),0),""))))</f>
        <v/>
      </c>
      <c r="G348" s="41"/>
      <c r="H348" s="41"/>
      <c r="I348" s="0" t="n">
        <f aca="false">N($F348)</f>
        <v>0</v>
      </c>
    </row>
    <row r="349" customFormat="false" ht="15" hidden="false" customHeight="true" outlineLevel="0" collapsed="false">
      <c r="A349" s="40"/>
      <c r="B349" s="41"/>
      <c r="C349" s="41"/>
      <c r="D349" s="41"/>
      <c r="E349" s="42"/>
      <c r="F349" s="42" t="str">
        <f aca="false">IF($B349="","",IF($D349="kg",N($E349),IF($D349="sacos",N($E349)*97,IF($D349="jabas",N($E349)*IFERROR(VLOOKUP($C349,LISTAS!$A$2:$B$12,2,0),0),""))))</f>
        <v/>
      </c>
      <c r="G349" s="41"/>
      <c r="H349" s="41"/>
      <c r="I349" s="0" t="n">
        <f aca="false">N($F349)</f>
        <v>0</v>
      </c>
    </row>
    <row r="350" customFormat="false" ht="15" hidden="false" customHeight="true" outlineLevel="0" collapsed="false">
      <c r="A350" s="40"/>
      <c r="B350" s="41"/>
      <c r="C350" s="41"/>
      <c r="D350" s="41"/>
      <c r="E350" s="42"/>
      <c r="F350" s="42" t="str">
        <f aca="false">IF($B350="","",IF($D350="kg",N($E350),IF($D350="sacos",N($E350)*97,IF($D350="jabas",N($E350)*IFERROR(VLOOKUP($C350,LISTAS!$A$2:$B$12,2,0),0),""))))</f>
        <v/>
      </c>
      <c r="G350" s="41"/>
      <c r="H350" s="41"/>
      <c r="I350" s="0" t="n">
        <f aca="false">N($F350)</f>
        <v>0</v>
      </c>
    </row>
    <row r="351" customFormat="false" ht="15" hidden="false" customHeight="true" outlineLevel="0" collapsed="false">
      <c r="A351" s="40"/>
      <c r="B351" s="41"/>
      <c r="C351" s="41"/>
      <c r="D351" s="41"/>
      <c r="E351" s="42"/>
      <c r="F351" s="42" t="str">
        <f aca="false">IF($B351="","",IF($D351="kg",N($E351),IF($D351="sacos",N($E351)*97,IF($D351="jabas",N($E351)*IFERROR(VLOOKUP($C351,LISTAS!$A$2:$B$12,2,0),0),""))))</f>
        <v/>
      </c>
      <c r="G351" s="41"/>
      <c r="H351" s="41"/>
      <c r="I351" s="0" t="n">
        <f aca="false">N($F351)</f>
        <v>0</v>
      </c>
    </row>
    <row r="352" customFormat="false" ht="15" hidden="false" customHeight="true" outlineLevel="0" collapsed="false">
      <c r="A352" s="40"/>
      <c r="B352" s="41"/>
      <c r="C352" s="41"/>
      <c r="D352" s="41"/>
      <c r="E352" s="42"/>
      <c r="F352" s="42" t="str">
        <f aca="false">IF($B352="","",IF($D352="kg",N($E352),IF($D352="sacos",N($E352)*97,IF($D352="jabas",N($E352)*IFERROR(VLOOKUP($C352,LISTAS!$A$2:$B$12,2,0),0),""))))</f>
        <v/>
      </c>
      <c r="G352" s="41"/>
      <c r="H352" s="41"/>
      <c r="I352" s="0" t="n">
        <f aca="false">N($F352)</f>
        <v>0</v>
      </c>
    </row>
    <row r="353" customFormat="false" ht="15" hidden="false" customHeight="true" outlineLevel="0" collapsed="false">
      <c r="A353" s="40"/>
      <c r="B353" s="41"/>
      <c r="C353" s="41"/>
      <c r="D353" s="41"/>
      <c r="E353" s="42"/>
      <c r="F353" s="42" t="str">
        <f aca="false">IF($B353="","",IF($D353="kg",N($E353),IF($D353="sacos",N($E353)*97,IF($D353="jabas",N($E353)*IFERROR(VLOOKUP($C353,LISTAS!$A$2:$B$12,2,0),0),""))))</f>
        <v/>
      </c>
      <c r="G353" s="41"/>
      <c r="H353" s="41"/>
      <c r="I353" s="0" t="n">
        <f aca="false">N($F353)</f>
        <v>0</v>
      </c>
    </row>
    <row r="354" customFormat="false" ht="15" hidden="false" customHeight="true" outlineLevel="0" collapsed="false">
      <c r="A354" s="40"/>
      <c r="B354" s="41"/>
      <c r="C354" s="41"/>
      <c r="D354" s="41"/>
      <c r="E354" s="42"/>
      <c r="F354" s="42" t="str">
        <f aca="false">IF($B354="","",IF($D354="kg",N($E354),IF($D354="sacos",N($E354)*97,IF($D354="jabas",N($E354)*IFERROR(VLOOKUP($C354,LISTAS!$A$2:$B$12,2,0),0),""))))</f>
        <v/>
      </c>
      <c r="G354" s="41"/>
      <c r="H354" s="41"/>
      <c r="I354" s="0" t="n">
        <f aca="false">N($F354)</f>
        <v>0</v>
      </c>
    </row>
    <row r="355" customFormat="false" ht="15" hidden="false" customHeight="true" outlineLevel="0" collapsed="false">
      <c r="A355" s="40"/>
      <c r="B355" s="41"/>
      <c r="C355" s="41"/>
      <c r="D355" s="41"/>
      <c r="E355" s="42"/>
      <c r="F355" s="42" t="str">
        <f aca="false">IF($B355="","",IF($D355="kg",N($E355),IF($D355="sacos",N($E355)*97,IF($D355="jabas",N($E355)*IFERROR(VLOOKUP($C355,LISTAS!$A$2:$B$12,2,0),0),""))))</f>
        <v/>
      </c>
      <c r="G355" s="41"/>
      <c r="H355" s="41"/>
      <c r="I355" s="0" t="n">
        <f aca="false">N($F355)</f>
        <v>0</v>
      </c>
    </row>
    <row r="356" customFormat="false" ht="15" hidden="false" customHeight="true" outlineLevel="0" collapsed="false">
      <c r="A356" s="40"/>
      <c r="B356" s="41"/>
      <c r="C356" s="41"/>
      <c r="D356" s="41"/>
      <c r="E356" s="42"/>
      <c r="F356" s="42" t="str">
        <f aca="false">IF($B356="","",IF($D356="kg",N($E356),IF($D356="sacos",N($E356)*97,IF($D356="jabas",N($E356)*IFERROR(VLOOKUP($C356,LISTAS!$A$2:$B$12,2,0),0),""))))</f>
        <v/>
      </c>
      <c r="G356" s="41"/>
      <c r="H356" s="41"/>
      <c r="I356" s="0" t="n">
        <f aca="false">N($F356)</f>
        <v>0</v>
      </c>
    </row>
    <row r="357" customFormat="false" ht="15" hidden="false" customHeight="true" outlineLevel="0" collapsed="false">
      <c r="A357" s="40"/>
      <c r="B357" s="41"/>
      <c r="C357" s="41"/>
      <c r="D357" s="41"/>
      <c r="E357" s="42"/>
      <c r="F357" s="42" t="str">
        <f aca="false">IF($B357="","",IF($D357="kg",N($E357),IF($D357="sacos",N($E357)*97,IF($D357="jabas",N($E357)*IFERROR(VLOOKUP($C357,LISTAS!$A$2:$B$12,2,0),0),""))))</f>
        <v/>
      </c>
      <c r="G357" s="41"/>
      <c r="H357" s="41"/>
      <c r="I357" s="0" t="n">
        <f aca="false">N($F357)</f>
        <v>0</v>
      </c>
    </row>
    <row r="358" customFormat="false" ht="15" hidden="false" customHeight="true" outlineLevel="0" collapsed="false">
      <c r="A358" s="40"/>
      <c r="B358" s="41"/>
      <c r="C358" s="41"/>
      <c r="D358" s="41"/>
      <c r="E358" s="42"/>
      <c r="F358" s="42" t="str">
        <f aca="false">IF($B358="","",IF($D358="kg",N($E358),IF($D358="sacos",N($E358)*97,IF($D358="jabas",N($E358)*IFERROR(VLOOKUP($C358,LISTAS!$A$2:$B$12,2,0),0),""))))</f>
        <v/>
      </c>
      <c r="G358" s="41"/>
      <c r="H358" s="41"/>
      <c r="I358" s="0" t="n">
        <f aca="false">N($F358)</f>
        <v>0</v>
      </c>
    </row>
    <row r="359" customFormat="false" ht="15" hidden="false" customHeight="true" outlineLevel="0" collapsed="false">
      <c r="A359" s="40"/>
      <c r="B359" s="41"/>
      <c r="C359" s="41"/>
      <c r="D359" s="41"/>
      <c r="E359" s="42"/>
      <c r="F359" s="42" t="str">
        <f aca="false">IF($B359="","",IF($D359="kg",N($E359),IF($D359="sacos",N($E359)*97,IF($D359="jabas",N($E359)*IFERROR(VLOOKUP($C359,LISTAS!$A$2:$B$12,2,0),0),""))))</f>
        <v/>
      </c>
      <c r="G359" s="41"/>
      <c r="H359" s="41"/>
      <c r="I359" s="0" t="n">
        <f aca="false">N($F359)</f>
        <v>0</v>
      </c>
    </row>
    <row r="360" customFormat="false" ht="15" hidden="false" customHeight="true" outlineLevel="0" collapsed="false">
      <c r="A360" s="40"/>
      <c r="B360" s="41"/>
      <c r="C360" s="41"/>
      <c r="D360" s="41"/>
      <c r="E360" s="42"/>
      <c r="F360" s="42" t="str">
        <f aca="false">IF($B360="","",IF($D360="kg",N($E360),IF($D360="sacos",N($E360)*97,IF($D360="jabas",N($E360)*IFERROR(VLOOKUP($C360,LISTAS!$A$2:$B$12,2,0),0),""))))</f>
        <v/>
      </c>
      <c r="G360" s="41"/>
      <c r="H360" s="41"/>
      <c r="I360" s="0" t="n">
        <f aca="false">N($F360)</f>
        <v>0</v>
      </c>
    </row>
    <row r="361" customFormat="false" ht="15" hidden="false" customHeight="true" outlineLevel="0" collapsed="false">
      <c r="A361" s="40"/>
      <c r="B361" s="41"/>
      <c r="C361" s="41"/>
      <c r="D361" s="41"/>
      <c r="E361" s="42"/>
      <c r="F361" s="42" t="str">
        <f aca="false">IF($B361="","",IF($D361="kg",N($E361),IF($D361="sacos",N($E361)*97,IF($D361="jabas",N($E361)*IFERROR(VLOOKUP($C361,LISTAS!$A$2:$B$12,2,0),0),""))))</f>
        <v/>
      </c>
      <c r="G361" s="41"/>
      <c r="H361" s="41"/>
      <c r="I361" s="0" t="n">
        <f aca="false">N($F361)</f>
        <v>0</v>
      </c>
    </row>
    <row r="362" customFormat="false" ht="15" hidden="false" customHeight="true" outlineLevel="0" collapsed="false">
      <c r="A362" s="40"/>
      <c r="B362" s="41"/>
      <c r="C362" s="41"/>
      <c r="D362" s="41"/>
      <c r="E362" s="42"/>
      <c r="F362" s="42" t="str">
        <f aca="false">IF($B362="","",IF($D362="kg",N($E362),IF($D362="sacos",N($E362)*97,IF($D362="jabas",N($E362)*IFERROR(VLOOKUP($C362,LISTAS!$A$2:$B$12,2,0),0),""))))</f>
        <v/>
      </c>
      <c r="G362" s="41"/>
      <c r="H362" s="41"/>
      <c r="I362" s="0" t="n">
        <f aca="false">N($F362)</f>
        <v>0</v>
      </c>
    </row>
    <row r="363" customFormat="false" ht="15" hidden="false" customHeight="true" outlineLevel="0" collapsed="false">
      <c r="A363" s="40"/>
      <c r="B363" s="41"/>
      <c r="C363" s="41"/>
      <c r="D363" s="41"/>
      <c r="E363" s="42"/>
      <c r="F363" s="42" t="str">
        <f aca="false">IF($B363="","",IF($D363="kg",N($E363),IF($D363="sacos",N($E363)*97,IF($D363="jabas",N($E363)*IFERROR(VLOOKUP($C363,LISTAS!$A$2:$B$12,2,0),0),""))))</f>
        <v/>
      </c>
      <c r="G363" s="41"/>
      <c r="H363" s="41"/>
      <c r="I363" s="0" t="n">
        <f aca="false">N($F363)</f>
        <v>0</v>
      </c>
    </row>
    <row r="364" customFormat="false" ht="15" hidden="false" customHeight="true" outlineLevel="0" collapsed="false">
      <c r="A364" s="40"/>
      <c r="B364" s="41"/>
      <c r="C364" s="41"/>
      <c r="D364" s="41"/>
      <c r="E364" s="42"/>
      <c r="F364" s="42" t="str">
        <f aca="false">IF($B364="","",IF($D364="kg",N($E364),IF($D364="sacos",N($E364)*97,IF($D364="jabas",N($E364)*IFERROR(VLOOKUP($C364,LISTAS!$A$2:$B$12,2,0),0),""))))</f>
        <v/>
      </c>
      <c r="G364" s="41"/>
      <c r="H364" s="41"/>
      <c r="I364" s="0" t="n">
        <f aca="false">N($F364)</f>
        <v>0</v>
      </c>
    </row>
    <row r="365" customFormat="false" ht="15" hidden="false" customHeight="true" outlineLevel="0" collapsed="false">
      <c r="A365" s="40"/>
      <c r="B365" s="41"/>
      <c r="C365" s="41"/>
      <c r="D365" s="41"/>
      <c r="E365" s="42"/>
      <c r="F365" s="42" t="str">
        <f aca="false">IF($B365="","",IF($D365="kg",N($E365),IF($D365="sacos",N($E365)*97,IF($D365="jabas",N($E365)*IFERROR(VLOOKUP($C365,LISTAS!$A$2:$B$12,2,0),0),""))))</f>
        <v/>
      </c>
      <c r="G365" s="41"/>
      <c r="H365" s="41"/>
      <c r="I365" s="0" t="n">
        <f aca="false">N($F365)</f>
        <v>0</v>
      </c>
    </row>
    <row r="366" customFormat="false" ht="15" hidden="false" customHeight="true" outlineLevel="0" collapsed="false">
      <c r="A366" s="40"/>
      <c r="B366" s="41"/>
      <c r="C366" s="41"/>
      <c r="D366" s="41"/>
      <c r="E366" s="42"/>
      <c r="F366" s="42" t="str">
        <f aca="false">IF($B366="","",IF($D366="kg",N($E366),IF($D366="sacos",N($E366)*97,IF($D366="jabas",N($E366)*IFERROR(VLOOKUP($C366,LISTAS!$A$2:$B$12,2,0),0),""))))</f>
        <v/>
      </c>
      <c r="G366" s="41"/>
      <c r="H366" s="41"/>
      <c r="I366" s="0" t="n">
        <f aca="false">N($F366)</f>
        <v>0</v>
      </c>
    </row>
    <row r="367" customFormat="false" ht="15" hidden="false" customHeight="true" outlineLevel="0" collapsed="false">
      <c r="A367" s="40"/>
      <c r="B367" s="41"/>
      <c r="C367" s="41"/>
      <c r="D367" s="41"/>
      <c r="E367" s="42"/>
      <c r="F367" s="42" t="str">
        <f aca="false">IF($B367="","",IF($D367="kg",N($E367),IF($D367="sacos",N($E367)*97,IF($D367="jabas",N($E367)*IFERROR(VLOOKUP($C367,LISTAS!$A$2:$B$12,2,0),0),""))))</f>
        <v/>
      </c>
      <c r="G367" s="41"/>
      <c r="H367" s="41"/>
      <c r="I367" s="0" t="n">
        <f aca="false">N($F367)</f>
        <v>0</v>
      </c>
    </row>
    <row r="368" customFormat="false" ht="15" hidden="false" customHeight="true" outlineLevel="0" collapsed="false">
      <c r="A368" s="40"/>
      <c r="B368" s="41"/>
      <c r="C368" s="41"/>
      <c r="D368" s="41"/>
      <c r="E368" s="42"/>
      <c r="F368" s="42" t="str">
        <f aca="false">IF($B368="","",IF($D368="kg",N($E368),IF($D368="sacos",N($E368)*97,IF($D368="jabas",N($E368)*IFERROR(VLOOKUP($C368,LISTAS!$A$2:$B$12,2,0),0),""))))</f>
        <v/>
      </c>
      <c r="G368" s="41"/>
      <c r="H368" s="41"/>
      <c r="I368" s="0" t="n">
        <f aca="false">N($F368)</f>
        <v>0</v>
      </c>
    </row>
    <row r="369" customFormat="false" ht="15" hidden="false" customHeight="true" outlineLevel="0" collapsed="false">
      <c r="A369" s="40"/>
      <c r="B369" s="41"/>
      <c r="C369" s="41"/>
      <c r="D369" s="41"/>
      <c r="E369" s="42"/>
      <c r="F369" s="42" t="str">
        <f aca="false">IF($B369="","",IF($D369="kg",N($E369),IF($D369="sacos",N($E369)*97,IF($D369="jabas",N($E369)*IFERROR(VLOOKUP($C369,LISTAS!$A$2:$B$12,2,0),0),""))))</f>
        <v/>
      </c>
      <c r="G369" s="41"/>
      <c r="H369" s="41"/>
      <c r="I369" s="0" t="n">
        <f aca="false">N($F369)</f>
        <v>0</v>
      </c>
    </row>
    <row r="370" customFormat="false" ht="15" hidden="false" customHeight="true" outlineLevel="0" collapsed="false">
      <c r="A370" s="40"/>
      <c r="B370" s="41"/>
      <c r="C370" s="41"/>
      <c r="D370" s="41"/>
      <c r="E370" s="42"/>
      <c r="F370" s="42" t="str">
        <f aca="false">IF($B370="","",IF($D370="kg",N($E370),IF($D370="sacos",N($E370)*97,IF($D370="jabas",N($E370)*IFERROR(VLOOKUP($C370,LISTAS!$A$2:$B$12,2,0),0),""))))</f>
        <v/>
      </c>
      <c r="G370" s="41"/>
      <c r="H370" s="41"/>
      <c r="I370" s="0" t="n">
        <f aca="false">N($F370)</f>
        <v>0</v>
      </c>
    </row>
    <row r="371" customFormat="false" ht="15" hidden="false" customHeight="true" outlineLevel="0" collapsed="false">
      <c r="A371" s="40"/>
      <c r="B371" s="41"/>
      <c r="C371" s="41"/>
      <c r="D371" s="41"/>
      <c r="E371" s="42"/>
      <c r="F371" s="42" t="str">
        <f aca="false">IF($B371="","",IF($D371="kg",N($E371),IF($D371="sacos",N($E371)*97,IF($D371="jabas",N($E371)*IFERROR(VLOOKUP($C371,LISTAS!$A$2:$B$12,2,0),0),""))))</f>
        <v/>
      </c>
      <c r="G371" s="41"/>
      <c r="H371" s="41"/>
      <c r="I371" s="0" t="n">
        <f aca="false">N($F371)</f>
        <v>0</v>
      </c>
    </row>
    <row r="372" customFormat="false" ht="15" hidden="false" customHeight="true" outlineLevel="0" collapsed="false">
      <c r="A372" s="40"/>
      <c r="B372" s="41"/>
      <c r="C372" s="41"/>
      <c r="D372" s="41"/>
      <c r="E372" s="42"/>
      <c r="F372" s="42" t="str">
        <f aca="false">IF($B372="","",IF($D372="kg",N($E372),IF($D372="sacos",N($E372)*97,IF($D372="jabas",N($E372)*IFERROR(VLOOKUP($C372,LISTAS!$A$2:$B$12,2,0),0),""))))</f>
        <v/>
      </c>
      <c r="G372" s="41"/>
      <c r="H372" s="41"/>
      <c r="I372" s="0" t="n">
        <f aca="false">N($F372)</f>
        <v>0</v>
      </c>
    </row>
    <row r="373" customFormat="false" ht="15" hidden="false" customHeight="true" outlineLevel="0" collapsed="false">
      <c r="A373" s="40"/>
      <c r="B373" s="41"/>
      <c r="C373" s="41"/>
      <c r="D373" s="41"/>
      <c r="E373" s="42"/>
      <c r="F373" s="42" t="str">
        <f aca="false">IF($B373="","",IF($D373="kg",N($E373),IF($D373="sacos",N($E373)*97,IF($D373="jabas",N($E373)*IFERROR(VLOOKUP($C373,LISTAS!$A$2:$B$12,2,0),0),""))))</f>
        <v/>
      </c>
      <c r="G373" s="41"/>
      <c r="H373" s="41"/>
      <c r="I373" s="0" t="n">
        <f aca="false">N($F373)</f>
        <v>0</v>
      </c>
    </row>
    <row r="374" customFormat="false" ht="15" hidden="false" customHeight="true" outlineLevel="0" collapsed="false">
      <c r="A374" s="40"/>
      <c r="B374" s="41"/>
      <c r="C374" s="41"/>
      <c r="D374" s="41"/>
      <c r="E374" s="42"/>
      <c r="F374" s="42" t="str">
        <f aca="false">IF($B374="","",IF($D374="kg",N($E374),IF($D374="sacos",N($E374)*97,IF($D374="jabas",N($E374)*IFERROR(VLOOKUP($C374,LISTAS!$A$2:$B$12,2,0),0),""))))</f>
        <v/>
      </c>
      <c r="G374" s="41"/>
      <c r="H374" s="41"/>
      <c r="I374" s="0" t="n">
        <f aca="false">N($F374)</f>
        <v>0</v>
      </c>
    </row>
    <row r="375" customFormat="false" ht="15" hidden="false" customHeight="true" outlineLevel="0" collapsed="false">
      <c r="A375" s="40"/>
      <c r="B375" s="41"/>
      <c r="C375" s="41"/>
      <c r="D375" s="41"/>
      <c r="E375" s="42"/>
      <c r="F375" s="42" t="str">
        <f aca="false">IF($B375="","",IF($D375="kg",N($E375),IF($D375="sacos",N($E375)*97,IF($D375="jabas",N($E375)*IFERROR(VLOOKUP($C375,LISTAS!$A$2:$B$12,2,0),0),""))))</f>
        <v/>
      </c>
      <c r="G375" s="41"/>
      <c r="H375" s="41"/>
      <c r="I375" s="0" t="n">
        <f aca="false">N($F375)</f>
        <v>0</v>
      </c>
    </row>
    <row r="376" customFormat="false" ht="15" hidden="false" customHeight="true" outlineLevel="0" collapsed="false">
      <c r="A376" s="40"/>
      <c r="B376" s="41"/>
      <c r="C376" s="41"/>
      <c r="D376" s="41"/>
      <c r="E376" s="42"/>
      <c r="F376" s="42" t="str">
        <f aca="false">IF($B376="","",IF($D376="kg",N($E376),IF($D376="sacos",N($E376)*97,IF($D376="jabas",N($E376)*IFERROR(VLOOKUP($C376,LISTAS!$A$2:$B$12,2,0),0),""))))</f>
        <v/>
      </c>
      <c r="G376" s="41"/>
      <c r="H376" s="41"/>
      <c r="I376" s="0" t="n">
        <f aca="false">N($F376)</f>
        <v>0</v>
      </c>
    </row>
    <row r="377" customFormat="false" ht="15" hidden="false" customHeight="true" outlineLevel="0" collapsed="false">
      <c r="A377" s="40"/>
      <c r="B377" s="41"/>
      <c r="C377" s="41"/>
      <c r="D377" s="41"/>
      <c r="E377" s="42"/>
      <c r="F377" s="42" t="str">
        <f aca="false">IF($B377="","",IF($D377="kg",N($E377),IF($D377="sacos",N($E377)*97,IF($D377="jabas",N($E377)*IFERROR(VLOOKUP($C377,LISTAS!$A$2:$B$12,2,0),0),""))))</f>
        <v/>
      </c>
      <c r="G377" s="41"/>
      <c r="H377" s="41"/>
      <c r="I377" s="0" t="n">
        <f aca="false">N($F377)</f>
        <v>0</v>
      </c>
    </row>
    <row r="378" customFormat="false" ht="15" hidden="false" customHeight="true" outlineLevel="0" collapsed="false">
      <c r="A378" s="40"/>
      <c r="B378" s="41"/>
      <c r="C378" s="41"/>
      <c r="D378" s="41"/>
      <c r="E378" s="42"/>
      <c r="F378" s="42" t="str">
        <f aca="false">IF($B378="","",IF($D378="kg",N($E378),IF($D378="sacos",N($E378)*97,IF($D378="jabas",N($E378)*IFERROR(VLOOKUP($C378,LISTAS!$A$2:$B$12,2,0),0),""))))</f>
        <v/>
      </c>
      <c r="G378" s="41"/>
      <c r="H378" s="41"/>
      <c r="I378" s="0" t="n">
        <f aca="false">N($F378)</f>
        <v>0</v>
      </c>
    </row>
    <row r="379" customFormat="false" ht="15" hidden="false" customHeight="true" outlineLevel="0" collapsed="false">
      <c r="A379" s="40"/>
      <c r="B379" s="41"/>
      <c r="C379" s="41"/>
      <c r="D379" s="41"/>
      <c r="E379" s="42"/>
      <c r="F379" s="42" t="str">
        <f aca="false">IF($B379="","",IF($D379="kg",N($E379),IF($D379="sacos",N($E379)*97,IF($D379="jabas",N($E379)*IFERROR(VLOOKUP($C379,LISTAS!$A$2:$B$12,2,0),0),""))))</f>
        <v/>
      </c>
      <c r="G379" s="41"/>
      <c r="H379" s="41"/>
      <c r="I379" s="0" t="n">
        <f aca="false">N($F379)</f>
        <v>0</v>
      </c>
    </row>
    <row r="380" customFormat="false" ht="15" hidden="false" customHeight="true" outlineLevel="0" collapsed="false">
      <c r="A380" s="40"/>
      <c r="B380" s="41"/>
      <c r="C380" s="41"/>
      <c r="D380" s="41"/>
      <c r="E380" s="42"/>
      <c r="F380" s="42" t="str">
        <f aca="false">IF($B380="","",IF($D380="kg",N($E380),IF($D380="sacos",N($E380)*97,IF($D380="jabas",N($E380)*IFERROR(VLOOKUP($C380,LISTAS!$A$2:$B$12,2,0),0),""))))</f>
        <v/>
      </c>
      <c r="G380" s="41"/>
      <c r="H380" s="41"/>
      <c r="I380" s="0" t="n">
        <f aca="false">N($F380)</f>
        <v>0</v>
      </c>
    </row>
    <row r="381" customFormat="false" ht="15" hidden="false" customHeight="true" outlineLevel="0" collapsed="false">
      <c r="A381" s="40"/>
      <c r="B381" s="41"/>
      <c r="C381" s="41"/>
      <c r="D381" s="41"/>
      <c r="E381" s="42"/>
      <c r="F381" s="42" t="str">
        <f aca="false">IF($B381="","",IF($D381="kg",N($E381),IF($D381="sacos",N($E381)*97,IF($D381="jabas",N($E381)*IFERROR(VLOOKUP($C381,LISTAS!$A$2:$B$12,2,0),0),""))))</f>
        <v/>
      </c>
      <c r="G381" s="41"/>
      <c r="H381" s="41"/>
      <c r="I381" s="0" t="n">
        <f aca="false">N($F381)</f>
        <v>0</v>
      </c>
    </row>
    <row r="382" customFormat="false" ht="15" hidden="false" customHeight="true" outlineLevel="0" collapsed="false">
      <c r="A382" s="40"/>
      <c r="B382" s="41"/>
      <c r="C382" s="41"/>
      <c r="D382" s="41"/>
      <c r="E382" s="42"/>
      <c r="F382" s="42" t="str">
        <f aca="false">IF($B382="","",IF($D382="kg",N($E382),IF($D382="sacos",N($E382)*97,IF($D382="jabas",N($E382)*IFERROR(VLOOKUP($C382,LISTAS!$A$2:$B$12,2,0),0),""))))</f>
        <v/>
      </c>
      <c r="G382" s="41"/>
      <c r="H382" s="41"/>
      <c r="I382" s="0" t="n">
        <f aca="false">N($F382)</f>
        <v>0</v>
      </c>
    </row>
    <row r="383" customFormat="false" ht="15" hidden="false" customHeight="true" outlineLevel="0" collapsed="false">
      <c r="A383" s="40"/>
      <c r="B383" s="41"/>
      <c r="C383" s="41"/>
      <c r="D383" s="41"/>
      <c r="E383" s="42"/>
      <c r="F383" s="42" t="str">
        <f aca="false">IF($B383="","",IF($D383="kg",N($E383),IF($D383="sacos",N($E383)*97,IF($D383="jabas",N($E383)*IFERROR(VLOOKUP($C383,LISTAS!$A$2:$B$12,2,0),0),""))))</f>
        <v/>
      </c>
      <c r="G383" s="41"/>
      <c r="H383" s="41"/>
      <c r="I383" s="0" t="n">
        <f aca="false">N($F383)</f>
        <v>0</v>
      </c>
    </row>
    <row r="384" customFormat="false" ht="15" hidden="false" customHeight="true" outlineLevel="0" collapsed="false">
      <c r="A384" s="40"/>
      <c r="B384" s="41"/>
      <c r="C384" s="41"/>
      <c r="D384" s="41"/>
      <c r="E384" s="42"/>
      <c r="F384" s="42" t="str">
        <f aca="false">IF($B384="","",IF($D384="kg",N($E384),IF($D384="sacos",N($E384)*97,IF($D384="jabas",N($E384)*IFERROR(VLOOKUP($C384,LISTAS!$A$2:$B$12,2,0),0),""))))</f>
        <v/>
      </c>
      <c r="G384" s="41"/>
      <c r="H384" s="41"/>
      <c r="I384" s="0" t="n">
        <f aca="false">N($F384)</f>
        <v>0</v>
      </c>
    </row>
    <row r="385" customFormat="false" ht="15" hidden="false" customHeight="true" outlineLevel="0" collapsed="false">
      <c r="A385" s="40"/>
      <c r="B385" s="41"/>
      <c r="C385" s="41"/>
      <c r="D385" s="41"/>
      <c r="E385" s="42"/>
      <c r="F385" s="42" t="str">
        <f aca="false">IF($B385="","",IF($D385="kg",N($E385),IF($D385="sacos",N($E385)*97,IF($D385="jabas",N($E385)*IFERROR(VLOOKUP($C385,LISTAS!$A$2:$B$12,2,0),0),""))))</f>
        <v/>
      </c>
      <c r="G385" s="41"/>
      <c r="H385" s="41"/>
      <c r="I385" s="0" t="n">
        <f aca="false">N($F385)</f>
        <v>0</v>
      </c>
    </row>
    <row r="386" customFormat="false" ht="15" hidden="false" customHeight="true" outlineLevel="0" collapsed="false">
      <c r="A386" s="40"/>
      <c r="B386" s="41"/>
      <c r="C386" s="41"/>
      <c r="D386" s="41"/>
      <c r="E386" s="42"/>
      <c r="F386" s="42" t="str">
        <f aca="false">IF($B386="","",IF($D386="kg",N($E386),IF($D386="sacos",N($E386)*97,IF($D386="jabas",N($E386)*IFERROR(VLOOKUP($C386,LISTAS!$A$2:$B$12,2,0),0),""))))</f>
        <v/>
      </c>
      <c r="G386" s="41"/>
      <c r="H386" s="41"/>
      <c r="I386" s="0" t="n">
        <f aca="false">N($F386)</f>
        <v>0</v>
      </c>
    </row>
    <row r="387" customFormat="false" ht="15" hidden="false" customHeight="true" outlineLevel="0" collapsed="false">
      <c r="A387" s="40"/>
      <c r="B387" s="41"/>
      <c r="C387" s="41"/>
      <c r="D387" s="41"/>
      <c r="E387" s="42"/>
      <c r="F387" s="42" t="str">
        <f aca="false">IF($B387="","",IF($D387="kg",N($E387),IF($D387="sacos",N($E387)*97,IF($D387="jabas",N($E387)*IFERROR(VLOOKUP($C387,LISTAS!$A$2:$B$12,2,0),0),""))))</f>
        <v/>
      </c>
      <c r="G387" s="41"/>
      <c r="H387" s="41"/>
      <c r="I387" s="0" t="n">
        <f aca="false">N($F387)</f>
        <v>0</v>
      </c>
    </row>
    <row r="388" customFormat="false" ht="15" hidden="false" customHeight="true" outlineLevel="0" collapsed="false">
      <c r="A388" s="40"/>
      <c r="B388" s="41"/>
      <c r="C388" s="41"/>
      <c r="D388" s="41"/>
      <c r="E388" s="42"/>
      <c r="F388" s="42" t="str">
        <f aca="false">IF($B388="","",IF($D388="kg",N($E388),IF($D388="sacos",N($E388)*97,IF($D388="jabas",N($E388)*IFERROR(VLOOKUP($C388,LISTAS!$A$2:$B$12,2,0),0),""))))</f>
        <v/>
      </c>
      <c r="G388" s="41"/>
      <c r="H388" s="41"/>
      <c r="I388" s="0" t="n">
        <f aca="false">N($F388)</f>
        <v>0</v>
      </c>
    </row>
    <row r="389" customFormat="false" ht="15" hidden="false" customHeight="true" outlineLevel="0" collapsed="false">
      <c r="A389" s="40"/>
      <c r="B389" s="41"/>
      <c r="C389" s="41"/>
      <c r="D389" s="41"/>
      <c r="E389" s="42"/>
      <c r="F389" s="42" t="str">
        <f aca="false">IF($B389="","",IF($D389="kg",N($E389),IF($D389="sacos",N($E389)*97,IF($D389="jabas",N($E389)*IFERROR(VLOOKUP($C389,LISTAS!$A$2:$B$12,2,0),0),""))))</f>
        <v/>
      </c>
      <c r="G389" s="41"/>
      <c r="H389" s="41"/>
      <c r="I389" s="0" t="n">
        <f aca="false">N($F389)</f>
        <v>0</v>
      </c>
    </row>
    <row r="390" customFormat="false" ht="15" hidden="false" customHeight="true" outlineLevel="0" collapsed="false">
      <c r="A390" s="40"/>
      <c r="B390" s="41"/>
      <c r="C390" s="41"/>
      <c r="D390" s="41"/>
      <c r="E390" s="42"/>
      <c r="F390" s="42" t="str">
        <f aca="false">IF($B390="","",IF($D390="kg",N($E390),IF($D390="sacos",N($E390)*97,IF($D390="jabas",N($E390)*IFERROR(VLOOKUP($C390,LISTAS!$A$2:$B$12,2,0),0),""))))</f>
        <v/>
      </c>
      <c r="G390" s="41"/>
      <c r="H390" s="41"/>
      <c r="I390" s="0" t="n">
        <f aca="false">N($F390)</f>
        <v>0</v>
      </c>
    </row>
    <row r="391" customFormat="false" ht="15" hidden="false" customHeight="true" outlineLevel="0" collapsed="false">
      <c r="A391" s="40"/>
      <c r="B391" s="41"/>
      <c r="C391" s="41"/>
      <c r="D391" s="41"/>
      <c r="E391" s="42"/>
      <c r="F391" s="42" t="str">
        <f aca="false">IF($B391="","",IF($D391="kg",N($E391),IF($D391="sacos",N($E391)*97,IF($D391="jabas",N($E391)*IFERROR(VLOOKUP($C391,LISTAS!$A$2:$B$12,2,0),0),""))))</f>
        <v/>
      </c>
      <c r="G391" s="41"/>
      <c r="H391" s="41"/>
      <c r="I391" s="0" t="n">
        <f aca="false">N($F391)</f>
        <v>0</v>
      </c>
    </row>
    <row r="392" customFormat="false" ht="15" hidden="false" customHeight="true" outlineLevel="0" collapsed="false">
      <c r="A392" s="40"/>
      <c r="B392" s="41"/>
      <c r="C392" s="41"/>
      <c r="D392" s="41"/>
      <c r="E392" s="42"/>
      <c r="F392" s="42" t="str">
        <f aca="false">IF($B392="","",IF($D392="kg",N($E392),IF($D392="sacos",N($E392)*97,IF($D392="jabas",N($E392)*IFERROR(VLOOKUP($C392,LISTAS!$A$2:$B$12,2,0),0),""))))</f>
        <v/>
      </c>
      <c r="G392" s="41"/>
      <c r="H392" s="41"/>
      <c r="I392" s="0" t="n">
        <f aca="false">N($F392)</f>
        <v>0</v>
      </c>
    </row>
    <row r="393" customFormat="false" ht="15" hidden="false" customHeight="true" outlineLevel="0" collapsed="false">
      <c r="A393" s="40"/>
      <c r="B393" s="41"/>
      <c r="C393" s="41"/>
      <c r="D393" s="41"/>
      <c r="E393" s="42"/>
      <c r="F393" s="42" t="str">
        <f aca="false">IF($B393="","",IF($D393="kg",N($E393),IF($D393="sacos",N($E393)*97,IF($D393="jabas",N($E393)*IFERROR(VLOOKUP($C393,LISTAS!$A$2:$B$12,2,0),0),""))))</f>
        <v/>
      </c>
      <c r="G393" s="41"/>
      <c r="H393" s="41"/>
      <c r="I393" s="0" t="n">
        <f aca="false">N($F393)</f>
        <v>0</v>
      </c>
    </row>
    <row r="394" customFormat="false" ht="15" hidden="false" customHeight="true" outlineLevel="0" collapsed="false">
      <c r="A394" s="40"/>
      <c r="B394" s="41"/>
      <c r="C394" s="41"/>
      <c r="D394" s="41"/>
      <c r="E394" s="42"/>
      <c r="F394" s="42" t="str">
        <f aca="false">IF($B394="","",IF($D394="kg",N($E394),IF($D394="sacos",N($E394)*97,IF($D394="jabas",N($E394)*IFERROR(VLOOKUP($C394,LISTAS!$A$2:$B$12,2,0),0),""))))</f>
        <v/>
      </c>
      <c r="G394" s="41"/>
      <c r="H394" s="41"/>
      <c r="I394" s="0" t="n">
        <f aca="false">N($F394)</f>
        <v>0</v>
      </c>
    </row>
    <row r="395" customFormat="false" ht="15" hidden="false" customHeight="true" outlineLevel="0" collapsed="false">
      <c r="A395" s="40"/>
      <c r="B395" s="41"/>
      <c r="C395" s="41"/>
      <c r="D395" s="41"/>
      <c r="E395" s="42"/>
      <c r="F395" s="42" t="str">
        <f aca="false">IF($B395="","",IF($D395="kg",N($E395),IF($D395="sacos",N($E395)*97,IF($D395="jabas",N($E395)*IFERROR(VLOOKUP($C395,LISTAS!$A$2:$B$12,2,0),0),""))))</f>
        <v/>
      </c>
      <c r="G395" s="41"/>
      <c r="H395" s="41"/>
      <c r="I395" s="0" t="n">
        <f aca="false">N($F395)</f>
        <v>0</v>
      </c>
    </row>
    <row r="396" customFormat="false" ht="15" hidden="false" customHeight="true" outlineLevel="0" collapsed="false">
      <c r="A396" s="40"/>
      <c r="B396" s="41"/>
      <c r="C396" s="41"/>
      <c r="D396" s="41"/>
      <c r="E396" s="42"/>
      <c r="F396" s="42" t="str">
        <f aca="false">IF($B396="","",IF($D396="kg",N($E396),IF($D396="sacos",N($E396)*97,IF($D396="jabas",N($E396)*IFERROR(VLOOKUP($C396,LISTAS!$A$2:$B$12,2,0),0),""))))</f>
        <v/>
      </c>
      <c r="G396" s="41"/>
      <c r="H396" s="41"/>
      <c r="I396" s="0" t="n">
        <f aca="false">N($F396)</f>
        <v>0</v>
      </c>
    </row>
    <row r="397" customFormat="false" ht="15" hidden="false" customHeight="true" outlineLevel="0" collapsed="false">
      <c r="A397" s="40"/>
      <c r="B397" s="41"/>
      <c r="C397" s="41"/>
      <c r="D397" s="41"/>
      <c r="E397" s="42"/>
      <c r="F397" s="42" t="str">
        <f aca="false">IF($B397="","",IF($D397="kg",N($E397),IF($D397="sacos",N($E397)*97,IF($D397="jabas",N($E397)*IFERROR(VLOOKUP($C397,LISTAS!$A$2:$B$12,2,0),0),""))))</f>
        <v/>
      </c>
      <c r="G397" s="41"/>
      <c r="H397" s="41"/>
      <c r="I397" s="0" t="n">
        <f aca="false">N($F397)</f>
        <v>0</v>
      </c>
    </row>
    <row r="398" customFormat="false" ht="15" hidden="false" customHeight="true" outlineLevel="0" collapsed="false">
      <c r="A398" s="40"/>
      <c r="B398" s="41"/>
      <c r="C398" s="41"/>
      <c r="D398" s="41"/>
      <c r="E398" s="42"/>
      <c r="F398" s="42" t="str">
        <f aca="false">IF($B398="","",IF($D398="kg",N($E398),IF($D398="sacos",N($E398)*97,IF($D398="jabas",N($E398)*IFERROR(VLOOKUP($C398,LISTAS!$A$2:$B$12,2,0),0),""))))</f>
        <v/>
      </c>
      <c r="G398" s="41"/>
      <c r="H398" s="41"/>
      <c r="I398" s="0" t="n">
        <f aca="false">N($F398)</f>
        <v>0</v>
      </c>
    </row>
    <row r="399" customFormat="false" ht="15" hidden="false" customHeight="true" outlineLevel="0" collapsed="false">
      <c r="A399" s="40"/>
      <c r="B399" s="41"/>
      <c r="C399" s="41"/>
      <c r="D399" s="41"/>
      <c r="E399" s="42"/>
      <c r="F399" s="42" t="str">
        <f aca="false">IF($B399="","",IF($D399="kg",N($E399),IF($D399="sacos",N($E399)*97,IF($D399="jabas",N($E399)*IFERROR(VLOOKUP($C399,LISTAS!$A$2:$B$12,2,0),0),""))))</f>
        <v/>
      </c>
      <c r="G399" s="41"/>
      <c r="H399" s="41"/>
      <c r="I399" s="0" t="n">
        <f aca="false">N($F399)</f>
        <v>0</v>
      </c>
    </row>
    <row r="400" customFormat="false" ht="15" hidden="false" customHeight="true" outlineLevel="0" collapsed="false">
      <c r="A400" s="40"/>
      <c r="B400" s="41"/>
      <c r="C400" s="41"/>
      <c r="D400" s="41"/>
      <c r="E400" s="42"/>
      <c r="F400" s="42" t="str">
        <f aca="false">IF($B400="","",IF($D400="kg",N($E400),IF($D400="sacos",N($E400)*97,IF($D400="jabas",N($E400)*IFERROR(VLOOKUP($C400,LISTAS!$A$2:$B$12,2,0),0),""))))</f>
        <v/>
      </c>
      <c r="G400" s="41"/>
      <c r="H400" s="41"/>
      <c r="I400" s="0" t="n">
        <f aca="false">N($F400)</f>
        <v>0</v>
      </c>
    </row>
    <row r="401" customFormat="false" ht="15" hidden="true" customHeight="true" outlineLevel="0" collapsed="false">
      <c r="A401" s="40"/>
      <c r="B401" s="41"/>
      <c r="C401" s="41"/>
      <c r="D401" s="41"/>
      <c r="E401" s="42"/>
      <c r="F401" s="42" t="str">
        <f aca="false">IF($B401="","",IF($D401="kg",N($E401),IF($D401="sacos",N($E401)*97,IF($D401="jabas",N($E401)*IFERROR(VLOOKUP($C401,LISTAS!$A$2:$B$12,2,0),0),""))))</f>
        <v/>
      </c>
      <c r="G401" s="41"/>
      <c r="H401" s="41"/>
      <c r="I401" s="0" t="n">
        <f aca="false">N($F401)</f>
        <v>0</v>
      </c>
    </row>
    <row r="402" customFormat="false" ht="15" hidden="false" customHeight="true" outlineLevel="0" collapsed="false">
      <c r="A402" s="40"/>
      <c r="B402" s="41"/>
      <c r="C402" s="41"/>
      <c r="D402" s="41"/>
      <c r="E402" s="42"/>
      <c r="F402" s="42" t="str">
        <f aca="false">IF($B402="","",IF($D402="kg",N($E402),IF($D402="sacos",N($E402)*95,IF($D402="jabas",N($E402)*IFERROR(VLOOKUP($C402,LISTAS!$A$2:$B$12,2,0),0),""))))</f>
        <v/>
      </c>
      <c r="G402" s="41"/>
      <c r="H402" s="41"/>
      <c r="I402" s="0" t="n">
        <f aca="false">N($F402)</f>
        <v>0</v>
      </c>
    </row>
    <row r="403" customFormat="false" ht="15" hidden="false" customHeight="true" outlineLevel="0" collapsed="false">
      <c r="A403" s="40"/>
      <c r="B403" s="41"/>
      <c r="C403" s="41"/>
      <c r="D403" s="41"/>
      <c r="E403" s="42"/>
      <c r="F403" s="42" t="str">
        <f aca="false">IF($B403="","",IF($D403="kg",N($E403),IF($D403="sacos",N($E403)*95,IF($D403="jabas",N($E403)*IFERROR(VLOOKUP($C403,LISTAS!$A$2:$B$12,2,0),0),""))))</f>
        <v/>
      </c>
      <c r="G403" s="41"/>
      <c r="H403" s="41"/>
      <c r="I403" s="0" t="n">
        <f aca="false">N($F403)</f>
        <v>0</v>
      </c>
    </row>
    <row r="404" customFormat="false" ht="15" hidden="false" customHeight="true" outlineLevel="0" collapsed="false">
      <c r="A404" s="40"/>
      <c r="B404" s="41"/>
      <c r="C404" s="41"/>
      <c r="D404" s="41"/>
      <c r="E404" s="42"/>
      <c r="F404" s="42" t="str">
        <f aca="false">IF($B404="","",IF($D404="kg",N($E404),IF($D404="sacos",N($E404)*95,IF($D404="jabas",N($E404)*IFERROR(VLOOKUP($C404,LISTAS!$A$2:$B$12,2,0),0),""))))</f>
        <v/>
      </c>
      <c r="G404" s="41"/>
      <c r="H404" s="41"/>
      <c r="I404" s="0" t="n">
        <f aca="false">N($F404)</f>
        <v>0</v>
      </c>
    </row>
    <row r="405" customFormat="false" ht="15" hidden="false" customHeight="true" outlineLevel="0" collapsed="false">
      <c r="A405" s="40"/>
      <c r="B405" s="41"/>
      <c r="C405" s="41"/>
      <c r="D405" s="41"/>
      <c r="E405" s="42"/>
      <c r="F405" s="42" t="str">
        <f aca="false">IF($B405="","",IF($D405="kg",N($E405),IF($D405="sacos",N($E405)*95,IF($D405="jabas",N($E405)*IFERROR(VLOOKUP($C405,LISTAS!$A$2:$B$12,2,0),0),""))))</f>
        <v/>
      </c>
      <c r="G405" s="41"/>
      <c r="H405" s="41"/>
      <c r="I405" s="0" t="n">
        <f aca="false">N($F405)</f>
        <v>0</v>
      </c>
    </row>
    <row r="406" customFormat="false" ht="15" hidden="false" customHeight="true" outlineLevel="0" collapsed="false">
      <c r="A406" s="40"/>
      <c r="B406" s="41"/>
      <c r="C406" s="41"/>
      <c r="D406" s="41"/>
      <c r="E406" s="42"/>
      <c r="F406" s="42" t="str">
        <f aca="false">IF($B406="","",IF($D406="kg",N($E406),IF($D406="sacos",N($E406)*95,IF($D406="jabas",N($E406)*IFERROR(VLOOKUP($C406,LISTAS!$A$2:$B$12,2,0),0),""))))</f>
        <v/>
      </c>
      <c r="G406" s="41"/>
      <c r="H406" s="41"/>
      <c r="I406" s="0" t="n">
        <f aca="false">N($F406)</f>
        <v>0</v>
      </c>
    </row>
    <row r="407" customFormat="false" ht="15" hidden="false" customHeight="true" outlineLevel="0" collapsed="false">
      <c r="A407" s="40"/>
      <c r="B407" s="41"/>
      <c r="C407" s="41"/>
      <c r="D407" s="41"/>
      <c r="E407" s="42"/>
      <c r="F407" s="42" t="str">
        <f aca="false">IF($B407="","",IF($D407="kg",N($E407),IF($D407="sacos",N($E407)*95,IF($D407="jabas",N($E407)*IFERROR(VLOOKUP($C407,LISTAS!$A$2:$B$12,2,0),0),""))))</f>
        <v/>
      </c>
      <c r="G407" s="41"/>
      <c r="H407" s="41"/>
      <c r="I407" s="0" t="n">
        <f aca="false">N($F407)</f>
        <v>0</v>
      </c>
    </row>
    <row r="408" customFormat="false" ht="15" hidden="false" customHeight="true" outlineLevel="0" collapsed="false">
      <c r="A408" s="40"/>
      <c r="B408" s="41"/>
      <c r="C408" s="41"/>
      <c r="D408" s="41"/>
      <c r="E408" s="42"/>
      <c r="F408" s="42" t="str">
        <f aca="false">IF($B408="","",IF($D408="kg",N($E408),IF($D408="sacos",N($E408)*95,IF($D408="jabas",N($E408)*IFERROR(VLOOKUP($C408,LISTAS!$A$2:$B$12,2,0),0),""))))</f>
        <v/>
      </c>
      <c r="G408" s="41"/>
      <c r="H408" s="41"/>
      <c r="I408" s="0" t="n">
        <f aca="false">N($F408)</f>
        <v>0</v>
      </c>
    </row>
    <row r="409" customFormat="false" ht="15" hidden="false" customHeight="true" outlineLevel="0" collapsed="false">
      <c r="A409" s="40"/>
      <c r="B409" s="41"/>
      <c r="C409" s="41"/>
      <c r="D409" s="41"/>
      <c r="E409" s="42"/>
      <c r="F409" s="42" t="str">
        <f aca="false">IF($B409="","",IF($D409="kg",N($E409),IF($D409="sacos",N($E409)*95,IF($D409="jabas",N($E409)*IFERROR(VLOOKUP($C409,LISTAS!$A$2:$B$12,2,0),0),""))))</f>
        <v/>
      </c>
      <c r="G409" s="41"/>
      <c r="H409" s="41"/>
      <c r="I409" s="0" t="n">
        <f aca="false">N($F409)</f>
        <v>0</v>
      </c>
    </row>
    <row r="410" customFormat="false" ht="15" hidden="false" customHeight="true" outlineLevel="0" collapsed="false">
      <c r="A410" s="40"/>
      <c r="B410" s="41"/>
      <c r="C410" s="41"/>
      <c r="D410" s="41"/>
      <c r="E410" s="42"/>
      <c r="F410" s="42" t="str">
        <f aca="false">IF($B410="","",IF($D410="kg",N($E410),IF($D410="sacos",N($E410)*95,IF($D410="jabas",N($E410)*IFERROR(VLOOKUP($C410,LISTAS!$A$2:$B$12,2,0),0),""))))</f>
        <v/>
      </c>
      <c r="G410" s="41"/>
      <c r="H410" s="41"/>
      <c r="I410" s="0" t="n">
        <f aca="false">N($F410)</f>
        <v>0</v>
      </c>
    </row>
    <row r="411" customFormat="false" ht="15" hidden="false" customHeight="true" outlineLevel="0" collapsed="false">
      <c r="A411" s="40"/>
      <c r="B411" s="41"/>
      <c r="C411" s="41"/>
      <c r="D411" s="41"/>
      <c r="E411" s="42"/>
      <c r="F411" s="42" t="str">
        <f aca="false">IF($B411="","",IF($D411="kg",N($E411),IF($D411="sacos",N($E411)*95,IF($D411="jabas",N($E411)*IFERROR(VLOOKUP($C411,LISTAS!$A$2:$B$12,2,0),0),""))))</f>
        <v/>
      </c>
      <c r="G411" s="41"/>
      <c r="H411" s="41"/>
      <c r="I411" s="0" t="n">
        <f aca="false">N($F411)</f>
        <v>0</v>
      </c>
    </row>
    <row r="412" customFormat="false" ht="15" hidden="false" customHeight="true" outlineLevel="0" collapsed="false">
      <c r="A412" s="40"/>
      <c r="B412" s="41"/>
      <c r="C412" s="41"/>
      <c r="D412" s="41"/>
      <c r="E412" s="42"/>
      <c r="F412" s="42" t="str">
        <f aca="false">IF($B412="","",IF($D412="kg",N($E412),IF($D412="sacos",N($E412)*95,IF($D412="jabas",N($E412)*IFERROR(VLOOKUP($C412,LISTAS!$A$2:$B$12,2,0),0),""))))</f>
        <v/>
      </c>
      <c r="G412" s="41"/>
      <c r="H412" s="41"/>
      <c r="I412" s="0" t="n">
        <f aca="false">N($F412)</f>
        <v>0</v>
      </c>
    </row>
    <row r="413" customFormat="false" ht="15" hidden="false" customHeight="true" outlineLevel="0" collapsed="false">
      <c r="A413" s="40"/>
      <c r="B413" s="41"/>
      <c r="C413" s="41"/>
      <c r="D413" s="41"/>
      <c r="E413" s="42"/>
      <c r="F413" s="42" t="str">
        <f aca="false">IF($B413="","",IF($D413="kg",N($E413),IF($D413="sacos",N($E413)*95,IF($D413="jabas",N($E413)*IFERROR(VLOOKUP($C413,LISTAS!$A$2:$B$12,2,0),0),""))))</f>
        <v/>
      </c>
      <c r="G413" s="41"/>
      <c r="H413" s="41"/>
      <c r="I413" s="0" t="n">
        <f aca="false">N($F413)</f>
        <v>0</v>
      </c>
    </row>
  </sheetData>
  <autoFilter ref="A4:H400"/>
  <mergeCells count="2">
    <mergeCell ref="A1:H1"/>
    <mergeCell ref="A2:H2"/>
  </mergeCells>
  <conditionalFormatting sqref="A5:H413">
    <cfRule type="expression" priority="2" aboveAverage="0" equalAverage="0" bottom="0" percent="0" rank="0" text="" dxfId="23">
      <formula>$B5="COMPRA"</formula>
    </cfRule>
    <cfRule type="expression" priority="3" aboveAverage="0" equalAverage="0" bottom="0" percent="0" rank="0" text="" dxfId="24">
      <formula>$B5="PROCESO"</formula>
    </cfRule>
    <cfRule type="expression" priority="4" aboveAverage="0" equalAverage="0" bottom="0" percent="0" rank="0" text="" dxfId="25">
      <formula>$B5="ENVÍO A SUPESA"</formula>
    </cfRule>
    <cfRule type="expression" priority="5" aboveAverage="0" equalAverage="0" bottom="0" percent="0" rank="0" text="" dxfId="26">
      <formula>$B5="VENTA"</formula>
    </cfRule>
    <cfRule type="expression" priority="6" aboveAverage="0" equalAverage="0" bottom="0" percent="0" rank="0" text="" dxfId="27">
      <formula>$B5="VENTA CHANCHO"</formula>
    </cfRule>
    <cfRule type="expression" priority="7" aboveAverage="0" equalAverage="0" bottom="0" percent="0" rank="0" text="" dxfId="28">
      <formula>$B5="DEVOLUCIÓN"</formula>
    </cfRule>
    <cfRule type="expression" priority="8" aboveAverage="0" equalAverage="0" bottom="0" percent="0" rank="0" text="" dxfId="29">
      <formula>$B5="REPROCESO"</formula>
    </cfRule>
    <cfRule type="expression" priority="9" aboveAverage="0" equalAverage="0" bottom="0" percent="0" rank="0" text="" dxfId="30">
      <formula>$B5="MALOGRADO"</formula>
    </cfRule>
    <cfRule type="expression" priority="10" aboveAverage="0" equalAverage="0" bottom="0" percent="0" rank="0" text="" dxfId="31">
      <formula>$B5="OTRA SALIDA"</formula>
    </cfRule>
    <cfRule type="expression" priority="11" aboveAverage="0" equalAverage="0" bottom="0" percent="0" rank="0" text="" dxfId="32">
      <formula>$B5="TRASIEGO"</formula>
    </cfRule>
    <cfRule type="expression" priority="12" aboveAverage="0" equalAverage="0" bottom="0" percent="0" rank="0" text="" dxfId="33">
      <formula>$B5="AJUSTE"</formula>
    </cfRule>
    <cfRule type="expression" priority="13" aboveAverage="0" equalAverage="0" bottom="0" percent="0" rank="0" text="" dxfId="34">
      <formula>$B5="REGALO"</formula>
    </cfRule>
    <cfRule type="expression" priority="14" aboveAverage="0" equalAverage="0" bottom="0" percent="0" rank="0" text="" dxfId="35">
      <formula>$B5="SALDO INICIAL"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AC090"/>
    <pageSetUpPr fitToPage="false"/>
  </sheetPr>
  <dimension ref="A1:N4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F24" activeCellId="0" sqref="F24"/>
    </sheetView>
  </sheetViews>
  <sheetFormatPr defaultColWidth="8.6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5" min="2" style="0" width="9"/>
    <col collapsed="false" customWidth="true" hidden="false" outlineLevel="0" max="6" min="6" style="43" width="10"/>
    <col collapsed="false" customWidth="true" hidden="false" outlineLevel="0" max="7" min="7" style="0" width="9"/>
    <col collapsed="false" customWidth="true" hidden="false" outlineLevel="0" max="8" min="8" style="0" width="11"/>
    <col collapsed="false" customWidth="true" hidden="true" outlineLevel="0" max="12" min="10" style="0" width="13"/>
  </cols>
  <sheetData>
    <row r="1" customFormat="false" ht="21.75" hidden="false" customHeight="true" outlineLevel="0" collapsed="false">
      <c r="A1" s="1" t="s">
        <v>67</v>
      </c>
      <c r="B1" s="1"/>
      <c r="C1" s="1"/>
      <c r="D1" s="1"/>
      <c r="E1" s="1"/>
      <c r="F1" s="1"/>
      <c r="G1" s="1"/>
      <c r="H1" s="1"/>
      <c r="I1" s="44"/>
      <c r="J1" s="44"/>
      <c r="K1" s="44"/>
      <c r="L1" s="44"/>
      <c r="M1" s="44"/>
      <c r="N1" s="44"/>
    </row>
    <row r="2" customFormat="false" ht="15" hidden="false" customHeight="true" outlineLevel="0" collapsed="false">
      <c r="A2" s="2" t="s">
        <v>68</v>
      </c>
      <c r="B2" s="2"/>
      <c r="C2" s="2"/>
      <c r="D2" s="2"/>
      <c r="E2" s="2"/>
      <c r="F2" s="2"/>
      <c r="G2" s="2"/>
      <c r="H2" s="2"/>
      <c r="I2" s="44"/>
      <c r="J2" s="44"/>
      <c r="K2" s="44"/>
      <c r="L2" s="44"/>
      <c r="M2" s="44"/>
      <c r="N2" s="44"/>
    </row>
    <row r="3" customFormat="false" ht="15" hidden="false" customHeight="true" outlineLevel="0" collapsed="false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</row>
    <row r="4" customFormat="false" ht="30" hidden="false" customHeight="true" outlineLevel="0" collapsed="false">
      <c r="A4" s="3" t="s">
        <v>2</v>
      </c>
      <c r="B4" s="3" t="s">
        <v>69</v>
      </c>
      <c r="C4" s="3" t="s">
        <v>70</v>
      </c>
      <c r="D4" s="3" t="s">
        <v>71</v>
      </c>
      <c r="E4" s="3" t="s">
        <v>72</v>
      </c>
      <c r="F4" s="3" t="s">
        <v>73</v>
      </c>
      <c r="G4" s="3" t="s">
        <v>74</v>
      </c>
      <c r="H4" s="3" t="s">
        <v>75</v>
      </c>
      <c r="I4" s="44"/>
      <c r="J4" s="44"/>
      <c r="K4" s="44"/>
      <c r="L4" s="44"/>
      <c r="M4" s="44"/>
      <c r="N4" s="44"/>
    </row>
    <row r="5" customFormat="false" ht="15" hidden="false" customHeight="true" outlineLevel="0" collapsed="false">
      <c r="A5" s="45" t="n">
        <f aca="false">IFERROR(INDEX(K$5:K$400,MATCH(ROW()-4,J$5:J$400,0)),"")</f>
        <v>46214</v>
      </c>
      <c r="B5" s="46" t="n">
        <f aca="false">IF($A5="","",SUMPRODUCT((MOVIMIENTOS!$B$5:$B$400="SALDO INICIAL")*(MOVIMIENTOS!$C$5:$C$400="A")*(MOVIMIENTOS!$D$5:$D$400="jabas")*(MOVIMIENTOS!$A$5:$A$400&lt;&gt;"")*(MOVIMIENTOS!$A$5:$A$400&lt;=$A5)*MOVIMIENTOS!$E$5:$E$400)+SUMPRODUCT((MOVIMIENTOS!$B$5:$B$400="PROCESO")*(MOVIMIENTOS!$C$5:$C$400="A")*(MOVIMIENTOS!$D$5:$D$400="jabas")*(MOVIMIENTOS!$A$5:$A$400&lt;&gt;"")*(MOVIMIENTOS!$A$5:$A$400&lt;=$A5)*MOVIMIENTOS!$E$5:$E$400)-SUMPRODUCT((MOVIMIENTOS!$B$5:$B$400="ENVÍO A SUPESA")*(MOVIMIENTOS!$C$5:$C$400="A")*(MOVIMIENTOS!$D$5:$D$400="jabas")*(MOVIMIENTOS!$A$5:$A$400&lt;&gt;"")*(MOVIMIENTOS!$A$5:$A$400&lt;=$A5)*MOVIMIENTOS!$E$5:$E$400)+SUMPRODUCT((MOVIMIENTOS!$B$5:$B$400="DEVOLUCIÓN")*(MOVIMIENTOS!$C$5:$C$400="A")*(MOVIMIENTOS!$D$5:$D$400="jabas")*(MOVIMIENTOS!$A$5:$A$400&lt;&gt;"")*(MOVIMIENTOS!$A$5:$A$400&lt;=$A5)*MOVIMIENTOS!$E$5:$E$400)-SUMPRODUCT((MOVIMIENTOS!$B$5:$B$400="TRASIEGO")*(MOVIMIENTOS!$C$5:$C$400="A")*(MOVIMIENTOS!$D$5:$D$400="jabas")*(MOVIMIENTOS!$A$5:$A$400&lt;&gt;"")*(MOVIMIENTOS!$A$5:$A$400&lt;=$A5)*MOVIMIENTOS!$E$5:$E$400)-SUMPRODUCT((MOVIMIENTOS!$B$5:$B$400="REGALO")*(MOVIMIENTOS!$C$5:$C$400="A")*(MOVIMIENTOS!$D$5:$D$400="jabas")*(MOVIMIENTOS!$A$5:$A$400&lt;&gt;"")*(MOVIMIENTOS!$A$5:$A$400&lt;=$A5)*MOVIMIENTOS!$E$5:$E$400)-SUMPRODUCT((MOVIMIENTOS!$B$5:$B$400="VENTA")*(MOVIMIENTOS!$C$5:$C$400="A")*(MOVIMIENTOS!$D$5:$D$400="jabas")*(MOVIMIENTOS!$A$5:$A$400&lt;&gt;"")*(MOVIMIENTOS!$A$5:$A$400&lt;=$A5)*MOVIMIENTOS!$E$5:$E$400)+SUMPRODUCT((MOVIMIENTOS!$B$5:$B$400="AJUSTE")*(MOVIMIENTOS!$C$5:$C$400="A")*(MOVIMIENTOS!$D$5:$D$400="jabas")*(MOVIMIENTOS!$A$5:$A$400&lt;&gt;"")*(MOVIMIENTOS!$A$5:$A$400&lt;=$A5)*MOVIMIENTOS!$E$5:$E$400))</f>
        <v>2</v>
      </c>
      <c r="C5" s="46" t="n">
        <f aca="false">IF($A5="","",SUMPRODUCT((MOVIMIENTOS!$B$5:$B$400="SALDO INICIAL")*(MOVIMIENTOS!$C$5:$C$400="P")*(MOVIMIENTOS!$D$5:$D$400="jabas")*(MOVIMIENTOS!$A$5:$A$400&lt;&gt;"")*(MOVIMIENTOS!$A$5:$A$400&lt;=$A5)*MOVIMIENTOS!$E$5:$E$400)+SUMPRODUCT((MOVIMIENTOS!$B$5:$B$400="PROCESO")*(MOVIMIENTOS!$C$5:$C$400="P")*(MOVIMIENTOS!$D$5:$D$400="jabas")*(MOVIMIENTOS!$A$5:$A$400&lt;&gt;"")*(MOVIMIENTOS!$A$5:$A$400&lt;=$A5)*MOVIMIENTOS!$E$5:$E$400)-SUMPRODUCT((MOVIMIENTOS!$B$5:$B$400="ENVÍO A SUPESA")*(MOVIMIENTOS!$C$5:$C$400="P")*(MOVIMIENTOS!$D$5:$D$400="jabas")*(MOVIMIENTOS!$A$5:$A$400&lt;&gt;"")*(MOVIMIENTOS!$A$5:$A$400&lt;=$A5)*MOVIMIENTOS!$E$5:$E$400)+SUMPRODUCT((MOVIMIENTOS!$B$5:$B$400="DEVOLUCIÓN")*(MOVIMIENTOS!$C$5:$C$400="P")*(MOVIMIENTOS!$D$5:$D$400="jabas")*(MOVIMIENTOS!$A$5:$A$400&lt;&gt;"")*(MOVIMIENTOS!$A$5:$A$400&lt;=$A5)*MOVIMIENTOS!$E$5:$E$400)-SUMPRODUCT((MOVIMIENTOS!$B$5:$B$400="TRASIEGO")*(MOVIMIENTOS!$C$5:$C$400="P")*(MOVIMIENTOS!$D$5:$D$400="jabas")*(MOVIMIENTOS!$A$5:$A$400&lt;&gt;"")*(MOVIMIENTOS!$A$5:$A$400&lt;=$A5)*MOVIMIENTOS!$E$5:$E$400)-SUMPRODUCT((MOVIMIENTOS!$B$5:$B$400="REGALO")*(MOVIMIENTOS!$C$5:$C$400="P")*(MOVIMIENTOS!$D$5:$D$400="jabas")*(MOVIMIENTOS!$A$5:$A$400&lt;&gt;"")*(MOVIMIENTOS!$A$5:$A$400&lt;=$A5)*MOVIMIENTOS!$E$5:$E$400)-SUMPRODUCT((MOVIMIENTOS!$B$5:$B$400="VENTA")*(MOVIMIENTOS!$C$5:$C$400="P")*(MOVIMIENTOS!$D$5:$D$400="jabas")*(MOVIMIENTOS!$A$5:$A$400&lt;&gt;"")*(MOVIMIENTOS!$A$5:$A$400&lt;=$A5)*MOVIMIENTOS!$E$5:$E$400)+SUMPRODUCT((MOVIMIENTOS!$B$5:$B$400="AJUSTE")*(MOVIMIENTOS!$C$5:$C$400="P")*(MOVIMIENTOS!$D$5:$D$400="jabas")*(MOVIMIENTOS!$A$5:$A$400&lt;&gt;"")*(MOVIMIENTOS!$A$5:$A$400&lt;=$A5)*MOVIMIENTOS!$E$5:$E$400))</f>
        <v>0</v>
      </c>
      <c r="D5" s="46" t="n">
        <f aca="false">IF($A5="","",SUMPRODUCT((MOVIMIENTOS!$B$5:$B$400="SALDO INICIAL")*(MOVIMIENTOS!$C$5:$C$400="C")*(MOVIMIENTOS!$D$5:$D$400="jabas")*(MOVIMIENTOS!$A$5:$A$400&lt;&gt;"")*(MOVIMIENTOS!$A$5:$A$400&lt;=$A5)*MOVIMIENTOS!$E$5:$E$400)+SUMPRODUCT((MOVIMIENTOS!$B$5:$B$400="PROCESO")*(MOVIMIENTOS!$C$5:$C$400="C")*(MOVIMIENTOS!$D$5:$D$400="jabas")*(MOVIMIENTOS!$A$5:$A$400&lt;&gt;"")*(MOVIMIENTOS!$A$5:$A$400&lt;=$A5)*MOVIMIENTOS!$E$5:$E$400)-SUMPRODUCT((MOVIMIENTOS!$B$5:$B$400="ENVÍO A SUPESA")*(MOVIMIENTOS!$C$5:$C$400="C")*(MOVIMIENTOS!$D$5:$D$400="jabas")*(MOVIMIENTOS!$A$5:$A$400&lt;&gt;"")*(MOVIMIENTOS!$A$5:$A$400&lt;=$A5)*MOVIMIENTOS!$E$5:$E$400)+SUMPRODUCT((MOVIMIENTOS!$B$5:$B$400="DEVOLUCIÓN")*(MOVIMIENTOS!$C$5:$C$400="C")*(MOVIMIENTOS!$D$5:$D$400="jabas")*(MOVIMIENTOS!$A$5:$A$400&lt;&gt;"")*(MOVIMIENTOS!$A$5:$A$400&lt;=$A5)*MOVIMIENTOS!$E$5:$E$400)-SUMPRODUCT((MOVIMIENTOS!$B$5:$B$400="TRASIEGO")*(MOVIMIENTOS!$C$5:$C$400="C")*(MOVIMIENTOS!$D$5:$D$400="jabas")*(MOVIMIENTOS!$A$5:$A$400&lt;&gt;"")*(MOVIMIENTOS!$A$5:$A$400&lt;=$A5)*MOVIMIENTOS!$E$5:$E$400)-SUMPRODUCT((MOVIMIENTOS!$B$5:$B$400="REGALO")*(MOVIMIENTOS!$C$5:$C$400="C")*(MOVIMIENTOS!$D$5:$D$400="jabas")*(MOVIMIENTOS!$A$5:$A$400&lt;&gt;"")*(MOVIMIENTOS!$A$5:$A$400&lt;=$A5)*MOVIMIENTOS!$E$5:$E$400)-SUMPRODUCT((MOVIMIENTOS!$B$5:$B$400="VENTA")*(MOVIMIENTOS!$C$5:$C$400="C")*(MOVIMIENTOS!$D$5:$D$400="jabas")*(MOVIMIENTOS!$A$5:$A$400&lt;&gt;"")*(MOVIMIENTOS!$A$5:$A$400&lt;=$A5)*MOVIMIENTOS!$E$5:$E$400)+SUMPRODUCT((MOVIMIENTOS!$B$5:$B$400="AJUSTE")*(MOVIMIENTOS!$C$5:$C$400="C")*(MOVIMIENTOS!$D$5:$D$400="jabas")*(MOVIMIENTOS!$A$5:$A$400&lt;&gt;"")*(MOVIMIENTOS!$A$5:$A$400&lt;=$A5)*MOVIMIENTOS!$E$5:$E$400))</f>
        <v>0</v>
      </c>
      <c r="E5" s="46" t="n">
        <f aca="false">IF($A5="","",SUMPRODUCT((MOVIMIENTOS!$B$5:$B$400="SALDO INICIAL")*(MOVIMIENTOS!$C$5:$C$400="M")*(MOVIMIENTOS!$D$5:$D$400="jabas")*(MOVIMIENTOS!$A$5:$A$400&lt;&gt;"")*(MOVIMIENTOS!$A$5:$A$400&lt;=$A5)*MOVIMIENTOS!$E$5:$E$400)+SUMPRODUCT((MOVIMIENTOS!$B$5:$B$400="PROCESO")*(MOVIMIENTOS!$C$5:$C$400="M")*(MOVIMIENTOS!$D$5:$D$400="jabas")*(MOVIMIENTOS!$A$5:$A$400&lt;&gt;"")*(MOVIMIENTOS!$A$5:$A$400&lt;=$A5)*MOVIMIENTOS!$E$5:$E$400)-SUMPRODUCT((MOVIMIENTOS!$B$5:$B$400="ENVÍO A SUPESA")*(MOVIMIENTOS!$C$5:$C$400="M")*(MOVIMIENTOS!$D$5:$D$400="jabas")*(MOVIMIENTOS!$A$5:$A$400&lt;&gt;"")*(MOVIMIENTOS!$A$5:$A$400&lt;=$A5)*MOVIMIENTOS!$E$5:$E$400)+SUMPRODUCT((MOVIMIENTOS!$B$5:$B$400="DEVOLUCIÓN")*(MOVIMIENTOS!$C$5:$C$400="M")*(MOVIMIENTOS!$D$5:$D$400="jabas")*(MOVIMIENTOS!$A$5:$A$400&lt;&gt;"")*(MOVIMIENTOS!$A$5:$A$400&lt;=$A5)*MOVIMIENTOS!$E$5:$E$400)-SUMPRODUCT((MOVIMIENTOS!$B$5:$B$400="TRASIEGO")*(MOVIMIENTOS!$C$5:$C$400="M")*(MOVIMIENTOS!$D$5:$D$400="jabas")*(MOVIMIENTOS!$A$5:$A$400&lt;&gt;"")*(MOVIMIENTOS!$A$5:$A$400&lt;=$A5)*MOVIMIENTOS!$E$5:$E$400)-SUMPRODUCT((MOVIMIENTOS!$B$5:$B$400="REGALO")*(MOVIMIENTOS!$C$5:$C$400="M")*(MOVIMIENTOS!$D$5:$D$400="jabas")*(MOVIMIENTOS!$A$5:$A$400&lt;&gt;"")*(MOVIMIENTOS!$A$5:$A$400&lt;=$A5)*MOVIMIENTOS!$E$5:$E$400)-SUMPRODUCT((MOVIMIENTOS!$B$5:$B$400="VENTA")*(MOVIMIENTOS!$C$5:$C$400="M")*(MOVIMIENTOS!$D$5:$D$400="jabas")*(MOVIMIENTOS!$A$5:$A$400&lt;&gt;"")*(MOVIMIENTOS!$A$5:$A$400&lt;=$A5)*MOVIMIENTOS!$E$5:$E$400)+SUMPRODUCT((MOVIMIENTOS!$B$5:$B$400="AJUSTE")*(MOVIMIENTOS!$C$5:$C$400="M")*(MOVIMIENTOS!$D$5:$D$400="jabas")*(MOVIMIENTOS!$A$5:$A$400&lt;&gt;"")*(MOVIMIENTOS!$A$5:$A$400&lt;=$A5)*MOVIMIENTOS!$E$5:$E$400))</f>
        <v>8</v>
      </c>
      <c r="F5" s="46" t="n">
        <f aca="false">IF($A5="","",SUMPRODUCT((MOVIMIENTOS!$B$5:$B$400="SALDO INICIAL")*(MOVIMIENTOS!$C$5:$C$400="Chancho")*(MOVIMIENTOS!$D$5:$D$400="sacos")*(MOVIMIENTOS!$A$5:$A$400&lt;&gt;"")*(MOVIMIENTOS!$A$5:$A$400&lt;=$A5)*MOVIMIENTOS!$E$5:$E$400)+SUMPRODUCT((MOVIMIENTOS!$B$5:$B$400="PROCESO")*(MOVIMIENTOS!$C$5:$C$400="Chancho")*(MOVIMIENTOS!$D$5:$D$400="sacos")*(MOVIMIENTOS!$A$5:$A$400&lt;&gt;"")*(MOVIMIENTOS!$A$5:$A$400&lt;=$A5)*MOVIMIENTOS!$E$5:$E$400)-SUMPRODUCT((MOVIMIENTOS!$B$5:$B$400="VENTA CHANCHO")*(MOVIMIENTOS!$C$5:$C$400="Chancho")*(MOVIMIENTOS!$D$5:$D$400="sacos")*(MOVIMIENTOS!$A$5:$A$400&lt;&gt;"")*(MOVIMIENTOS!$A$5:$A$400&lt;=$A5)*MOVIMIENTOS!$E$5:$E$400)-SUMPRODUCT((MOVIMIENTOS!$B$5:$B$400="REGALO")*(MOVIMIENTOS!$C$5:$C$400="Chancho")*(MOVIMIENTOS!$D$5:$D$400="sacos")*(MOVIMIENTOS!$A$5:$A$400&lt;&gt;"")*(MOVIMIENTOS!$A$5:$A$400&lt;=$A5)*MOVIMIENTOS!$E$5:$E$400)-SUMPRODUCT((MOVIMIENTOS!$B$5:$B$400="VENTA")*(MOVIMIENTOS!$C$5:$C$400="Chancho")*(MOVIMIENTOS!$D$5:$D$400="sacos")*(MOVIMIENTOS!$A$5:$A$400&lt;&gt;"")*(MOVIMIENTOS!$A$5:$A$400&lt;=$A5)*MOVIMIENTOS!$E$5:$E$400)+SUMPRODUCT((MOVIMIENTOS!$B$5:$B$400="AJUSTE")*(MOVIMIENTOS!$C$5:$C$400="Chancho")*(MOVIMIENTOS!$D$5:$D$400="sacos")*(MOVIMIENTOS!$A$5:$A$400&lt;&gt;"")*(MOVIMIENTOS!$A$5:$A$400&lt;=$A5)*MOVIMIENTOS!$E$5:$E$400))</f>
        <v>20</v>
      </c>
      <c r="G5" s="46" t="n">
        <f aca="false">IF($A5="","",SUM(B5:E5))</f>
        <v>10</v>
      </c>
      <c r="H5" s="46" t="n">
        <f aca="false">IF($A5="","",SUMPRODUCT((((MOVIMIENTOS!$B$5:$B$400="SALDO INICIAL")*(MOVIMIENTOS!$C$5:$C$400&lt;&gt;"Chancho"))+(MOVIMIENTOS!$B$5:$B$400="COMPRA")+(MOVIMIENTOS!$B$5:$B$400="REPROCESO")+(MOVIMIENTOS!$B$5:$B$400="DEVOLUCIÓN")+((MOVIMIENTOS!$B$5:$B$400="AJUSTE")*(MOVIMIENTOS!$C$5:$C$400&lt;&gt;"Chancho")))*(MOVIMIENTOS!$A$5:$A$400&lt;&gt;"")*(MOVIMIENTOS!$A$5:$A$400&lt;=$A5)*MOVIMIENTOS!$I$5:$I$400)-SUMPRODUCT(((MOVIMIENTOS!$B$5:$B$400="ENVÍO A SUPESA")+(MOVIMIENTOS!$B$5:$B$400="ENVÍO A TOTTUS")+(MOVIMIENTOS!$B$5:$B$400="ENVIO A TOTTUS")+(MOVIMIENTOS!$B$5:$B$400="MALOGRADO")+(MOVIMIENTOS!$B$5:$B$400="OTRA SALIDA")+((MOVIMIENTOS!$B$5:$B$400="PROCESO")*(MOVIMIENTOS!$C$5:$C$400="Chancho"))+((MOVIMIENTOS!$B$5:$B$400="REGALO")*(MOVIMIENTOS!$C$5:$C$400&lt;&gt;"Chancho"))+((MOVIMIENTOS!$B$5:$B$400="VENTA")*(MOVIMIENTOS!$C$5:$C$400&lt;&gt;"Chancho")))*(MOVIMIENTOS!$A$5:$A$400&lt;&gt;"")*(MOVIMIENTOS!$A$5:$A$400&lt;=$A5)*MOVIMIENTOS!$I$5:$I$400))</f>
        <v>166</v>
      </c>
      <c r="I5" s="44"/>
      <c r="J5" s="44" t="n">
        <f aca="false">IF(MOVIMIENTOS!$A$5&lt;&gt;"",1,"")</f>
        <v>1</v>
      </c>
      <c r="K5" s="47" t="n">
        <f aca="false">MOVIMIENTOS!$A5</f>
        <v>46214</v>
      </c>
      <c r="L5" s="44"/>
      <c r="M5" s="44"/>
      <c r="N5" s="44"/>
    </row>
    <row r="6" customFormat="false" ht="15" hidden="false" customHeight="true" outlineLevel="0" collapsed="false">
      <c r="A6" s="45" t="n">
        <f aca="false">IFERROR(INDEX(K$5:K$400,MATCH(ROW()-4,J$5:J$400,0)),"")</f>
        <v>46215</v>
      </c>
      <c r="B6" s="46" t="n">
        <f aca="false">IF($A6="","",SUMPRODUCT((MOVIMIENTOS!$B$5:$B$400="SALDO INICIAL")*(MOVIMIENTOS!$C$5:$C$400="A")*(MOVIMIENTOS!$D$5:$D$400="jabas")*(MOVIMIENTOS!$A$5:$A$400&lt;&gt;"")*(MOVIMIENTOS!$A$5:$A$400&lt;=$A6)*MOVIMIENTOS!$E$5:$E$400)+SUMPRODUCT((MOVIMIENTOS!$B$5:$B$400="PROCESO")*(MOVIMIENTOS!$C$5:$C$400="A")*(MOVIMIENTOS!$D$5:$D$400="jabas")*(MOVIMIENTOS!$A$5:$A$400&lt;&gt;"")*(MOVIMIENTOS!$A$5:$A$400&lt;=$A6)*MOVIMIENTOS!$E$5:$E$400)-SUMPRODUCT((MOVIMIENTOS!$B$5:$B$400="ENVÍO A SUPESA")*(MOVIMIENTOS!$C$5:$C$400="A")*(MOVIMIENTOS!$D$5:$D$400="jabas")*(MOVIMIENTOS!$A$5:$A$400&lt;&gt;"")*(MOVIMIENTOS!$A$5:$A$400&lt;=$A6)*MOVIMIENTOS!$E$5:$E$400)+SUMPRODUCT((MOVIMIENTOS!$B$5:$B$400="DEVOLUCIÓN")*(MOVIMIENTOS!$C$5:$C$400="A")*(MOVIMIENTOS!$D$5:$D$400="jabas")*(MOVIMIENTOS!$A$5:$A$400&lt;&gt;"")*(MOVIMIENTOS!$A$5:$A$400&lt;=$A6)*MOVIMIENTOS!$E$5:$E$400)-SUMPRODUCT((MOVIMIENTOS!$B$5:$B$400="TRASIEGO")*(MOVIMIENTOS!$C$5:$C$400="A")*(MOVIMIENTOS!$D$5:$D$400="jabas")*(MOVIMIENTOS!$A$5:$A$400&lt;&gt;"")*(MOVIMIENTOS!$A$5:$A$400&lt;=$A6)*MOVIMIENTOS!$E$5:$E$400)-SUMPRODUCT((MOVIMIENTOS!$B$5:$B$400="REGALO")*(MOVIMIENTOS!$C$5:$C$400="A")*(MOVIMIENTOS!$D$5:$D$400="jabas")*(MOVIMIENTOS!$A$5:$A$400&lt;&gt;"")*(MOVIMIENTOS!$A$5:$A$400&lt;=$A6)*MOVIMIENTOS!$E$5:$E$400)-SUMPRODUCT((MOVIMIENTOS!$B$5:$B$400="VENTA")*(MOVIMIENTOS!$C$5:$C$400="A")*(MOVIMIENTOS!$D$5:$D$400="jabas")*(MOVIMIENTOS!$A$5:$A$400&lt;&gt;"")*(MOVIMIENTOS!$A$5:$A$400&lt;=$A6)*MOVIMIENTOS!$E$5:$E$400)+SUMPRODUCT((MOVIMIENTOS!$B$5:$B$400="AJUSTE")*(MOVIMIENTOS!$C$5:$C$400="A")*(MOVIMIENTOS!$D$5:$D$400="jabas")*(MOVIMIENTOS!$A$5:$A$400&lt;&gt;"")*(MOVIMIENTOS!$A$5:$A$400&lt;=$A6)*MOVIMIENTOS!$E$5:$E$400))</f>
        <v>-6</v>
      </c>
      <c r="C6" s="46" t="n">
        <f aca="false">IF($A6="","",SUMPRODUCT((MOVIMIENTOS!$B$5:$B$400="SALDO INICIAL")*(MOVIMIENTOS!$C$5:$C$400="P")*(MOVIMIENTOS!$D$5:$D$400="jabas")*(MOVIMIENTOS!$A$5:$A$400&lt;&gt;"")*(MOVIMIENTOS!$A$5:$A$400&lt;=$A6)*MOVIMIENTOS!$E$5:$E$400)+SUMPRODUCT((MOVIMIENTOS!$B$5:$B$400="PROCESO")*(MOVIMIENTOS!$C$5:$C$400="P")*(MOVIMIENTOS!$D$5:$D$400="jabas")*(MOVIMIENTOS!$A$5:$A$400&lt;&gt;"")*(MOVIMIENTOS!$A$5:$A$400&lt;=$A6)*MOVIMIENTOS!$E$5:$E$400)-SUMPRODUCT((MOVIMIENTOS!$B$5:$B$400="ENVÍO A SUPESA")*(MOVIMIENTOS!$C$5:$C$400="P")*(MOVIMIENTOS!$D$5:$D$400="jabas")*(MOVIMIENTOS!$A$5:$A$400&lt;&gt;"")*(MOVIMIENTOS!$A$5:$A$400&lt;=$A6)*MOVIMIENTOS!$E$5:$E$400)+SUMPRODUCT((MOVIMIENTOS!$B$5:$B$400="DEVOLUCIÓN")*(MOVIMIENTOS!$C$5:$C$400="P")*(MOVIMIENTOS!$D$5:$D$400="jabas")*(MOVIMIENTOS!$A$5:$A$400&lt;&gt;"")*(MOVIMIENTOS!$A$5:$A$400&lt;=$A6)*MOVIMIENTOS!$E$5:$E$400)-SUMPRODUCT((MOVIMIENTOS!$B$5:$B$400="TRASIEGO")*(MOVIMIENTOS!$C$5:$C$400="P")*(MOVIMIENTOS!$D$5:$D$400="jabas")*(MOVIMIENTOS!$A$5:$A$400&lt;&gt;"")*(MOVIMIENTOS!$A$5:$A$400&lt;=$A6)*MOVIMIENTOS!$E$5:$E$400)-SUMPRODUCT((MOVIMIENTOS!$B$5:$B$400="REGALO")*(MOVIMIENTOS!$C$5:$C$400="P")*(MOVIMIENTOS!$D$5:$D$400="jabas")*(MOVIMIENTOS!$A$5:$A$400&lt;&gt;"")*(MOVIMIENTOS!$A$5:$A$400&lt;=$A6)*MOVIMIENTOS!$E$5:$E$400)-SUMPRODUCT((MOVIMIENTOS!$B$5:$B$400="VENTA")*(MOVIMIENTOS!$C$5:$C$400="P")*(MOVIMIENTOS!$D$5:$D$400="jabas")*(MOVIMIENTOS!$A$5:$A$400&lt;&gt;"")*(MOVIMIENTOS!$A$5:$A$400&lt;=$A6)*MOVIMIENTOS!$E$5:$E$400)+SUMPRODUCT((MOVIMIENTOS!$B$5:$B$400="AJUSTE")*(MOVIMIENTOS!$C$5:$C$400="P")*(MOVIMIENTOS!$D$5:$D$400="jabas")*(MOVIMIENTOS!$A$5:$A$400&lt;&gt;"")*(MOVIMIENTOS!$A$5:$A$400&lt;=$A6)*MOVIMIENTOS!$E$5:$E$400))</f>
        <v>0</v>
      </c>
      <c r="D6" s="46" t="n">
        <f aca="false">IF($A6="","",SUMPRODUCT((MOVIMIENTOS!$B$5:$B$400="SALDO INICIAL")*(MOVIMIENTOS!$C$5:$C$400="C")*(MOVIMIENTOS!$D$5:$D$400="jabas")*(MOVIMIENTOS!$A$5:$A$400&lt;&gt;"")*(MOVIMIENTOS!$A$5:$A$400&lt;=$A6)*MOVIMIENTOS!$E$5:$E$400)+SUMPRODUCT((MOVIMIENTOS!$B$5:$B$400="PROCESO")*(MOVIMIENTOS!$C$5:$C$400="C")*(MOVIMIENTOS!$D$5:$D$400="jabas")*(MOVIMIENTOS!$A$5:$A$400&lt;&gt;"")*(MOVIMIENTOS!$A$5:$A$400&lt;=$A6)*MOVIMIENTOS!$E$5:$E$400)-SUMPRODUCT((MOVIMIENTOS!$B$5:$B$400="ENVÍO A SUPESA")*(MOVIMIENTOS!$C$5:$C$400="C")*(MOVIMIENTOS!$D$5:$D$400="jabas")*(MOVIMIENTOS!$A$5:$A$400&lt;&gt;"")*(MOVIMIENTOS!$A$5:$A$400&lt;=$A6)*MOVIMIENTOS!$E$5:$E$400)+SUMPRODUCT((MOVIMIENTOS!$B$5:$B$400="DEVOLUCIÓN")*(MOVIMIENTOS!$C$5:$C$400="C")*(MOVIMIENTOS!$D$5:$D$400="jabas")*(MOVIMIENTOS!$A$5:$A$400&lt;&gt;"")*(MOVIMIENTOS!$A$5:$A$400&lt;=$A6)*MOVIMIENTOS!$E$5:$E$400)-SUMPRODUCT((MOVIMIENTOS!$B$5:$B$400="TRASIEGO")*(MOVIMIENTOS!$C$5:$C$400="C")*(MOVIMIENTOS!$D$5:$D$400="jabas")*(MOVIMIENTOS!$A$5:$A$400&lt;&gt;"")*(MOVIMIENTOS!$A$5:$A$400&lt;=$A6)*MOVIMIENTOS!$E$5:$E$400)-SUMPRODUCT((MOVIMIENTOS!$B$5:$B$400="REGALO")*(MOVIMIENTOS!$C$5:$C$400="C")*(MOVIMIENTOS!$D$5:$D$400="jabas")*(MOVIMIENTOS!$A$5:$A$400&lt;&gt;"")*(MOVIMIENTOS!$A$5:$A$400&lt;=$A6)*MOVIMIENTOS!$E$5:$E$400)-SUMPRODUCT((MOVIMIENTOS!$B$5:$B$400="VENTA")*(MOVIMIENTOS!$C$5:$C$400="C")*(MOVIMIENTOS!$D$5:$D$400="jabas")*(MOVIMIENTOS!$A$5:$A$400&lt;&gt;"")*(MOVIMIENTOS!$A$5:$A$400&lt;=$A6)*MOVIMIENTOS!$E$5:$E$400)+SUMPRODUCT((MOVIMIENTOS!$B$5:$B$400="AJUSTE")*(MOVIMIENTOS!$C$5:$C$400="C")*(MOVIMIENTOS!$D$5:$D$400="jabas")*(MOVIMIENTOS!$A$5:$A$400&lt;&gt;"")*(MOVIMIENTOS!$A$5:$A$400&lt;=$A6)*MOVIMIENTOS!$E$5:$E$400))</f>
        <v>0</v>
      </c>
      <c r="E6" s="46" t="n">
        <f aca="false">IF($A6="","",SUMPRODUCT((MOVIMIENTOS!$B$5:$B$400="SALDO INICIAL")*(MOVIMIENTOS!$C$5:$C$400="M")*(MOVIMIENTOS!$D$5:$D$400="jabas")*(MOVIMIENTOS!$A$5:$A$400&lt;&gt;"")*(MOVIMIENTOS!$A$5:$A$400&lt;=$A6)*MOVIMIENTOS!$E$5:$E$400)+SUMPRODUCT((MOVIMIENTOS!$B$5:$B$400="PROCESO")*(MOVIMIENTOS!$C$5:$C$400="M")*(MOVIMIENTOS!$D$5:$D$400="jabas")*(MOVIMIENTOS!$A$5:$A$400&lt;&gt;"")*(MOVIMIENTOS!$A$5:$A$400&lt;=$A6)*MOVIMIENTOS!$E$5:$E$400)-SUMPRODUCT((MOVIMIENTOS!$B$5:$B$400="ENVÍO A SUPESA")*(MOVIMIENTOS!$C$5:$C$400="M")*(MOVIMIENTOS!$D$5:$D$400="jabas")*(MOVIMIENTOS!$A$5:$A$400&lt;&gt;"")*(MOVIMIENTOS!$A$5:$A$400&lt;=$A6)*MOVIMIENTOS!$E$5:$E$400)+SUMPRODUCT((MOVIMIENTOS!$B$5:$B$400="DEVOLUCIÓN")*(MOVIMIENTOS!$C$5:$C$400="M")*(MOVIMIENTOS!$D$5:$D$400="jabas")*(MOVIMIENTOS!$A$5:$A$400&lt;&gt;"")*(MOVIMIENTOS!$A$5:$A$400&lt;=$A6)*MOVIMIENTOS!$E$5:$E$400)-SUMPRODUCT((MOVIMIENTOS!$B$5:$B$400="TRASIEGO")*(MOVIMIENTOS!$C$5:$C$400="M")*(MOVIMIENTOS!$D$5:$D$400="jabas")*(MOVIMIENTOS!$A$5:$A$400&lt;&gt;"")*(MOVIMIENTOS!$A$5:$A$400&lt;=$A6)*MOVIMIENTOS!$E$5:$E$400)-SUMPRODUCT((MOVIMIENTOS!$B$5:$B$400="REGALO")*(MOVIMIENTOS!$C$5:$C$400="M")*(MOVIMIENTOS!$D$5:$D$400="jabas")*(MOVIMIENTOS!$A$5:$A$400&lt;&gt;"")*(MOVIMIENTOS!$A$5:$A$400&lt;=$A6)*MOVIMIENTOS!$E$5:$E$400)-SUMPRODUCT((MOVIMIENTOS!$B$5:$B$400="VENTA")*(MOVIMIENTOS!$C$5:$C$400="M")*(MOVIMIENTOS!$D$5:$D$400="jabas")*(MOVIMIENTOS!$A$5:$A$400&lt;&gt;"")*(MOVIMIENTOS!$A$5:$A$400&lt;=$A6)*MOVIMIENTOS!$E$5:$E$400)+SUMPRODUCT((MOVIMIENTOS!$B$5:$B$400="AJUSTE")*(MOVIMIENTOS!$C$5:$C$400="M")*(MOVIMIENTOS!$D$5:$D$400="jabas")*(MOVIMIENTOS!$A$5:$A$400&lt;&gt;"")*(MOVIMIENTOS!$A$5:$A$400&lt;=$A6)*MOVIMIENTOS!$E$5:$E$400))</f>
        <v>30</v>
      </c>
      <c r="F6" s="46" t="n">
        <f aca="false">IF($A6="","",SUMPRODUCT((MOVIMIENTOS!$B$5:$B$400="SALDO INICIAL")*(MOVIMIENTOS!$C$5:$C$400="Chancho")*(MOVIMIENTOS!$D$5:$D$400="sacos")*(MOVIMIENTOS!$A$5:$A$400&lt;&gt;"")*(MOVIMIENTOS!$A$5:$A$400&lt;=$A6)*MOVIMIENTOS!$E$5:$E$400)+SUMPRODUCT((MOVIMIENTOS!$B$5:$B$400="PROCESO")*(MOVIMIENTOS!$C$5:$C$400="Chancho")*(MOVIMIENTOS!$D$5:$D$400="sacos")*(MOVIMIENTOS!$A$5:$A$400&lt;&gt;"")*(MOVIMIENTOS!$A$5:$A$400&lt;=$A6)*MOVIMIENTOS!$E$5:$E$400)-SUMPRODUCT((MOVIMIENTOS!$B$5:$B$400="VENTA CHANCHO")*(MOVIMIENTOS!$C$5:$C$400="Chancho")*(MOVIMIENTOS!$D$5:$D$400="sacos")*(MOVIMIENTOS!$A$5:$A$400&lt;&gt;"")*(MOVIMIENTOS!$A$5:$A$400&lt;=$A6)*MOVIMIENTOS!$E$5:$E$400)-SUMPRODUCT((MOVIMIENTOS!$B$5:$B$400="REGALO")*(MOVIMIENTOS!$C$5:$C$400="Chancho")*(MOVIMIENTOS!$D$5:$D$400="sacos")*(MOVIMIENTOS!$A$5:$A$400&lt;&gt;"")*(MOVIMIENTOS!$A$5:$A$400&lt;=$A6)*MOVIMIENTOS!$E$5:$E$400)-SUMPRODUCT((MOVIMIENTOS!$B$5:$B$400="VENTA")*(MOVIMIENTOS!$C$5:$C$400="Chancho")*(MOVIMIENTOS!$D$5:$D$400="sacos")*(MOVIMIENTOS!$A$5:$A$400&lt;&gt;"")*(MOVIMIENTOS!$A$5:$A$400&lt;=$A6)*MOVIMIENTOS!$E$5:$E$400)+SUMPRODUCT((MOVIMIENTOS!$B$5:$B$400="AJUSTE")*(MOVIMIENTOS!$C$5:$C$400="Chancho")*(MOVIMIENTOS!$D$5:$D$400="sacos")*(MOVIMIENTOS!$A$5:$A$400&lt;&gt;"")*(MOVIMIENTOS!$A$5:$A$400&lt;=$A6)*MOVIMIENTOS!$E$5:$E$400))</f>
        <v>26</v>
      </c>
      <c r="G6" s="46" t="n">
        <f aca="false">IF($A6="","",SUM(B6:E6))</f>
        <v>24</v>
      </c>
      <c r="H6" s="46" t="n">
        <f aca="false">IF($A6="","",SUMPRODUCT((((MOVIMIENTOS!$B$5:$B$400="SALDO INICIAL")*(MOVIMIENTOS!$C$5:$C$400&lt;&gt;"Chancho"))+(MOVIMIENTOS!$B$5:$B$400="COMPRA")+(MOVIMIENTOS!$B$5:$B$400="REPROCESO")+(MOVIMIENTOS!$B$5:$B$400="DEVOLUCIÓN")+((MOVIMIENTOS!$B$5:$B$400="AJUSTE")*(MOVIMIENTOS!$C$5:$C$400&lt;&gt;"Chancho")))*(MOVIMIENTOS!$A$5:$A$400&lt;&gt;"")*(MOVIMIENTOS!$A$5:$A$400&lt;=$A6)*MOVIMIENTOS!$I$5:$I$400)-SUMPRODUCT(((MOVIMIENTOS!$B$5:$B$400="ENVÍO A SUPESA")+(MOVIMIENTOS!$B$5:$B$400="ENVÍO A TOTTUS")+(MOVIMIENTOS!$B$5:$B$400="ENVIO A TOTTUS")+(MOVIMIENTOS!$B$5:$B$400="MALOGRADO")+(MOVIMIENTOS!$B$5:$B$400="OTRA SALIDA")+((MOVIMIENTOS!$B$5:$B$400="PROCESO")*(MOVIMIENTOS!$C$5:$C$400="Chancho"))+((MOVIMIENTOS!$B$5:$B$400="REGALO")*(MOVIMIENTOS!$C$5:$C$400&lt;&gt;"Chancho"))+((MOVIMIENTOS!$B$5:$B$400="VENTA")*(MOVIMIENTOS!$C$5:$C$400&lt;&gt;"Chancho")))*(MOVIMIENTOS!$A$5:$A$400&lt;&gt;"")*(MOVIMIENTOS!$A$5:$A$400&lt;=$A6)*MOVIMIENTOS!$I$5:$I$400))</f>
        <v>373</v>
      </c>
      <c r="I6" s="44"/>
      <c r="J6" s="44" t="str">
        <f aca="false">IF(AND(MOVIMIENTOS!$A6&lt;&gt;"",COUNTIF(MOVIMIENTOS!$A$5:$A5,MOVIMIENTOS!$A6)=0),COUNT(J$4:J5)+1,"")</f>
        <v/>
      </c>
      <c r="K6" s="47" t="n">
        <f aca="false">MOVIMIENTOS!$A6</f>
        <v>46214</v>
      </c>
      <c r="L6" s="44"/>
      <c r="M6" s="44"/>
      <c r="N6" s="44"/>
    </row>
    <row r="7" customFormat="false" ht="15" hidden="false" customHeight="true" outlineLevel="0" collapsed="false">
      <c r="A7" s="45" t="n">
        <f aca="false">IFERROR(INDEX(K$5:K$400,MATCH(ROW()-4,J$5:J$400,0)),"")</f>
        <v>46216</v>
      </c>
      <c r="B7" s="46" t="n">
        <f aca="false">IF($A7="","",SUMPRODUCT((MOVIMIENTOS!$B$5:$B$400="SALDO INICIAL")*(MOVIMIENTOS!$C$5:$C$400="A")*(MOVIMIENTOS!$D$5:$D$400="jabas")*(MOVIMIENTOS!$A$5:$A$400&lt;&gt;"")*(MOVIMIENTOS!$A$5:$A$400&lt;=$A7)*MOVIMIENTOS!$E$5:$E$400)+SUMPRODUCT((MOVIMIENTOS!$B$5:$B$400="PROCESO")*(MOVIMIENTOS!$C$5:$C$400="A")*(MOVIMIENTOS!$D$5:$D$400="jabas")*(MOVIMIENTOS!$A$5:$A$400&lt;&gt;"")*(MOVIMIENTOS!$A$5:$A$400&lt;=$A7)*MOVIMIENTOS!$E$5:$E$400)-SUMPRODUCT((MOVIMIENTOS!$B$5:$B$400="ENVÍO A SUPESA")*(MOVIMIENTOS!$C$5:$C$400="A")*(MOVIMIENTOS!$D$5:$D$400="jabas")*(MOVIMIENTOS!$A$5:$A$400&lt;&gt;"")*(MOVIMIENTOS!$A$5:$A$400&lt;=$A7)*MOVIMIENTOS!$E$5:$E$400)+SUMPRODUCT((MOVIMIENTOS!$B$5:$B$400="DEVOLUCIÓN")*(MOVIMIENTOS!$C$5:$C$400="A")*(MOVIMIENTOS!$D$5:$D$400="jabas")*(MOVIMIENTOS!$A$5:$A$400&lt;&gt;"")*(MOVIMIENTOS!$A$5:$A$400&lt;=$A7)*MOVIMIENTOS!$E$5:$E$400)-SUMPRODUCT((MOVIMIENTOS!$B$5:$B$400="TRASIEGO")*(MOVIMIENTOS!$C$5:$C$400="A")*(MOVIMIENTOS!$D$5:$D$400="jabas")*(MOVIMIENTOS!$A$5:$A$400&lt;&gt;"")*(MOVIMIENTOS!$A$5:$A$400&lt;=$A7)*MOVIMIENTOS!$E$5:$E$400)-SUMPRODUCT((MOVIMIENTOS!$B$5:$B$400="REGALO")*(MOVIMIENTOS!$C$5:$C$400="A")*(MOVIMIENTOS!$D$5:$D$400="jabas")*(MOVIMIENTOS!$A$5:$A$400&lt;&gt;"")*(MOVIMIENTOS!$A$5:$A$400&lt;=$A7)*MOVIMIENTOS!$E$5:$E$400)-SUMPRODUCT((MOVIMIENTOS!$B$5:$B$400="VENTA")*(MOVIMIENTOS!$C$5:$C$400="A")*(MOVIMIENTOS!$D$5:$D$400="jabas")*(MOVIMIENTOS!$A$5:$A$400&lt;&gt;"")*(MOVIMIENTOS!$A$5:$A$400&lt;=$A7)*MOVIMIENTOS!$E$5:$E$400)+SUMPRODUCT((MOVIMIENTOS!$B$5:$B$400="AJUSTE")*(MOVIMIENTOS!$C$5:$C$400="A")*(MOVIMIENTOS!$D$5:$D$400="jabas")*(MOVIMIENTOS!$A$5:$A$400&lt;&gt;"")*(MOVIMIENTOS!$A$5:$A$400&lt;=$A7)*MOVIMIENTOS!$E$5:$E$400))</f>
        <v>34</v>
      </c>
      <c r="C7" s="46" t="n">
        <f aca="false">IF($A7="","",SUMPRODUCT((MOVIMIENTOS!$B$5:$B$400="SALDO INICIAL")*(MOVIMIENTOS!$C$5:$C$400="P")*(MOVIMIENTOS!$D$5:$D$400="jabas")*(MOVIMIENTOS!$A$5:$A$400&lt;&gt;"")*(MOVIMIENTOS!$A$5:$A$400&lt;=$A7)*MOVIMIENTOS!$E$5:$E$400)+SUMPRODUCT((MOVIMIENTOS!$B$5:$B$400="PROCESO")*(MOVIMIENTOS!$C$5:$C$400="P")*(MOVIMIENTOS!$D$5:$D$400="jabas")*(MOVIMIENTOS!$A$5:$A$400&lt;&gt;"")*(MOVIMIENTOS!$A$5:$A$400&lt;=$A7)*MOVIMIENTOS!$E$5:$E$400)-SUMPRODUCT((MOVIMIENTOS!$B$5:$B$400="ENVÍO A SUPESA")*(MOVIMIENTOS!$C$5:$C$400="P")*(MOVIMIENTOS!$D$5:$D$400="jabas")*(MOVIMIENTOS!$A$5:$A$400&lt;&gt;"")*(MOVIMIENTOS!$A$5:$A$400&lt;=$A7)*MOVIMIENTOS!$E$5:$E$400)+SUMPRODUCT((MOVIMIENTOS!$B$5:$B$400="DEVOLUCIÓN")*(MOVIMIENTOS!$C$5:$C$400="P")*(MOVIMIENTOS!$D$5:$D$400="jabas")*(MOVIMIENTOS!$A$5:$A$400&lt;&gt;"")*(MOVIMIENTOS!$A$5:$A$400&lt;=$A7)*MOVIMIENTOS!$E$5:$E$400)-SUMPRODUCT((MOVIMIENTOS!$B$5:$B$400="TRASIEGO")*(MOVIMIENTOS!$C$5:$C$400="P")*(MOVIMIENTOS!$D$5:$D$400="jabas")*(MOVIMIENTOS!$A$5:$A$400&lt;&gt;"")*(MOVIMIENTOS!$A$5:$A$400&lt;=$A7)*MOVIMIENTOS!$E$5:$E$400)-SUMPRODUCT((MOVIMIENTOS!$B$5:$B$400="REGALO")*(MOVIMIENTOS!$C$5:$C$400="P")*(MOVIMIENTOS!$D$5:$D$400="jabas")*(MOVIMIENTOS!$A$5:$A$400&lt;&gt;"")*(MOVIMIENTOS!$A$5:$A$400&lt;=$A7)*MOVIMIENTOS!$E$5:$E$400)-SUMPRODUCT((MOVIMIENTOS!$B$5:$B$400="VENTA")*(MOVIMIENTOS!$C$5:$C$400="P")*(MOVIMIENTOS!$D$5:$D$400="jabas")*(MOVIMIENTOS!$A$5:$A$400&lt;&gt;"")*(MOVIMIENTOS!$A$5:$A$400&lt;=$A7)*MOVIMIENTOS!$E$5:$E$400)+SUMPRODUCT((MOVIMIENTOS!$B$5:$B$400="AJUSTE")*(MOVIMIENTOS!$C$5:$C$400="P")*(MOVIMIENTOS!$D$5:$D$400="jabas")*(MOVIMIENTOS!$A$5:$A$400&lt;&gt;"")*(MOVIMIENTOS!$A$5:$A$400&lt;=$A7)*MOVIMIENTOS!$E$5:$E$400))</f>
        <v>0</v>
      </c>
      <c r="D7" s="46" t="n">
        <f aca="false">IF($A7="","",SUMPRODUCT((MOVIMIENTOS!$B$5:$B$400="SALDO INICIAL")*(MOVIMIENTOS!$C$5:$C$400="C")*(MOVIMIENTOS!$D$5:$D$400="jabas")*(MOVIMIENTOS!$A$5:$A$400&lt;&gt;"")*(MOVIMIENTOS!$A$5:$A$400&lt;=$A7)*MOVIMIENTOS!$E$5:$E$400)+SUMPRODUCT((MOVIMIENTOS!$B$5:$B$400="PROCESO")*(MOVIMIENTOS!$C$5:$C$400="C")*(MOVIMIENTOS!$D$5:$D$400="jabas")*(MOVIMIENTOS!$A$5:$A$400&lt;&gt;"")*(MOVIMIENTOS!$A$5:$A$400&lt;=$A7)*MOVIMIENTOS!$E$5:$E$400)-SUMPRODUCT((MOVIMIENTOS!$B$5:$B$400="ENVÍO A SUPESA")*(MOVIMIENTOS!$C$5:$C$400="C")*(MOVIMIENTOS!$D$5:$D$400="jabas")*(MOVIMIENTOS!$A$5:$A$400&lt;&gt;"")*(MOVIMIENTOS!$A$5:$A$400&lt;=$A7)*MOVIMIENTOS!$E$5:$E$400)+SUMPRODUCT((MOVIMIENTOS!$B$5:$B$400="DEVOLUCIÓN")*(MOVIMIENTOS!$C$5:$C$400="C")*(MOVIMIENTOS!$D$5:$D$400="jabas")*(MOVIMIENTOS!$A$5:$A$400&lt;&gt;"")*(MOVIMIENTOS!$A$5:$A$400&lt;=$A7)*MOVIMIENTOS!$E$5:$E$400)-SUMPRODUCT((MOVIMIENTOS!$B$5:$B$400="TRASIEGO")*(MOVIMIENTOS!$C$5:$C$400="C")*(MOVIMIENTOS!$D$5:$D$400="jabas")*(MOVIMIENTOS!$A$5:$A$400&lt;&gt;"")*(MOVIMIENTOS!$A$5:$A$400&lt;=$A7)*MOVIMIENTOS!$E$5:$E$400)-SUMPRODUCT((MOVIMIENTOS!$B$5:$B$400="REGALO")*(MOVIMIENTOS!$C$5:$C$400="C")*(MOVIMIENTOS!$D$5:$D$400="jabas")*(MOVIMIENTOS!$A$5:$A$400&lt;&gt;"")*(MOVIMIENTOS!$A$5:$A$400&lt;=$A7)*MOVIMIENTOS!$E$5:$E$400)-SUMPRODUCT((MOVIMIENTOS!$B$5:$B$400="VENTA")*(MOVIMIENTOS!$C$5:$C$400="C")*(MOVIMIENTOS!$D$5:$D$400="jabas")*(MOVIMIENTOS!$A$5:$A$400&lt;&gt;"")*(MOVIMIENTOS!$A$5:$A$400&lt;=$A7)*MOVIMIENTOS!$E$5:$E$400)+SUMPRODUCT((MOVIMIENTOS!$B$5:$B$400="AJUSTE")*(MOVIMIENTOS!$C$5:$C$400="C")*(MOVIMIENTOS!$D$5:$D$400="jabas")*(MOVIMIENTOS!$A$5:$A$400&lt;&gt;"")*(MOVIMIENTOS!$A$5:$A$400&lt;=$A7)*MOVIMIENTOS!$E$5:$E$400))</f>
        <v>0</v>
      </c>
      <c r="E7" s="46" t="n">
        <f aca="false">IF($A7="","",SUMPRODUCT((MOVIMIENTOS!$B$5:$B$400="SALDO INICIAL")*(MOVIMIENTOS!$C$5:$C$400="M")*(MOVIMIENTOS!$D$5:$D$400="jabas")*(MOVIMIENTOS!$A$5:$A$400&lt;&gt;"")*(MOVIMIENTOS!$A$5:$A$400&lt;=$A7)*MOVIMIENTOS!$E$5:$E$400)+SUMPRODUCT((MOVIMIENTOS!$B$5:$B$400="PROCESO")*(MOVIMIENTOS!$C$5:$C$400="M")*(MOVIMIENTOS!$D$5:$D$400="jabas")*(MOVIMIENTOS!$A$5:$A$400&lt;&gt;"")*(MOVIMIENTOS!$A$5:$A$400&lt;=$A7)*MOVIMIENTOS!$E$5:$E$400)-SUMPRODUCT((MOVIMIENTOS!$B$5:$B$400="ENVÍO A SUPESA")*(MOVIMIENTOS!$C$5:$C$400="M")*(MOVIMIENTOS!$D$5:$D$400="jabas")*(MOVIMIENTOS!$A$5:$A$400&lt;&gt;"")*(MOVIMIENTOS!$A$5:$A$400&lt;=$A7)*MOVIMIENTOS!$E$5:$E$400)+SUMPRODUCT((MOVIMIENTOS!$B$5:$B$400="DEVOLUCIÓN")*(MOVIMIENTOS!$C$5:$C$400="M")*(MOVIMIENTOS!$D$5:$D$400="jabas")*(MOVIMIENTOS!$A$5:$A$400&lt;&gt;"")*(MOVIMIENTOS!$A$5:$A$400&lt;=$A7)*MOVIMIENTOS!$E$5:$E$400)-SUMPRODUCT((MOVIMIENTOS!$B$5:$B$400="TRASIEGO")*(MOVIMIENTOS!$C$5:$C$400="M")*(MOVIMIENTOS!$D$5:$D$400="jabas")*(MOVIMIENTOS!$A$5:$A$400&lt;&gt;"")*(MOVIMIENTOS!$A$5:$A$400&lt;=$A7)*MOVIMIENTOS!$E$5:$E$400)-SUMPRODUCT((MOVIMIENTOS!$B$5:$B$400="REGALO")*(MOVIMIENTOS!$C$5:$C$400="M")*(MOVIMIENTOS!$D$5:$D$400="jabas")*(MOVIMIENTOS!$A$5:$A$400&lt;&gt;"")*(MOVIMIENTOS!$A$5:$A$400&lt;=$A7)*MOVIMIENTOS!$E$5:$E$400)-SUMPRODUCT((MOVIMIENTOS!$B$5:$B$400="VENTA")*(MOVIMIENTOS!$C$5:$C$400="M")*(MOVIMIENTOS!$D$5:$D$400="jabas")*(MOVIMIENTOS!$A$5:$A$400&lt;&gt;"")*(MOVIMIENTOS!$A$5:$A$400&lt;=$A7)*MOVIMIENTOS!$E$5:$E$400)+SUMPRODUCT((MOVIMIENTOS!$B$5:$B$400="AJUSTE")*(MOVIMIENTOS!$C$5:$C$400="M")*(MOVIMIENTOS!$D$5:$D$400="jabas")*(MOVIMIENTOS!$A$5:$A$400&lt;&gt;"")*(MOVIMIENTOS!$A$5:$A$400&lt;=$A7)*MOVIMIENTOS!$E$5:$E$400))</f>
        <v>43</v>
      </c>
      <c r="F7" s="46" t="n">
        <f aca="false">IF($A7="","",SUMPRODUCT((MOVIMIENTOS!$B$5:$B$400="SALDO INICIAL")*(MOVIMIENTOS!$C$5:$C$400="Chancho")*(MOVIMIENTOS!$D$5:$D$400="sacos")*(MOVIMIENTOS!$A$5:$A$400&lt;&gt;"")*(MOVIMIENTOS!$A$5:$A$400&lt;=$A7)*MOVIMIENTOS!$E$5:$E$400)+SUMPRODUCT((MOVIMIENTOS!$B$5:$B$400="PROCESO")*(MOVIMIENTOS!$C$5:$C$400="Chancho")*(MOVIMIENTOS!$D$5:$D$400="sacos")*(MOVIMIENTOS!$A$5:$A$400&lt;&gt;"")*(MOVIMIENTOS!$A$5:$A$400&lt;=$A7)*MOVIMIENTOS!$E$5:$E$400)-SUMPRODUCT((MOVIMIENTOS!$B$5:$B$400="VENTA CHANCHO")*(MOVIMIENTOS!$C$5:$C$400="Chancho")*(MOVIMIENTOS!$D$5:$D$400="sacos")*(MOVIMIENTOS!$A$5:$A$400&lt;&gt;"")*(MOVIMIENTOS!$A$5:$A$400&lt;=$A7)*MOVIMIENTOS!$E$5:$E$400)-SUMPRODUCT((MOVIMIENTOS!$B$5:$B$400="REGALO")*(MOVIMIENTOS!$C$5:$C$400="Chancho")*(MOVIMIENTOS!$D$5:$D$400="sacos")*(MOVIMIENTOS!$A$5:$A$400&lt;&gt;"")*(MOVIMIENTOS!$A$5:$A$400&lt;=$A7)*MOVIMIENTOS!$E$5:$E$400)-SUMPRODUCT((MOVIMIENTOS!$B$5:$B$400="VENTA")*(MOVIMIENTOS!$C$5:$C$400="Chancho")*(MOVIMIENTOS!$D$5:$D$400="sacos")*(MOVIMIENTOS!$A$5:$A$400&lt;&gt;"")*(MOVIMIENTOS!$A$5:$A$400&lt;=$A7)*MOVIMIENTOS!$E$5:$E$400)+SUMPRODUCT((MOVIMIENTOS!$B$5:$B$400="AJUSTE")*(MOVIMIENTOS!$C$5:$C$400="Chancho")*(MOVIMIENTOS!$D$5:$D$400="sacos")*(MOVIMIENTOS!$A$5:$A$400&lt;&gt;"")*(MOVIMIENTOS!$A$5:$A$400&lt;=$A7)*MOVIMIENTOS!$E$5:$E$400))</f>
        <v>28</v>
      </c>
      <c r="G7" s="46" t="n">
        <f aca="false">IF($A7="","",SUM(B7:E7))</f>
        <v>77</v>
      </c>
      <c r="H7" s="46" t="n">
        <f aca="false">IF($A7="","",SUMPRODUCT((((MOVIMIENTOS!$B$5:$B$400="SALDO INICIAL")*(MOVIMIENTOS!$C$5:$C$400&lt;&gt;"Chancho"))+(MOVIMIENTOS!$B$5:$B$400="COMPRA")+(MOVIMIENTOS!$B$5:$B$400="REPROCESO")+(MOVIMIENTOS!$B$5:$B$400="DEVOLUCIÓN")+((MOVIMIENTOS!$B$5:$B$400="AJUSTE")*(MOVIMIENTOS!$C$5:$C$400&lt;&gt;"Chancho")))*(MOVIMIENTOS!$A$5:$A$400&lt;&gt;"")*(MOVIMIENTOS!$A$5:$A$400&lt;=$A7)*MOVIMIENTOS!$I$5:$I$400)-SUMPRODUCT(((MOVIMIENTOS!$B$5:$B$400="ENVÍO A SUPESA")+(MOVIMIENTOS!$B$5:$B$400="ENVÍO A TOTTUS")+(MOVIMIENTOS!$B$5:$B$400="ENVIO A TOTTUS")+(MOVIMIENTOS!$B$5:$B$400="MALOGRADO")+(MOVIMIENTOS!$B$5:$B$400="OTRA SALIDA")+((MOVIMIENTOS!$B$5:$B$400="PROCESO")*(MOVIMIENTOS!$C$5:$C$400="Chancho"))+((MOVIMIENTOS!$B$5:$B$400="REGALO")*(MOVIMIENTOS!$C$5:$C$400&lt;&gt;"Chancho"))+((MOVIMIENTOS!$B$5:$B$400="VENTA")*(MOVIMIENTOS!$C$5:$C$400&lt;&gt;"Chancho")))*(MOVIMIENTOS!$A$5:$A$400&lt;&gt;"")*(MOVIMIENTOS!$A$5:$A$400&lt;=$A7)*MOVIMIENTOS!$I$5:$I$400))</f>
        <v>1003</v>
      </c>
      <c r="I7" s="44"/>
      <c r="J7" s="44" t="str">
        <f aca="false">IF(AND(MOVIMIENTOS!$A7&lt;&gt;"",COUNTIF(MOVIMIENTOS!$A$5:$A6,MOVIMIENTOS!$A7)=0),COUNT(J$4:J6)+1,"")</f>
        <v/>
      </c>
      <c r="K7" s="47" t="n">
        <f aca="false">MOVIMIENTOS!$A7</f>
        <v>46214</v>
      </c>
      <c r="L7" s="44"/>
      <c r="M7" s="44"/>
      <c r="N7" s="44"/>
    </row>
    <row r="8" customFormat="false" ht="15" hidden="false" customHeight="true" outlineLevel="0" collapsed="false">
      <c r="A8" s="45" t="n">
        <f aca="false">IFERROR(INDEX(K$5:K$400,MATCH(ROW()-4,J$5:J$400,0)),"")</f>
        <v>46217</v>
      </c>
      <c r="B8" s="46" t="n">
        <f aca="false">IF($A8="","",SUMPRODUCT((MOVIMIENTOS!$B$5:$B$400="SALDO INICIAL")*(MOVIMIENTOS!$C$5:$C$400="A")*(MOVIMIENTOS!$D$5:$D$400="jabas")*(MOVIMIENTOS!$A$5:$A$400&lt;&gt;"")*(MOVIMIENTOS!$A$5:$A$400&lt;=$A8)*MOVIMIENTOS!$E$5:$E$400)+SUMPRODUCT((MOVIMIENTOS!$B$5:$B$400="PROCESO")*(MOVIMIENTOS!$C$5:$C$400="A")*(MOVIMIENTOS!$D$5:$D$400="jabas")*(MOVIMIENTOS!$A$5:$A$400&lt;&gt;"")*(MOVIMIENTOS!$A$5:$A$400&lt;=$A8)*MOVIMIENTOS!$E$5:$E$400)-SUMPRODUCT((MOVIMIENTOS!$B$5:$B$400="ENVÍO A SUPESA")*(MOVIMIENTOS!$C$5:$C$400="A")*(MOVIMIENTOS!$D$5:$D$400="jabas")*(MOVIMIENTOS!$A$5:$A$400&lt;&gt;"")*(MOVIMIENTOS!$A$5:$A$400&lt;=$A8)*MOVIMIENTOS!$E$5:$E$400)+SUMPRODUCT((MOVIMIENTOS!$B$5:$B$400="DEVOLUCIÓN")*(MOVIMIENTOS!$C$5:$C$400="A")*(MOVIMIENTOS!$D$5:$D$400="jabas")*(MOVIMIENTOS!$A$5:$A$400&lt;&gt;"")*(MOVIMIENTOS!$A$5:$A$400&lt;=$A8)*MOVIMIENTOS!$E$5:$E$400)-SUMPRODUCT((MOVIMIENTOS!$B$5:$B$400="TRASIEGO")*(MOVIMIENTOS!$C$5:$C$400="A")*(MOVIMIENTOS!$D$5:$D$400="jabas")*(MOVIMIENTOS!$A$5:$A$400&lt;&gt;"")*(MOVIMIENTOS!$A$5:$A$400&lt;=$A8)*MOVIMIENTOS!$E$5:$E$400)-SUMPRODUCT((MOVIMIENTOS!$B$5:$B$400="REGALO")*(MOVIMIENTOS!$C$5:$C$400="A")*(MOVIMIENTOS!$D$5:$D$400="jabas")*(MOVIMIENTOS!$A$5:$A$400&lt;&gt;"")*(MOVIMIENTOS!$A$5:$A$400&lt;=$A8)*MOVIMIENTOS!$E$5:$E$400)-SUMPRODUCT((MOVIMIENTOS!$B$5:$B$400="VENTA")*(MOVIMIENTOS!$C$5:$C$400="A")*(MOVIMIENTOS!$D$5:$D$400="jabas")*(MOVIMIENTOS!$A$5:$A$400&lt;&gt;"")*(MOVIMIENTOS!$A$5:$A$400&lt;=$A8)*MOVIMIENTOS!$E$5:$E$400)+SUMPRODUCT((MOVIMIENTOS!$B$5:$B$400="AJUSTE")*(MOVIMIENTOS!$C$5:$C$400="A")*(MOVIMIENTOS!$D$5:$D$400="jabas")*(MOVIMIENTOS!$A$5:$A$400&lt;&gt;"")*(MOVIMIENTOS!$A$5:$A$400&lt;=$A8)*MOVIMIENTOS!$E$5:$E$400))</f>
        <v>12</v>
      </c>
      <c r="C8" s="46" t="n">
        <f aca="false">IF($A8="","",SUMPRODUCT((MOVIMIENTOS!$B$5:$B$400="SALDO INICIAL")*(MOVIMIENTOS!$C$5:$C$400="P")*(MOVIMIENTOS!$D$5:$D$400="jabas")*(MOVIMIENTOS!$A$5:$A$400&lt;&gt;"")*(MOVIMIENTOS!$A$5:$A$400&lt;=$A8)*MOVIMIENTOS!$E$5:$E$400)+SUMPRODUCT((MOVIMIENTOS!$B$5:$B$400="PROCESO")*(MOVIMIENTOS!$C$5:$C$400="P")*(MOVIMIENTOS!$D$5:$D$400="jabas")*(MOVIMIENTOS!$A$5:$A$400&lt;&gt;"")*(MOVIMIENTOS!$A$5:$A$400&lt;=$A8)*MOVIMIENTOS!$E$5:$E$400)-SUMPRODUCT((MOVIMIENTOS!$B$5:$B$400="ENVÍO A SUPESA")*(MOVIMIENTOS!$C$5:$C$400="P")*(MOVIMIENTOS!$D$5:$D$400="jabas")*(MOVIMIENTOS!$A$5:$A$400&lt;&gt;"")*(MOVIMIENTOS!$A$5:$A$400&lt;=$A8)*MOVIMIENTOS!$E$5:$E$400)+SUMPRODUCT((MOVIMIENTOS!$B$5:$B$400="DEVOLUCIÓN")*(MOVIMIENTOS!$C$5:$C$400="P")*(MOVIMIENTOS!$D$5:$D$400="jabas")*(MOVIMIENTOS!$A$5:$A$400&lt;&gt;"")*(MOVIMIENTOS!$A$5:$A$400&lt;=$A8)*MOVIMIENTOS!$E$5:$E$400)-SUMPRODUCT((MOVIMIENTOS!$B$5:$B$400="TRASIEGO")*(MOVIMIENTOS!$C$5:$C$400="P")*(MOVIMIENTOS!$D$5:$D$400="jabas")*(MOVIMIENTOS!$A$5:$A$400&lt;&gt;"")*(MOVIMIENTOS!$A$5:$A$400&lt;=$A8)*MOVIMIENTOS!$E$5:$E$400)-SUMPRODUCT((MOVIMIENTOS!$B$5:$B$400="REGALO")*(MOVIMIENTOS!$C$5:$C$400="P")*(MOVIMIENTOS!$D$5:$D$400="jabas")*(MOVIMIENTOS!$A$5:$A$400&lt;&gt;"")*(MOVIMIENTOS!$A$5:$A$400&lt;=$A8)*MOVIMIENTOS!$E$5:$E$400)-SUMPRODUCT((MOVIMIENTOS!$B$5:$B$400="VENTA")*(MOVIMIENTOS!$C$5:$C$400="P")*(MOVIMIENTOS!$D$5:$D$400="jabas")*(MOVIMIENTOS!$A$5:$A$400&lt;&gt;"")*(MOVIMIENTOS!$A$5:$A$400&lt;=$A8)*MOVIMIENTOS!$E$5:$E$400)+SUMPRODUCT((MOVIMIENTOS!$B$5:$B$400="AJUSTE")*(MOVIMIENTOS!$C$5:$C$400="P")*(MOVIMIENTOS!$D$5:$D$400="jabas")*(MOVIMIENTOS!$A$5:$A$400&lt;&gt;"")*(MOVIMIENTOS!$A$5:$A$400&lt;=$A8)*MOVIMIENTOS!$E$5:$E$400))</f>
        <v>0</v>
      </c>
      <c r="D8" s="46" t="n">
        <f aca="false">IF($A8="","",SUMPRODUCT((MOVIMIENTOS!$B$5:$B$400="SALDO INICIAL")*(MOVIMIENTOS!$C$5:$C$400="C")*(MOVIMIENTOS!$D$5:$D$400="jabas")*(MOVIMIENTOS!$A$5:$A$400&lt;&gt;"")*(MOVIMIENTOS!$A$5:$A$400&lt;=$A8)*MOVIMIENTOS!$E$5:$E$400)+SUMPRODUCT((MOVIMIENTOS!$B$5:$B$400="PROCESO")*(MOVIMIENTOS!$C$5:$C$400="C")*(MOVIMIENTOS!$D$5:$D$400="jabas")*(MOVIMIENTOS!$A$5:$A$400&lt;&gt;"")*(MOVIMIENTOS!$A$5:$A$400&lt;=$A8)*MOVIMIENTOS!$E$5:$E$400)-SUMPRODUCT((MOVIMIENTOS!$B$5:$B$400="ENVÍO A SUPESA")*(MOVIMIENTOS!$C$5:$C$400="C")*(MOVIMIENTOS!$D$5:$D$400="jabas")*(MOVIMIENTOS!$A$5:$A$400&lt;&gt;"")*(MOVIMIENTOS!$A$5:$A$400&lt;=$A8)*MOVIMIENTOS!$E$5:$E$400)+SUMPRODUCT((MOVIMIENTOS!$B$5:$B$400="DEVOLUCIÓN")*(MOVIMIENTOS!$C$5:$C$400="C")*(MOVIMIENTOS!$D$5:$D$400="jabas")*(MOVIMIENTOS!$A$5:$A$400&lt;&gt;"")*(MOVIMIENTOS!$A$5:$A$400&lt;=$A8)*MOVIMIENTOS!$E$5:$E$400)-SUMPRODUCT((MOVIMIENTOS!$B$5:$B$400="TRASIEGO")*(MOVIMIENTOS!$C$5:$C$400="C")*(MOVIMIENTOS!$D$5:$D$400="jabas")*(MOVIMIENTOS!$A$5:$A$400&lt;&gt;"")*(MOVIMIENTOS!$A$5:$A$400&lt;=$A8)*MOVIMIENTOS!$E$5:$E$400)-SUMPRODUCT((MOVIMIENTOS!$B$5:$B$400="REGALO")*(MOVIMIENTOS!$C$5:$C$400="C")*(MOVIMIENTOS!$D$5:$D$400="jabas")*(MOVIMIENTOS!$A$5:$A$400&lt;&gt;"")*(MOVIMIENTOS!$A$5:$A$400&lt;=$A8)*MOVIMIENTOS!$E$5:$E$400)-SUMPRODUCT((MOVIMIENTOS!$B$5:$B$400="VENTA")*(MOVIMIENTOS!$C$5:$C$400="C")*(MOVIMIENTOS!$D$5:$D$400="jabas")*(MOVIMIENTOS!$A$5:$A$400&lt;&gt;"")*(MOVIMIENTOS!$A$5:$A$400&lt;=$A8)*MOVIMIENTOS!$E$5:$E$400)+SUMPRODUCT((MOVIMIENTOS!$B$5:$B$400="AJUSTE")*(MOVIMIENTOS!$C$5:$C$400="C")*(MOVIMIENTOS!$D$5:$D$400="jabas")*(MOVIMIENTOS!$A$5:$A$400&lt;&gt;"")*(MOVIMIENTOS!$A$5:$A$400&lt;=$A8)*MOVIMIENTOS!$E$5:$E$400))</f>
        <v>0</v>
      </c>
      <c r="E8" s="46" t="n">
        <f aca="false">IF($A8="","",SUMPRODUCT((MOVIMIENTOS!$B$5:$B$400="SALDO INICIAL")*(MOVIMIENTOS!$C$5:$C$400="M")*(MOVIMIENTOS!$D$5:$D$400="jabas")*(MOVIMIENTOS!$A$5:$A$400&lt;&gt;"")*(MOVIMIENTOS!$A$5:$A$400&lt;=$A8)*MOVIMIENTOS!$E$5:$E$400)+SUMPRODUCT((MOVIMIENTOS!$B$5:$B$400="PROCESO")*(MOVIMIENTOS!$C$5:$C$400="M")*(MOVIMIENTOS!$D$5:$D$400="jabas")*(MOVIMIENTOS!$A$5:$A$400&lt;&gt;"")*(MOVIMIENTOS!$A$5:$A$400&lt;=$A8)*MOVIMIENTOS!$E$5:$E$400)-SUMPRODUCT((MOVIMIENTOS!$B$5:$B$400="ENVÍO A SUPESA")*(MOVIMIENTOS!$C$5:$C$400="M")*(MOVIMIENTOS!$D$5:$D$400="jabas")*(MOVIMIENTOS!$A$5:$A$400&lt;&gt;"")*(MOVIMIENTOS!$A$5:$A$400&lt;=$A8)*MOVIMIENTOS!$E$5:$E$400)+SUMPRODUCT((MOVIMIENTOS!$B$5:$B$400="DEVOLUCIÓN")*(MOVIMIENTOS!$C$5:$C$400="M")*(MOVIMIENTOS!$D$5:$D$400="jabas")*(MOVIMIENTOS!$A$5:$A$400&lt;&gt;"")*(MOVIMIENTOS!$A$5:$A$400&lt;=$A8)*MOVIMIENTOS!$E$5:$E$400)-SUMPRODUCT((MOVIMIENTOS!$B$5:$B$400="TRASIEGO")*(MOVIMIENTOS!$C$5:$C$400="M")*(MOVIMIENTOS!$D$5:$D$400="jabas")*(MOVIMIENTOS!$A$5:$A$400&lt;&gt;"")*(MOVIMIENTOS!$A$5:$A$400&lt;=$A8)*MOVIMIENTOS!$E$5:$E$400)-SUMPRODUCT((MOVIMIENTOS!$B$5:$B$400="REGALO")*(MOVIMIENTOS!$C$5:$C$400="M")*(MOVIMIENTOS!$D$5:$D$400="jabas")*(MOVIMIENTOS!$A$5:$A$400&lt;&gt;"")*(MOVIMIENTOS!$A$5:$A$400&lt;=$A8)*MOVIMIENTOS!$E$5:$E$400)-SUMPRODUCT((MOVIMIENTOS!$B$5:$B$400="VENTA")*(MOVIMIENTOS!$C$5:$C$400="M")*(MOVIMIENTOS!$D$5:$D$400="jabas")*(MOVIMIENTOS!$A$5:$A$400&lt;&gt;"")*(MOVIMIENTOS!$A$5:$A$400&lt;=$A8)*MOVIMIENTOS!$E$5:$E$400)+SUMPRODUCT((MOVIMIENTOS!$B$5:$B$400="AJUSTE")*(MOVIMIENTOS!$C$5:$C$400="M")*(MOVIMIENTOS!$D$5:$D$400="jabas")*(MOVIMIENTOS!$A$5:$A$400&lt;&gt;"")*(MOVIMIENTOS!$A$5:$A$400&lt;=$A8)*MOVIMIENTOS!$E$5:$E$400))</f>
        <v>48</v>
      </c>
      <c r="F8" s="46" t="n">
        <f aca="false">IF($A8="","",SUMPRODUCT((MOVIMIENTOS!$B$5:$B$400="SALDO INICIAL")*(MOVIMIENTOS!$C$5:$C$400="Chancho")*(MOVIMIENTOS!$D$5:$D$400="sacos")*(MOVIMIENTOS!$A$5:$A$400&lt;&gt;"")*(MOVIMIENTOS!$A$5:$A$400&lt;=$A8)*MOVIMIENTOS!$E$5:$E$400)+SUMPRODUCT((MOVIMIENTOS!$B$5:$B$400="PROCESO")*(MOVIMIENTOS!$C$5:$C$400="Chancho")*(MOVIMIENTOS!$D$5:$D$400="sacos")*(MOVIMIENTOS!$A$5:$A$400&lt;&gt;"")*(MOVIMIENTOS!$A$5:$A$400&lt;=$A8)*MOVIMIENTOS!$E$5:$E$400)-SUMPRODUCT((MOVIMIENTOS!$B$5:$B$400="VENTA CHANCHO")*(MOVIMIENTOS!$C$5:$C$400="Chancho")*(MOVIMIENTOS!$D$5:$D$400="sacos")*(MOVIMIENTOS!$A$5:$A$400&lt;&gt;"")*(MOVIMIENTOS!$A$5:$A$400&lt;=$A8)*MOVIMIENTOS!$E$5:$E$400)-SUMPRODUCT((MOVIMIENTOS!$B$5:$B$400="REGALO")*(MOVIMIENTOS!$C$5:$C$400="Chancho")*(MOVIMIENTOS!$D$5:$D$400="sacos")*(MOVIMIENTOS!$A$5:$A$400&lt;&gt;"")*(MOVIMIENTOS!$A$5:$A$400&lt;=$A8)*MOVIMIENTOS!$E$5:$E$400)-SUMPRODUCT((MOVIMIENTOS!$B$5:$B$400="VENTA")*(MOVIMIENTOS!$C$5:$C$400="Chancho")*(MOVIMIENTOS!$D$5:$D$400="sacos")*(MOVIMIENTOS!$A$5:$A$400&lt;&gt;"")*(MOVIMIENTOS!$A$5:$A$400&lt;=$A8)*MOVIMIENTOS!$E$5:$E$400)+SUMPRODUCT((MOVIMIENTOS!$B$5:$B$400="AJUSTE")*(MOVIMIENTOS!$C$5:$C$400="Chancho")*(MOVIMIENTOS!$D$5:$D$400="sacos")*(MOVIMIENTOS!$A$5:$A$400&lt;&gt;"")*(MOVIMIENTOS!$A$5:$A$400&lt;=$A8)*MOVIMIENTOS!$E$5:$E$400))</f>
        <v>35</v>
      </c>
      <c r="G8" s="46" t="n">
        <f aca="false">IF($A8="","",SUM(B8:E8))</f>
        <v>60</v>
      </c>
      <c r="H8" s="46" t="n">
        <f aca="false">IF($A8="","",SUMPRODUCT((((MOVIMIENTOS!$B$5:$B$400="SALDO INICIAL")*(MOVIMIENTOS!$C$5:$C$400&lt;&gt;"Chancho"))+(MOVIMIENTOS!$B$5:$B$400="COMPRA")+(MOVIMIENTOS!$B$5:$B$400="REPROCESO")+(MOVIMIENTOS!$B$5:$B$400="DEVOLUCIÓN")+((MOVIMIENTOS!$B$5:$B$400="AJUSTE")*(MOVIMIENTOS!$C$5:$C$400&lt;&gt;"Chancho")))*(MOVIMIENTOS!$A$5:$A$400&lt;&gt;"")*(MOVIMIENTOS!$A$5:$A$400&lt;=$A8)*MOVIMIENTOS!$I$5:$I$400)-SUMPRODUCT(((MOVIMIENTOS!$B$5:$B$400="ENVÍO A SUPESA")+(MOVIMIENTOS!$B$5:$B$400="ENVÍO A TOTTUS")+(MOVIMIENTOS!$B$5:$B$400="ENVIO A TOTTUS")+(MOVIMIENTOS!$B$5:$B$400="MALOGRADO")+(MOVIMIENTOS!$B$5:$B$400="OTRA SALIDA")+((MOVIMIENTOS!$B$5:$B$400="PROCESO")*(MOVIMIENTOS!$C$5:$C$400="Chancho"))+((MOVIMIENTOS!$B$5:$B$400="REGALO")*(MOVIMIENTOS!$C$5:$C$400&lt;&gt;"Chancho"))+((MOVIMIENTOS!$B$5:$B$400="VENTA")*(MOVIMIENTOS!$C$5:$C$400&lt;&gt;"Chancho")))*(MOVIMIENTOS!$A$5:$A$400&lt;&gt;"")*(MOVIMIENTOS!$A$5:$A$400&lt;=$A8)*MOVIMIENTOS!$I$5:$I$400))</f>
        <v>825</v>
      </c>
      <c r="I8" s="44"/>
      <c r="J8" s="44" t="str">
        <f aca="false">IF(AND(MOVIMIENTOS!$A8&lt;&gt;"",COUNTIF(MOVIMIENTOS!$A$5:$A7,MOVIMIENTOS!$A8)=0),COUNT(J$4:J7)+1,"")</f>
        <v/>
      </c>
      <c r="K8" s="47" t="n">
        <f aca="false">MOVIMIENTOS!$A8</f>
        <v>46214</v>
      </c>
      <c r="L8" s="44"/>
      <c r="M8" s="44"/>
      <c r="N8" s="44"/>
    </row>
    <row r="9" customFormat="false" ht="15" hidden="false" customHeight="true" outlineLevel="0" collapsed="false">
      <c r="A9" s="45" t="n">
        <f aca="false">IFERROR(INDEX(K$5:K$400,MATCH(ROW()-4,J$5:J$400,0)),"")</f>
        <v>46218</v>
      </c>
      <c r="B9" s="46" t="n">
        <f aca="false">IF($A9="","",SUMPRODUCT((MOVIMIENTOS!$B$5:$B$400="SALDO INICIAL")*(MOVIMIENTOS!$C$5:$C$400="A")*(MOVIMIENTOS!$D$5:$D$400="jabas")*(MOVIMIENTOS!$A$5:$A$400&lt;&gt;"")*(MOVIMIENTOS!$A$5:$A$400&lt;=$A9)*MOVIMIENTOS!$E$5:$E$400)+SUMPRODUCT((MOVIMIENTOS!$B$5:$B$400="PROCESO")*(MOVIMIENTOS!$C$5:$C$400="A")*(MOVIMIENTOS!$D$5:$D$400="jabas")*(MOVIMIENTOS!$A$5:$A$400&lt;&gt;"")*(MOVIMIENTOS!$A$5:$A$400&lt;=$A9)*MOVIMIENTOS!$E$5:$E$400)-SUMPRODUCT((MOVIMIENTOS!$B$5:$B$400="ENVÍO A SUPESA")*(MOVIMIENTOS!$C$5:$C$400="A")*(MOVIMIENTOS!$D$5:$D$400="jabas")*(MOVIMIENTOS!$A$5:$A$400&lt;&gt;"")*(MOVIMIENTOS!$A$5:$A$400&lt;=$A9)*MOVIMIENTOS!$E$5:$E$400)+SUMPRODUCT((MOVIMIENTOS!$B$5:$B$400="DEVOLUCIÓN")*(MOVIMIENTOS!$C$5:$C$400="A")*(MOVIMIENTOS!$D$5:$D$400="jabas")*(MOVIMIENTOS!$A$5:$A$400&lt;&gt;"")*(MOVIMIENTOS!$A$5:$A$400&lt;=$A9)*MOVIMIENTOS!$E$5:$E$400)-SUMPRODUCT((MOVIMIENTOS!$B$5:$B$400="TRASIEGO")*(MOVIMIENTOS!$C$5:$C$400="A")*(MOVIMIENTOS!$D$5:$D$400="jabas")*(MOVIMIENTOS!$A$5:$A$400&lt;&gt;"")*(MOVIMIENTOS!$A$5:$A$400&lt;=$A9)*MOVIMIENTOS!$E$5:$E$400)-SUMPRODUCT((MOVIMIENTOS!$B$5:$B$400="REGALO")*(MOVIMIENTOS!$C$5:$C$400="A")*(MOVIMIENTOS!$D$5:$D$400="jabas")*(MOVIMIENTOS!$A$5:$A$400&lt;&gt;"")*(MOVIMIENTOS!$A$5:$A$400&lt;=$A9)*MOVIMIENTOS!$E$5:$E$400)-SUMPRODUCT((MOVIMIENTOS!$B$5:$B$400="VENTA")*(MOVIMIENTOS!$C$5:$C$400="A")*(MOVIMIENTOS!$D$5:$D$400="jabas")*(MOVIMIENTOS!$A$5:$A$400&lt;&gt;"")*(MOVIMIENTOS!$A$5:$A$400&lt;=$A9)*MOVIMIENTOS!$E$5:$E$400)+SUMPRODUCT((MOVIMIENTOS!$B$5:$B$400="AJUSTE")*(MOVIMIENTOS!$C$5:$C$400="A")*(MOVIMIENTOS!$D$5:$D$400="jabas")*(MOVIMIENTOS!$A$5:$A$400&lt;&gt;"")*(MOVIMIENTOS!$A$5:$A$400&lt;=$A9)*MOVIMIENTOS!$E$5:$E$400))</f>
        <v>24</v>
      </c>
      <c r="C9" s="46" t="n">
        <f aca="false">IF($A9="","",SUMPRODUCT((MOVIMIENTOS!$B$5:$B$400="SALDO INICIAL")*(MOVIMIENTOS!$C$5:$C$400="P")*(MOVIMIENTOS!$D$5:$D$400="jabas")*(MOVIMIENTOS!$A$5:$A$400&lt;&gt;"")*(MOVIMIENTOS!$A$5:$A$400&lt;=$A9)*MOVIMIENTOS!$E$5:$E$400)+SUMPRODUCT((MOVIMIENTOS!$B$5:$B$400="PROCESO")*(MOVIMIENTOS!$C$5:$C$400="P")*(MOVIMIENTOS!$D$5:$D$400="jabas")*(MOVIMIENTOS!$A$5:$A$400&lt;&gt;"")*(MOVIMIENTOS!$A$5:$A$400&lt;=$A9)*MOVIMIENTOS!$E$5:$E$400)-SUMPRODUCT((MOVIMIENTOS!$B$5:$B$400="ENVÍO A SUPESA")*(MOVIMIENTOS!$C$5:$C$400="P")*(MOVIMIENTOS!$D$5:$D$400="jabas")*(MOVIMIENTOS!$A$5:$A$400&lt;&gt;"")*(MOVIMIENTOS!$A$5:$A$400&lt;=$A9)*MOVIMIENTOS!$E$5:$E$400)+SUMPRODUCT((MOVIMIENTOS!$B$5:$B$400="DEVOLUCIÓN")*(MOVIMIENTOS!$C$5:$C$400="P")*(MOVIMIENTOS!$D$5:$D$400="jabas")*(MOVIMIENTOS!$A$5:$A$400&lt;&gt;"")*(MOVIMIENTOS!$A$5:$A$400&lt;=$A9)*MOVIMIENTOS!$E$5:$E$400)-SUMPRODUCT((MOVIMIENTOS!$B$5:$B$400="TRASIEGO")*(MOVIMIENTOS!$C$5:$C$400="P")*(MOVIMIENTOS!$D$5:$D$400="jabas")*(MOVIMIENTOS!$A$5:$A$400&lt;&gt;"")*(MOVIMIENTOS!$A$5:$A$400&lt;=$A9)*MOVIMIENTOS!$E$5:$E$400)-SUMPRODUCT((MOVIMIENTOS!$B$5:$B$400="REGALO")*(MOVIMIENTOS!$C$5:$C$400="P")*(MOVIMIENTOS!$D$5:$D$400="jabas")*(MOVIMIENTOS!$A$5:$A$400&lt;&gt;"")*(MOVIMIENTOS!$A$5:$A$400&lt;=$A9)*MOVIMIENTOS!$E$5:$E$400)-SUMPRODUCT((MOVIMIENTOS!$B$5:$B$400="VENTA")*(MOVIMIENTOS!$C$5:$C$400="P")*(MOVIMIENTOS!$D$5:$D$400="jabas")*(MOVIMIENTOS!$A$5:$A$400&lt;&gt;"")*(MOVIMIENTOS!$A$5:$A$400&lt;=$A9)*MOVIMIENTOS!$E$5:$E$400)+SUMPRODUCT((MOVIMIENTOS!$B$5:$B$400="AJUSTE")*(MOVIMIENTOS!$C$5:$C$400="P")*(MOVIMIENTOS!$D$5:$D$400="jabas")*(MOVIMIENTOS!$A$5:$A$400&lt;&gt;"")*(MOVIMIENTOS!$A$5:$A$400&lt;=$A9)*MOVIMIENTOS!$E$5:$E$400))</f>
        <v>11</v>
      </c>
      <c r="D9" s="46" t="n">
        <f aca="false">IF($A9="","",SUMPRODUCT((MOVIMIENTOS!$B$5:$B$400="SALDO INICIAL")*(MOVIMIENTOS!$C$5:$C$400="C")*(MOVIMIENTOS!$D$5:$D$400="jabas")*(MOVIMIENTOS!$A$5:$A$400&lt;&gt;"")*(MOVIMIENTOS!$A$5:$A$400&lt;=$A9)*MOVIMIENTOS!$E$5:$E$400)+SUMPRODUCT((MOVIMIENTOS!$B$5:$B$400="PROCESO")*(MOVIMIENTOS!$C$5:$C$400="C")*(MOVIMIENTOS!$D$5:$D$400="jabas")*(MOVIMIENTOS!$A$5:$A$400&lt;&gt;"")*(MOVIMIENTOS!$A$5:$A$400&lt;=$A9)*MOVIMIENTOS!$E$5:$E$400)-SUMPRODUCT((MOVIMIENTOS!$B$5:$B$400="ENVÍO A SUPESA")*(MOVIMIENTOS!$C$5:$C$400="C")*(MOVIMIENTOS!$D$5:$D$400="jabas")*(MOVIMIENTOS!$A$5:$A$400&lt;&gt;"")*(MOVIMIENTOS!$A$5:$A$400&lt;=$A9)*MOVIMIENTOS!$E$5:$E$400)+SUMPRODUCT((MOVIMIENTOS!$B$5:$B$400="DEVOLUCIÓN")*(MOVIMIENTOS!$C$5:$C$400="C")*(MOVIMIENTOS!$D$5:$D$400="jabas")*(MOVIMIENTOS!$A$5:$A$400&lt;&gt;"")*(MOVIMIENTOS!$A$5:$A$400&lt;=$A9)*MOVIMIENTOS!$E$5:$E$400)-SUMPRODUCT((MOVIMIENTOS!$B$5:$B$400="TRASIEGO")*(MOVIMIENTOS!$C$5:$C$400="C")*(MOVIMIENTOS!$D$5:$D$400="jabas")*(MOVIMIENTOS!$A$5:$A$400&lt;&gt;"")*(MOVIMIENTOS!$A$5:$A$400&lt;=$A9)*MOVIMIENTOS!$E$5:$E$400)-SUMPRODUCT((MOVIMIENTOS!$B$5:$B$400="REGALO")*(MOVIMIENTOS!$C$5:$C$400="C")*(MOVIMIENTOS!$D$5:$D$400="jabas")*(MOVIMIENTOS!$A$5:$A$400&lt;&gt;"")*(MOVIMIENTOS!$A$5:$A$400&lt;=$A9)*MOVIMIENTOS!$E$5:$E$400)-SUMPRODUCT((MOVIMIENTOS!$B$5:$B$400="VENTA")*(MOVIMIENTOS!$C$5:$C$400="C")*(MOVIMIENTOS!$D$5:$D$400="jabas")*(MOVIMIENTOS!$A$5:$A$400&lt;&gt;"")*(MOVIMIENTOS!$A$5:$A$400&lt;=$A9)*MOVIMIENTOS!$E$5:$E$400)+SUMPRODUCT((MOVIMIENTOS!$B$5:$B$400="AJUSTE")*(MOVIMIENTOS!$C$5:$C$400="C")*(MOVIMIENTOS!$D$5:$D$400="jabas")*(MOVIMIENTOS!$A$5:$A$400&lt;&gt;"")*(MOVIMIENTOS!$A$5:$A$400&lt;=$A9)*MOVIMIENTOS!$E$5:$E$400))</f>
        <v>12</v>
      </c>
      <c r="E9" s="46" t="n">
        <f aca="false">IF($A9="","",SUMPRODUCT((MOVIMIENTOS!$B$5:$B$400="SALDO INICIAL")*(MOVIMIENTOS!$C$5:$C$400="M")*(MOVIMIENTOS!$D$5:$D$400="jabas")*(MOVIMIENTOS!$A$5:$A$400&lt;&gt;"")*(MOVIMIENTOS!$A$5:$A$400&lt;=$A9)*MOVIMIENTOS!$E$5:$E$400)+SUMPRODUCT((MOVIMIENTOS!$B$5:$B$400="PROCESO")*(MOVIMIENTOS!$C$5:$C$400="M")*(MOVIMIENTOS!$D$5:$D$400="jabas")*(MOVIMIENTOS!$A$5:$A$400&lt;&gt;"")*(MOVIMIENTOS!$A$5:$A$400&lt;=$A9)*MOVIMIENTOS!$E$5:$E$400)-SUMPRODUCT((MOVIMIENTOS!$B$5:$B$400="ENVÍO A SUPESA")*(MOVIMIENTOS!$C$5:$C$400="M")*(MOVIMIENTOS!$D$5:$D$400="jabas")*(MOVIMIENTOS!$A$5:$A$400&lt;&gt;"")*(MOVIMIENTOS!$A$5:$A$400&lt;=$A9)*MOVIMIENTOS!$E$5:$E$400)+SUMPRODUCT((MOVIMIENTOS!$B$5:$B$400="DEVOLUCIÓN")*(MOVIMIENTOS!$C$5:$C$400="M")*(MOVIMIENTOS!$D$5:$D$400="jabas")*(MOVIMIENTOS!$A$5:$A$400&lt;&gt;"")*(MOVIMIENTOS!$A$5:$A$400&lt;=$A9)*MOVIMIENTOS!$E$5:$E$400)-SUMPRODUCT((MOVIMIENTOS!$B$5:$B$400="TRASIEGO")*(MOVIMIENTOS!$C$5:$C$400="M")*(MOVIMIENTOS!$D$5:$D$400="jabas")*(MOVIMIENTOS!$A$5:$A$400&lt;&gt;"")*(MOVIMIENTOS!$A$5:$A$400&lt;=$A9)*MOVIMIENTOS!$E$5:$E$400)-SUMPRODUCT((MOVIMIENTOS!$B$5:$B$400="REGALO")*(MOVIMIENTOS!$C$5:$C$400="M")*(MOVIMIENTOS!$D$5:$D$400="jabas")*(MOVIMIENTOS!$A$5:$A$400&lt;&gt;"")*(MOVIMIENTOS!$A$5:$A$400&lt;=$A9)*MOVIMIENTOS!$E$5:$E$400)-SUMPRODUCT((MOVIMIENTOS!$B$5:$B$400="VENTA")*(MOVIMIENTOS!$C$5:$C$400="M")*(MOVIMIENTOS!$D$5:$D$400="jabas")*(MOVIMIENTOS!$A$5:$A$400&lt;&gt;"")*(MOVIMIENTOS!$A$5:$A$400&lt;=$A9)*MOVIMIENTOS!$E$5:$E$400)+SUMPRODUCT((MOVIMIENTOS!$B$5:$B$400="AJUSTE")*(MOVIMIENTOS!$C$5:$C$400="M")*(MOVIMIENTOS!$D$5:$D$400="jabas")*(MOVIMIENTOS!$A$5:$A$400&lt;&gt;"")*(MOVIMIENTOS!$A$5:$A$400&lt;=$A9)*MOVIMIENTOS!$E$5:$E$400))</f>
        <v>36</v>
      </c>
      <c r="F9" s="46" t="n">
        <f aca="false">IF($A9="","",SUMPRODUCT((MOVIMIENTOS!$B$5:$B$400="SALDO INICIAL")*(MOVIMIENTOS!$C$5:$C$400="Chancho")*(MOVIMIENTOS!$D$5:$D$400="sacos")*(MOVIMIENTOS!$A$5:$A$400&lt;&gt;"")*(MOVIMIENTOS!$A$5:$A$400&lt;=$A9)*MOVIMIENTOS!$E$5:$E$400)+SUMPRODUCT((MOVIMIENTOS!$B$5:$B$400="PROCESO")*(MOVIMIENTOS!$C$5:$C$400="Chancho")*(MOVIMIENTOS!$D$5:$D$400="sacos")*(MOVIMIENTOS!$A$5:$A$400&lt;&gt;"")*(MOVIMIENTOS!$A$5:$A$400&lt;=$A9)*MOVIMIENTOS!$E$5:$E$400)-SUMPRODUCT((MOVIMIENTOS!$B$5:$B$400="VENTA CHANCHO")*(MOVIMIENTOS!$C$5:$C$400="Chancho")*(MOVIMIENTOS!$D$5:$D$400="sacos")*(MOVIMIENTOS!$A$5:$A$400&lt;&gt;"")*(MOVIMIENTOS!$A$5:$A$400&lt;=$A9)*MOVIMIENTOS!$E$5:$E$400)-SUMPRODUCT((MOVIMIENTOS!$B$5:$B$400="REGALO")*(MOVIMIENTOS!$C$5:$C$400="Chancho")*(MOVIMIENTOS!$D$5:$D$400="sacos")*(MOVIMIENTOS!$A$5:$A$400&lt;&gt;"")*(MOVIMIENTOS!$A$5:$A$400&lt;=$A9)*MOVIMIENTOS!$E$5:$E$400)-SUMPRODUCT((MOVIMIENTOS!$B$5:$B$400="VENTA")*(MOVIMIENTOS!$C$5:$C$400="Chancho")*(MOVIMIENTOS!$D$5:$D$400="sacos")*(MOVIMIENTOS!$A$5:$A$400&lt;&gt;"")*(MOVIMIENTOS!$A$5:$A$400&lt;=$A9)*MOVIMIENTOS!$E$5:$E$400)+SUMPRODUCT((MOVIMIENTOS!$B$5:$B$400="AJUSTE")*(MOVIMIENTOS!$C$5:$C$400="Chancho")*(MOVIMIENTOS!$D$5:$D$400="sacos")*(MOVIMIENTOS!$A$5:$A$400&lt;&gt;"")*(MOVIMIENTOS!$A$5:$A$400&lt;=$A9)*MOVIMIENTOS!$E$5:$E$400))</f>
        <v>5</v>
      </c>
      <c r="G9" s="46" t="n">
        <f aca="false">IF($A9="","",SUM(B9:E9))</f>
        <v>83</v>
      </c>
      <c r="H9" s="46" t="n">
        <f aca="false">IF($A9="","",SUMPRODUCT((((MOVIMIENTOS!$B$5:$B$400="SALDO INICIAL")*(MOVIMIENTOS!$C$5:$C$400&lt;&gt;"Chancho"))+(MOVIMIENTOS!$B$5:$B$400="COMPRA")+(MOVIMIENTOS!$B$5:$B$400="REPROCESO")+(MOVIMIENTOS!$B$5:$B$400="DEVOLUCIÓN")+((MOVIMIENTOS!$B$5:$B$400="AJUSTE")*(MOVIMIENTOS!$C$5:$C$400&lt;&gt;"Chancho")))*(MOVIMIENTOS!$A$5:$A$400&lt;&gt;"")*(MOVIMIENTOS!$A$5:$A$400&lt;=$A9)*MOVIMIENTOS!$I$5:$I$400)-SUMPRODUCT(((MOVIMIENTOS!$B$5:$B$400="ENVÍO A SUPESA")+(MOVIMIENTOS!$B$5:$B$400="ENVÍO A TOTTUS")+(MOVIMIENTOS!$B$5:$B$400="ENVIO A TOTTUS")+(MOVIMIENTOS!$B$5:$B$400="MALOGRADO")+(MOVIMIENTOS!$B$5:$B$400="OTRA SALIDA")+((MOVIMIENTOS!$B$5:$B$400="PROCESO")*(MOVIMIENTOS!$C$5:$C$400="Chancho"))+((MOVIMIENTOS!$B$5:$B$400="REGALO")*(MOVIMIENTOS!$C$5:$C$400&lt;&gt;"Chancho"))+((MOVIMIENTOS!$B$5:$B$400="VENTA")*(MOVIMIENTOS!$C$5:$C$400&lt;&gt;"Chancho")))*(MOVIMIENTOS!$A$5:$A$400&lt;&gt;"")*(MOVIMIENTOS!$A$5:$A$400&lt;=$A9)*MOVIMIENTOS!$I$5:$I$400))</f>
        <v>1249</v>
      </c>
      <c r="I9" s="44"/>
      <c r="J9" s="44" t="n">
        <f aca="false">IF(AND(MOVIMIENTOS!$A9&lt;&gt;"",COUNTIF(MOVIMIENTOS!$A$5:$A8,MOVIMIENTOS!$A9)=0),COUNT(J$4:J8)+1,"")</f>
        <v>2</v>
      </c>
      <c r="K9" s="47" t="n">
        <f aca="false">MOVIMIENTOS!$A9</f>
        <v>46215</v>
      </c>
      <c r="L9" s="44"/>
      <c r="M9" s="44"/>
      <c r="N9" s="44"/>
    </row>
    <row r="10" customFormat="false" ht="15" hidden="false" customHeight="true" outlineLevel="0" collapsed="false">
      <c r="A10" s="45" t="n">
        <f aca="false">IFERROR(INDEX(K$5:K$400,MATCH(ROW()-4,J$5:J$400,0)),"")</f>
        <v>46219</v>
      </c>
      <c r="B10" s="46" t="n">
        <f aca="false">IF($A10="","",SUMPRODUCT((MOVIMIENTOS!$B$5:$B$400="SALDO INICIAL")*(MOVIMIENTOS!$C$5:$C$400="A")*(MOVIMIENTOS!$D$5:$D$400="jabas")*(MOVIMIENTOS!$A$5:$A$400&lt;&gt;"")*(MOVIMIENTOS!$A$5:$A$400&lt;=$A10)*MOVIMIENTOS!$E$5:$E$400)+SUMPRODUCT((MOVIMIENTOS!$B$5:$B$400="PROCESO")*(MOVIMIENTOS!$C$5:$C$400="A")*(MOVIMIENTOS!$D$5:$D$400="jabas")*(MOVIMIENTOS!$A$5:$A$400&lt;&gt;"")*(MOVIMIENTOS!$A$5:$A$400&lt;=$A10)*MOVIMIENTOS!$E$5:$E$400)-SUMPRODUCT((MOVIMIENTOS!$B$5:$B$400="ENVÍO A SUPESA")*(MOVIMIENTOS!$C$5:$C$400="A")*(MOVIMIENTOS!$D$5:$D$400="jabas")*(MOVIMIENTOS!$A$5:$A$400&lt;&gt;"")*(MOVIMIENTOS!$A$5:$A$400&lt;=$A10)*MOVIMIENTOS!$E$5:$E$400)+SUMPRODUCT((MOVIMIENTOS!$B$5:$B$400="DEVOLUCIÓN")*(MOVIMIENTOS!$C$5:$C$400="A")*(MOVIMIENTOS!$D$5:$D$400="jabas")*(MOVIMIENTOS!$A$5:$A$400&lt;&gt;"")*(MOVIMIENTOS!$A$5:$A$400&lt;=$A10)*MOVIMIENTOS!$E$5:$E$400)-SUMPRODUCT((MOVIMIENTOS!$B$5:$B$400="TRASIEGO")*(MOVIMIENTOS!$C$5:$C$400="A")*(MOVIMIENTOS!$D$5:$D$400="jabas")*(MOVIMIENTOS!$A$5:$A$400&lt;&gt;"")*(MOVIMIENTOS!$A$5:$A$400&lt;=$A10)*MOVIMIENTOS!$E$5:$E$400)-SUMPRODUCT((MOVIMIENTOS!$B$5:$B$400="REGALO")*(MOVIMIENTOS!$C$5:$C$400="A")*(MOVIMIENTOS!$D$5:$D$400="jabas")*(MOVIMIENTOS!$A$5:$A$400&lt;&gt;"")*(MOVIMIENTOS!$A$5:$A$400&lt;=$A10)*MOVIMIENTOS!$E$5:$E$400)-SUMPRODUCT((MOVIMIENTOS!$B$5:$B$400="VENTA")*(MOVIMIENTOS!$C$5:$C$400="A")*(MOVIMIENTOS!$D$5:$D$400="jabas")*(MOVIMIENTOS!$A$5:$A$400&lt;&gt;"")*(MOVIMIENTOS!$A$5:$A$400&lt;=$A10)*MOVIMIENTOS!$E$5:$E$400)+SUMPRODUCT((MOVIMIENTOS!$B$5:$B$400="AJUSTE")*(MOVIMIENTOS!$C$5:$C$400="A")*(MOVIMIENTOS!$D$5:$D$400="jabas")*(MOVIMIENTOS!$A$5:$A$400&lt;&gt;"")*(MOVIMIENTOS!$A$5:$A$400&lt;=$A10)*MOVIMIENTOS!$E$5:$E$400))</f>
        <v>29</v>
      </c>
      <c r="C10" s="46" t="n">
        <f aca="false">IF($A10="","",SUMPRODUCT((MOVIMIENTOS!$B$5:$B$400="SALDO INICIAL")*(MOVIMIENTOS!$C$5:$C$400="P")*(MOVIMIENTOS!$D$5:$D$400="jabas")*(MOVIMIENTOS!$A$5:$A$400&lt;&gt;"")*(MOVIMIENTOS!$A$5:$A$400&lt;=$A10)*MOVIMIENTOS!$E$5:$E$400)+SUMPRODUCT((MOVIMIENTOS!$B$5:$B$400="PROCESO")*(MOVIMIENTOS!$C$5:$C$400="P")*(MOVIMIENTOS!$D$5:$D$400="jabas")*(MOVIMIENTOS!$A$5:$A$400&lt;&gt;"")*(MOVIMIENTOS!$A$5:$A$400&lt;=$A10)*MOVIMIENTOS!$E$5:$E$400)-SUMPRODUCT((MOVIMIENTOS!$B$5:$B$400="ENVÍO A SUPESA")*(MOVIMIENTOS!$C$5:$C$400="P")*(MOVIMIENTOS!$D$5:$D$400="jabas")*(MOVIMIENTOS!$A$5:$A$400&lt;&gt;"")*(MOVIMIENTOS!$A$5:$A$400&lt;=$A10)*MOVIMIENTOS!$E$5:$E$400)+SUMPRODUCT((MOVIMIENTOS!$B$5:$B$400="DEVOLUCIÓN")*(MOVIMIENTOS!$C$5:$C$400="P")*(MOVIMIENTOS!$D$5:$D$400="jabas")*(MOVIMIENTOS!$A$5:$A$400&lt;&gt;"")*(MOVIMIENTOS!$A$5:$A$400&lt;=$A10)*MOVIMIENTOS!$E$5:$E$400)-SUMPRODUCT((MOVIMIENTOS!$B$5:$B$400="TRASIEGO")*(MOVIMIENTOS!$C$5:$C$400="P")*(MOVIMIENTOS!$D$5:$D$400="jabas")*(MOVIMIENTOS!$A$5:$A$400&lt;&gt;"")*(MOVIMIENTOS!$A$5:$A$400&lt;=$A10)*MOVIMIENTOS!$E$5:$E$400)-SUMPRODUCT((MOVIMIENTOS!$B$5:$B$400="REGALO")*(MOVIMIENTOS!$C$5:$C$400="P")*(MOVIMIENTOS!$D$5:$D$400="jabas")*(MOVIMIENTOS!$A$5:$A$400&lt;&gt;"")*(MOVIMIENTOS!$A$5:$A$400&lt;=$A10)*MOVIMIENTOS!$E$5:$E$400)-SUMPRODUCT((MOVIMIENTOS!$B$5:$B$400="VENTA")*(MOVIMIENTOS!$C$5:$C$400="P")*(MOVIMIENTOS!$D$5:$D$400="jabas")*(MOVIMIENTOS!$A$5:$A$400&lt;&gt;"")*(MOVIMIENTOS!$A$5:$A$400&lt;=$A10)*MOVIMIENTOS!$E$5:$E$400)+SUMPRODUCT((MOVIMIENTOS!$B$5:$B$400="AJUSTE")*(MOVIMIENTOS!$C$5:$C$400="P")*(MOVIMIENTOS!$D$5:$D$400="jabas")*(MOVIMIENTOS!$A$5:$A$400&lt;&gt;"")*(MOVIMIENTOS!$A$5:$A$400&lt;=$A10)*MOVIMIENTOS!$E$5:$E$400))</f>
        <v>11</v>
      </c>
      <c r="D10" s="46" t="n">
        <f aca="false">IF($A10="","",SUMPRODUCT((MOVIMIENTOS!$B$5:$B$400="SALDO INICIAL")*(MOVIMIENTOS!$C$5:$C$400="C")*(MOVIMIENTOS!$D$5:$D$400="jabas")*(MOVIMIENTOS!$A$5:$A$400&lt;&gt;"")*(MOVIMIENTOS!$A$5:$A$400&lt;=$A10)*MOVIMIENTOS!$E$5:$E$400)+SUMPRODUCT((MOVIMIENTOS!$B$5:$B$400="PROCESO")*(MOVIMIENTOS!$C$5:$C$400="C")*(MOVIMIENTOS!$D$5:$D$400="jabas")*(MOVIMIENTOS!$A$5:$A$400&lt;&gt;"")*(MOVIMIENTOS!$A$5:$A$400&lt;=$A10)*MOVIMIENTOS!$E$5:$E$400)-SUMPRODUCT((MOVIMIENTOS!$B$5:$B$400="ENVÍO A SUPESA")*(MOVIMIENTOS!$C$5:$C$400="C")*(MOVIMIENTOS!$D$5:$D$400="jabas")*(MOVIMIENTOS!$A$5:$A$400&lt;&gt;"")*(MOVIMIENTOS!$A$5:$A$400&lt;=$A10)*MOVIMIENTOS!$E$5:$E$400)+SUMPRODUCT((MOVIMIENTOS!$B$5:$B$400="DEVOLUCIÓN")*(MOVIMIENTOS!$C$5:$C$400="C")*(MOVIMIENTOS!$D$5:$D$400="jabas")*(MOVIMIENTOS!$A$5:$A$400&lt;&gt;"")*(MOVIMIENTOS!$A$5:$A$400&lt;=$A10)*MOVIMIENTOS!$E$5:$E$400)-SUMPRODUCT((MOVIMIENTOS!$B$5:$B$400="TRASIEGO")*(MOVIMIENTOS!$C$5:$C$400="C")*(MOVIMIENTOS!$D$5:$D$400="jabas")*(MOVIMIENTOS!$A$5:$A$400&lt;&gt;"")*(MOVIMIENTOS!$A$5:$A$400&lt;=$A10)*MOVIMIENTOS!$E$5:$E$400)-SUMPRODUCT((MOVIMIENTOS!$B$5:$B$400="REGALO")*(MOVIMIENTOS!$C$5:$C$400="C")*(MOVIMIENTOS!$D$5:$D$400="jabas")*(MOVIMIENTOS!$A$5:$A$400&lt;&gt;"")*(MOVIMIENTOS!$A$5:$A$400&lt;=$A10)*MOVIMIENTOS!$E$5:$E$400)-SUMPRODUCT((MOVIMIENTOS!$B$5:$B$400="VENTA")*(MOVIMIENTOS!$C$5:$C$400="C")*(MOVIMIENTOS!$D$5:$D$400="jabas")*(MOVIMIENTOS!$A$5:$A$400&lt;&gt;"")*(MOVIMIENTOS!$A$5:$A$400&lt;=$A10)*MOVIMIENTOS!$E$5:$E$400)+SUMPRODUCT((MOVIMIENTOS!$B$5:$B$400="AJUSTE")*(MOVIMIENTOS!$C$5:$C$400="C")*(MOVIMIENTOS!$D$5:$D$400="jabas")*(MOVIMIENTOS!$A$5:$A$400&lt;&gt;"")*(MOVIMIENTOS!$A$5:$A$400&lt;=$A10)*MOVIMIENTOS!$E$5:$E$400))</f>
        <v>12</v>
      </c>
      <c r="E10" s="46" t="n">
        <f aca="false">IF($A10="","",SUMPRODUCT((MOVIMIENTOS!$B$5:$B$400="SALDO INICIAL")*(MOVIMIENTOS!$C$5:$C$400="M")*(MOVIMIENTOS!$D$5:$D$400="jabas")*(MOVIMIENTOS!$A$5:$A$400&lt;&gt;"")*(MOVIMIENTOS!$A$5:$A$400&lt;=$A10)*MOVIMIENTOS!$E$5:$E$400)+SUMPRODUCT((MOVIMIENTOS!$B$5:$B$400="PROCESO")*(MOVIMIENTOS!$C$5:$C$400="M")*(MOVIMIENTOS!$D$5:$D$400="jabas")*(MOVIMIENTOS!$A$5:$A$400&lt;&gt;"")*(MOVIMIENTOS!$A$5:$A$400&lt;=$A10)*MOVIMIENTOS!$E$5:$E$400)-SUMPRODUCT((MOVIMIENTOS!$B$5:$B$400="ENVÍO A SUPESA")*(MOVIMIENTOS!$C$5:$C$400="M")*(MOVIMIENTOS!$D$5:$D$400="jabas")*(MOVIMIENTOS!$A$5:$A$400&lt;&gt;"")*(MOVIMIENTOS!$A$5:$A$400&lt;=$A10)*MOVIMIENTOS!$E$5:$E$400)+SUMPRODUCT((MOVIMIENTOS!$B$5:$B$400="DEVOLUCIÓN")*(MOVIMIENTOS!$C$5:$C$400="M")*(MOVIMIENTOS!$D$5:$D$400="jabas")*(MOVIMIENTOS!$A$5:$A$400&lt;&gt;"")*(MOVIMIENTOS!$A$5:$A$400&lt;=$A10)*MOVIMIENTOS!$E$5:$E$400)-SUMPRODUCT((MOVIMIENTOS!$B$5:$B$400="TRASIEGO")*(MOVIMIENTOS!$C$5:$C$400="M")*(MOVIMIENTOS!$D$5:$D$400="jabas")*(MOVIMIENTOS!$A$5:$A$400&lt;&gt;"")*(MOVIMIENTOS!$A$5:$A$400&lt;=$A10)*MOVIMIENTOS!$E$5:$E$400)-SUMPRODUCT((MOVIMIENTOS!$B$5:$B$400="REGALO")*(MOVIMIENTOS!$C$5:$C$400="M")*(MOVIMIENTOS!$D$5:$D$400="jabas")*(MOVIMIENTOS!$A$5:$A$400&lt;&gt;"")*(MOVIMIENTOS!$A$5:$A$400&lt;=$A10)*MOVIMIENTOS!$E$5:$E$400)-SUMPRODUCT((MOVIMIENTOS!$B$5:$B$400="VENTA")*(MOVIMIENTOS!$C$5:$C$400="M")*(MOVIMIENTOS!$D$5:$D$400="jabas")*(MOVIMIENTOS!$A$5:$A$400&lt;&gt;"")*(MOVIMIENTOS!$A$5:$A$400&lt;=$A10)*MOVIMIENTOS!$E$5:$E$400)+SUMPRODUCT((MOVIMIENTOS!$B$5:$B$400="AJUSTE")*(MOVIMIENTOS!$C$5:$C$400="M")*(MOVIMIENTOS!$D$5:$D$400="jabas")*(MOVIMIENTOS!$A$5:$A$400&lt;&gt;"")*(MOVIMIENTOS!$A$5:$A$400&lt;=$A10)*MOVIMIENTOS!$E$5:$E$400))</f>
        <v>37</v>
      </c>
      <c r="F10" s="46" t="n">
        <f aca="false">IF($A10="","",SUMPRODUCT((MOVIMIENTOS!$B$5:$B$400="SALDO INICIAL")*(MOVIMIENTOS!$C$5:$C$400="Chancho")*(MOVIMIENTOS!$D$5:$D$400="sacos")*(MOVIMIENTOS!$A$5:$A$400&lt;&gt;"")*(MOVIMIENTOS!$A$5:$A$400&lt;=$A10)*MOVIMIENTOS!$E$5:$E$400)+SUMPRODUCT((MOVIMIENTOS!$B$5:$B$400="PROCESO")*(MOVIMIENTOS!$C$5:$C$400="Chancho")*(MOVIMIENTOS!$D$5:$D$400="sacos")*(MOVIMIENTOS!$A$5:$A$400&lt;&gt;"")*(MOVIMIENTOS!$A$5:$A$400&lt;=$A10)*MOVIMIENTOS!$E$5:$E$400)-SUMPRODUCT((MOVIMIENTOS!$B$5:$B$400="VENTA CHANCHO")*(MOVIMIENTOS!$C$5:$C$400="Chancho")*(MOVIMIENTOS!$D$5:$D$400="sacos")*(MOVIMIENTOS!$A$5:$A$400&lt;&gt;"")*(MOVIMIENTOS!$A$5:$A$400&lt;=$A10)*MOVIMIENTOS!$E$5:$E$400)-SUMPRODUCT((MOVIMIENTOS!$B$5:$B$400="REGALO")*(MOVIMIENTOS!$C$5:$C$400="Chancho")*(MOVIMIENTOS!$D$5:$D$400="sacos")*(MOVIMIENTOS!$A$5:$A$400&lt;&gt;"")*(MOVIMIENTOS!$A$5:$A$400&lt;=$A10)*MOVIMIENTOS!$E$5:$E$400)-SUMPRODUCT((MOVIMIENTOS!$B$5:$B$400="VENTA")*(MOVIMIENTOS!$C$5:$C$400="Chancho")*(MOVIMIENTOS!$D$5:$D$400="sacos")*(MOVIMIENTOS!$A$5:$A$400&lt;&gt;"")*(MOVIMIENTOS!$A$5:$A$400&lt;=$A10)*MOVIMIENTOS!$E$5:$E$400)+SUMPRODUCT((MOVIMIENTOS!$B$5:$B$400="AJUSTE")*(MOVIMIENTOS!$C$5:$C$400="Chancho")*(MOVIMIENTOS!$D$5:$D$400="sacos")*(MOVIMIENTOS!$A$5:$A$400&lt;&gt;"")*(MOVIMIENTOS!$A$5:$A$400&lt;=$A10)*MOVIMIENTOS!$E$5:$E$400))</f>
        <v>9</v>
      </c>
      <c r="G10" s="46" t="n">
        <f aca="false">IF($A10="","",SUM(B10:E10))</f>
        <v>89</v>
      </c>
      <c r="H10" s="46" t="n">
        <f aca="false">IF($A10="","",SUMPRODUCT((((MOVIMIENTOS!$B$5:$B$400="SALDO INICIAL")*(MOVIMIENTOS!$C$5:$C$400&lt;&gt;"Chancho"))+(MOVIMIENTOS!$B$5:$B$400="COMPRA")+(MOVIMIENTOS!$B$5:$B$400="REPROCESO")+(MOVIMIENTOS!$B$5:$B$400="DEVOLUCIÓN")+((MOVIMIENTOS!$B$5:$B$400="AJUSTE")*(MOVIMIENTOS!$C$5:$C$400&lt;&gt;"Chancho")))*(MOVIMIENTOS!$A$5:$A$400&lt;&gt;"")*(MOVIMIENTOS!$A$5:$A$400&lt;=$A10)*MOVIMIENTOS!$I$5:$I$400)-SUMPRODUCT(((MOVIMIENTOS!$B$5:$B$400="ENVÍO A SUPESA")+(MOVIMIENTOS!$B$5:$B$400="ENVÍO A TOTTUS")+(MOVIMIENTOS!$B$5:$B$400="ENVIO A TOTTUS")+(MOVIMIENTOS!$B$5:$B$400="MALOGRADO")+(MOVIMIENTOS!$B$5:$B$400="OTRA SALIDA")+((MOVIMIENTOS!$B$5:$B$400="PROCESO")*(MOVIMIENTOS!$C$5:$C$400="Chancho"))+((MOVIMIENTOS!$B$5:$B$400="REGALO")*(MOVIMIENTOS!$C$5:$C$400&lt;&gt;"Chancho"))+((MOVIMIENTOS!$B$5:$B$400="VENTA")*(MOVIMIENTOS!$C$5:$C$400&lt;&gt;"Chancho")))*(MOVIMIENTOS!$A$5:$A$400&lt;&gt;"")*(MOVIMIENTOS!$A$5:$A$400&lt;=$A10)*MOVIMIENTOS!$I$5:$I$400))</f>
        <v>1439</v>
      </c>
      <c r="I10" s="44"/>
      <c r="J10" s="44" t="str">
        <f aca="false">IF(AND(MOVIMIENTOS!$A10&lt;&gt;"",COUNTIF(MOVIMIENTOS!$A$5:$A9,MOVIMIENTOS!$A10)=0),COUNT(J$4:J9)+1,"")</f>
        <v/>
      </c>
      <c r="K10" s="47" t="n">
        <f aca="false">MOVIMIENTOS!$A10</f>
        <v>46215</v>
      </c>
      <c r="L10" s="44"/>
      <c r="M10" s="44"/>
      <c r="N10" s="44"/>
    </row>
    <row r="11" customFormat="false" ht="15" hidden="false" customHeight="true" outlineLevel="0" collapsed="false">
      <c r="A11" s="45" t="n">
        <f aca="false">IFERROR(INDEX(K$5:K$400,MATCH(ROW()-4,J$5:J$400,0)),"")</f>
        <v>46220</v>
      </c>
      <c r="B11" s="46" t="n">
        <f aca="false">IF($A11="","",SUMPRODUCT((MOVIMIENTOS!$B$5:$B$400="SALDO INICIAL")*(MOVIMIENTOS!$C$5:$C$400="A")*(MOVIMIENTOS!$D$5:$D$400="jabas")*(MOVIMIENTOS!$A$5:$A$400&lt;&gt;"")*(MOVIMIENTOS!$A$5:$A$400&lt;=$A11)*MOVIMIENTOS!$E$5:$E$400)+SUMPRODUCT((MOVIMIENTOS!$B$5:$B$400="PROCESO")*(MOVIMIENTOS!$C$5:$C$400="A")*(MOVIMIENTOS!$D$5:$D$400="jabas")*(MOVIMIENTOS!$A$5:$A$400&lt;&gt;"")*(MOVIMIENTOS!$A$5:$A$400&lt;=$A11)*MOVIMIENTOS!$E$5:$E$400)-SUMPRODUCT((MOVIMIENTOS!$B$5:$B$400="ENVÍO A SUPESA")*(MOVIMIENTOS!$C$5:$C$400="A")*(MOVIMIENTOS!$D$5:$D$400="jabas")*(MOVIMIENTOS!$A$5:$A$400&lt;&gt;"")*(MOVIMIENTOS!$A$5:$A$400&lt;=$A11)*MOVIMIENTOS!$E$5:$E$400)+SUMPRODUCT((MOVIMIENTOS!$B$5:$B$400="DEVOLUCIÓN")*(MOVIMIENTOS!$C$5:$C$400="A")*(MOVIMIENTOS!$D$5:$D$400="jabas")*(MOVIMIENTOS!$A$5:$A$400&lt;&gt;"")*(MOVIMIENTOS!$A$5:$A$400&lt;=$A11)*MOVIMIENTOS!$E$5:$E$400)-SUMPRODUCT((MOVIMIENTOS!$B$5:$B$400="TRASIEGO")*(MOVIMIENTOS!$C$5:$C$400="A")*(MOVIMIENTOS!$D$5:$D$400="jabas")*(MOVIMIENTOS!$A$5:$A$400&lt;&gt;"")*(MOVIMIENTOS!$A$5:$A$400&lt;=$A11)*MOVIMIENTOS!$E$5:$E$400)-SUMPRODUCT((MOVIMIENTOS!$B$5:$B$400="REGALO")*(MOVIMIENTOS!$C$5:$C$400="A")*(MOVIMIENTOS!$D$5:$D$400="jabas")*(MOVIMIENTOS!$A$5:$A$400&lt;&gt;"")*(MOVIMIENTOS!$A$5:$A$400&lt;=$A11)*MOVIMIENTOS!$E$5:$E$400)-SUMPRODUCT((MOVIMIENTOS!$B$5:$B$400="VENTA")*(MOVIMIENTOS!$C$5:$C$400="A")*(MOVIMIENTOS!$D$5:$D$400="jabas")*(MOVIMIENTOS!$A$5:$A$400&lt;&gt;"")*(MOVIMIENTOS!$A$5:$A$400&lt;=$A11)*MOVIMIENTOS!$E$5:$E$400)+SUMPRODUCT((MOVIMIENTOS!$B$5:$B$400="AJUSTE")*(MOVIMIENTOS!$C$5:$C$400="A")*(MOVIMIENTOS!$D$5:$D$400="jabas")*(MOVIMIENTOS!$A$5:$A$400&lt;&gt;"")*(MOVIMIENTOS!$A$5:$A$400&lt;=$A11)*MOVIMIENTOS!$E$5:$E$400))</f>
        <v>65</v>
      </c>
      <c r="C11" s="46" t="n">
        <f aca="false">IF($A11="","",SUMPRODUCT((MOVIMIENTOS!$B$5:$B$400="SALDO INICIAL")*(MOVIMIENTOS!$C$5:$C$400="P")*(MOVIMIENTOS!$D$5:$D$400="jabas")*(MOVIMIENTOS!$A$5:$A$400&lt;&gt;"")*(MOVIMIENTOS!$A$5:$A$400&lt;=$A11)*MOVIMIENTOS!$E$5:$E$400)+SUMPRODUCT((MOVIMIENTOS!$B$5:$B$400="PROCESO")*(MOVIMIENTOS!$C$5:$C$400="P")*(MOVIMIENTOS!$D$5:$D$400="jabas")*(MOVIMIENTOS!$A$5:$A$400&lt;&gt;"")*(MOVIMIENTOS!$A$5:$A$400&lt;=$A11)*MOVIMIENTOS!$E$5:$E$400)-SUMPRODUCT((MOVIMIENTOS!$B$5:$B$400="ENVÍO A SUPESA")*(MOVIMIENTOS!$C$5:$C$400="P")*(MOVIMIENTOS!$D$5:$D$400="jabas")*(MOVIMIENTOS!$A$5:$A$400&lt;&gt;"")*(MOVIMIENTOS!$A$5:$A$400&lt;=$A11)*MOVIMIENTOS!$E$5:$E$400)+SUMPRODUCT((MOVIMIENTOS!$B$5:$B$400="DEVOLUCIÓN")*(MOVIMIENTOS!$C$5:$C$400="P")*(MOVIMIENTOS!$D$5:$D$400="jabas")*(MOVIMIENTOS!$A$5:$A$400&lt;&gt;"")*(MOVIMIENTOS!$A$5:$A$400&lt;=$A11)*MOVIMIENTOS!$E$5:$E$400)-SUMPRODUCT((MOVIMIENTOS!$B$5:$B$400="TRASIEGO")*(MOVIMIENTOS!$C$5:$C$400="P")*(MOVIMIENTOS!$D$5:$D$400="jabas")*(MOVIMIENTOS!$A$5:$A$400&lt;&gt;"")*(MOVIMIENTOS!$A$5:$A$400&lt;=$A11)*MOVIMIENTOS!$E$5:$E$400)-SUMPRODUCT((MOVIMIENTOS!$B$5:$B$400="REGALO")*(MOVIMIENTOS!$C$5:$C$400="P")*(MOVIMIENTOS!$D$5:$D$400="jabas")*(MOVIMIENTOS!$A$5:$A$400&lt;&gt;"")*(MOVIMIENTOS!$A$5:$A$400&lt;=$A11)*MOVIMIENTOS!$E$5:$E$400)-SUMPRODUCT((MOVIMIENTOS!$B$5:$B$400="VENTA")*(MOVIMIENTOS!$C$5:$C$400="P")*(MOVIMIENTOS!$D$5:$D$400="jabas")*(MOVIMIENTOS!$A$5:$A$400&lt;&gt;"")*(MOVIMIENTOS!$A$5:$A$400&lt;=$A11)*MOVIMIENTOS!$E$5:$E$400)+SUMPRODUCT((MOVIMIENTOS!$B$5:$B$400="AJUSTE")*(MOVIMIENTOS!$C$5:$C$400="P")*(MOVIMIENTOS!$D$5:$D$400="jabas")*(MOVIMIENTOS!$A$5:$A$400&lt;&gt;"")*(MOVIMIENTOS!$A$5:$A$400&lt;=$A11)*MOVIMIENTOS!$E$5:$E$400))</f>
        <v>4</v>
      </c>
      <c r="D11" s="46" t="n">
        <f aca="false">IF($A11="","",SUMPRODUCT((MOVIMIENTOS!$B$5:$B$400="SALDO INICIAL")*(MOVIMIENTOS!$C$5:$C$400="C")*(MOVIMIENTOS!$D$5:$D$400="jabas")*(MOVIMIENTOS!$A$5:$A$400&lt;&gt;"")*(MOVIMIENTOS!$A$5:$A$400&lt;=$A11)*MOVIMIENTOS!$E$5:$E$400)+SUMPRODUCT((MOVIMIENTOS!$B$5:$B$400="PROCESO")*(MOVIMIENTOS!$C$5:$C$400="C")*(MOVIMIENTOS!$D$5:$D$400="jabas")*(MOVIMIENTOS!$A$5:$A$400&lt;&gt;"")*(MOVIMIENTOS!$A$5:$A$400&lt;=$A11)*MOVIMIENTOS!$E$5:$E$400)-SUMPRODUCT((MOVIMIENTOS!$B$5:$B$400="ENVÍO A SUPESA")*(MOVIMIENTOS!$C$5:$C$400="C")*(MOVIMIENTOS!$D$5:$D$400="jabas")*(MOVIMIENTOS!$A$5:$A$400&lt;&gt;"")*(MOVIMIENTOS!$A$5:$A$400&lt;=$A11)*MOVIMIENTOS!$E$5:$E$400)+SUMPRODUCT((MOVIMIENTOS!$B$5:$B$400="DEVOLUCIÓN")*(MOVIMIENTOS!$C$5:$C$400="C")*(MOVIMIENTOS!$D$5:$D$400="jabas")*(MOVIMIENTOS!$A$5:$A$400&lt;&gt;"")*(MOVIMIENTOS!$A$5:$A$400&lt;=$A11)*MOVIMIENTOS!$E$5:$E$400)-SUMPRODUCT((MOVIMIENTOS!$B$5:$B$400="TRASIEGO")*(MOVIMIENTOS!$C$5:$C$400="C")*(MOVIMIENTOS!$D$5:$D$400="jabas")*(MOVIMIENTOS!$A$5:$A$400&lt;&gt;"")*(MOVIMIENTOS!$A$5:$A$400&lt;=$A11)*MOVIMIENTOS!$E$5:$E$400)-SUMPRODUCT((MOVIMIENTOS!$B$5:$B$400="REGALO")*(MOVIMIENTOS!$C$5:$C$400="C")*(MOVIMIENTOS!$D$5:$D$400="jabas")*(MOVIMIENTOS!$A$5:$A$400&lt;&gt;"")*(MOVIMIENTOS!$A$5:$A$400&lt;=$A11)*MOVIMIENTOS!$E$5:$E$400)-SUMPRODUCT((MOVIMIENTOS!$B$5:$B$400="VENTA")*(MOVIMIENTOS!$C$5:$C$400="C")*(MOVIMIENTOS!$D$5:$D$400="jabas")*(MOVIMIENTOS!$A$5:$A$400&lt;&gt;"")*(MOVIMIENTOS!$A$5:$A$400&lt;=$A11)*MOVIMIENTOS!$E$5:$E$400)+SUMPRODUCT((MOVIMIENTOS!$B$5:$B$400="AJUSTE")*(MOVIMIENTOS!$C$5:$C$400="C")*(MOVIMIENTOS!$D$5:$D$400="jabas")*(MOVIMIENTOS!$A$5:$A$400&lt;&gt;"")*(MOVIMIENTOS!$A$5:$A$400&lt;=$A11)*MOVIMIENTOS!$E$5:$E$400))</f>
        <v>9</v>
      </c>
      <c r="E11" s="46" t="n">
        <f aca="false">IF($A11="","",SUMPRODUCT((MOVIMIENTOS!$B$5:$B$400="SALDO INICIAL")*(MOVIMIENTOS!$C$5:$C$400="M")*(MOVIMIENTOS!$D$5:$D$400="jabas")*(MOVIMIENTOS!$A$5:$A$400&lt;&gt;"")*(MOVIMIENTOS!$A$5:$A$400&lt;=$A11)*MOVIMIENTOS!$E$5:$E$400)+SUMPRODUCT((MOVIMIENTOS!$B$5:$B$400="PROCESO")*(MOVIMIENTOS!$C$5:$C$400="M")*(MOVIMIENTOS!$D$5:$D$400="jabas")*(MOVIMIENTOS!$A$5:$A$400&lt;&gt;"")*(MOVIMIENTOS!$A$5:$A$400&lt;=$A11)*MOVIMIENTOS!$E$5:$E$400)-SUMPRODUCT((MOVIMIENTOS!$B$5:$B$400="ENVÍO A SUPESA")*(MOVIMIENTOS!$C$5:$C$400="M")*(MOVIMIENTOS!$D$5:$D$400="jabas")*(MOVIMIENTOS!$A$5:$A$400&lt;&gt;"")*(MOVIMIENTOS!$A$5:$A$400&lt;=$A11)*MOVIMIENTOS!$E$5:$E$400)+SUMPRODUCT((MOVIMIENTOS!$B$5:$B$400="DEVOLUCIÓN")*(MOVIMIENTOS!$C$5:$C$400="M")*(MOVIMIENTOS!$D$5:$D$400="jabas")*(MOVIMIENTOS!$A$5:$A$400&lt;&gt;"")*(MOVIMIENTOS!$A$5:$A$400&lt;=$A11)*MOVIMIENTOS!$E$5:$E$400)-SUMPRODUCT((MOVIMIENTOS!$B$5:$B$400="TRASIEGO")*(MOVIMIENTOS!$C$5:$C$400="M")*(MOVIMIENTOS!$D$5:$D$400="jabas")*(MOVIMIENTOS!$A$5:$A$400&lt;&gt;"")*(MOVIMIENTOS!$A$5:$A$400&lt;=$A11)*MOVIMIENTOS!$E$5:$E$400)-SUMPRODUCT((MOVIMIENTOS!$B$5:$B$400="REGALO")*(MOVIMIENTOS!$C$5:$C$400="M")*(MOVIMIENTOS!$D$5:$D$400="jabas")*(MOVIMIENTOS!$A$5:$A$400&lt;&gt;"")*(MOVIMIENTOS!$A$5:$A$400&lt;=$A11)*MOVIMIENTOS!$E$5:$E$400)-SUMPRODUCT((MOVIMIENTOS!$B$5:$B$400="VENTA")*(MOVIMIENTOS!$C$5:$C$400="M")*(MOVIMIENTOS!$D$5:$D$400="jabas")*(MOVIMIENTOS!$A$5:$A$400&lt;&gt;"")*(MOVIMIENTOS!$A$5:$A$400&lt;=$A11)*MOVIMIENTOS!$E$5:$E$400)+SUMPRODUCT((MOVIMIENTOS!$B$5:$B$400="AJUSTE")*(MOVIMIENTOS!$C$5:$C$400="M")*(MOVIMIENTOS!$D$5:$D$400="jabas")*(MOVIMIENTOS!$A$5:$A$400&lt;&gt;"")*(MOVIMIENTOS!$A$5:$A$400&lt;=$A11)*MOVIMIENTOS!$E$5:$E$400))</f>
        <v>115</v>
      </c>
      <c r="F11" s="46" t="n">
        <f aca="false">IF($A11="","",SUMPRODUCT((MOVIMIENTOS!$B$5:$B$400="SALDO INICIAL")*(MOVIMIENTOS!$C$5:$C$400="Chancho")*(MOVIMIENTOS!$D$5:$D$400="sacos")*(MOVIMIENTOS!$A$5:$A$400&lt;&gt;"")*(MOVIMIENTOS!$A$5:$A$400&lt;=$A11)*MOVIMIENTOS!$E$5:$E$400)+SUMPRODUCT((MOVIMIENTOS!$B$5:$B$400="PROCESO")*(MOVIMIENTOS!$C$5:$C$400="Chancho")*(MOVIMIENTOS!$D$5:$D$400="sacos")*(MOVIMIENTOS!$A$5:$A$400&lt;&gt;"")*(MOVIMIENTOS!$A$5:$A$400&lt;=$A11)*MOVIMIENTOS!$E$5:$E$400)-SUMPRODUCT((MOVIMIENTOS!$B$5:$B$400="VENTA CHANCHO")*(MOVIMIENTOS!$C$5:$C$400="Chancho")*(MOVIMIENTOS!$D$5:$D$400="sacos")*(MOVIMIENTOS!$A$5:$A$400&lt;&gt;"")*(MOVIMIENTOS!$A$5:$A$400&lt;=$A11)*MOVIMIENTOS!$E$5:$E$400)-SUMPRODUCT((MOVIMIENTOS!$B$5:$B$400="REGALO")*(MOVIMIENTOS!$C$5:$C$400="Chancho")*(MOVIMIENTOS!$D$5:$D$400="sacos")*(MOVIMIENTOS!$A$5:$A$400&lt;&gt;"")*(MOVIMIENTOS!$A$5:$A$400&lt;=$A11)*MOVIMIENTOS!$E$5:$E$400)-SUMPRODUCT((MOVIMIENTOS!$B$5:$B$400="VENTA")*(MOVIMIENTOS!$C$5:$C$400="Chancho")*(MOVIMIENTOS!$D$5:$D$400="sacos")*(MOVIMIENTOS!$A$5:$A$400&lt;&gt;"")*(MOVIMIENTOS!$A$5:$A$400&lt;=$A11)*MOVIMIENTOS!$E$5:$E$400)+SUMPRODUCT((MOVIMIENTOS!$B$5:$B$400="AJUSTE")*(MOVIMIENTOS!$C$5:$C$400="Chancho")*(MOVIMIENTOS!$D$5:$D$400="sacos")*(MOVIMIENTOS!$A$5:$A$400&lt;&gt;"")*(MOVIMIENTOS!$A$5:$A$400&lt;=$A11)*MOVIMIENTOS!$E$5:$E$400))</f>
        <v>5</v>
      </c>
      <c r="G11" s="46" t="n">
        <f aca="false">IF($A11="","",SUM(B11:E11))</f>
        <v>193</v>
      </c>
      <c r="H11" s="46" t="n">
        <f aca="false">IF($A11="","",SUMPRODUCT((((MOVIMIENTOS!$B$5:$B$400="SALDO INICIAL")*(MOVIMIENTOS!$C$5:$C$400&lt;&gt;"Chancho"))+(MOVIMIENTOS!$B$5:$B$400="COMPRA")+(MOVIMIENTOS!$B$5:$B$400="REPROCESO")+(MOVIMIENTOS!$B$5:$B$400="DEVOLUCIÓN")+((MOVIMIENTOS!$B$5:$B$400="AJUSTE")*(MOVIMIENTOS!$C$5:$C$400&lt;&gt;"Chancho")))*(MOVIMIENTOS!$A$5:$A$400&lt;&gt;"")*(MOVIMIENTOS!$A$5:$A$400&lt;=$A11)*MOVIMIENTOS!$I$5:$I$400)-SUMPRODUCT(((MOVIMIENTOS!$B$5:$B$400="ENVÍO A SUPESA")+(MOVIMIENTOS!$B$5:$B$400="ENVÍO A TOTTUS")+(MOVIMIENTOS!$B$5:$B$400="ENVIO A TOTTUS")+(MOVIMIENTOS!$B$5:$B$400="MALOGRADO")+(MOVIMIENTOS!$B$5:$B$400="OTRA SALIDA")+((MOVIMIENTOS!$B$5:$B$400="PROCESO")*(MOVIMIENTOS!$C$5:$C$400="Chancho"))+((MOVIMIENTOS!$B$5:$B$400="REGALO")*(MOVIMIENTOS!$C$5:$C$400&lt;&gt;"Chancho"))+((MOVIMIENTOS!$B$5:$B$400="VENTA")*(MOVIMIENTOS!$C$5:$C$400&lt;&gt;"Chancho")))*(MOVIMIENTOS!$A$5:$A$400&lt;&gt;"")*(MOVIMIENTOS!$A$5:$A$400&lt;=$A11)*MOVIMIENTOS!$I$5:$I$400))</f>
        <v>3264</v>
      </c>
      <c r="I11" s="44"/>
      <c r="J11" s="44" t="str">
        <f aca="false">IF(AND(MOVIMIENTOS!$A11&lt;&gt;"",COUNTIF(MOVIMIENTOS!$A$5:$A10,MOVIMIENTOS!$A11)=0),COUNT(J$4:J10)+1,"")</f>
        <v/>
      </c>
      <c r="K11" s="47" t="n">
        <f aca="false">MOVIMIENTOS!$A11</f>
        <v>46215</v>
      </c>
      <c r="L11" s="44"/>
      <c r="M11" s="44"/>
      <c r="N11" s="44"/>
    </row>
    <row r="12" customFormat="false" ht="15" hidden="false" customHeight="true" outlineLevel="0" collapsed="false">
      <c r="A12" s="45" t="n">
        <f aca="false">IFERROR(INDEX(K$5:K$400,MATCH(ROW()-4,J$5:J$400,0)),"")</f>
        <v>46221</v>
      </c>
      <c r="B12" s="46" t="n">
        <f aca="false">IF($A12="","",SUMPRODUCT((MOVIMIENTOS!$B$5:$B$400="SALDO INICIAL")*(MOVIMIENTOS!$C$5:$C$400="A")*(MOVIMIENTOS!$D$5:$D$400="jabas")*(MOVIMIENTOS!$A$5:$A$400&lt;&gt;"")*(MOVIMIENTOS!$A$5:$A$400&lt;=$A12)*MOVIMIENTOS!$E$5:$E$400)+SUMPRODUCT((MOVIMIENTOS!$B$5:$B$400="PROCESO")*(MOVIMIENTOS!$C$5:$C$400="A")*(MOVIMIENTOS!$D$5:$D$400="jabas")*(MOVIMIENTOS!$A$5:$A$400&lt;&gt;"")*(MOVIMIENTOS!$A$5:$A$400&lt;=$A12)*MOVIMIENTOS!$E$5:$E$400)-SUMPRODUCT((MOVIMIENTOS!$B$5:$B$400="ENVÍO A SUPESA")*(MOVIMIENTOS!$C$5:$C$400="A")*(MOVIMIENTOS!$D$5:$D$400="jabas")*(MOVIMIENTOS!$A$5:$A$400&lt;&gt;"")*(MOVIMIENTOS!$A$5:$A$400&lt;=$A12)*MOVIMIENTOS!$E$5:$E$400)+SUMPRODUCT((MOVIMIENTOS!$B$5:$B$400="DEVOLUCIÓN")*(MOVIMIENTOS!$C$5:$C$400="A")*(MOVIMIENTOS!$D$5:$D$400="jabas")*(MOVIMIENTOS!$A$5:$A$400&lt;&gt;"")*(MOVIMIENTOS!$A$5:$A$400&lt;=$A12)*MOVIMIENTOS!$E$5:$E$400)-SUMPRODUCT((MOVIMIENTOS!$B$5:$B$400="TRASIEGO")*(MOVIMIENTOS!$C$5:$C$400="A")*(MOVIMIENTOS!$D$5:$D$400="jabas")*(MOVIMIENTOS!$A$5:$A$400&lt;&gt;"")*(MOVIMIENTOS!$A$5:$A$400&lt;=$A12)*MOVIMIENTOS!$E$5:$E$400)-SUMPRODUCT((MOVIMIENTOS!$B$5:$B$400="REGALO")*(MOVIMIENTOS!$C$5:$C$400="A")*(MOVIMIENTOS!$D$5:$D$400="jabas")*(MOVIMIENTOS!$A$5:$A$400&lt;&gt;"")*(MOVIMIENTOS!$A$5:$A$400&lt;=$A12)*MOVIMIENTOS!$E$5:$E$400)-SUMPRODUCT((MOVIMIENTOS!$B$5:$B$400="VENTA")*(MOVIMIENTOS!$C$5:$C$400="A")*(MOVIMIENTOS!$D$5:$D$400="jabas")*(MOVIMIENTOS!$A$5:$A$400&lt;&gt;"")*(MOVIMIENTOS!$A$5:$A$400&lt;=$A12)*MOVIMIENTOS!$E$5:$E$400)+SUMPRODUCT((MOVIMIENTOS!$B$5:$B$400="AJUSTE")*(MOVIMIENTOS!$C$5:$C$400="A")*(MOVIMIENTOS!$D$5:$D$400="jabas")*(MOVIMIENTOS!$A$5:$A$400&lt;&gt;"")*(MOVIMIENTOS!$A$5:$A$400&lt;=$A12)*MOVIMIENTOS!$E$5:$E$400))</f>
        <v>64</v>
      </c>
      <c r="C12" s="46" t="n">
        <f aca="false">IF($A12="","",SUMPRODUCT((MOVIMIENTOS!$B$5:$B$400="SALDO INICIAL")*(MOVIMIENTOS!$C$5:$C$400="P")*(MOVIMIENTOS!$D$5:$D$400="jabas")*(MOVIMIENTOS!$A$5:$A$400&lt;&gt;"")*(MOVIMIENTOS!$A$5:$A$400&lt;=$A12)*MOVIMIENTOS!$E$5:$E$400)+SUMPRODUCT((MOVIMIENTOS!$B$5:$B$400="PROCESO")*(MOVIMIENTOS!$C$5:$C$400="P")*(MOVIMIENTOS!$D$5:$D$400="jabas")*(MOVIMIENTOS!$A$5:$A$400&lt;&gt;"")*(MOVIMIENTOS!$A$5:$A$400&lt;=$A12)*MOVIMIENTOS!$E$5:$E$400)-SUMPRODUCT((MOVIMIENTOS!$B$5:$B$400="ENVÍO A SUPESA")*(MOVIMIENTOS!$C$5:$C$400="P")*(MOVIMIENTOS!$D$5:$D$400="jabas")*(MOVIMIENTOS!$A$5:$A$400&lt;&gt;"")*(MOVIMIENTOS!$A$5:$A$400&lt;=$A12)*MOVIMIENTOS!$E$5:$E$400)+SUMPRODUCT((MOVIMIENTOS!$B$5:$B$400="DEVOLUCIÓN")*(MOVIMIENTOS!$C$5:$C$400="P")*(MOVIMIENTOS!$D$5:$D$400="jabas")*(MOVIMIENTOS!$A$5:$A$400&lt;&gt;"")*(MOVIMIENTOS!$A$5:$A$400&lt;=$A12)*MOVIMIENTOS!$E$5:$E$400)-SUMPRODUCT((MOVIMIENTOS!$B$5:$B$400="TRASIEGO")*(MOVIMIENTOS!$C$5:$C$400="P")*(MOVIMIENTOS!$D$5:$D$400="jabas")*(MOVIMIENTOS!$A$5:$A$400&lt;&gt;"")*(MOVIMIENTOS!$A$5:$A$400&lt;=$A12)*MOVIMIENTOS!$E$5:$E$400)-SUMPRODUCT((MOVIMIENTOS!$B$5:$B$400="REGALO")*(MOVIMIENTOS!$C$5:$C$400="P")*(MOVIMIENTOS!$D$5:$D$400="jabas")*(MOVIMIENTOS!$A$5:$A$400&lt;&gt;"")*(MOVIMIENTOS!$A$5:$A$400&lt;=$A12)*MOVIMIENTOS!$E$5:$E$400)-SUMPRODUCT((MOVIMIENTOS!$B$5:$B$400="VENTA")*(MOVIMIENTOS!$C$5:$C$400="P")*(MOVIMIENTOS!$D$5:$D$400="jabas")*(MOVIMIENTOS!$A$5:$A$400&lt;&gt;"")*(MOVIMIENTOS!$A$5:$A$400&lt;=$A12)*MOVIMIENTOS!$E$5:$E$400)+SUMPRODUCT((MOVIMIENTOS!$B$5:$B$400="AJUSTE")*(MOVIMIENTOS!$C$5:$C$400="P")*(MOVIMIENTOS!$D$5:$D$400="jabas")*(MOVIMIENTOS!$A$5:$A$400&lt;&gt;"")*(MOVIMIENTOS!$A$5:$A$400&lt;=$A12)*MOVIMIENTOS!$E$5:$E$400))</f>
        <v>11</v>
      </c>
      <c r="D12" s="46" t="n">
        <f aca="false">IF($A12="","",SUMPRODUCT((MOVIMIENTOS!$B$5:$B$400="SALDO INICIAL")*(MOVIMIENTOS!$C$5:$C$400="C")*(MOVIMIENTOS!$D$5:$D$400="jabas")*(MOVIMIENTOS!$A$5:$A$400&lt;&gt;"")*(MOVIMIENTOS!$A$5:$A$400&lt;=$A12)*MOVIMIENTOS!$E$5:$E$400)+SUMPRODUCT((MOVIMIENTOS!$B$5:$B$400="PROCESO")*(MOVIMIENTOS!$C$5:$C$400="C")*(MOVIMIENTOS!$D$5:$D$400="jabas")*(MOVIMIENTOS!$A$5:$A$400&lt;&gt;"")*(MOVIMIENTOS!$A$5:$A$400&lt;=$A12)*MOVIMIENTOS!$E$5:$E$400)-SUMPRODUCT((MOVIMIENTOS!$B$5:$B$400="ENVÍO A SUPESA")*(MOVIMIENTOS!$C$5:$C$400="C")*(MOVIMIENTOS!$D$5:$D$400="jabas")*(MOVIMIENTOS!$A$5:$A$400&lt;&gt;"")*(MOVIMIENTOS!$A$5:$A$400&lt;=$A12)*MOVIMIENTOS!$E$5:$E$400)+SUMPRODUCT((MOVIMIENTOS!$B$5:$B$400="DEVOLUCIÓN")*(MOVIMIENTOS!$C$5:$C$400="C")*(MOVIMIENTOS!$D$5:$D$400="jabas")*(MOVIMIENTOS!$A$5:$A$400&lt;&gt;"")*(MOVIMIENTOS!$A$5:$A$400&lt;=$A12)*MOVIMIENTOS!$E$5:$E$400)-SUMPRODUCT((MOVIMIENTOS!$B$5:$B$400="TRASIEGO")*(MOVIMIENTOS!$C$5:$C$400="C")*(MOVIMIENTOS!$D$5:$D$400="jabas")*(MOVIMIENTOS!$A$5:$A$400&lt;&gt;"")*(MOVIMIENTOS!$A$5:$A$400&lt;=$A12)*MOVIMIENTOS!$E$5:$E$400)-SUMPRODUCT((MOVIMIENTOS!$B$5:$B$400="REGALO")*(MOVIMIENTOS!$C$5:$C$400="C")*(MOVIMIENTOS!$D$5:$D$400="jabas")*(MOVIMIENTOS!$A$5:$A$400&lt;&gt;"")*(MOVIMIENTOS!$A$5:$A$400&lt;=$A12)*MOVIMIENTOS!$E$5:$E$400)-SUMPRODUCT((MOVIMIENTOS!$B$5:$B$400="VENTA")*(MOVIMIENTOS!$C$5:$C$400="C")*(MOVIMIENTOS!$D$5:$D$400="jabas")*(MOVIMIENTOS!$A$5:$A$400&lt;&gt;"")*(MOVIMIENTOS!$A$5:$A$400&lt;=$A12)*MOVIMIENTOS!$E$5:$E$400)+SUMPRODUCT((MOVIMIENTOS!$B$5:$B$400="AJUSTE")*(MOVIMIENTOS!$C$5:$C$400="C")*(MOVIMIENTOS!$D$5:$D$400="jabas")*(MOVIMIENTOS!$A$5:$A$400&lt;&gt;"")*(MOVIMIENTOS!$A$5:$A$400&lt;=$A12)*MOVIMIENTOS!$E$5:$E$400))</f>
        <v>12</v>
      </c>
      <c r="E12" s="46" t="n">
        <f aca="false">IF($A12="","",SUMPRODUCT((MOVIMIENTOS!$B$5:$B$400="SALDO INICIAL")*(MOVIMIENTOS!$C$5:$C$400="M")*(MOVIMIENTOS!$D$5:$D$400="jabas")*(MOVIMIENTOS!$A$5:$A$400&lt;&gt;"")*(MOVIMIENTOS!$A$5:$A$400&lt;=$A12)*MOVIMIENTOS!$E$5:$E$400)+SUMPRODUCT((MOVIMIENTOS!$B$5:$B$400="PROCESO")*(MOVIMIENTOS!$C$5:$C$400="M")*(MOVIMIENTOS!$D$5:$D$400="jabas")*(MOVIMIENTOS!$A$5:$A$400&lt;&gt;"")*(MOVIMIENTOS!$A$5:$A$400&lt;=$A12)*MOVIMIENTOS!$E$5:$E$400)-SUMPRODUCT((MOVIMIENTOS!$B$5:$B$400="ENVÍO A SUPESA")*(MOVIMIENTOS!$C$5:$C$400="M")*(MOVIMIENTOS!$D$5:$D$400="jabas")*(MOVIMIENTOS!$A$5:$A$400&lt;&gt;"")*(MOVIMIENTOS!$A$5:$A$400&lt;=$A12)*MOVIMIENTOS!$E$5:$E$400)+SUMPRODUCT((MOVIMIENTOS!$B$5:$B$400="DEVOLUCIÓN")*(MOVIMIENTOS!$C$5:$C$400="M")*(MOVIMIENTOS!$D$5:$D$400="jabas")*(MOVIMIENTOS!$A$5:$A$400&lt;&gt;"")*(MOVIMIENTOS!$A$5:$A$400&lt;=$A12)*MOVIMIENTOS!$E$5:$E$400)-SUMPRODUCT((MOVIMIENTOS!$B$5:$B$400="TRASIEGO")*(MOVIMIENTOS!$C$5:$C$400="M")*(MOVIMIENTOS!$D$5:$D$400="jabas")*(MOVIMIENTOS!$A$5:$A$400&lt;&gt;"")*(MOVIMIENTOS!$A$5:$A$400&lt;=$A12)*MOVIMIENTOS!$E$5:$E$400)-SUMPRODUCT((MOVIMIENTOS!$B$5:$B$400="REGALO")*(MOVIMIENTOS!$C$5:$C$400="M")*(MOVIMIENTOS!$D$5:$D$400="jabas")*(MOVIMIENTOS!$A$5:$A$400&lt;&gt;"")*(MOVIMIENTOS!$A$5:$A$400&lt;=$A12)*MOVIMIENTOS!$E$5:$E$400)-SUMPRODUCT((MOVIMIENTOS!$B$5:$B$400="VENTA")*(MOVIMIENTOS!$C$5:$C$400="M")*(MOVIMIENTOS!$D$5:$D$400="jabas")*(MOVIMIENTOS!$A$5:$A$400&lt;&gt;"")*(MOVIMIENTOS!$A$5:$A$400&lt;=$A12)*MOVIMIENTOS!$E$5:$E$400)+SUMPRODUCT((MOVIMIENTOS!$B$5:$B$400="AJUSTE")*(MOVIMIENTOS!$C$5:$C$400="M")*(MOVIMIENTOS!$D$5:$D$400="jabas")*(MOVIMIENTOS!$A$5:$A$400&lt;&gt;"")*(MOVIMIENTOS!$A$5:$A$400&lt;=$A12)*MOVIMIENTOS!$E$5:$E$400))</f>
        <v>55</v>
      </c>
      <c r="F12" s="46" t="n">
        <f aca="false">IF($A12="","",SUMPRODUCT((MOVIMIENTOS!$B$5:$B$400="SALDO INICIAL")*(MOVIMIENTOS!$C$5:$C$400="Chancho")*(MOVIMIENTOS!$D$5:$D$400="sacos")*(MOVIMIENTOS!$A$5:$A$400&lt;&gt;"")*(MOVIMIENTOS!$A$5:$A$400&lt;=$A12)*MOVIMIENTOS!$E$5:$E$400)+SUMPRODUCT((MOVIMIENTOS!$B$5:$B$400="PROCESO")*(MOVIMIENTOS!$C$5:$C$400="Chancho")*(MOVIMIENTOS!$D$5:$D$400="sacos")*(MOVIMIENTOS!$A$5:$A$400&lt;&gt;"")*(MOVIMIENTOS!$A$5:$A$400&lt;=$A12)*MOVIMIENTOS!$E$5:$E$400)-SUMPRODUCT((MOVIMIENTOS!$B$5:$B$400="VENTA CHANCHO")*(MOVIMIENTOS!$C$5:$C$400="Chancho")*(MOVIMIENTOS!$D$5:$D$400="sacos")*(MOVIMIENTOS!$A$5:$A$400&lt;&gt;"")*(MOVIMIENTOS!$A$5:$A$400&lt;=$A12)*MOVIMIENTOS!$E$5:$E$400)-SUMPRODUCT((MOVIMIENTOS!$B$5:$B$400="REGALO")*(MOVIMIENTOS!$C$5:$C$400="Chancho")*(MOVIMIENTOS!$D$5:$D$400="sacos")*(MOVIMIENTOS!$A$5:$A$400&lt;&gt;"")*(MOVIMIENTOS!$A$5:$A$400&lt;=$A12)*MOVIMIENTOS!$E$5:$E$400)-SUMPRODUCT((MOVIMIENTOS!$B$5:$B$400="VENTA")*(MOVIMIENTOS!$C$5:$C$400="Chancho")*(MOVIMIENTOS!$D$5:$D$400="sacos")*(MOVIMIENTOS!$A$5:$A$400&lt;&gt;"")*(MOVIMIENTOS!$A$5:$A$400&lt;=$A12)*MOVIMIENTOS!$E$5:$E$400)+SUMPRODUCT((MOVIMIENTOS!$B$5:$B$400="AJUSTE")*(MOVIMIENTOS!$C$5:$C$400="Chancho")*(MOVIMIENTOS!$D$5:$D$400="sacos")*(MOVIMIENTOS!$A$5:$A$400&lt;&gt;"")*(MOVIMIENTOS!$A$5:$A$400&lt;=$A12)*MOVIMIENTOS!$E$5:$E$400))</f>
        <v>15</v>
      </c>
      <c r="G12" s="46" t="n">
        <f aca="false">IF($A12="","",SUM(B12:E12))</f>
        <v>142</v>
      </c>
      <c r="H12" s="46" t="n">
        <f aca="false">IF($A12="","",SUMPRODUCT((((MOVIMIENTOS!$B$5:$B$400="SALDO INICIAL")*(MOVIMIENTOS!$C$5:$C$400&lt;&gt;"Chancho"))+(MOVIMIENTOS!$B$5:$B$400="COMPRA")+(MOVIMIENTOS!$B$5:$B$400="REPROCESO")+(MOVIMIENTOS!$B$5:$B$400="DEVOLUCIÓN")+((MOVIMIENTOS!$B$5:$B$400="AJUSTE")*(MOVIMIENTOS!$C$5:$C$400&lt;&gt;"Chancho")))*(MOVIMIENTOS!$A$5:$A$400&lt;&gt;"")*(MOVIMIENTOS!$A$5:$A$400&lt;=$A12)*MOVIMIENTOS!$I$5:$I$400)-SUMPRODUCT(((MOVIMIENTOS!$B$5:$B$400="ENVÍO A SUPESA")+(MOVIMIENTOS!$B$5:$B$400="ENVÍO A TOTTUS")+(MOVIMIENTOS!$B$5:$B$400="ENVIO A TOTTUS")+(MOVIMIENTOS!$B$5:$B$400="MALOGRADO")+(MOVIMIENTOS!$B$5:$B$400="OTRA SALIDA")+((MOVIMIENTOS!$B$5:$B$400="PROCESO")*(MOVIMIENTOS!$C$5:$C$400="Chancho"))+((MOVIMIENTOS!$B$5:$B$400="REGALO")*(MOVIMIENTOS!$C$5:$C$400&lt;&gt;"Chancho"))+((MOVIMIENTOS!$B$5:$B$400="VENTA")*(MOVIMIENTOS!$C$5:$C$400&lt;&gt;"Chancho")))*(MOVIMIENTOS!$A$5:$A$400&lt;&gt;"")*(MOVIMIENTOS!$A$5:$A$400&lt;=$A12)*MOVIMIENTOS!$I$5:$I$400))</f>
        <v>2327</v>
      </c>
      <c r="I12" s="44"/>
      <c r="J12" s="44" t="str">
        <f aca="false">IF(AND(MOVIMIENTOS!$A12&lt;&gt;"",COUNTIF(MOVIMIENTOS!$A$5:$A11,MOVIMIENTOS!$A12)=0),COUNT(J$4:J11)+1,"")</f>
        <v/>
      </c>
      <c r="K12" s="47" t="n">
        <f aca="false">MOVIMIENTOS!$A12</f>
        <v>46215</v>
      </c>
      <c r="L12" s="44"/>
      <c r="M12" s="44"/>
      <c r="N12" s="44"/>
    </row>
    <row r="13" customFormat="false" ht="15" hidden="false" customHeight="true" outlineLevel="0" collapsed="false">
      <c r="A13" s="45" t="n">
        <f aca="false">IFERROR(INDEX(K$5:K$400,MATCH(ROW()-4,J$5:J$400,0)),"")</f>
        <v>46222</v>
      </c>
      <c r="B13" s="46" t="n">
        <f aca="false">IF($A13="","",SUMPRODUCT((MOVIMIENTOS!$B$5:$B$400="SALDO INICIAL")*(MOVIMIENTOS!$C$5:$C$400="A")*(MOVIMIENTOS!$D$5:$D$400="jabas")*(MOVIMIENTOS!$A$5:$A$400&lt;&gt;"")*(MOVIMIENTOS!$A$5:$A$400&lt;=$A13)*MOVIMIENTOS!$E$5:$E$400)+SUMPRODUCT((MOVIMIENTOS!$B$5:$B$400="PROCESO")*(MOVIMIENTOS!$C$5:$C$400="A")*(MOVIMIENTOS!$D$5:$D$400="jabas")*(MOVIMIENTOS!$A$5:$A$400&lt;&gt;"")*(MOVIMIENTOS!$A$5:$A$400&lt;=$A13)*MOVIMIENTOS!$E$5:$E$400)-SUMPRODUCT((MOVIMIENTOS!$B$5:$B$400="ENVÍO A SUPESA")*(MOVIMIENTOS!$C$5:$C$400="A")*(MOVIMIENTOS!$D$5:$D$400="jabas")*(MOVIMIENTOS!$A$5:$A$400&lt;&gt;"")*(MOVIMIENTOS!$A$5:$A$400&lt;=$A13)*MOVIMIENTOS!$E$5:$E$400)+SUMPRODUCT((MOVIMIENTOS!$B$5:$B$400="DEVOLUCIÓN")*(MOVIMIENTOS!$C$5:$C$400="A")*(MOVIMIENTOS!$D$5:$D$400="jabas")*(MOVIMIENTOS!$A$5:$A$400&lt;&gt;"")*(MOVIMIENTOS!$A$5:$A$400&lt;=$A13)*MOVIMIENTOS!$E$5:$E$400)-SUMPRODUCT((MOVIMIENTOS!$B$5:$B$400="TRASIEGO")*(MOVIMIENTOS!$C$5:$C$400="A")*(MOVIMIENTOS!$D$5:$D$400="jabas")*(MOVIMIENTOS!$A$5:$A$400&lt;&gt;"")*(MOVIMIENTOS!$A$5:$A$400&lt;=$A13)*MOVIMIENTOS!$E$5:$E$400)-SUMPRODUCT((MOVIMIENTOS!$B$5:$B$400="REGALO")*(MOVIMIENTOS!$C$5:$C$400="A")*(MOVIMIENTOS!$D$5:$D$400="jabas")*(MOVIMIENTOS!$A$5:$A$400&lt;&gt;"")*(MOVIMIENTOS!$A$5:$A$400&lt;=$A13)*MOVIMIENTOS!$E$5:$E$400)-SUMPRODUCT((MOVIMIENTOS!$B$5:$B$400="VENTA")*(MOVIMIENTOS!$C$5:$C$400="A")*(MOVIMIENTOS!$D$5:$D$400="jabas")*(MOVIMIENTOS!$A$5:$A$400&lt;&gt;"")*(MOVIMIENTOS!$A$5:$A$400&lt;=$A13)*MOVIMIENTOS!$E$5:$E$400)+SUMPRODUCT((MOVIMIENTOS!$B$5:$B$400="AJUSTE")*(MOVIMIENTOS!$C$5:$C$400="A")*(MOVIMIENTOS!$D$5:$D$400="jabas")*(MOVIMIENTOS!$A$5:$A$400&lt;&gt;"")*(MOVIMIENTOS!$A$5:$A$400&lt;=$A13)*MOVIMIENTOS!$E$5:$E$400))</f>
        <v>37</v>
      </c>
      <c r="C13" s="46" t="n">
        <f aca="false">IF($A13="","",SUMPRODUCT((MOVIMIENTOS!$B$5:$B$400="SALDO INICIAL")*(MOVIMIENTOS!$C$5:$C$400="P")*(MOVIMIENTOS!$D$5:$D$400="jabas")*(MOVIMIENTOS!$A$5:$A$400&lt;&gt;"")*(MOVIMIENTOS!$A$5:$A$400&lt;=$A13)*MOVIMIENTOS!$E$5:$E$400)+SUMPRODUCT((MOVIMIENTOS!$B$5:$B$400="PROCESO")*(MOVIMIENTOS!$C$5:$C$400="P")*(MOVIMIENTOS!$D$5:$D$400="jabas")*(MOVIMIENTOS!$A$5:$A$400&lt;&gt;"")*(MOVIMIENTOS!$A$5:$A$400&lt;=$A13)*MOVIMIENTOS!$E$5:$E$400)-SUMPRODUCT((MOVIMIENTOS!$B$5:$B$400="ENVÍO A SUPESA")*(MOVIMIENTOS!$C$5:$C$400="P")*(MOVIMIENTOS!$D$5:$D$400="jabas")*(MOVIMIENTOS!$A$5:$A$400&lt;&gt;"")*(MOVIMIENTOS!$A$5:$A$400&lt;=$A13)*MOVIMIENTOS!$E$5:$E$400)+SUMPRODUCT((MOVIMIENTOS!$B$5:$B$400="DEVOLUCIÓN")*(MOVIMIENTOS!$C$5:$C$400="P")*(MOVIMIENTOS!$D$5:$D$400="jabas")*(MOVIMIENTOS!$A$5:$A$400&lt;&gt;"")*(MOVIMIENTOS!$A$5:$A$400&lt;=$A13)*MOVIMIENTOS!$E$5:$E$400)-SUMPRODUCT((MOVIMIENTOS!$B$5:$B$400="TRASIEGO")*(MOVIMIENTOS!$C$5:$C$400="P")*(MOVIMIENTOS!$D$5:$D$400="jabas")*(MOVIMIENTOS!$A$5:$A$400&lt;&gt;"")*(MOVIMIENTOS!$A$5:$A$400&lt;=$A13)*MOVIMIENTOS!$E$5:$E$400)-SUMPRODUCT((MOVIMIENTOS!$B$5:$B$400="REGALO")*(MOVIMIENTOS!$C$5:$C$400="P")*(MOVIMIENTOS!$D$5:$D$400="jabas")*(MOVIMIENTOS!$A$5:$A$400&lt;&gt;"")*(MOVIMIENTOS!$A$5:$A$400&lt;=$A13)*MOVIMIENTOS!$E$5:$E$400)-SUMPRODUCT((MOVIMIENTOS!$B$5:$B$400="VENTA")*(MOVIMIENTOS!$C$5:$C$400="P")*(MOVIMIENTOS!$D$5:$D$400="jabas")*(MOVIMIENTOS!$A$5:$A$400&lt;&gt;"")*(MOVIMIENTOS!$A$5:$A$400&lt;=$A13)*MOVIMIENTOS!$E$5:$E$400)+SUMPRODUCT((MOVIMIENTOS!$B$5:$B$400="AJUSTE")*(MOVIMIENTOS!$C$5:$C$400="P")*(MOVIMIENTOS!$D$5:$D$400="jabas")*(MOVIMIENTOS!$A$5:$A$400&lt;&gt;"")*(MOVIMIENTOS!$A$5:$A$400&lt;=$A13)*MOVIMIENTOS!$E$5:$E$400))</f>
        <v>0</v>
      </c>
      <c r="D13" s="46" t="n">
        <f aca="false">IF($A13="","",SUMPRODUCT((MOVIMIENTOS!$B$5:$B$400="SALDO INICIAL")*(MOVIMIENTOS!$C$5:$C$400="C")*(MOVIMIENTOS!$D$5:$D$400="jabas")*(MOVIMIENTOS!$A$5:$A$400&lt;&gt;"")*(MOVIMIENTOS!$A$5:$A$400&lt;=$A13)*MOVIMIENTOS!$E$5:$E$400)+SUMPRODUCT((MOVIMIENTOS!$B$5:$B$400="PROCESO")*(MOVIMIENTOS!$C$5:$C$400="C")*(MOVIMIENTOS!$D$5:$D$400="jabas")*(MOVIMIENTOS!$A$5:$A$400&lt;&gt;"")*(MOVIMIENTOS!$A$5:$A$400&lt;=$A13)*MOVIMIENTOS!$E$5:$E$400)-SUMPRODUCT((MOVIMIENTOS!$B$5:$B$400="ENVÍO A SUPESA")*(MOVIMIENTOS!$C$5:$C$400="C")*(MOVIMIENTOS!$D$5:$D$400="jabas")*(MOVIMIENTOS!$A$5:$A$400&lt;&gt;"")*(MOVIMIENTOS!$A$5:$A$400&lt;=$A13)*MOVIMIENTOS!$E$5:$E$400)+SUMPRODUCT((MOVIMIENTOS!$B$5:$B$400="DEVOLUCIÓN")*(MOVIMIENTOS!$C$5:$C$400="C")*(MOVIMIENTOS!$D$5:$D$400="jabas")*(MOVIMIENTOS!$A$5:$A$400&lt;&gt;"")*(MOVIMIENTOS!$A$5:$A$400&lt;=$A13)*MOVIMIENTOS!$E$5:$E$400)-SUMPRODUCT((MOVIMIENTOS!$B$5:$B$400="TRASIEGO")*(MOVIMIENTOS!$C$5:$C$400="C")*(MOVIMIENTOS!$D$5:$D$400="jabas")*(MOVIMIENTOS!$A$5:$A$400&lt;&gt;"")*(MOVIMIENTOS!$A$5:$A$400&lt;=$A13)*MOVIMIENTOS!$E$5:$E$400)-SUMPRODUCT((MOVIMIENTOS!$B$5:$B$400="REGALO")*(MOVIMIENTOS!$C$5:$C$400="C")*(MOVIMIENTOS!$D$5:$D$400="jabas")*(MOVIMIENTOS!$A$5:$A$400&lt;&gt;"")*(MOVIMIENTOS!$A$5:$A$400&lt;=$A13)*MOVIMIENTOS!$E$5:$E$400)-SUMPRODUCT((MOVIMIENTOS!$B$5:$B$400="VENTA")*(MOVIMIENTOS!$C$5:$C$400="C")*(MOVIMIENTOS!$D$5:$D$400="jabas")*(MOVIMIENTOS!$A$5:$A$400&lt;&gt;"")*(MOVIMIENTOS!$A$5:$A$400&lt;=$A13)*MOVIMIENTOS!$E$5:$E$400)+SUMPRODUCT((MOVIMIENTOS!$B$5:$B$400="AJUSTE")*(MOVIMIENTOS!$C$5:$C$400="C")*(MOVIMIENTOS!$D$5:$D$400="jabas")*(MOVIMIENTOS!$A$5:$A$400&lt;&gt;"")*(MOVIMIENTOS!$A$5:$A$400&lt;=$A13)*MOVIMIENTOS!$E$5:$E$400))</f>
        <v>0</v>
      </c>
      <c r="E13" s="46" t="n">
        <f aca="false">IF($A13="","",SUMPRODUCT((MOVIMIENTOS!$B$5:$B$400="SALDO INICIAL")*(MOVIMIENTOS!$C$5:$C$400="M")*(MOVIMIENTOS!$D$5:$D$400="jabas")*(MOVIMIENTOS!$A$5:$A$400&lt;&gt;"")*(MOVIMIENTOS!$A$5:$A$400&lt;=$A13)*MOVIMIENTOS!$E$5:$E$400)+SUMPRODUCT((MOVIMIENTOS!$B$5:$B$400="PROCESO")*(MOVIMIENTOS!$C$5:$C$400="M")*(MOVIMIENTOS!$D$5:$D$400="jabas")*(MOVIMIENTOS!$A$5:$A$400&lt;&gt;"")*(MOVIMIENTOS!$A$5:$A$400&lt;=$A13)*MOVIMIENTOS!$E$5:$E$400)-SUMPRODUCT((MOVIMIENTOS!$B$5:$B$400="ENVÍO A SUPESA")*(MOVIMIENTOS!$C$5:$C$400="M")*(MOVIMIENTOS!$D$5:$D$400="jabas")*(MOVIMIENTOS!$A$5:$A$400&lt;&gt;"")*(MOVIMIENTOS!$A$5:$A$400&lt;=$A13)*MOVIMIENTOS!$E$5:$E$400)+SUMPRODUCT((MOVIMIENTOS!$B$5:$B$400="DEVOLUCIÓN")*(MOVIMIENTOS!$C$5:$C$400="M")*(MOVIMIENTOS!$D$5:$D$400="jabas")*(MOVIMIENTOS!$A$5:$A$400&lt;&gt;"")*(MOVIMIENTOS!$A$5:$A$400&lt;=$A13)*MOVIMIENTOS!$E$5:$E$400)-SUMPRODUCT((MOVIMIENTOS!$B$5:$B$400="TRASIEGO")*(MOVIMIENTOS!$C$5:$C$400="M")*(MOVIMIENTOS!$D$5:$D$400="jabas")*(MOVIMIENTOS!$A$5:$A$400&lt;&gt;"")*(MOVIMIENTOS!$A$5:$A$400&lt;=$A13)*MOVIMIENTOS!$E$5:$E$400)-SUMPRODUCT((MOVIMIENTOS!$B$5:$B$400="REGALO")*(MOVIMIENTOS!$C$5:$C$400="M")*(MOVIMIENTOS!$D$5:$D$400="jabas")*(MOVIMIENTOS!$A$5:$A$400&lt;&gt;"")*(MOVIMIENTOS!$A$5:$A$400&lt;=$A13)*MOVIMIENTOS!$E$5:$E$400)-SUMPRODUCT((MOVIMIENTOS!$B$5:$B$400="VENTA")*(MOVIMIENTOS!$C$5:$C$400="M")*(MOVIMIENTOS!$D$5:$D$400="jabas")*(MOVIMIENTOS!$A$5:$A$400&lt;&gt;"")*(MOVIMIENTOS!$A$5:$A$400&lt;=$A13)*MOVIMIENTOS!$E$5:$E$400)+SUMPRODUCT((MOVIMIENTOS!$B$5:$B$400="AJUSTE")*(MOVIMIENTOS!$C$5:$C$400="M")*(MOVIMIENTOS!$D$5:$D$400="jabas")*(MOVIMIENTOS!$A$5:$A$400&lt;&gt;"")*(MOVIMIENTOS!$A$5:$A$400&lt;=$A13)*MOVIMIENTOS!$E$5:$E$400))</f>
        <v>61</v>
      </c>
      <c r="F13" s="46" t="n">
        <f aca="false">IF($A13="","",SUMPRODUCT((MOVIMIENTOS!$B$5:$B$400="SALDO INICIAL")*(MOVIMIENTOS!$C$5:$C$400="Chancho")*(MOVIMIENTOS!$D$5:$D$400="sacos")*(MOVIMIENTOS!$A$5:$A$400&lt;&gt;"")*(MOVIMIENTOS!$A$5:$A$400&lt;=$A13)*MOVIMIENTOS!$E$5:$E$400)+SUMPRODUCT((MOVIMIENTOS!$B$5:$B$400="PROCESO")*(MOVIMIENTOS!$C$5:$C$400="Chancho")*(MOVIMIENTOS!$D$5:$D$400="sacos")*(MOVIMIENTOS!$A$5:$A$400&lt;&gt;"")*(MOVIMIENTOS!$A$5:$A$400&lt;=$A13)*MOVIMIENTOS!$E$5:$E$400)-SUMPRODUCT((MOVIMIENTOS!$B$5:$B$400="VENTA CHANCHO")*(MOVIMIENTOS!$C$5:$C$400="Chancho")*(MOVIMIENTOS!$D$5:$D$400="sacos")*(MOVIMIENTOS!$A$5:$A$400&lt;&gt;"")*(MOVIMIENTOS!$A$5:$A$400&lt;=$A13)*MOVIMIENTOS!$E$5:$E$400)-SUMPRODUCT((MOVIMIENTOS!$B$5:$B$400="REGALO")*(MOVIMIENTOS!$C$5:$C$400="Chancho")*(MOVIMIENTOS!$D$5:$D$400="sacos")*(MOVIMIENTOS!$A$5:$A$400&lt;&gt;"")*(MOVIMIENTOS!$A$5:$A$400&lt;=$A13)*MOVIMIENTOS!$E$5:$E$400)-SUMPRODUCT((MOVIMIENTOS!$B$5:$B$400="VENTA")*(MOVIMIENTOS!$C$5:$C$400="Chancho")*(MOVIMIENTOS!$D$5:$D$400="sacos")*(MOVIMIENTOS!$A$5:$A$400&lt;&gt;"")*(MOVIMIENTOS!$A$5:$A$400&lt;=$A13)*MOVIMIENTOS!$E$5:$E$400)+SUMPRODUCT((MOVIMIENTOS!$B$5:$B$400="AJUSTE")*(MOVIMIENTOS!$C$5:$C$400="Chancho")*(MOVIMIENTOS!$D$5:$D$400="sacos")*(MOVIMIENTOS!$A$5:$A$400&lt;&gt;"")*(MOVIMIENTOS!$A$5:$A$400&lt;=$A13)*MOVIMIENTOS!$E$5:$E$400))</f>
        <v>18</v>
      </c>
      <c r="G13" s="46" t="n">
        <f aca="false">IF($A13="","",SUM(B13:E13))</f>
        <v>98</v>
      </c>
      <c r="H13" s="46" t="n">
        <f aca="false">IF($A13="","",SUMPRODUCT((((MOVIMIENTOS!$B$5:$B$400="SALDO INICIAL")*(MOVIMIENTOS!$C$5:$C$400&lt;&gt;"Chancho"))+(MOVIMIENTOS!$B$5:$B$400="COMPRA")+(MOVIMIENTOS!$B$5:$B$400="REPROCESO")+(MOVIMIENTOS!$B$5:$B$400="DEVOLUCIÓN")+((MOVIMIENTOS!$B$5:$B$400="AJUSTE")*(MOVIMIENTOS!$C$5:$C$400&lt;&gt;"Chancho")))*(MOVIMIENTOS!$A$5:$A$400&lt;&gt;"")*(MOVIMIENTOS!$A$5:$A$400&lt;=$A13)*MOVIMIENTOS!$I$5:$I$400)-SUMPRODUCT(((MOVIMIENTOS!$B$5:$B$400="ENVÍO A SUPESA")+(MOVIMIENTOS!$B$5:$B$400="ENVÍO A TOTTUS")+(MOVIMIENTOS!$B$5:$B$400="ENVIO A TOTTUS")+(MOVIMIENTOS!$B$5:$B$400="MALOGRADO")+(MOVIMIENTOS!$B$5:$B$400="OTRA SALIDA")+((MOVIMIENTOS!$B$5:$B$400="PROCESO")*(MOVIMIENTOS!$C$5:$C$400="Chancho"))+((MOVIMIENTOS!$B$5:$B$400="REGALO")*(MOVIMIENTOS!$C$5:$C$400&lt;&gt;"Chancho"))+((MOVIMIENTOS!$B$5:$B$400="VENTA")*(MOVIMIENTOS!$C$5:$C$400&lt;&gt;"Chancho")))*(MOVIMIENTOS!$A$5:$A$400&lt;&gt;"")*(MOVIMIENTOS!$A$5:$A$400&lt;=$A13)*MOVIMIENTOS!$I$5:$I$400))</f>
        <v>1802</v>
      </c>
      <c r="I13" s="44"/>
      <c r="J13" s="44" t="str">
        <f aca="false">IF(AND(MOVIMIENTOS!$A13&lt;&gt;"",COUNTIF(MOVIMIENTOS!$A$5:$A12,MOVIMIENTOS!$A13)=0),COUNT(J$4:J12)+1,"")</f>
        <v/>
      </c>
      <c r="K13" s="47" t="n">
        <f aca="false">MOVIMIENTOS!$A13</f>
        <v>46215</v>
      </c>
      <c r="L13" s="44"/>
      <c r="M13" s="44"/>
      <c r="N13" s="44"/>
    </row>
    <row r="14" customFormat="false" ht="15" hidden="false" customHeight="true" outlineLevel="0" collapsed="false">
      <c r="A14" s="45" t="n">
        <f aca="false">IFERROR(INDEX(K$5:K$400,MATCH(ROW()-4,J$5:J$400,0)),"")</f>
        <v>46223</v>
      </c>
      <c r="B14" s="46" t="n">
        <f aca="false">IF($A14="","",SUMPRODUCT((MOVIMIENTOS!$B$5:$B$400="SALDO INICIAL")*(MOVIMIENTOS!$C$5:$C$400="A")*(MOVIMIENTOS!$D$5:$D$400="jabas")*(MOVIMIENTOS!$A$5:$A$400&lt;&gt;"")*(MOVIMIENTOS!$A$5:$A$400&lt;=$A14)*MOVIMIENTOS!$E$5:$E$400)+SUMPRODUCT((MOVIMIENTOS!$B$5:$B$400="PROCESO")*(MOVIMIENTOS!$C$5:$C$400="A")*(MOVIMIENTOS!$D$5:$D$400="jabas")*(MOVIMIENTOS!$A$5:$A$400&lt;&gt;"")*(MOVIMIENTOS!$A$5:$A$400&lt;=$A14)*MOVIMIENTOS!$E$5:$E$400)-SUMPRODUCT((MOVIMIENTOS!$B$5:$B$400="ENVÍO A SUPESA")*(MOVIMIENTOS!$C$5:$C$400="A")*(MOVIMIENTOS!$D$5:$D$400="jabas")*(MOVIMIENTOS!$A$5:$A$400&lt;&gt;"")*(MOVIMIENTOS!$A$5:$A$400&lt;=$A14)*MOVIMIENTOS!$E$5:$E$400)+SUMPRODUCT((MOVIMIENTOS!$B$5:$B$400="DEVOLUCIÓN")*(MOVIMIENTOS!$C$5:$C$400="A")*(MOVIMIENTOS!$D$5:$D$400="jabas")*(MOVIMIENTOS!$A$5:$A$400&lt;&gt;"")*(MOVIMIENTOS!$A$5:$A$400&lt;=$A14)*MOVIMIENTOS!$E$5:$E$400)-SUMPRODUCT((MOVIMIENTOS!$B$5:$B$400="TRASIEGO")*(MOVIMIENTOS!$C$5:$C$400="A")*(MOVIMIENTOS!$D$5:$D$400="jabas")*(MOVIMIENTOS!$A$5:$A$400&lt;&gt;"")*(MOVIMIENTOS!$A$5:$A$400&lt;=$A14)*MOVIMIENTOS!$E$5:$E$400)-SUMPRODUCT((MOVIMIENTOS!$B$5:$B$400="REGALO")*(MOVIMIENTOS!$C$5:$C$400="A")*(MOVIMIENTOS!$D$5:$D$400="jabas")*(MOVIMIENTOS!$A$5:$A$400&lt;&gt;"")*(MOVIMIENTOS!$A$5:$A$400&lt;=$A14)*MOVIMIENTOS!$E$5:$E$400)-SUMPRODUCT((MOVIMIENTOS!$B$5:$B$400="VENTA")*(MOVIMIENTOS!$C$5:$C$400="A")*(MOVIMIENTOS!$D$5:$D$400="jabas")*(MOVIMIENTOS!$A$5:$A$400&lt;&gt;"")*(MOVIMIENTOS!$A$5:$A$400&lt;=$A14)*MOVIMIENTOS!$E$5:$E$400)+SUMPRODUCT((MOVIMIENTOS!$B$5:$B$400="AJUSTE")*(MOVIMIENTOS!$C$5:$C$400="A")*(MOVIMIENTOS!$D$5:$D$400="jabas")*(MOVIMIENTOS!$A$5:$A$400&lt;&gt;"")*(MOVIMIENTOS!$A$5:$A$400&lt;=$A14)*MOVIMIENTOS!$E$5:$E$400))</f>
        <v>38</v>
      </c>
      <c r="C14" s="46" t="n">
        <f aca="false">IF($A14="","",SUMPRODUCT((MOVIMIENTOS!$B$5:$B$400="SALDO INICIAL")*(MOVIMIENTOS!$C$5:$C$400="P")*(MOVIMIENTOS!$D$5:$D$400="jabas")*(MOVIMIENTOS!$A$5:$A$400&lt;&gt;"")*(MOVIMIENTOS!$A$5:$A$400&lt;=$A14)*MOVIMIENTOS!$E$5:$E$400)+SUMPRODUCT((MOVIMIENTOS!$B$5:$B$400="PROCESO")*(MOVIMIENTOS!$C$5:$C$400="P")*(MOVIMIENTOS!$D$5:$D$400="jabas")*(MOVIMIENTOS!$A$5:$A$400&lt;&gt;"")*(MOVIMIENTOS!$A$5:$A$400&lt;=$A14)*MOVIMIENTOS!$E$5:$E$400)-SUMPRODUCT((MOVIMIENTOS!$B$5:$B$400="ENVÍO A SUPESA")*(MOVIMIENTOS!$C$5:$C$400="P")*(MOVIMIENTOS!$D$5:$D$400="jabas")*(MOVIMIENTOS!$A$5:$A$400&lt;&gt;"")*(MOVIMIENTOS!$A$5:$A$400&lt;=$A14)*MOVIMIENTOS!$E$5:$E$400)+SUMPRODUCT((MOVIMIENTOS!$B$5:$B$400="DEVOLUCIÓN")*(MOVIMIENTOS!$C$5:$C$400="P")*(MOVIMIENTOS!$D$5:$D$400="jabas")*(MOVIMIENTOS!$A$5:$A$400&lt;&gt;"")*(MOVIMIENTOS!$A$5:$A$400&lt;=$A14)*MOVIMIENTOS!$E$5:$E$400)-SUMPRODUCT((MOVIMIENTOS!$B$5:$B$400="TRASIEGO")*(MOVIMIENTOS!$C$5:$C$400="P")*(MOVIMIENTOS!$D$5:$D$400="jabas")*(MOVIMIENTOS!$A$5:$A$400&lt;&gt;"")*(MOVIMIENTOS!$A$5:$A$400&lt;=$A14)*MOVIMIENTOS!$E$5:$E$400)-SUMPRODUCT((MOVIMIENTOS!$B$5:$B$400="REGALO")*(MOVIMIENTOS!$C$5:$C$400="P")*(MOVIMIENTOS!$D$5:$D$400="jabas")*(MOVIMIENTOS!$A$5:$A$400&lt;&gt;"")*(MOVIMIENTOS!$A$5:$A$400&lt;=$A14)*MOVIMIENTOS!$E$5:$E$400)-SUMPRODUCT((MOVIMIENTOS!$B$5:$B$400="VENTA")*(MOVIMIENTOS!$C$5:$C$400="P")*(MOVIMIENTOS!$D$5:$D$400="jabas")*(MOVIMIENTOS!$A$5:$A$400&lt;&gt;"")*(MOVIMIENTOS!$A$5:$A$400&lt;=$A14)*MOVIMIENTOS!$E$5:$E$400)+SUMPRODUCT((MOVIMIENTOS!$B$5:$B$400="AJUSTE")*(MOVIMIENTOS!$C$5:$C$400="P")*(MOVIMIENTOS!$D$5:$D$400="jabas")*(MOVIMIENTOS!$A$5:$A$400&lt;&gt;"")*(MOVIMIENTOS!$A$5:$A$400&lt;=$A14)*MOVIMIENTOS!$E$5:$E$400))</f>
        <v>11</v>
      </c>
      <c r="D14" s="46" t="n">
        <f aca="false">IF($A14="","",SUMPRODUCT((MOVIMIENTOS!$B$5:$B$400="SALDO INICIAL")*(MOVIMIENTOS!$C$5:$C$400="C")*(MOVIMIENTOS!$D$5:$D$400="jabas")*(MOVIMIENTOS!$A$5:$A$400&lt;&gt;"")*(MOVIMIENTOS!$A$5:$A$400&lt;=$A14)*MOVIMIENTOS!$E$5:$E$400)+SUMPRODUCT((MOVIMIENTOS!$B$5:$B$400="PROCESO")*(MOVIMIENTOS!$C$5:$C$400="C")*(MOVIMIENTOS!$D$5:$D$400="jabas")*(MOVIMIENTOS!$A$5:$A$400&lt;&gt;"")*(MOVIMIENTOS!$A$5:$A$400&lt;=$A14)*MOVIMIENTOS!$E$5:$E$400)-SUMPRODUCT((MOVIMIENTOS!$B$5:$B$400="ENVÍO A SUPESA")*(MOVIMIENTOS!$C$5:$C$400="C")*(MOVIMIENTOS!$D$5:$D$400="jabas")*(MOVIMIENTOS!$A$5:$A$400&lt;&gt;"")*(MOVIMIENTOS!$A$5:$A$400&lt;=$A14)*MOVIMIENTOS!$E$5:$E$400)+SUMPRODUCT((MOVIMIENTOS!$B$5:$B$400="DEVOLUCIÓN")*(MOVIMIENTOS!$C$5:$C$400="C")*(MOVIMIENTOS!$D$5:$D$400="jabas")*(MOVIMIENTOS!$A$5:$A$400&lt;&gt;"")*(MOVIMIENTOS!$A$5:$A$400&lt;=$A14)*MOVIMIENTOS!$E$5:$E$400)-SUMPRODUCT((MOVIMIENTOS!$B$5:$B$400="TRASIEGO")*(MOVIMIENTOS!$C$5:$C$400="C")*(MOVIMIENTOS!$D$5:$D$400="jabas")*(MOVIMIENTOS!$A$5:$A$400&lt;&gt;"")*(MOVIMIENTOS!$A$5:$A$400&lt;=$A14)*MOVIMIENTOS!$E$5:$E$400)-SUMPRODUCT((MOVIMIENTOS!$B$5:$B$400="REGALO")*(MOVIMIENTOS!$C$5:$C$400="C")*(MOVIMIENTOS!$D$5:$D$400="jabas")*(MOVIMIENTOS!$A$5:$A$400&lt;&gt;"")*(MOVIMIENTOS!$A$5:$A$400&lt;=$A14)*MOVIMIENTOS!$E$5:$E$400)-SUMPRODUCT((MOVIMIENTOS!$B$5:$B$400="VENTA")*(MOVIMIENTOS!$C$5:$C$400="C")*(MOVIMIENTOS!$D$5:$D$400="jabas")*(MOVIMIENTOS!$A$5:$A$400&lt;&gt;"")*(MOVIMIENTOS!$A$5:$A$400&lt;=$A14)*MOVIMIENTOS!$E$5:$E$400)+SUMPRODUCT((MOVIMIENTOS!$B$5:$B$400="AJUSTE")*(MOVIMIENTOS!$C$5:$C$400="C")*(MOVIMIENTOS!$D$5:$D$400="jabas")*(MOVIMIENTOS!$A$5:$A$400&lt;&gt;"")*(MOVIMIENTOS!$A$5:$A$400&lt;=$A14)*MOVIMIENTOS!$E$5:$E$400))</f>
        <v>10</v>
      </c>
      <c r="E14" s="46" t="n">
        <f aca="false">IF($A14="","",SUMPRODUCT((MOVIMIENTOS!$B$5:$B$400="SALDO INICIAL")*(MOVIMIENTOS!$C$5:$C$400="M")*(MOVIMIENTOS!$D$5:$D$400="jabas")*(MOVIMIENTOS!$A$5:$A$400&lt;&gt;"")*(MOVIMIENTOS!$A$5:$A$400&lt;=$A14)*MOVIMIENTOS!$E$5:$E$400)+SUMPRODUCT((MOVIMIENTOS!$B$5:$B$400="PROCESO")*(MOVIMIENTOS!$C$5:$C$400="M")*(MOVIMIENTOS!$D$5:$D$400="jabas")*(MOVIMIENTOS!$A$5:$A$400&lt;&gt;"")*(MOVIMIENTOS!$A$5:$A$400&lt;=$A14)*MOVIMIENTOS!$E$5:$E$400)-SUMPRODUCT((MOVIMIENTOS!$B$5:$B$400="ENVÍO A SUPESA")*(MOVIMIENTOS!$C$5:$C$400="M")*(MOVIMIENTOS!$D$5:$D$400="jabas")*(MOVIMIENTOS!$A$5:$A$400&lt;&gt;"")*(MOVIMIENTOS!$A$5:$A$400&lt;=$A14)*MOVIMIENTOS!$E$5:$E$400)+SUMPRODUCT((MOVIMIENTOS!$B$5:$B$400="DEVOLUCIÓN")*(MOVIMIENTOS!$C$5:$C$400="M")*(MOVIMIENTOS!$D$5:$D$400="jabas")*(MOVIMIENTOS!$A$5:$A$400&lt;&gt;"")*(MOVIMIENTOS!$A$5:$A$400&lt;=$A14)*MOVIMIENTOS!$E$5:$E$400)-SUMPRODUCT((MOVIMIENTOS!$B$5:$B$400="TRASIEGO")*(MOVIMIENTOS!$C$5:$C$400="M")*(MOVIMIENTOS!$D$5:$D$400="jabas")*(MOVIMIENTOS!$A$5:$A$400&lt;&gt;"")*(MOVIMIENTOS!$A$5:$A$400&lt;=$A14)*MOVIMIENTOS!$E$5:$E$400)-SUMPRODUCT((MOVIMIENTOS!$B$5:$B$400="REGALO")*(MOVIMIENTOS!$C$5:$C$400="M")*(MOVIMIENTOS!$D$5:$D$400="jabas")*(MOVIMIENTOS!$A$5:$A$400&lt;&gt;"")*(MOVIMIENTOS!$A$5:$A$400&lt;=$A14)*MOVIMIENTOS!$E$5:$E$400)-SUMPRODUCT((MOVIMIENTOS!$B$5:$B$400="VENTA")*(MOVIMIENTOS!$C$5:$C$400="M")*(MOVIMIENTOS!$D$5:$D$400="jabas")*(MOVIMIENTOS!$A$5:$A$400&lt;&gt;"")*(MOVIMIENTOS!$A$5:$A$400&lt;=$A14)*MOVIMIENTOS!$E$5:$E$400)+SUMPRODUCT((MOVIMIENTOS!$B$5:$B$400="AJUSTE")*(MOVIMIENTOS!$C$5:$C$400="M")*(MOVIMIENTOS!$D$5:$D$400="jabas")*(MOVIMIENTOS!$A$5:$A$400&lt;&gt;"")*(MOVIMIENTOS!$A$5:$A$400&lt;=$A14)*MOVIMIENTOS!$E$5:$E$400))</f>
        <v>79</v>
      </c>
      <c r="F14" s="46" t="n">
        <f aca="false">IF($A14="","",SUMPRODUCT((MOVIMIENTOS!$B$5:$B$400="SALDO INICIAL")*(MOVIMIENTOS!$C$5:$C$400="Chancho")*(MOVIMIENTOS!$D$5:$D$400="sacos")*(MOVIMIENTOS!$A$5:$A$400&lt;&gt;"")*(MOVIMIENTOS!$A$5:$A$400&lt;=$A14)*MOVIMIENTOS!$E$5:$E$400)+SUMPRODUCT((MOVIMIENTOS!$B$5:$B$400="PROCESO")*(MOVIMIENTOS!$C$5:$C$400="Chancho")*(MOVIMIENTOS!$D$5:$D$400="sacos")*(MOVIMIENTOS!$A$5:$A$400&lt;&gt;"")*(MOVIMIENTOS!$A$5:$A$400&lt;=$A14)*MOVIMIENTOS!$E$5:$E$400)-SUMPRODUCT((MOVIMIENTOS!$B$5:$B$400="VENTA CHANCHO")*(MOVIMIENTOS!$C$5:$C$400="Chancho")*(MOVIMIENTOS!$D$5:$D$400="sacos")*(MOVIMIENTOS!$A$5:$A$400&lt;&gt;"")*(MOVIMIENTOS!$A$5:$A$400&lt;=$A14)*MOVIMIENTOS!$E$5:$E$400)-SUMPRODUCT((MOVIMIENTOS!$B$5:$B$400="REGALO")*(MOVIMIENTOS!$C$5:$C$400="Chancho")*(MOVIMIENTOS!$D$5:$D$400="sacos")*(MOVIMIENTOS!$A$5:$A$400&lt;&gt;"")*(MOVIMIENTOS!$A$5:$A$400&lt;=$A14)*MOVIMIENTOS!$E$5:$E$400)-SUMPRODUCT((MOVIMIENTOS!$B$5:$B$400="VENTA")*(MOVIMIENTOS!$C$5:$C$400="Chancho")*(MOVIMIENTOS!$D$5:$D$400="sacos")*(MOVIMIENTOS!$A$5:$A$400&lt;&gt;"")*(MOVIMIENTOS!$A$5:$A$400&lt;=$A14)*MOVIMIENTOS!$E$5:$E$400)+SUMPRODUCT((MOVIMIENTOS!$B$5:$B$400="AJUSTE")*(MOVIMIENTOS!$C$5:$C$400="Chancho")*(MOVIMIENTOS!$D$5:$D$400="sacos")*(MOVIMIENTOS!$A$5:$A$400&lt;&gt;"")*(MOVIMIENTOS!$A$5:$A$400&lt;=$A14)*MOVIMIENTOS!$E$5:$E$400))</f>
        <v>6.5</v>
      </c>
      <c r="G14" s="46" t="n">
        <f aca="false">IF($A14="","",SUM(B14:E14))</f>
        <v>138</v>
      </c>
      <c r="H14" s="46" t="n">
        <f aca="false">IF($A14="","",SUMPRODUCT((((MOVIMIENTOS!$B$5:$B$400="SALDO INICIAL")*(MOVIMIENTOS!$C$5:$C$400&lt;&gt;"Chancho"))+(MOVIMIENTOS!$B$5:$B$400="COMPRA")+(MOVIMIENTOS!$B$5:$B$400="REPROCESO")+(MOVIMIENTOS!$B$5:$B$400="DEVOLUCIÓN")+((MOVIMIENTOS!$B$5:$B$400="AJUSTE")*(MOVIMIENTOS!$C$5:$C$400&lt;&gt;"Chancho")))*(MOVIMIENTOS!$A$5:$A$400&lt;&gt;"")*(MOVIMIENTOS!$A$5:$A$400&lt;=$A14)*MOVIMIENTOS!$I$5:$I$400)-SUMPRODUCT(((MOVIMIENTOS!$B$5:$B$400="ENVÍO A SUPESA")+(MOVIMIENTOS!$B$5:$B$400="ENVÍO A TOTTUS")+(MOVIMIENTOS!$B$5:$B$400="ENVIO A TOTTUS")+(MOVIMIENTOS!$B$5:$B$400="MALOGRADO")+(MOVIMIENTOS!$B$5:$B$400="OTRA SALIDA")+((MOVIMIENTOS!$B$5:$B$400="PROCESO")*(MOVIMIENTOS!$C$5:$C$400="Chancho"))+((MOVIMIENTOS!$B$5:$B$400="REGALO")*(MOVIMIENTOS!$C$5:$C$400&lt;&gt;"Chancho"))+((MOVIMIENTOS!$B$5:$B$400="VENTA")*(MOVIMIENTOS!$C$5:$C$400&lt;&gt;"Chancho")))*(MOVIMIENTOS!$A$5:$A$400&lt;&gt;"")*(MOVIMIENTOS!$A$5:$A$400&lt;=$A14)*MOVIMIENTOS!$I$5:$I$400))</f>
        <v>4667.5</v>
      </c>
      <c r="I14" s="44"/>
      <c r="J14" s="44" t="str">
        <f aca="false">IF(AND(MOVIMIENTOS!$A14&lt;&gt;"",COUNTIF(MOVIMIENTOS!$A$5:$A13,MOVIMIENTOS!$A14)=0),COUNT(J$4:J13)+1,"")</f>
        <v/>
      </c>
      <c r="K14" s="47" t="n">
        <f aca="false">MOVIMIENTOS!$A14</f>
        <v>46215</v>
      </c>
      <c r="L14" s="44"/>
      <c r="M14" s="44"/>
      <c r="N14" s="44"/>
    </row>
    <row r="15" customFormat="false" ht="15" hidden="false" customHeight="true" outlineLevel="0" collapsed="false">
      <c r="A15" s="45" t="n">
        <f aca="false">IFERROR(INDEX(K$5:K$400,MATCH(ROW()-4,J$5:J$400,0)),"")</f>
        <v>46224</v>
      </c>
      <c r="B15" s="46" t="n">
        <f aca="false">IF($A15="","",SUMPRODUCT((MOVIMIENTOS!$B$5:$B$400="SALDO INICIAL")*(MOVIMIENTOS!$C$5:$C$400="A")*(MOVIMIENTOS!$D$5:$D$400="jabas")*(MOVIMIENTOS!$A$5:$A$400&lt;&gt;"")*(MOVIMIENTOS!$A$5:$A$400&lt;=$A15)*MOVIMIENTOS!$E$5:$E$400)+SUMPRODUCT((MOVIMIENTOS!$B$5:$B$400="PROCESO")*(MOVIMIENTOS!$C$5:$C$400="A")*(MOVIMIENTOS!$D$5:$D$400="jabas")*(MOVIMIENTOS!$A$5:$A$400&lt;&gt;"")*(MOVIMIENTOS!$A$5:$A$400&lt;=$A15)*MOVIMIENTOS!$E$5:$E$400)-SUMPRODUCT((MOVIMIENTOS!$B$5:$B$400="ENVÍO A SUPESA")*(MOVIMIENTOS!$C$5:$C$400="A")*(MOVIMIENTOS!$D$5:$D$400="jabas")*(MOVIMIENTOS!$A$5:$A$400&lt;&gt;"")*(MOVIMIENTOS!$A$5:$A$400&lt;=$A15)*MOVIMIENTOS!$E$5:$E$400)+SUMPRODUCT((MOVIMIENTOS!$B$5:$B$400="DEVOLUCIÓN")*(MOVIMIENTOS!$C$5:$C$400="A")*(MOVIMIENTOS!$D$5:$D$400="jabas")*(MOVIMIENTOS!$A$5:$A$400&lt;&gt;"")*(MOVIMIENTOS!$A$5:$A$400&lt;=$A15)*MOVIMIENTOS!$E$5:$E$400)-SUMPRODUCT((MOVIMIENTOS!$B$5:$B$400="TRASIEGO")*(MOVIMIENTOS!$C$5:$C$400="A")*(MOVIMIENTOS!$D$5:$D$400="jabas")*(MOVIMIENTOS!$A$5:$A$400&lt;&gt;"")*(MOVIMIENTOS!$A$5:$A$400&lt;=$A15)*MOVIMIENTOS!$E$5:$E$400)-SUMPRODUCT((MOVIMIENTOS!$B$5:$B$400="REGALO")*(MOVIMIENTOS!$C$5:$C$400="A")*(MOVIMIENTOS!$D$5:$D$400="jabas")*(MOVIMIENTOS!$A$5:$A$400&lt;&gt;"")*(MOVIMIENTOS!$A$5:$A$400&lt;=$A15)*MOVIMIENTOS!$E$5:$E$400)-SUMPRODUCT((MOVIMIENTOS!$B$5:$B$400="VENTA")*(MOVIMIENTOS!$C$5:$C$400="A")*(MOVIMIENTOS!$D$5:$D$400="jabas")*(MOVIMIENTOS!$A$5:$A$400&lt;&gt;"")*(MOVIMIENTOS!$A$5:$A$400&lt;=$A15)*MOVIMIENTOS!$E$5:$E$400)+SUMPRODUCT((MOVIMIENTOS!$B$5:$B$400="AJUSTE")*(MOVIMIENTOS!$C$5:$C$400="A")*(MOVIMIENTOS!$D$5:$D$400="jabas")*(MOVIMIENTOS!$A$5:$A$400&lt;&gt;"")*(MOVIMIENTOS!$A$5:$A$400&lt;=$A15)*MOVIMIENTOS!$E$5:$E$400))</f>
        <v>60</v>
      </c>
      <c r="C15" s="46" t="n">
        <f aca="false">IF($A15="","",SUMPRODUCT((MOVIMIENTOS!$B$5:$B$400="SALDO INICIAL")*(MOVIMIENTOS!$C$5:$C$400="P")*(MOVIMIENTOS!$D$5:$D$400="jabas")*(MOVIMIENTOS!$A$5:$A$400&lt;&gt;"")*(MOVIMIENTOS!$A$5:$A$400&lt;=$A15)*MOVIMIENTOS!$E$5:$E$400)+SUMPRODUCT((MOVIMIENTOS!$B$5:$B$400="PROCESO")*(MOVIMIENTOS!$C$5:$C$400="P")*(MOVIMIENTOS!$D$5:$D$400="jabas")*(MOVIMIENTOS!$A$5:$A$400&lt;&gt;"")*(MOVIMIENTOS!$A$5:$A$400&lt;=$A15)*MOVIMIENTOS!$E$5:$E$400)-SUMPRODUCT((MOVIMIENTOS!$B$5:$B$400="ENVÍO A SUPESA")*(MOVIMIENTOS!$C$5:$C$400="P")*(MOVIMIENTOS!$D$5:$D$400="jabas")*(MOVIMIENTOS!$A$5:$A$400&lt;&gt;"")*(MOVIMIENTOS!$A$5:$A$400&lt;=$A15)*MOVIMIENTOS!$E$5:$E$400)+SUMPRODUCT((MOVIMIENTOS!$B$5:$B$400="DEVOLUCIÓN")*(MOVIMIENTOS!$C$5:$C$400="P")*(MOVIMIENTOS!$D$5:$D$400="jabas")*(MOVIMIENTOS!$A$5:$A$400&lt;&gt;"")*(MOVIMIENTOS!$A$5:$A$400&lt;=$A15)*MOVIMIENTOS!$E$5:$E$400)-SUMPRODUCT((MOVIMIENTOS!$B$5:$B$400="TRASIEGO")*(MOVIMIENTOS!$C$5:$C$400="P")*(MOVIMIENTOS!$D$5:$D$400="jabas")*(MOVIMIENTOS!$A$5:$A$400&lt;&gt;"")*(MOVIMIENTOS!$A$5:$A$400&lt;=$A15)*MOVIMIENTOS!$E$5:$E$400)-SUMPRODUCT((MOVIMIENTOS!$B$5:$B$400="REGALO")*(MOVIMIENTOS!$C$5:$C$400="P")*(MOVIMIENTOS!$D$5:$D$400="jabas")*(MOVIMIENTOS!$A$5:$A$400&lt;&gt;"")*(MOVIMIENTOS!$A$5:$A$400&lt;=$A15)*MOVIMIENTOS!$E$5:$E$400)-SUMPRODUCT((MOVIMIENTOS!$B$5:$B$400="VENTA")*(MOVIMIENTOS!$C$5:$C$400="P")*(MOVIMIENTOS!$D$5:$D$400="jabas")*(MOVIMIENTOS!$A$5:$A$400&lt;&gt;"")*(MOVIMIENTOS!$A$5:$A$400&lt;=$A15)*MOVIMIENTOS!$E$5:$E$400)+SUMPRODUCT((MOVIMIENTOS!$B$5:$B$400="AJUSTE")*(MOVIMIENTOS!$C$5:$C$400="P")*(MOVIMIENTOS!$D$5:$D$400="jabas")*(MOVIMIENTOS!$A$5:$A$400&lt;&gt;"")*(MOVIMIENTOS!$A$5:$A$400&lt;=$A15)*MOVIMIENTOS!$E$5:$E$400))</f>
        <v>11</v>
      </c>
      <c r="D15" s="46" t="n">
        <f aca="false">IF($A15="","",SUMPRODUCT((MOVIMIENTOS!$B$5:$B$400="SALDO INICIAL")*(MOVIMIENTOS!$C$5:$C$400="C")*(MOVIMIENTOS!$D$5:$D$400="jabas")*(MOVIMIENTOS!$A$5:$A$400&lt;&gt;"")*(MOVIMIENTOS!$A$5:$A$400&lt;=$A15)*MOVIMIENTOS!$E$5:$E$400)+SUMPRODUCT((MOVIMIENTOS!$B$5:$B$400="PROCESO")*(MOVIMIENTOS!$C$5:$C$400="C")*(MOVIMIENTOS!$D$5:$D$400="jabas")*(MOVIMIENTOS!$A$5:$A$400&lt;&gt;"")*(MOVIMIENTOS!$A$5:$A$400&lt;=$A15)*MOVIMIENTOS!$E$5:$E$400)-SUMPRODUCT((MOVIMIENTOS!$B$5:$B$400="ENVÍO A SUPESA")*(MOVIMIENTOS!$C$5:$C$400="C")*(MOVIMIENTOS!$D$5:$D$400="jabas")*(MOVIMIENTOS!$A$5:$A$400&lt;&gt;"")*(MOVIMIENTOS!$A$5:$A$400&lt;=$A15)*MOVIMIENTOS!$E$5:$E$400)+SUMPRODUCT((MOVIMIENTOS!$B$5:$B$400="DEVOLUCIÓN")*(MOVIMIENTOS!$C$5:$C$400="C")*(MOVIMIENTOS!$D$5:$D$400="jabas")*(MOVIMIENTOS!$A$5:$A$400&lt;&gt;"")*(MOVIMIENTOS!$A$5:$A$400&lt;=$A15)*MOVIMIENTOS!$E$5:$E$400)-SUMPRODUCT((MOVIMIENTOS!$B$5:$B$400="TRASIEGO")*(MOVIMIENTOS!$C$5:$C$400="C")*(MOVIMIENTOS!$D$5:$D$400="jabas")*(MOVIMIENTOS!$A$5:$A$400&lt;&gt;"")*(MOVIMIENTOS!$A$5:$A$400&lt;=$A15)*MOVIMIENTOS!$E$5:$E$400)-SUMPRODUCT((MOVIMIENTOS!$B$5:$B$400="REGALO")*(MOVIMIENTOS!$C$5:$C$400="C")*(MOVIMIENTOS!$D$5:$D$400="jabas")*(MOVIMIENTOS!$A$5:$A$400&lt;&gt;"")*(MOVIMIENTOS!$A$5:$A$400&lt;=$A15)*MOVIMIENTOS!$E$5:$E$400)-SUMPRODUCT((MOVIMIENTOS!$B$5:$B$400="VENTA")*(MOVIMIENTOS!$C$5:$C$400="C")*(MOVIMIENTOS!$D$5:$D$400="jabas")*(MOVIMIENTOS!$A$5:$A$400&lt;&gt;"")*(MOVIMIENTOS!$A$5:$A$400&lt;=$A15)*MOVIMIENTOS!$E$5:$E$400)+SUMPRODUCT((MOVIMIENTOS!$B$5:$B$400="AJUSTE")*(MOVIMIENTOS!$C$5:$C$400="C")*(MOVIMIENTOS!$D$5:$D$400="jabas")*(MOVIMIENTOS!$A$5:$A$400&lt;&gt;"")*(MOVIMIENTOS!$A$5:$A$400&lt;=$A15)*MOVIMIENTOS!$E$5:$E$400))</f>
        <v>12</v>
      </c>
      <c r="E15" s="46" t="n">
        <f aca="false">IF($A15="","",SUMPRODUCT((MOVIMIENTOS!$B$5:$B$400="SALDO INICIAL")*(MOVIMIENTOS!$C$5:$C$400="M")*(MOVIMIENTOS!$D$5:$D$400="jabas")*(MOVIMIENTOS!$A$5:$A$400&lt;&gt;"")*(MOVIMIENTOS!$A$5:$A$400&lt;=$A15)*MOVIMIENTOS!$E$5:$E$400)+SUMPRODUCT((MOVIMIENTOS!$B$5:$B$400="PROCESO")*(MOVIMIENTOS!$C$5:$C$400="M")*(MOVIMIENTOS!$D$5:$D$400="jabas")*(MOVIMIENTOS!$A$5:$A$400&lt;&gt;"")*(MOVIMIENTOS!$A$5:$A$400&lt;=$A15)*MOVIMIENTOS!$E$5:$E$400)-SUMPRODUCT((MOVIMIENTOS!$B$5:$B$400="ENVÍO A SUPESA")*(MOVIMIENTOS!$C$5:$C$400="M")*(MOVIMIENTOS!$D$5:$D$400="jabas")*(MOVIMIENTOS!$A$5:$A$400&lt;&gt;"")*(MOVIMIENTOS!$A$5:$A$400&lt;=$A15)*MOVIMIENTOS!$E$5:$E$400)+SUMPRODUCT((MOVIMIENTOS!$B$5:$B$400="DEVOLUCIÓN")*(MOVIMIENTOS!$C$5:$C$400="M")*(MOVIMIENTOS!$D$5:$D$400="jabas")*(MOVIMIENTOS!$A$5:$A$400&lt;&gt;"")*(MOVIMIENTOS!$A$5:$A$400&lt;=$A15)*MOVIMIENTOS!$E$5:$E$400)-SUMPRODUCT((MOVIMIENTOS!$B$5:$B$400="TRASIEGO")*(MOVIMIENTOS!$C$5:$C$400="M")*(MOVIMIENTOS!$D$5:$D$400="jabas")*(MOVIMIENTOS!$A$5:$A$400&lt;&gt;"")*(MOVIMIENTOS!$A$5:$A$400&lt;=$A15)*MOVIMIENTOS!$E$5:$E$400)-SUMPRODUCT((MOVIMIENTOS!$B$5:$B$400="REGALO")*(MOVIMIENTOS!$C$5:$C$400="M")*(MOVIMIENTOS!$D$5:$D$400="jabas")*(MOVIMIENTOS!$A$5:$A$400&lt;&gt;"")*(MOVIMIENTOS!$A$5:$A$400&lt;=$A15)*MOVIMIENTOS!$E$5:$E$400)-SUMPRODUCT((MOVIMIENTOS!$B$5:$B$400="VENTA")*(MOVIMIENTOS!$C$5:$C$400="M")*(MOVIMIENTOS!$D$5:$D$400="jabas")*(MOVIMIENTOS!$A$5:$A$400&lt;&gt;"")*(MOVIMIENTOS!$A$5:$A$400&lt;=$A15)*MOVIMIENTOS!$E$5:$E$400)+SUMPRODUCT((MOVIMIENTOS!$B$5:$B$400="AJUSTE")*(MOVIMIENTOS!$C$5:$C$400="M")*(MOVIMIENTOS!$D$5:$D$400="jabas")*(MOVIMIENTOS!$A$5:$A$400&lt;&gt;"")*(MOVIMIENTOS!$A$5:$A$400&lt;=$A15)*MOVIMIENTOS!$E$5:$E$400))</f>
        <v>111</v>
      </c>
      <c r="F15" s="46" t="n">
        <f aca="false">IF($A15="","",SUMPRODUCT((MOVIMIENTOS!$B$5:$B$400="SALDO INICIAL")*(MOVIMIENTOS!$C$5:$C$400="Chancho")*(MOVIMIENTOS!$D$5:$D$400="sacos")*(MOVIMIENTOS!$A$5:$A$400&lt;&gt;"")*(MOVIMIENTOS!$A$5:$A$400&lt;=$A15)*MOVIMIENTOS!$E$5:$E$400)+SUMPRODUCT((MOVIMIENTOS!$B$5:$B$400="PROCESO")*(MOVIMIENTOS!$C$5:$C$400="Chancho")*(MOVIMIENTOS!$D$5:$D$400="sacos")*(MOVIMIENTOS!$A$5:$A$400&lt;&gt;"")*(MOVIMIENTOS!$A$5:$A$400&lt;=$A15)*MOVIMIENTOS!$E$5:$E$400)-SUMPRODUCT((MOVIMIENTOS!$B$5:$B$400="VENTA CHANCHO")*(MOVIMIENTOS!$C$5:$C$400="Chancho")*(MOVIMIENTOS!$D$5:$D$400="sacos")*(MOVIMIENTOS!$A$5:$A$400&lt;&gt;"")*(MOVIMIENTOS!$A$5:$A$400&lt;=$A15)*MOVIMIENTOS!$E$5:$E$400)-SUMPRODUCT((MOVIMIENTOS!$B$5:$B$400="REGALO")*(MOVIMIENTOS!$C$5:$C$400="Chancho")*(MOVIMIENTOS!$D$5:$D$400="sacos")*(MOVIMIENTOS!$A$5:$A$400&lt;&gt;"")*(MOVIMIENTOS!$A$5:$A$400&lt;=$A15)*MOVIMIENTOS!$E$5:$E$400)-SUMPRODUCT((MOVIMIENTOS!$B$5:$B$400="VENTA")*(MOVIMIENTOS!$C$5:$C$400="Chancho")*(MOVIMIENTOS!$D$5:$D$400="sacos")*(MOVIMIENTOS!$A$5:$A$400&lt;&gt;"")*(MOVIMIENTOS!$A$5:$A$400&lt;=$A15)*MOVIMIENTOS!$E$5:$E$400)+SUMPRODUCT((MOVIMIENTOS!$B$5:$B$400="AJUSTE")*(MOVIMIENTOS!$C$5:$C$400="Chancho")*(MOVIMIENTOS!$D$5:$D$400="sacos")*(MOVIMIENTOS!$A$5:$A$400&lt;&gt;"")*(MOVIMIENTOS!$A$5:$A$400&lt;=$A15)*MOVIMIENTOS!$E$5:$E$400))</f>
        <v>13.5</v>
      </c>
      <c r="G15" s="46" t="n">
        <f aca="false">IF($A15="","",SUM(B15:E15))</f>
        <v>194</v>
      </c>
      <c r="H15" s="46" t="n">
        <f aca="false">IF($A15="","",SUMPRODUCT((((MOVIMIENTOS!$B$5:$B$400="SALDO INICIAL")*(MOVIMIENTOS!$C$5:$C$400&lt;&gt;"Chancho"))+(MOVIMIENTOS!$B$5:$B$400="COMPRA")+(MOVIMIENTOS!$B$5:$B$400="REPROCESO")+(MOVIMIENTOS!$B$5:$B$400="DEVOLUCIÓN")+((MOVIMIENTOS!$B$5:$B$400="AJUSTE")*(MOVIMIENTOS!$C$5:$C$400&lt;&gt;"Chancho")))*(MOVIMIENTOS!$A$5:$A$400&lt;&gt;"")*(MOVIMIENTOS!$A$5:$A$400&lt;=$A15)*MOVIMIENTOS!$I$5:$I$400)-SUMPRODUCT(((MOVIMIENTOS!$B$5:$B$400="ENVÍO A SUPESA")+(MOVIMIENTOS!$B$5:$B$400="ENVÍO A TOTTUS")+(MOVIMIENTOS!$B$5:$B$400="ENVIO A TOTTUS")+(MOVIMIENTOS!$B$5:$B$400="MALOGRADO")+(MOVIMIENTOS!$B$5:$B$400="OTRA SALIDA")+((MOVIMIENTOS!$B$5:$B$400="PROCESO")*(MOVIMIENTOS!$C$5:$C$400="Chancho"))+((MOVIMIENTOS!$B$5:$B$400="REGALO")*(MOVIMIENTOS!$C$5:$C$400&lt;&gt;"Chancho"))+((MOVIMIENTOS!$B$5:$B$400="VENTA")*(MOVIMIENTOS!$C$5:$C$400&lt;&gt;"Chancho")))*(MOVIMIENTOS!$A$5:$A$400&lt;&gt;"")*(MOVIMIENTOS!$A$5:$A$400&lt;=$A15)*MOVIMIENTOS!$I$5:$I$400))</f>
        <v>7535.5</v>
      </c>
      <c r="I15" s="44"/>
      <c r="J15" s="44" t="str">
        <f aca="false">IF(AND(MOVIMIENTOS!$A15&lt;&gt;"",COUNTIF(MOVIMIENTOS!$A$5:$A14,MOVIMIENTOS!$A15)=0),COUNT(J$4:J14)+1,"")</f>
        <v/>
      </c>
      <c r="K15" s="47" t="n">
        <f aca="false">MOVIMIENTOS!$A15</f>
        <v>46215</v>
      </c>
      <c r="L15" s="44"/>
      <c r="M15" s="44"/>
      <c r="N15" s="44"/>
    </row>
    <row r="16" customFormat="false" ht="15" hidden="false" customHeight="true" outlineLevel="0" collapsed="false">
      <c r="A16" s="45" t="n">
        <f aca="false">IFERROR(INDEX(K$5:K$400,MATCH(ROW()-4,J$5:J$400,0)),"")</f>
        <v>46225</v>
      </c>
      <c r="B16" s="46" t="n">
        <f aca="false">IF($A16="","",SUMPRODUCT((MOVIMIENTOS!$B$5:$B$400="SALDO INICIAL")*(MOVIMIENTOS!$C$5:$C$400="A")*(MOVIMIENTOS!$D$5:$D$400="jabas")*(MOVIMIENTOS!$A$5:$A$400&lt;&gt;"")*(MOVIMIENTOS!$A$5:$A$400&lt;=$A16)*MOVIMIENTOS!$E$5:$E$400)+SUMPRODUCT((MOVIMIENTOS!$B$5:$B$400="PROCESO")*(MOVIMIENTOS!$C$5:$C$400="A")*(MOVIMIENTOS!$D$5:$D$400="jabas")*(MOVIMIENTOS!$A$5:$A$400&lt;&gt;"")*(MOVIMIENTOS!$A$5:$A$400&lt;=$A16)*MOVIMIENTOS!$E$5:$E$400)-SUMPRODUCT((MOVIMIENTOS!$B$5:$B$400="ENVÍO A SUPESA")*(MOVIMIENTOS!$C$5:$C$400="A")*(MOVIMIENTOS!$D$5:$D$400="jabas")*(MOVIMIENTOS!$A$5:$A$400&lt;&gt;"")*(MOVIMIENTOS!$A$5:$A$400&lt;=$A16)*MOVIMIENTOS!$E$5:$E$400)+SUMPRODUCT((MOVIMIENTOS!$B$5:$B$400="DEVOLUCIÓN")*(MOVIMIENTOS!$C$5:$C$400="A")*(MOVIMIENTOS!$D$5:$D$400="jabas")*(MOVIMIENTOS!$A$5:$A$400&lt;&gt;"")*(MOVIMIENTOS!$A$5:$A$400&lt;=$A16)*MOVIMIENTOS!$E$5:$E$400)-SUMPRODUCT((MOVIMIENTOS!$B$5:$B$400="TRASIEGO")*(MOVIMIENTOS!$C$5:$C$400="A")*(MOVIMIENTOS!$D$5:$D$400="jabas")*(MOVIMIENTOS!$A$5:$A$400&lt;&gt;"")*(MOVIMIENTOS!$A$5:$A$400&lt;=$A16)*MOVIMIENTOS!$E$5:$E$400)-SUMPRODUCT((MOVIMIENTOS!$B$5:$B$400="REGALO")*(MOVIMIENTOS!$C$5:$C$400="A")*(MOVIMIENTOS!$D$5:$D$400="jabas")*(MOVIMIENTOS!$A$5:$A$400&lt;&gt;"")*(MOVIMIENTOS!$A$5:$A$400&lt;=$A16)*MOVIMIENTOS!$E$5:$E$400)-SUMPRODUCT((MOVIMIENTOS!$B$5:$B$400="VENTA")*(MOVIMIENTOS!$C$5:$C$400="A")*(MOVIMIENTOS!$D$5:$D$400="jabas")*(MOVIMIENTOS!$A$5:$A$400&lt;&gt;"")*(MOVIMIENTOS!$A$5:$A$400&lt;=$A16)*MOVIMIENTOS!$E$5:$E$400)+SUMPRODUCT((MOVIMIENTOS!$B$5:$B$400="AJUSTE")*(MOVIMIENTOS!$C$5:$C$400="A")*(MOVIMIENTOS!$D$5:$D$400="jabas")*(MOVIMIENTOS!$A$5:$A$400&lt;&gt;"")*(MOVIMIENTOS!$A$5:$A$400&lt;=$A16)*MOVIMIENTOS!$E$5:$E$400))</f>
        <v>56</v>
      </c>
      <c r="C16" s="46" t="n">
        <f aca="false">IF($A16="","",SUMPRODUCT((MOVIMIENTOS!$B$5:$B$400="SALDO INICIAL")*(MOVIMIENTOS!$C$5:$C$400="P")*(MOVIMIENTOS!$D$5:$D$400="jabas")*(MOVIMIENTOS!$A$5:$A$400&lt;&gt;"")*(MOVIMIENTOS!$A$5:$A$400&lt;=$A16)*MOVIMIENTOS!$E$5:$E$400)+SUMPRODUCT((MOVIMIENTOS!$B$5:$B$400="PROCESO")*(MOVIMIENTOS!$C$5:$C$400="P")*(MOVIMIENTOS!$D$5:$D$400="jabas")*(MOVIMIENTOS!$A$5:$A$400&lt;&gt;"")*(MOVIMIENTOS!$A$5:$A$400&lt;=$A16)*MOVIMIENTOS!$E$5:$E$400)-SUMPRODUCT((MOVIMIENTOS!$B$5:$B$400="ENVÍO A SUPESA")*(MOVIMIENTOS!$C$5:$C$400="P")*(MOVIMIENTOS!$D$5:$D$400="jabas")*(MOVIMIENTOS!$A$5:$A$400&lt;&gt;"")*(MOVIMIENTOS!$A$5:$A$400&lt;=$A16)*MOVIMIENTOS!$E$5:$E$400)+SUMPRODUCT((MOVIMIENTOS!$B$5:$B$400="DEVOLUCIÓN")*(MOVIMIENTOS!$C$5:$C$400="P")*(MOVIMIENTOS!$D$5:$D$400="jabas")*(MOVIMIENTOS!$A$5:$A$400&lt;&gt;"")*(MOVIMIENTOS!$A$5:$A$400&lt;=$A16)*MOVIMIENTOS!$E$5:$E$400)-SUMPRODUCT((MOVIMIENTOS!$B$5:$B$400="TRASIEGO")*(MOVIMIENTOS!$C$5:$C$400="P")*(MOVIMIENTOS!$D$5:$D$400="jabas")*(MOVIMIENTOS!$A$5:$A$400&lt;&gt;"")*(MOVIMIENTOS!$A$5:$A$400&lt;=$A16)*MOVIMIENTOS!$E$5:$E$400)-SUMPRODUCT((MOVIMIENTOS!$B$5:$B$400="REGALO")*(MOVIMIENTOS!$C$5:$C$400="P")*(MOVIMIENTOS!$D$5:$D$400="jabas")*(MOVIMIENTOS!$A$5:$A$400&lt;&gt;"")*(MOVIMIENTOS!$A$5:$A$400&lt;=$A16)*MOVIMIENTOS!$E$5:$E$400)-SUMPRODUCT((MOVIMIENTOS!$B$5:$B$400="VENTA")*(MOVIMIENTOS!$C$5:$C$400="P")*(MOVIMIENTOS!$D$5:$D$400="jabas")*(MOVIMIENTOS!$A$5:$A$400&lt;&gt;"")*(MOVIMIENTOS!$A$5:$A$400&lt;=$A16)*MOVIMIENTOS!$E$5:$E$400)+SUMPRODUCT((MOVIMIENTOS!$B$5:$B$400="AJUSTE")*(MOVIMIENTOS!$C$5:$C$400="P")*(MOVIMIENTOS!$D$5:$D$400="jabas")*(MOVIMIENTOS!$A$5:$A$400&lt;&gt;"")*(MOVIMIENTOS!$A$5:$A$400&lt;=$A16)*MOVIMIENTOS!$E$5:$E$400))</f>
        <v>11</v>
      </c>
      <c r="D16" s="46" t="n">
        <f aca="false">IF($A16="","",SUMPRODUCT((MOVIMIENTOS!$B$5:$B$400="SALDO INICIAL")*(MOVIMIENTOS!$C$5:$C$400="C")*(MOVIMIENTOS!$D$5:$D$400="jabas")*(MOVIMIENTOS!$A$5:$A$400&lt;&gt;"")*(MOVIMIENTOS!$A$5:$A$400&lt;=$A16)*MOVIMIENTOS!$E$5:$E$400)+SUMPRODUCT((MOVIMIENTOS!$B$5:$B$400="PROCESO")*(MOVIMIENTOS!$C$5:$C$400="C")*(MOVIMIENTOS!$D$5:$D$400="jabas")*(MOVIMIENTOS!$A$5:$A$400&lt;&gt;"")*(MOVIMIENTOS!$A$5:$A$400&lt;=$A16)*MOVIMIENTOS!$E$5:$E$400)-SUMPRODUCT((MOVIMIENTOS!$B$5:$B$400="ENVÍO A SUPESA")*(MOVIMIENTOS!$C$5:$C$400="C")*(MOVIMIENTOS!$D$5:$D$400="jabas")*(MOVIMIENTOS!$A$5:$A$400&lt;&gt;"")*(MOVIMIENTOS!$A$5:$A$400&lt;=$A16)*MOVIMIENTOS!$E$5:$E$400)+SUMPRODUCT((MOVIMIENTOS!$B$5:$B$400="DEVOLUCIÓN")*(MOVIMIENTOS!$C$5:$C$400="C")*(MOVIMIENTOS!$D$5:$D$400="jabas")*(MOVIMIENTOS!$A$5:$A$400&lt;&gt;"")*(MOVIMIENTOS!$A$5:$A$400&lt;=$A16)*MOVIMIENTOS!$E$5:$E$400)-SUMPRODUCT((MOVIMIENTOS!$B$5:$B$400="TRASIEGO")*(MOVIMIENTOS!$C$5:$C$400="C")*(MOVIMIENTOS!$D$5:$D$400="jabas")*(MOVIMIENTOS!$A$5:$A$400&lt;&gt;"")*(MOVIMIENTOS!$A$5:$A$400&lt;=$A16)*MOVIMIENTOS!$E$5:$E$400)-SUMPRODUCT((MOVIMIENTOS!$B$5:$B$400="REGALO")*(MOVIMIENTOS!$C$5:$C$400="C")*(MOVIMIENTOS!$D$5:$D$400="jabas")*(MOVIMIENTOS!$A$5:$A$400&lt;&gt;"")*(MOVIMIENTOS!$A$5:$A$400&lt;=$A16)*MOVIMIENTOS!$E$5:$E$400)-SUMPRODUCT((MOVIMIENTOS!$B$5:$B$400="VENTA")*(MOVIMIENTOS!$C$5:$C$400="C")*(MOVIMIENTOS!$D$5:$D$400="jabas")*(MOVIMIENTOS!$A$5:$A$400&lt;&gt;"")*(MOVIMIENTOS!$A$5:$A$400&lt;=$A16)*MOVIMIENTOS!$E$5:$E$400)+SUMPRODUCT((MOVIMIENTOS!$B$5:$B$400="AJUSTE")*(MOVIMIENTOS!$C$5:$C$400="C")*(MOVIMIENTOS!$D$5:$D$400="jabas")*(MOVIMIENTOS!$A$5:$A$400&lt;&gt;"")*(MOVIMIENTOS!$A$5:$A$400&lt;=$A16)*MOVIMIENTOS!$E$5:$E$400))</f>
        <v>12</v>
      </c>
      <c r="E16" s="46" t="n">
        <f aca="false">IF($A16="","",SUMPRODUCT((MOVIMIENTOS!$B$5:$B$400="SALDO INICIAL")*(MOVIMIENTOS!$C$5:$C$400="M")*(MOVIMIENTOS!$D$5:$D$400="jabas")*(MOVIMIENTOS!$A$5:$A$400&lt;&gt;"")*(MOVIMIENTOS!$A$5:$A$400&lt;=$A16)*MOVIMIENTOS!$E$5:$E$400)+SUMPRODUCT((MOVIMIENTOS!$B$5:$B$400="PROCESO")*(MOVIMIENTOS!$C$5:$C$400="M")*(MOVIMIENTOS!$D$5:$D$400="jabas")*(MOVIMIENTOS!$A$5:$A$400&lt;&gt;"")*(MOVIMIENTOS!$A$5:$A$400&lt;=$A16)*MOVIMIENTOS!$E$5:$E$400)-SUMPRODUCT((MOVIMIENTOS!$B$5:$B$400="ENVÍO A SUPESA")*(MOVIMIENTOS!$C$5:$C$400="M")*(MOVIMIENTOS!$D$5:$D$400="jabas")*(MOVIMIENTOS!$A$5:$A$400&lt;&gt;"")*(MOVIMIENTOS!$A$5:$A$400&lt;=$A16)*MOVIMIENTOS!$E$5:$E$400)+SUMPRODUCT((MOVIMIENTOS!$B$5:$B$400="DEVOLUCIÓN")*(MOVIMIENTOS!$C$5:$C$400="M")*(MOVIMIENTOS!$D$5:$D$400="jabas")*(MOVIMIENTOS!$A$5:$A$400&lt;&gt;"")*(MOVIMIENTOS!$A$5:$A$400&lt;=$A16)*MOVIMIENTOS!$E$5:$E$400)-SUMPRODUCT((MOVIMIENTOS!$B$5:$B$400="TRASIEGO")*(MOVIMIENTOS!$C$5:$C$400="M")*(MOVIMIENTOS!$D$5:$D$400="jabas")*(MOVIMIENTOS!$A$5:$A$400&lt;&gt;"")*(MOVIMIENTOS!$A$5:$A$400&lt;=$A16)*MOVIMIENTOS!$E$5:$E$400)-SUMPRODUCT((MOVIMIENTOS!$B$5:$B$400="REGALO")*(MOVIMIENTOS!$C$5:$C$400="M")*(MOVIMIENTOS!$D$5:$D$400="jabas")*(MOVIMIENTOS!$A$5:$A$400&lt;&gt;"")*(MOVIMIENTOS!$A$5:$A$400&lt;=$A16)*MOVIMIENTOS!$E$5:$E$400)-SUMPRODUCT((MOVIMIENTOS!$B$5:$B$400="VENTA")*(MOVIMIENTOS!$C$5:$C$400="M")*(MOVIMIENTOS!$D$5:$D$400="jabas")*(MOVIMIENTOS!$A$5:$A$400&lt;&gt;"")*(MOVIMIENTOS!$A$5:$A$400&lt;=$A16)*MOVIMIENTOS!$E$5:$E$400)+SUMPRODUCT((MOVIMIENTOS!$B$5:$B$400="AJUSTE")*(MOVIMIENTOS!$C$5:$C$400="M")*(MOVIMIENTOS!$D$5:$D$400="jabas")*(MOVIMIENTOS!$A$5:$A$400&lt;&gt;"")*(MOVIMIENTOS!$A$5:$A$400&lt;=$A16)*MOVIMIENTOS!$E$5:$E$400))</f>
        <v>120</v>
      </c>
      <c r="F16" s="46" t="n">
        <f aca="false">IF($A16="","",SUMPRODUCT((MOVIMIENTOS!$B$5:$B$400="SALDO INICIAL")*(MOVIMIENTOS!$C$5:$C$400="Chancho")*(MOVIMIENTOS!$D$5:$D$400="sacos")*(MOVIMIENTOS!$A$5:$A$400&lt;&gt;"")*(MOVIMIENTOS!$A$5:$A$400&lt;=$A16)*MOVIMIENTOS!$E$5:$E$400)+SUMPRODUCT((MOVIMIENTOS!$B$5:$B$400="PROCESO")*(MOVIMIENTOS!$C$5:$C$400="Chancho")*(MOVIMIENTOS!$D$5:$D$400="sacos")*(MOVIMIENTOS!$A$5:$A$400&lt;&gt;"")*(MOVIMIENTOS!$A$5:$A$400&lt;=$A16)*MOVIMIENTOS!$E$5:$E$400)-SUMPRODUCT((MOVIMIENTOS!$B$5:$B$400="VENTA CHANCHO")*(MOVIMIENTOS!$C$5:$C$400="Chancho")*(MOVIMIENTOS!$D$5:$D$400="sacos")*(MOVIMIENTOS!$A$5:$A$400&lt;&gt;"")*(MOVIMIENTOS!$A$5:$A$400&lt;=$A16)*MOVIMIENTOS!$E$5:$E$400)-SUMPRODUCT((MOVIMIENTOS!$B$5:$B$400="REGALO")*(MOVIMIENTOS!$C$5:$C$400="Chancho")*(MOVIMIENTOS!$D$5:$D$400="sacos")*(MOVIMIENTOS!$A$5:$A$400&lt;&gt;"")*(MOVIMIENTOS!$A$5:$A$400&lt;=$A16)*MOVIMIENTOS!$E$5:$E$400)-SUMPRODUCT((MOVIMIENTOS!$B$5:$B$400="VENTA")*(MOVIMIENTOS!$C$5:$C$400="Chancho")*(MOVIMIENTOS!$D$5:$D$400="sacos")*(MOVIMIENTOS!$A$5:$A$400&lt;&gt;"")*(MOVIMIENTOS!$A$5:$A$400&lt;=$A16)*MOVIMIENTOS!$E$5:$E$400)+SUMPRODUCT((MOVIMIENTOS!$B$5:$B$400="AJUSTE")*(MOVIMIENTOS!$C$5:$C$400="Chancho")*(MOVIMIENTOS!$D$5:$D$400="sacos")*(MOVIMIENTOS!$A$5:$A$400&lt;&gt;"")*(MOVIMIENTOS!$A$5:$A$400&lt;=$A16)*MOVIMIENTOS!$E$5:$E$400))</f>
        <v>11.5</v>
      </c>
      <c r="G16" s="46" t="n">
        <f aca="false">IF($A16="","",SUM(B16:E16))</f>
        <v>199</v>
      </c>
      <c r="H16" s="46" t="n">
        <f aca="false">IF($A16="","",SUMPRODUCT((((MOVIMIENTOS!$B$5:$B$400="SALDO INICIAL")*(MOVIMIENTOS!$C$5:$C$400&lt;&gt;"Chancho"))+(MOVIMIENTOS!$B$5:$B$400="COMPRA")+(MOVIMIENTOS!$B$5:$B$400="REPROCESO")+(MOVIMIENTOS!$B$5:$B$400="DEVOLUCIÓN")+((MOVIMIENTOS!$B$5:$B$400="AJUSTE")*(MOVIMIENTOS!$C$5:$C$400&lt;&gt;"Chancho")))*(MOVIMIENTOS!$A$5:$A$400&lt;&gt;"")*(MOVIMIENTOS!$A$5:$A$400&lt;=$A16)*MOVIMIENTOS!$I$5:$I$400)-SUMPRODUCT(((MOVIMIENTOS!$B$5:$B$400="ENVÍO A SUPESA")+(MOVIMIENTOS!$B$5:$B$400="ENVÍO A TOTTUS")+(MOVIMIENTOS!$B$5:$B$400="ENVIO A TOTTUS")+(MOVIMIENTOS!$B$5:$B$400="MALOGRADO")+(MOVIMIENTOS!$B$5:$B$400="OTRA SALIDA")+((MOVIMIENTOS!$B$5:$B$400="PROCESO")*(MOVIMIENTOS!$C$5:$C$400="Chancho"))+((MOVIMIENTOS!$B$5:$B$400="REGALO")*(MOVIMIENTOS!$C$5:$C$400&lt;&gt;"Chancho"))+((MOVIMIENTOS!$B$5:$B$400="VENTA")*(MOVIMIENTOS!$C$5:$C$400&lt;&gt;"Chancho")))*(MOVIMIENTOS!$A$5:$A$400&lt;&gt;"")*(MOVIMIENTOS!$A$5:$A$400&lt;=$A16)*MOVIMIENTOS!$I$5:$I$400))</f>
        <v>7457.5</v>
      </c>
      <c r="I16" s="44"/>
      <c r="J16" s="44" t="str">
        <f aca="false">IF(AND(MOVIMIENTOS!$A16&lt;&gt;"",COUNTIF(MOVIMIENTOS!$A$5:$A15,MOVIMIENTOS!$A16)=0),COUNT(J$4:J15)+1,"")</f>
        <v/>
      </c>
      <c r="K16" s="47" t="n">
        <f aca="false">MOVIMIENTOS!$A16</f>
        <v>46215</v>
      </c>
      <c r="L16" s="44"/>
      <c r="M16" s="44"/>
      <c r="N16" s="44"/>
    </row>
    <row r="17" customFormat="false" ht="15" hidden="false" customHeight="true" outlineLevel="0" collapsed="false">
      <c r="A17" s="45" t="n">
        <f aca="false">IFERROR(INDEX(K$5:K$400,MATCH(ROW()-4,J$5:J$400,0)),"")</f>
        <v>46226</v>
      </c>
      <c r="B17" s="46" t="n">
        <f aca="false">IF($A17="","",SUMPRODUCT((MOVIMIENTOS!$B$5:$B$400="SALDO INICIAL")*(MOVIMIENTOS!$C$5:$C$400="A")*(MOVIMIENTOS!$D$5:$D$400="jabas")*(MOVIMIENTOS!$A$5:$A$400&lt;&gt;"")*(MOVIMIENTOS!$A$5:$A$400&lt;=$A17)*MOVIMIENTOS!$E$5:$E$400)+SUMPRODUCT((MOVIMIENTOS!$B$5:$B$400="PROCESO")*(MOVIMIENTOS!$C$5:$C$400="A")*(MOVIMIENTOS!$D$5:$D$400="jabas")*(MOVIMIENTOS!$A$5:$A$400&lt;&gt;"")*(MOVIMIENTOS!$A$5:$A$400&lt;=$A17)*MOVIMIENTOS!$E$5:$E$400)-SUMPRODUCT((MOVIMIENTOS!$B$5:$B$400="ENVÍO A SUPESA")*(MOVIMIENTOS!$C$5:$C$400="A")*(MOVIMIENTOS!$D$5:$D$400="jabas")*(MOVIMIENTOS!$A$5:$A$400&lt;&gt;"")*(MOVIMIENTOS!$A$5:$A$400&lt;=$A17)*MOVIMIENTOS!$E$5:$E$400)+SUMPRODUCT((MOVIMIENTOS!$B$5:$B$400="DEVOLUCIÓN")*(MOVIMIENTOS!$C$5:$C$400="A")*(MOVIMIENTOS!$D$5:$D$400="jabas")*(MOVIMIENTOS!$A$5:$A$400&lt;&gt;"")*(MOVIMIENTOS!$A$5:$A$400&lt;=$A17)*MOVIMIENTOS!$E$5:$E$400)-SUMPRODUCT((MOVIMIENTOS!$B$5:$B$400="TRASIEGO")*(MOVIMIENTOS!$C$5:$C$400="A")*(MOVIMIENTOS!$D$5:$D$400="jabas")*(MOVIMIENTOS!$A$5:$A$400&lt;&gt;"")*(MOVIMIENTOS!$A$5:$A$400&lt;=$A17)*MOVIMIENTOS!$E$5:$E$400)-SUMPRODUCT((MOVIMIENTOS!$B$5:$B$400="REGALO")*(MOVIMIENTOS!$C$5:$C$400="A")*(MOVIMIENTOS!$D$5:$D$400="jabas")*(MOVIMIENTOS!$A$5:$A$400&lt;&gt;"")*(MOVIMIENTOS!$A$5:$A$400&lt;=$A17)*MOVIMIENTOS!$E$5:$E$400)-SUMPRODUCT((MOVIMIENTOS!$B$5:$B$400="VENTA")*(MOVIMIENTOS!$C$5:$C$400="A")*(MOVIMIENTOS!$D$5:$D$400="jabas")*(MOVIMIENTOS!$A$5:$A$400&lt;&gt;"")*(MOVIMIENTOS!$A$5:$A$400&lt;=$A17)*MOVIMIENTOS!$E$5:$E$400)+SUMPRODUCT((MOVIMIENTOS!$B$5:$B$400="AJUSTE")*(MOVIMIENTOS!$C$5:$C$400="A")*(MOVIMIENTOS!$D$5:$D$400="jabas")*(MOVIMIENTOS!$A$5:$A$400&lt;&gt;"")*(MOVIMIENTOS!$A$5:$A$400&lt;=$A17)*MOVIMIENTOS!$E$5:$E$400))</f>
        <v>67</v>
      </c>
      <c r="C17" s="46" t="n">
        <f aca="false">IF($A17="","",SUMPRODUCT((MOVIMIENTOS!$B$5:$B$400="SALDO INICIAL")*(MOVIMIENTOS!$C$5:$C$400="P")*(MOVIMIENTOS!$D$5:$D$400="jabas")*(MOVIMIENTOS!$A$5:$A$400&lt;&gt;"")*(MOVIMIENTOS!$A$5:$A$400&lt;=$A17)*MOVIMIENTOS!$E$5:$E$400)+SUMPRODUCT((MOVIMIENTOS!$B$5:$B$400="PROCESO")*(MOVIMIENTOS!$C$5:$C$400="P")*(MOVIMIENTOS!$D$5:$D$400="jabas")*(MOVIMIENTOS!$A$5:$A$400&lt;&gt;"")*(MOVIMIENTOS!$A$5:$A$400&lt;=$A17)*MOVIMIENTOS!$E$5:$E$400)-SUMPRODUCT((MOVIMIENTOS!$B$5:$B$400="ENVÍO A SUPESA")*(MOVIMIENTOS!$C$5:$C$400="P")*(MOVIMIENTOS!$D$5:$D$400="jabas")*(MOVIMIENTOS!$A$5:$A$400&lt;&gt;"")*(MOVIMIENTOS!$A$5:$A$400&lt;=$A17)*MOVIMIENTOS!$E$5:$E$400)+SUMPRODUCT((MOVIMIENTOS!$B$5:$B$400="DEVOLUCIÓN")*(MOVIMIENTOS!$C$5:$C$400="P")*(MOVIMIENTOS!$D$5:$D$400="jabas")*(MOVIMIENTOS!$A$5:$A$400&lt;&gt;"")*(MOVIMIENTOS!$A$5:$A$400&lt;=$A17)*MOVIMIENTOS!$E$5:$E$400)-SUMPRODUCT((MOVIMIENTOS!$B$5:$B$400="TRASIEGO")*(MOVIMIENTOS!$C$5:$C$400="P")*(MOVIMIENTOS!$D$5:$D$400="jabas")*(MOVIMIENTOS!$A$5:$A$400&lt;&gt;"")*(MOVIMIENTOS!$A$5:$A$400&lt;=$A17)*MOVIMIENTOS!$E$5:$E$400)-SUMPRODUCT((MOVIMIENTOS!$B$5:$B$400="REGALO")*(MOVIMIENTOS!$C$5:$C$400="P")*(MOVIMIENTOS!$D$5:$D$400="jabas")*(MOVIMIENTOS!$A$5:$A$400&lt;&gt;"")*(MOVIMIENTOS!$A$5:$A$400&lt;=$A17)*MOVIMIENTOS!$E$5:$E$400)-SUMPRODUCT((MOVIMIENTOS!$B$5:$B$400="VENTA")*(MOVIMIENTOS!$C$5:$C$400="P")*(MOVIMIENTOS!$D$5:$D$400="jabas")*(MOVIMIENTOS!$A$5:$A$400&lt;&gt;"")*(MOVIMIENTOS!$A$5:$A$400&lt;=$A17)*MOVIMIENTOS!$E$5:$E$400)+SUMPRODUCT((MOVIMIENTOS!$B$5:$B$400="AJUSTE")*(MOVIMIENTOS!$C$5:$C$400="P")*(MOVIMIENTOS!$D$5:$D$400="jabas")*(MOVIMIENTOS!$A$5:$A$400&lt;&gt;"")*(MOVIMIENTOS!$A$5:$A$400&lt;=$A17)*MOVIMIENTOS!$E$5:$E$400))</f>
        <v>11</v>
      </c>
      <c r="D17" s="46" t="n">
        <f aca="false">IF($A17="","",SUMPRODUCT((MOVIMIENTOS!$B$5:$B$400="SALDO INICIAL")*(MOVIMIENTOS!$C$5:$C$400="C")*(MOVIMIENTOS!$D$5:$D$400="jabas")*(MOVIMIENTOS!$A$5:$A$400&lt;&gt;"")*(MOVIMIENTOS!$A$5:$A$400&lt;=$A17)*MOVIMIENTOS!$E$5:$E$400)+SUMPRODUCT((MOVIMIENTOS!$B$5:$B$400="PROCESO")*(MOVIMIENTOS!$C$5:$C$400="C")*(MOVIMIENTOS!$D$5:$D$400="jabas")*(MOVIMIENTOS!$A$5:$A$400&lt;&gt;"")*(MOVIMIENTOS!$A$5:$A$400&lt;=$A17)*MOVIMIENTOS!$E$5:$E$400)-SUMPRODUCT((MOVIMIENTOS!$B$5:$B$400="ENVÍO A SUPESA")*(MOVIMIENTOS!$C$5:$C$400="C")*(MOVIMIENTOS!$D$5:$D$400="jabas")*(MOVIMIENTOS!$A$5:$A$400&lt;&gt;"")*(MOVIMIENTOS!$A$5:$A$400&lt;=$A17)*MOVIMIENTOS!$E$5:$E$400)+SUMPRODUCT((MOVIMIENTOS!$B$5:$B$400="DEVOLUCIÓN")*(MOVIMIENTOS!$C$5:$C$400="C")*(MOVIMIENTOS!$D$5:$D$400="jabas")*(MOVIMIENTOS!$A$5:$A$400&lt;&gt;"")*(MOVIMIENTOS!$A$5:$A$400&lt;=$A17)*MOVIMIENTOS!$E$5:$E$400)-SUMPRODUCT((MOVIMIENTOS!$B$5:$B$400="TRASIEGO")*(MOVIMIENTOS!$C$5:$C$400="C")*(MOVIMIENTOS!$D$5:$D$400="jabas")*(MOVIMIENTOS!$A$5:$A$400&lt;&gt;"")*(MOVIMIENTOS!$A$5:$A$400&lt;=$A17)*MOVIMIENTOS!$E$5:$E$400)-SUMPRODUCT((MOVIMIENTOS!$B$5:$B$400="REGALO")*(MOVIMIENTOS!$C$5:$C$400="C")*(MOVIMIENTOS!$D$5:$D$400="jabas")*(MOVIMIENTOS!$A$5:$A$400&lt;&gt;"")*(MOVIMIENTOS!$A$5:$A$400&lt;=$A17)*MOVIMIENTOS!$E$5:$E$400)-SUMPRODUCT((MOVIMIENTOS!$B$5:$B$400="VENTA")*(MOVIMIENTOS!$C$5:$C$400="C")*(MOVIMIENTOS!$D$5:$D$400="jabas")*(MOVIMIENTOS!$A$5:$A$400&lt;&gt;"")*(MOVIMIENTOS!$A$5:$A$400&lt;=$A17)*MOVIMIENTOS!$E$5:$E$400)+SUMPRODUCT((MOVIMIENTOS!$B$5:$B$400="AJUSTE")*(MOVIMIENTOS!$C$5:$C$400="C")*(MOVIMIENTOS!$D$5:$D$400="jabas")*(MOVIMIENTOS!$A$5:$A$400&lt;&gt;"")*(MOVIMIENTOS!$A$5:$A$400&lt;=$A17)*MOVIMIENTOS!$E$5:$E$400))</f>
        <v>12</v>
      </c>
      <c r="E17" s="46" t="n">
        <f aca="false">IF($A17="","",SUMPRODUCT((MOVIMIENTOS!$B$5:$B$400="SALDO INICIAL")*(MOVIMIENTOS!$C$5:$C$400="M")*(MOVIMIENTOS!$D$5:$D$400="jabas")*(MOVIMIENTOS!$A$5:$A$400&lt;&gt;"")*(MOVIMIENTOS!$A$5:$A$400&lt;=$A17)*MOVIMIENTOS!$E$5:$E$400)+SUMPRODUCT((MOVIMIENTOS!$B$5:$B$400="PROCESO")*(MOVIMIENTOS!$C$5:$C$400="M")*(MOVIMIENTOS!$D$5:$D$400="jabas")*(MOVIMIENTOS!$A$5:$A$400&lt;&gt;"")*(MOVIMIENTOS!$A$5:$A$400&lt;=$A17)*MOVIMIENTOS!$E$5:$E$400)-SUMPRODUCT((MOVIMIENTOS!$B$5:$B$400="ENVÍO A SUPESA")*(MOVIMIENTOS!$C$5:$C$400="M")*(MOVIMIENTOS!$D$5:$D$400="jabas")*(MOVIMIENTOS!$A$5:$A$400&lt;&gt;"")*(MOVIMIENTOS!$A$5:$A$400&lt;=$A17)*MOVIMIENTOS!$E$5:$E$400)+SUMPRODUCT((MOVIMIENTOS!$B$5:$B$400="DEVOLUCIÓN")*(MOVIMIENTOS!$C$5:$C$400="M")*(MOVIMIENTOS!$D$5:$D$400="jabas")*(MOVIMIENTOS!$A$5:$A$400&lt;&gt;"")*(MOVIMIENTOS!$A$5:$A$400&lt;=$A17)*MOVIMIENTOS!$E$5:$E$400)-SUMPRODUCT((MOVIMIENTOS!$B$5:$B$400="TRASIEGO")*(MOVIMIENTOS!$C$5:$C$400="M")*(MOVIMIENTOS!$D$5:$D$400="jabas")*(MOVIMIENTOS!$A$5:$A$400&lt;&gt;"")*(MOVIMIENTOS!$A$5:$A$400&lt;=$A17)*MOVIMIENTOS!$E$5:$E$400)-SUMPRODUCT((MOVIMIENTOS!$B$5:$B$400="REGALO")*(MOVIMIENTOS!$C$5:$C$400="M")*(MOVIMIENTOS!$D$5:$D$400="jabas")*(MOVIMIENTOS!$A$5:$A$400&lt;&gt;"")*(MOVIMIENTOS!$A$5:$A$400&lt;=$A17)*MOVIMIENTOS!$E$5:$E$400)-SUMPRODUCT((MOVIMIENTOS!$B$5:$B$400="VENTA")*(MOVIMIENTOS!$C$5:$C$400="M")*(MOVIMIENTOS!$D$5:$D$400="jabas")*(MOVIMIENTOS!$A$5:$A$400&lt;&gt;"")*(MOVIMIENTOS!$A$5:$A$400&lt;=$A17)*MOVIMIENTOS!$E$5:$E$400)+SUMPRODUCT((MOVIMIENTOS!$B$5:$B$400="AJUSTE")*(MOVIMIENTOS!$C$5:$C$400="M")*(MOVIMIENTOS!$D$5:$D$400="jabas")*(MOVIMIENTOS!$A$5:$A$400&lt;&gt;"")*(MOVIMIENTOS!$A$5:$A$400&lt;=$A17)*MOVIMIENTOS!$E$5:$E$400))</f>
        <v>96</v>
      </c>
      <c r="F17" s="46" t="n">
        <f aca="false">IF($A17="","",SUMPRODUCT((MOVIMIENTOS!$B$5:$B$400="SALDO INICIAL")*(MOVIMIENTOS!$C$5:$C$400="Chancho")*(MOVIMIENTOS!$D$5:$D$400="sacos")*(MOVIMIENTOS!$A$5:$A$400&lt;&gt;"")*(MOVIMIENTOS!$A$5:$A$400&lt;=$A17)*MOVIMIENTOS!$E$5:$E$400)+SUMPRODUCT((MOVIMIENTOS!$B$5:$B$400="PROCESO")*(MOVIMIENTOS!$C$5:$C$400="Chancho")*(MOVIMIENTOS!$D$5:$D$400="sacos")*(MOVIMIENTOS!$A$5:$A$400&lt;&gt;"")*(MOVIMIENTOS!$A$5:$A$400&lt;=$A17)*MOVIMIENTOS!$E$5:$E$400)-SUMPRODUCT((MOVIMIENTOS!$B$5:$B$400="VENTA CHANCHO")*(MOVIMIENTOS!$C$5:$C$400="Chancho")*(MOVIMIENTOS!$D$5:$D$400="sacos")*(MOVIMIENTOS!$A$5:$A$400&lt;&gt;"")*(MOVIMIENTOS!$A$5:$A$400&lt;=$A17)*MOVIMIENTOS!$E$5:$E$400)-SUMPRODUCT((MOVIMIENTOS!$B$5:$B$400="REGALO")*(MOVIMIENTOS!$C$5:$C$400="Chancho")*(MOVIMIENTOS!$D$5:$D$400="sacos")*(MOVIMIENTOS!$A$5:$A$400&lt;&gt;"")*(MOVIMIENTOS!$A$5:$A$400&lt;=$A17)*MOVIMIENTOS!$E$5:$E$400)-SUMPRODUCT((MOVIMIENTOS!$B$5:$B$400="VENTA")*(MOVIMIENTOS!$C$5:$C$400="Chancho")*(MOVIMIENTOS!$D$5:$D$400="sacos")*(MOVIMIENTOS!$A$5:$A$400&lt;&gt;"")*(MOVIMIENTOS!$A$5:$A$400&lt;=$A17)*MOVIMIENTOS!$E$5:$E$400)+SUMPRODUCT((MOVIMIENTOS!$B$5:$B$400="AJUSTE")*(MOVIMIENTOS!$C$5:$C$400="Chancho")*(MOVIMIENTOS!$D$5:$D$400="sacos")*(MOVIMIENTOS!$A$5:$A$400&lt;&gt;"")*(MOVIMIENTOS!$A$5:$A$400&lt;=$A17)*MOVIMIENTOS!$E$5:$E$400))</f>
        <v>18</v>
      </c>
      <c r="G17" s="46" t="n">
        <f aca="false">IF($A17="","",SUM(B17:E17))</f>
        <v>186</v>
      </c>
      <c r="H17" s="46" t="n">
        <f aca="false">IF($A17="","",SUMPRODUCT((((MOVIMIENTOS!$B$5:$B$400="SALDO INICIAL")*(MOVIMIENTOS!$C$5:$C$400&lt;&gt;"Chancho"))+(MOVIMIENTOS!$B$5:$B$400="COMPRA")+(MOVIMIENTOS!$B$5:$B$400="REPROCESO")+(MOVIMIENTOS!$B$5:$B$400="DEVOLUCIÓN")+((MOVIMIENTOS!$B$5:$B$400="AJUSTE")*(MOVIMIENTOS!$C$5:$C$400&lt;&gt;"Chancho")))*(MOVIMIENTOS!$A$5:$A$400&lt;&gt;"")*(MOVIMIENTOS!$A$5:$A$400&lt;=$A17)*MOVIMIENTOS!$I$5:$I$400)-SUMPRODUCT(((MOVIMIENTOS!$B$5:$B$400="ENVÍO A SUPESA")+(MOVIMIENTOS!$B$5:$B$400="ENVÍO A TOTTUS")+(MOVIMIENTOS!$B$5:$B$400="ENVIO A TOTTUS")+(MOVIMIENTOS!$B$5:$B$400="MALOGRADO")+(MOVIMIENTOS!$B$5:$B$400="OTRA SALIDA")+((MOVIMIENTOS!$B$5:$B$400="PROCESO")*(MOVIMIENTOS!$C$5:$C$400="Chancho"))+((MOVIMIENTOS!$B$5:$B$400="REGALO")*(MOVIMIENTOS!$C$5:$C$400&lt;&gt;"Chancho"))+((MOVIMIENTOS!$B$5:$B$400="VENTA")*(MOVIMIENTOS!$C$5:$C$400&lt;&gt;"Chancho")))*(MOVIMIENTOS!$A$5:$A$400&lt;&gt;"")*(MOVIMIENTOS!$A$5:$A$400&lt;=$A17)*MOVIMIENTOS!$I$5:$I$400))</f>
        <v>11174</v>
      </c>
      <c r="I17" s="44"/>
      <c r="J17" s="44" t="str">
        <f aca="false">IF(AND(MOVIMIENTOS!$A17&lt;&gt;"",COUNTIF(MOVIMIENTOS!$A$5:$A16,MOVIMIENTOS!$A17)=0),COUNT(J$4:J16)+1,"")</f>
        <v/>
      </c>
      <c r="K17" s="47" t="n">
        <f aca="false">MOVIMIENTOS!$A17</f>
        <v>46215</v>
      </c>
      <c r="L17" s="44"/>
      <c r="M17" s="44"/>
      <c r="N17" s="44"/>
    </row>
    <row r="18" customFormat="false" ht="15" hidden="false" customHeight="true" outlineLevel="0" collapsed="false">
      <c r="A18" s="45" t="n">
        <f aca="false">IFERROR(INDEX(K$5:K$400,MATCH(ROW()-4,J$5:J$400,0)),"")</f>
        <v>46227</v>
      </c>
      <c r="B18" s="46" t="n">
        <f aca="false">IF($A18="","",SUMPRODUCT((MOVIMIENTOS!$B$5:$B$400="SALDO INICIAL")*(MOVIMIENTOS!$C$5:$C$400="A")*(MOVIMIENTOS!$D$5:$D$400="jabas")*(MOVIMIENTOS!$A$5:$A$400&lt;&gt;"")*(MOVIMIENTOS!$A$5:$A$400&lt;=$A18)*MOVIMIENTOS!$E$5:$E$400)+SUMPRODUCT((MOVIMIENTOS!$B$5:$B$400="PROCESO")*(MOVIMIENTOS!$C$5:$C$400="A")*(MOVIMIENTOS!$D$5:$D$400="jabas")*(MOVIMIENTOS!$A$5:$A$400&lt;&gt;"")*(MOVIMIENTOS!$A$5:$A$400&lt;=$A18)*MOVIMIENTOS!$E$5:$E$400)-SUMPRODUCT((MOVIMIENTOS!$B$5:$B$400="ENVÍO A SUPESA")*(MOVIMIENTOS!$C$5:$C$400="A")*(MOVIMIENTOS!$D$5:$D$400="jabas")*(MOVIMIENTOS!$A$5:$A$400&lt;&gt;"")*(MOVIMIENTOS!$A$5:$A$400&lt;=$A18)*MOVIMIENTOS!$E$5:$E$400)+SUMPRODUCT((MOVIMIENTOS!$B$5:$B$400="DEVOLUCIÓN")*(MOVIMIENTOS!$C$5:$C$400="A")*(MOVIMIENTOS!$D$5:$D$400="jabas")*(MOVIMIENTOS!$A$5:$A$400&lt;&gt;"")*(MOVIMIENTOS!$A$5:$A$400&lt;=$A18)*MOVIMIENTOS!$E$5:$E$400)-SUMPRODUCT((MOVIMIENTOS!$B$5:$B$400="TRASIEGO")*(MOVIMIENTOS!$C$5:$C$400="A")*(MOVIMIENTOS!$D$5:$D$400="jabas")*(MOVIMIENTOS!$A$5:$A$400&lt;&gt;"")*(MOVIMIENTOS!$A$5:$A$400&lt;=$A18)*MOVIMIENTOS!$E$5:$E$400)-SUMPRODUCT((MOVIMIENTOS!$B$5:$B$400="REGALO")*(MOVIMIENTOS!$C$5:$C$400="A")*(MOVIMIENTOS!$D$5:$D$400="jabas")*(MOVIMIENTOS!$A$5:$A$400&lt;&gt;"")*(MOVIMIENTOS!$A$5:$A$400&lt;=$A18)*MOVIMIENTOS!$E$5:$E$400)-SUMPRODUCT((MOVIMIENTOS!$B$5:$B$400="VENTA")*(MOVIMIENTOS!$C$5:$C$400="A")*(MOVIMIENTOS!$D$5:$D$400="jabas")*(MOVIMIENTOS!$A$5:$A$400&lt;&gt;"")*(MOVIMIENTOS!$A$5:$A$400&lt;=$A18)*MOVIMIENTOS!$E$5:$E$400)+SUMPRODUCT((MOVIMIENTOS!$B$5:$B$400="AJUSTE")*(MOVIMIENTOS!$C$5:$C$400="A")*(MOVIMIENTOS!$D$5:$D$400="jabas")*(MOVIMIENTOS!$A$5:$A$400&lt;&gt;"")*(MOVIMIENTOS!$A$5:$A$400&lt;=$A18)*MOVIMIENTOS!$E$5:$E$400))</f>
        <v>48</v>
      </c>
      <c r="C18" s="46" t="n">
        <f aca="false">IF($A18="","",SUMPRODUCT((MOVIMIENTOS!$B$5:$B$400="SALDO INICIAL")*(MOVIMIENTOS!$C$5:$C$400="P")*(MOVIMIENTOS!$D$5:$D$400="jabas")*(MOVIMIENTOS!$A$5:$A$400&lt;&gt;"")*(MOVIMIENTOS!$A$5:$A$400&lt;=$A18)*MOVIMIENTOS!$E$5:$E$400)+SUMPRODUCT((MOVIMIENTOS!$B$5:$B$400="PROCESO")*(MOVIMIENTOS!$C$5:$C$400="P")*(MOVIMIENTOS!$D$5:$D$400="jabas")*(MOVIMIENTOS!$A$5:$A$400&lt;&gt;"")*(MOVIMIENTOS!$A$5:$A$400&lt;=$A18)*MOVIMIENTOS!$E$5:$E$400)-SUMPRODUCT((MOVIMIENTOS!$B$5:$B$400="ENVÍO A SUPESA")*(MOVIMIENTOS!$C$5:$C$400="P")*(MOVIMIENTOS!$D$5:$D$400="jabas")*(MOVIMIENTOS!$A$5:$A$400&lt;&gt;"")*(MOVIMIENTOS!$A$5:$A$400&lt;=$A18)*MOVIMIENTOS!$E$5:$E$400)+SUMPRODUCT((MOVIMIENTOS!$B$5:$B$400="DEVOLUCIÓN")*(MOVIMIENTOS!$C$5:$C$400="P")*(MOVIMIENTOS!$D$5:$D$400="jabas")*(MOVIMIENTOS!$A$5:$A$400&lt;&gt;"")*(MOVIMIENTOS!$A$5:$A$400&lt;=$A18)*MOVIMIENTOS!$E$5:$E$400)-SUMPRODUCT((MOVIMIENTOS!$B$5:$B$400="TRASIEGO")*(MOVIMIENTOS!$C$5:$C$400="P")*(MOVIMIENTOS!$D$5:$D$400="jabas")*(MOVIMIENTOS!$A$5:$A$400&lt;&gt;"")*(MOVIMIENTOS!$A$5:$A$400&lt;=$A18)*MOVIMIENTOS!$E$5:$E$400)-SUMPRODUCT((MOVIMIENTOS!$B$5:$B$400="REGALO")*(MOVIMIENTOS!$C$5:$C$400="P")*(MOVIMIENTOS!$D$5:$D$400="jabas")*(MOVIMIENTOS!$A$5:$A$400&lt;&gt;"")*(MOVIMIENTOS!$A$5:$A$400&lt;=$A18)*MOVIMIENTOS!$E$5:$E$400)-SUMPRODUCT((MOVIMIENTOS!$B$5:$B$400="VENTA")*(MOVIMIENTOS!$C$5:$C$400="P")*(MOVIMIENTOS!$D$5:$D$400="jabas")*(MOVIMIENTOS!$A$5:$A$400&lt;&gt;"")*(MOVIMIENTOS!$A$5:$A$400&lt;=$A18)*MOVIMIENTOS!$E$5:$E$400)+SUMPRODUCT((MOVIMIENTOS!$B$5:$B$400="AJUSTE")*(MOVIMIENTOS!$C$5:$C$400="P")*(MOVIMIENTOS!$D$5:$D$400="jabas")*(MOVIMIENTOS!$A$5:$A$400&lt;&gt;"")*(MOVIMIENTOS!$A$5:$A$400&lt;=$A18)*MOVIMIENTOS!$E$5:$E$400))</f>
        <v>3</v>
      </c>
      <c r="D18" s="46" t="n">
        <f aca="false">IF($A18="","",SUMPRODUCT((MOVIMIENTOS!$B$5:$B$400="SALDO INICIAL")*(MOVIMIENTOS!$C$5:$C$400="C")*(MOVIMIENTOS!$D$5:$D$400="jabas")*(MOVIMIENTOS!$A$5:$A$400&lt;&gt;"")*(MOVIMIENTOS!$A$5:$A$400&lt;=$A18)*MOVIMIENTOS!$E$5:$E$400)+SUMPRODUCT((MOVIMIENTOS!$B$5:$B$400="PROCESO")*(MOVIMIENTOS!$C$5:$C$400="C")*(MOVIMIENTOS!$D$5:$D$400="jabas")*(MOVIMIENTOS!$A$5:$A$400&lt;&gt;"")*(MOVIMIENTOS!$A$5:$A$400&lt;=$A18)*MOVIMIENTOS!$E$5:$E$400)-SUMPRODUCT((MOVIMIENTOS!$B$5:$B$400="ENVÍO A SUPESA")*(MOVIMIENTOS!$C$5:$C$400="C")*(MOVIMIENTOS!$D$5:$D$400="jabas")*(MOVIMIENTOS!$A$5:$A$400&lt;&gt;"")*(MOVIMIENTOS!$A$5:$A$400&lt;=$A18)*MOVIMIENTOS!$E$5:$E$400)+SUMPRODUCT((MOVIMIENTOS!$B$5:$B$400="DEVOLUCIÓN")*(MOVIMIENTOS!$C$5:$C$400="C")*(MOVIMIENTOS!$D$5:$D$400="jabas")*(MOVIMIENTOS!$A$5:$A$400&lt;&gt;"")*(MOVIMIENTOS!$A$5:$A$400&lt;=$A18)*MOVIMIENTOS!$E$5:$E$400)-SUMPRODUCT((MOVIMIENTOS!$B$5:$B$400="TRASIEGO")*(MOVIMIENTOS!$C$5:$C$400="C")*(MOVIMIENTOS!$D$5:$D$400="jabas")*(MOVIMIENTOS!$A$5:$A$400&lt;&gt;"")*(MOVIMIENTOS!$A$5:$A$400&lt;=$A18)*MOVIMIENTOS!$E$5:$E$400)-SUMPRODUCT((MOVIMIENTOS!$B$5:$B$400="REGALO")*(MOVIMIENTOS!$C$5:$C$400="C")*(MOVIMIENTOS!$D$5:$D$400="jabas")*(MOVIMIENTOS!$A$5:$A$400&lt;&gt;"")*(MOVIMIENTOS!$A$5:$A$400&lt;=$A18)*MOVIMIENTOS!$E$5:$E$400)-SUMPRODUCT((MOVIMIENTOS!$B$5:$B$400="VENTA")*(MOVIMIENTOS!$C$5:$C$400="C")*(MOVIMIENTOS!$D$5:$D$400="jabas")*(MOVIMIENTOS!$A$5:$A$400&lt;&gt;"")*(MOVIMIENTOS!$A$5:$A$400&lt;=$A18)*MOVIMIENTOS!$E$5:$E$400)+SUMPRODUCT((MOVIMIENTOS!$B$5:$B$400="AJUSTE")*(MOVIMIENTOS!$C$5:$C$400="C")*(MOVIMIENTOS!$D$5:$D$400="jabas")*(MOVIMIENTOS!$A$5:$A$400&lt;&gt;"")*(MOVIMIENTOS!$A$5:$A$400&lt;=$A18)*MOVIMIENTOS!$E$5:$E$400))</f>
        <v>5</v>
      </c>
      <c r="E18" s="46" t="n">
        <f aca="false">IF($A18="","",SUMPRODUCT((MOVIMIENTOS!$B$5:$B$400="SALDO INICIAL")*(MOVIMIENTOS!$C$5:$C$400="M")*(MOVIMIENTOS!$D$5:$D$400="jabas")*(MOVIMIENTOS!$A$5:$A$400&lt;&gt;"")*(MOVIMIENTOS!$A$5:$A$400&lt;=$A18)*MOVIMIENTOS!$E$5:$E$400)+SUMPRODUCT((MOVIMIENTOS!$B$5:$B$400="PROCESO")*(MOVIMIENTOS!$C$5:$C$400="M")*(MOVIMIENTOS!$D$5:$D$400="jabas")*(MOVIMIENTOS!$A$5:$A$400&lt;&gt;"")*(MOVIMIENTOS!$A$5:$A$400&lt;=$A18)*MOVIMIENTOS!$E$5:$E$400)-SUMPRODUCT((MOVIMIENTOS!$B$5:$B$400="ENVÍO A SUPESA")*(MOVIMIENTOS!$C$5:$C$400="M")*(MOVIMIENTOS!$D$5:$D$400="jabas")*(MOVIMIENTOS!$A$5:$A$400&lt;&gt;"")*(MOVIMIENTOS!$A$5:$A$400&lt;=$A18)*MOVIMIENTOS!$E$5:$E$400)+SUMPRODUCT((MOVIMIENTOS!$B$5:$B$400="DEVOLUCIÓN")*(MOVIMIENTOS!$C$5:$C$400="M")*(MOVIMIENTOS!$D$5:$D$400="jabas")*(MOVIMIENTOS!$A$5:$A$400&lt;&gt;"")*(MOVIMIENTOS!$A$5:$A$400&lt;=$A18)*MOVIMIENTOS!$E$5:$E$400)-SUMPRODUCT((MOVIMIENTOS!$B$5:$B$400="TRASIEGO")*(MOVIMIENTOS!$C$5:$C$400="M")*(MOVIMIENTOS!$D$5:$D$400="jabas")*(MOVIMIENTOS!$A$5:$A$400&lt;&gt;"")*(MOVIMIENTOS!$A$5:$A$400&lt;=$A18)*MOVIMIENTOS!$E$5:$E$400)-SUMPRODUCT((MOVIMIENTOS!$B$5:$B$400="REGALO")*(MOVIMIENTOS!$C$5:$C$400="M")*(MOVIMIENTOS!$D$5:$D$400="jabas")*(MOVIMIENTOS!$A$5:$A$400&lt;&gt;"")*(MOVIMIENTOS!$A$5:$A$400&lt;=$A18)*MOVIMIENTOS!$E$5:$E$400)-SUMPRODUCT((MOVIMIENTOS!$B$5:$B$400="VENTA")*(MOVIMIENTOS!$C$5:$C$400="M")*(MOVIMIENTOS!$D$5:$D$400="jabas")*(MOVIMIENTOS!$A$5:$A$400&lt;&gt;"")*(MOVIMIENTOS!$A$5:$A$400&lt;=$A18)*MOVIMIENTOS!$E$5:$E$400)+SUMPRODUCT((MOVIMIENTOS!$B$5:$B$400="AJUSTE")*(MOVIMIENTOS!$C$5:$C$400="M")*(MOVIMIENTOS!$D$5:$D$400="jabas")*(MOVIMIENTOS!$A$5:$A$400&lt;&gt;"")*(MOVIMIENTOS!$A$5:$A$400&lt;=$A18)*MOVIMIENTOS!$E$5:$E$400))</f>
        <v>73</v>
      </c>
      <c r="F18" s="46" t="n">
        <f aca="false">IF($A18="","",SUMPRODUCT((MOVIMIENTOS!$B$5:$B$400="SALDO INICIAL")*(MOVIMIENTOS!$C$5:$C$400="Chancho")*(MOVIMIENTOS!$D$5:$D$400="sacos")*(MOVIMIENTOS!$A$5:$A$400&lt;&gt;"")*(MOVIMIENTOS!$A$5:$A$400&lt;=$A18)*MOVIMIENTOS!$E$5:$E$400)+SUMPRODUCT((MOVIMIENTOS!$B$5:$B$400="PROCESO")*(MOVIMIENTOS!$C$5:$C$400="Chancho")*(MOVIMIENTOS!$D$5:$D$400="sacos")*(MOVIMIENTOS!$A$5:$A$400&lt;&gt;"")*(MOVIMIENTOS!$A$5:$A$400&lt;=$A18)*MOVIMIENTOS!$E$5:$E$400)-SUMPRODUCT((MOVIMIENTOS!$B$5:$B$400="VENTA CHANCHO")*(MOVIMIENTOS!$C$5:$C$400="Chancho")*(MOVIMIENTOS!$D$5:$D$400="sacos")*(MOVIMIENTOS!$A$5:$A$400&lt;&gt;"")*(MOVIMIENTOS!$A$5:$A$400&lt;=$A18)*MOVIMIENTOS!$E$5:$E$400)-SUMPRODUCT((MOVIMIENTOS!$B$5:$B$400="REGALO")*(MOVIMIENTOS!$C$5:$C$400="Chancho")*(MOVIMIENTOS!$D$5:$D$400="sacos")*(MOVIMIENTOS!$A$5:$A$400&lt;&gt;"")*(MOVIMIENTOS!$A$5:$A$400&lt;=$A18)*MOVIMIENTOS!$E$5:$E$400)-SUMPRODUCT((MOVIMIENTOS!$B$5:$B$400="VENTA")*(MOVIMIENTOS!$C$5:$C$400="Chancho")*(MOVIMIENTOS!$D$5:$D$400="sacos")*(MOVIMIENTOS!$A$5:$A$400&lt;&gt;"")*(MOVIMIENTOS!$A$5:$A$400&lt;=$A18)*MOVIMIENTOS!$E$5:$E$400)+SUMPRODUCT((MOVIMIENTOS!$B$5:$B$400="AJUSTE")*(MOVIMIENTOS!$C$5:$C$400="Chancho")*(MOVIMIENTOS!$D$5:$D$400="sacos")*(MOVIMIENTOS!$A$5:$A$400&lt;&gt;"")*(MOVIMIENTOS!$A$5:$A$400&lt;=$A18)*MOVIMIENTOS!$E$5:$E$400))</f>
        <v>14</v>
      </c>
      <c r="G18" s="46" t="n">
        <f aca="false">IF($A18="","",SUM(B18:E18))</f>
        <v>129</v>
      </c>
      <c r="H18" s="46" t="n">
        <f aca="false">IF($A18="","",SUMPRODUCT((((MOVIMIENTOS!$B$5:$B$400="SALDO INICIAL")*(MOVIMIENTOS!$C$5:$C$400&lt;&gt;"Chancho"))+(MOVIMIENTOS!$B$5:$B$400="COMPRA")+(MOVIMIENTOS!$B$5:$B$400="REPROCESO")+(MOVIMIENTOS!$B$5:$B$400="DEVOLUCIÓN")+((MOVIMIENTOS!$B$5:$B$400="AJUSTE")*(MOVIMIENTOS!$C$5:$C$400&lt;&gt;"Chancho")))*(MOVIMIENTOS!$A$5:$A$400&lt;&gt;"")*(MOVIMIENTOS!$A$5:$A$400&lt;=$A18)*MOVIMIENTOS!$I$5:$I$400)-SUMPRODUCT(((MOVIMIENTOS!$B$5:$B$400="ENVÍO A SUPESA")+(MOVIMIENTOS!$B$5:$B$400="ENVÍO A TOTTUS")+(MOVIMIENTOS!$B$5:$B$400="ENVIO A TOTTUS")+(MOVIMIENTOS!$B$5:$B$400="MALOGRADO")+(MOVIMIENTOS!$B$5:$B$400="OTRA SALIDA")+((MOVIMIENTOS!$B$5:$B$400="PROCESO")*(MOVIMIENTOS!$C$5:$C$400="Chancho"))+((MOVIMIENTOS!$B$5:$B$400="REGALO")*(MOVIMIENTOS!$C$5:$C$400&lt;&gt;"Chancho"))+((MOVIMIENTOS!$B$5:$B$400="VENTA")*(MOVIMIENTOS!$C$5:$C$400&lt;&gt;"Chancho")))*(MOVIMIENTOS!$A$5:$A$400&lt;&gt;"")*(MOVIMIENTOS!$A$5:$A$400&lt;=$A18)*MOVIMIENTOS!$I$5:$I$400))</f>
        <v>7152</v>
      </c>
      <c r="I18" s="44"/>
      <c r="J18" s="44" t="str">
        <f aca="false">IF(AND(MOVIMIENTOS!$A18&lt;&gt;"",COUNTIF(MOVIMIENTOS!$A$5:$A17,MOVIMIENTOS!$A18)=0),COUNT(J$4:J17)+1,"")</f>
        <v/>
      </c>
      <c r="K18" s="47" t="n">
        <f aca="false">MOVIMIENTOS!$A18</f>
        <v>46215</v>
      </c>
      <c r="L18" s="44"/>
      <c r="M18" s="44"/>
      <c r="N18" s="44"/>
    </row>
    <row r="19" customFormat="false" ht="15" hidden="false" customHeight="true" outlineLevel="0" collapsed="false">
      <c r="A19" s="45" t="n">
        <f aca="false">IFERROR(INDEX(K$5:K$400,MATCH(ROW()-4,J$5:J$400,0)),"")</f>
        <v>46228</v>
      </c>
      <c r="B19" s="46" t="n">
        <f aca="false">IF($A19="","",SUMPRODUCT((MOVIMIENTOS!$B$5:$B$400="SALDO INICIAL")*(MOVIMIENTOS!$C$5:$C$400="A")*(MOVIMIENTOS!$D$5:$D$400="jabas")*(MOVIMIENTOS!$A$5:$A$400&lt;&gt;"")*(MOVIMIENTOS!$A$5:$A$400&lt;=$A19)*MOVIMIENTOS!$E$5:$E$400)+SUMPRODUCT((MOVIMIENTOS!$B$5:$B$400="PROCESO")*(MOVIMIENTOS!$C$5:$C$400="A")*(MOVIMIENTOS!$D$5:$D$400="jabas")*(MOVIMIENTOS!$A$5:$A$400&lt;&gt;"")*(MOVIMIENTOS!$A$5:$A$400&lt;=$A19)*MOVIMIENTOS!$E$5:$E$400)-SUMPRODUCT((MOVIMIENTOS!$B$5:$B$400="ENVÍO A SUPESA")*(MOVIMIENTOS!$C$5:$C$400="A")*(MOVIMIENTOS!$D$5:$D$400="jabas")*(MOVIMIENTOS!$A$5:$A$400&lt;&gt;"")*(MOVIMIENTOS!$A$5:$A$400&lt;=$A19)*MOVIMIENTOS!$E$5:$E$400)+SUMPRODUCT((MOVIMIENTOS!$B$5:$B$400="DEVOLUCIÓN")*(MOVIMIENTOS!$C$5:$C$400="A")*(MOVIMIENTOS!$D$5:$D$400="jabas")*(MOVIMIENTOS!$A$5:$A$400&lt;&gt;"")*(MOVIMIENTOS!$A$5:$A$400&lt;=$A19)*MOVIMIENTOS!$E$5:$E$400)-SUMPRODUCT((MOVIMIENTOS!$B$5:$B$400="TRASIEGO")*(MOVIMIENTOS!$C$5:$C$400="A")*(MOVIMIENTOS!$D$5:$D$400="jabas")*(MOVIMIENTOS!$A$5:$A$400&lt;&gt;"")*(MOVIMIENTOS!$A$5:$A$400&lt;=$A19)*MOVIMIENTOS!$E$5:$E$400)-SUMPRODUCT((MOVIMIENTOS!$B$5:$B$400="REGALO")*(MOVIMIENTOS!$C$5:$C$400="A")*(MOVIMIENTOS!$D$5:$D$400="jabas")*(MOVIMIENTOS!$A$5:$A$400&lt;&gt;"")*(MOVIMIENTOS!$A$5:$A$400&lt;=$A19)*MOVIMIENTOS!$E$5:$E$400)-SUMPRODUCT((MOVIMIENTOS!$B$5:$B$400="VENTA")*(MOVIMIENTOS!$C$5:$C$400="A")*(MOVIMIENTOS!$D$5:$D$400="jabas")*(MOVIMIENTOS!$A$5:$A$400&lt;&gt;"")*(MOVIMIENTOS!$A$5:$A$400&lt;=$A19)*MOVIMIENTOS!$E$5:$E$400)+SUMPRODUCT((MOVIMIENTOS!$B$5:$B$400="AJUSTE")*(MOVIMIENTOS!$C$5:$C$400="A")*(MOVIMIENTOS!$D$5:$D$400="jabas")*(MOVIMIENTOS!$A$5:$A$400&lt;&gt;"")*(MOVIMIENTOS!$A$5:$A$400&lt;=$A19)*MOVIMIENTOS!$E$5:$E$400))</f>
        <v>77</v>
      </c>
      <c r="C19" s="46" t="n">
        <f aca="false">IF($A19="","",SUMPRODUCT((MOVIMIENTOS!$B$5:$B$400="SALDO INICIAL")*(MOVIMIENTOS!$C$5:$C$400="P")*(MOVIMIENTOS!$D$5:$D$400="jabas")*(MOVIMIENTOS!$A$5:$A$400&lt;&gt;"")*(MOVIMIENTOS!$A$5:$A$400&lt;=$A19)*MOVIMIENTOS!$E$5:$E$400)+SUMPRODUCT((MOVIMIENTOS!$B$5:$B$400="PROCESO")*(MOVIMIENTOS!$C$5:$C$400="P")*(MOVIMIENTOS!$D$5:$D$400="jabas")*(MOVIMIENTOS!$A$5:$A$400&lt;&gt;"")*(MOVIMIENTOS!$A$5:$A$400&lt;=$A19)*MOVIMIENTOS!$E$5:$E$400)-SUMPRODUCT((MOVIMIENTOS!$B$5:$B$400="ENVÍO A SUPESA")*(MOVIMIENTOS!$C$5:$C$400="P")*(MOVIMIENTOS!$D$5:$D$400="jabas")*(MOVIMIENTOS!$A$5:$A$400&lt;&gt;"")*(MOVIMIENTOS!$A$5:$A$400&lt;=$A19)*MOVIMIENTOS!$E$5:$E$400)+SUMPRODUCT((MOVIMIENTOS!$B$5:$B$400="DEVOLUCIÓN")*(MOVIMIENTOS!$C$5:$C$400="P")*(MOVIMIENTOS!$D$5:$D$400="jabas")*(MOVIMIENTOS!$A$5:$A$400&lt;&gt;"")*(MOVIMIENTOS!$A$5:$A$400&lt;=$A19)*MOVIMIENTOS!$E$5:$E$400)-SUMPRODUCT((MOVIMIENTOS!$B$5:$B$400="TRASIEGO")*(MOVIMIENTOS!$C$5:$C$400="P")*(MOVIMIENTOS!$D$5:$D$400="jabas")*(MOVIMIENTOS!$A$5:$A$400&lt;&gt;"")*(MOVIMIENTOS!$A$5:$A$400&lt;=$A19)*MOVIMIENTOS!$E$5:$E$400)-SUMPRODUCT((MOVIMIENTOS!$B$5:$B$400="REGALO")*(MOVIMIENTOS!$C$5:$C$400="P")*(MOVIMIENTOS!$D$5:$D$400="jabas")*(MOVIMIENTOS!$A$5:$A$400&lt;&gt;"")*(MOVIMIENTOS!$A$5:$A$400&lt;=$A19)*MOVIMIENTOS!$E$5:$E$400)-SUMPRODUCT((MOVIMIENTOS!$B$5:$B$400="VENTA")*(MOVIMIENTOS!$C$5:$C$400="P")*(MOVIMIENTOS!$D$5:$D$400="jabas")*(MOVIMIENTOS!$A$5:$A$400&lt;&gt;"")*(MOVIMIENTOS!$A$5:$A$400&lt;=$A19)*MOVIMIENTOS!$E$5:$E$400)+SUMPRODUCT((MOVIMIENTOS!$B$5:$B$400="AJUSTE")*(MOVIMIENTOS!$C$5:$C$400="P")*(MOVIMIENTOS!$D$5:$D$400="jabas")*(MOVIMIENTOS!$A$5:$A$400&lt;&gt;"")*(MOVIMIENTOS!$A$5:$A$400&lt;=$A19)*MOVIMIENTOS!$E$5:$E$400))</f>
        <v>20</v>
      </c>
      <c r="D19" s="46" t="n">
        <f aca="false">IF($A19="","",SUMPRODUCT((MOVIMIENTOS!$B$5:$B$400="SALDO INICIAL")*(MOVIMIENTOS!$C$5:$C$400="C")*(MOVIMIENTOS!$D$5:$D$400="jabas")*(MOVIMIENTOS!$A$5:$A$400&lt;&gt;"")*(MOVIMIENTOS!$A$5:$A$400&lt;=$A19)*MOVIMIENTOS!$E$5:$E$400)+SUMPRODUCT((MOVIMIENTOS!$B$5:$B$400="PROCESO")*(MOVIMIENTOS!$C$5:$C$400="C")*(MOVIMIENTOS!$D$5:$D$400="jabas")*(MOVIMIENTOS!$A$5:$A$400&lt;&gt;"")*(MOVIMIENTOS!$A$5:$A$400&lt;=$A19)*MOVIMIENTOS!$E$5:$E$400)-SUMPRODUCT((MOVIMIENTOS!$B$5:$B$400="ENVÍO A SUPESA")*(MOVIMIENTOS!$C$5:$C$400="C")*(MOVIMIENTOS!$D$5:$D$400="jabas")*(MOVIMIENTOS!$A$5:$A$400&lt;&gt;"")*(MOVIMIENTOS!$A$5:$A$400&lt;=$A19)*MOVIMIENTOS!$E$5:$E$400)+SUMPRODUCT((MOVIMIENTOS!$B$5:$B$400="DEVOLUCIÓN")*(MOVIMIENTOS!$C$5:$C$400="C")*(MOVIMIENTOS!$D$5:$D$400="jabas")*(MOVIMIENTOS!$A$5:$A$400&lt;&gt;"")*(MOVIMIENTOS!$A$5:$A$400&lt;=$A19)*MOVIMIENTOS!$E$5:$E$400)-SUMPRODUCT((MOVIMIENTOS!$B$5:$B$400="TRASIEGO")*(MOVIMIENTOS!$C$5:$C$400="C")*(MOVIMIENTOS!$D$5:$D$400="jabas")*(MOVIMIENTOS!$A$5:$A$400&lt;&gt;"")*(MOVIMIENTOS!$A$5:$A$400&lt;=$A19)*MOVIMIENTOS!$E$5:$E$400)-SUMPRODUCT((MOVIMIENTOS!$B$5:$B$400="REGALO")*(MOVIMIENTOS!$C$5:$C$400="C")*(MOVIMIENTOS!$D$5:$D$400="jabas")*(MOVIMIENTOS!$A$5:$A$400&lt;&gt;"")*(MOVIMIENTOS!$A$5:$A$400&lt;=$A19)*MOVIMIENTOS!$E$5:$E$400)-SUMPRODUCT((MOVIMIENTOS!$B$5:$B$400="VENTA")*(MOVIMIENTOS!$C$5:$C$400="C")*(MOVIMIENTOS!$D$5:$D$400="jabas")*(MOVIMIENTOS!$A$5:$A$400&lt;&gt;"")*(MOVIMIENTOS!$A$5:$A$400&lt;=$A19)*MOVIMIENTOS!$E$5:$E$400)+SUMPRODUCT((MOVIMIENTOS!$B$5:$B$400="AJUSTE")*(MOVIMIENTOS!$C$5:$C$400="C")*(MOVIMIENTOS!$D$5:$D$400="jabas")*(MOVIMIENTOS!$A$5:$A$400&lt;&gt;"")*(MOVIMIENTOS!$A$5:$A$400&lt;=$A19)*MOVIMIENTOS!$E$5:$E$400))</f>
        <v>12</v>
      </c>
      <c r="E19" s="46" t="n">
        <f aca="false">IF($A19="","",SUMPRODUCT((MOVIMIENTOS!$B$5:$B$400="SALDO INICIAL")*(MOVIMIENTOS!$C$5:$C$400="M")*(MOVIMIENTOS!$D$5:$D$400="jabas")*(MOVIMIENTOS!$A$5:$A$400&lt;&gt;"")*(MOVIMIENTOS!$A$5:$A$400&lt;=$A19)*MOVIMIENTOS!$E$5:$E$400)+SUMPRODUCT((MOVIMIENTOS!$B$5:$B$400="PROCESO")*(MOVIMIENTOS!$C$5:$C$400="M")*(MOVIMIENTOS!$D$5:$D$400="jabas")*(MOVIMIENTOS!$A$5:$A$400&lt;&gt;"")*(MOVIMIENTOS!$A$5:$A$400&lt;=$A19)*MOVIMIENTOS!$E$5:$E$400)-SUMPRODUCT((MOVIMIENTOS!$B$5:$B$400="ENVÍO A SUPESA")*(MOVIMIENTOS!$C$5:$C$400="M")*(MOVIMIENTOS!$D$5:$D$400="jabas")*(MOVIMIENTOS!$A$5:$A$400&lt;&gt;"")*(MOVIMIENTOS!$A$5:$A$400&lt;=$A19)*MOVIMIENTOS!$E$5:$E$400)+SUMPRODUCT((MOVIMIENTOS!$B$5:$B$400="DEVOLUCIÓN")*(MOVIMIENTOS!$C$5:$C$400="M")*(MOVIMIENTOS!$D$5:$D$400="jabas")*(MOVIMIENTOS!$A$5:$A$400&lt;&gt;"")*(MOVIMIENTOS!$A$5:$A$400&lt;=$A19)*MOVIMIENTOS!$E$5:$E$400)-SUMPRODUCT((MOVIMIENTOS!$B$5:$B$400="TRASIEGO")*(MOVIMIENTOS!$C$5:$C$400="M")*(MOVIMIENTOS!$D$5:$D$400="jabas")*(MOVIMIENTOS!$A$5:$A$400&lt;&gt;"")*(MOVIMIENTOS!$A$5:$A$400&lt;=$A19)*MOVIMIENTOS!$E$5:$E$400)-SUMPRODUCT((MOVIMIENTOS!$B$5:$B$400="REGALO")*(MOVIMIENTOS!$C$5:$C$400="M")*(MOVIMIENTOS!$D$5:$D$400="jabas")*(MOVIMIENTOS!$A$5:$A$400&lt;&gt;"")*(MOVIMIENTOS!$A$5:$A$400&lt;=$A19)*MOVIMIENTOS!$E$5:$E$400)-SUMPRODUCT((MOVIMIENTOS!$B$5:$B$400="VENTA")*(MOVIMIENTOS!$C$5:$C$400="M")*(MOVIMIENTOS!$D$5:$D$400="jabas")*(MOVIMIENTOS!$A$5:$A$400&lt;&gt;"")*(MOVIMIENTOS!$A$5:$A$400&lt;=$A19)*MOVIMIENTOS!$E$5:$E$400)+SUMPRODUCT((MOVIMIENTOS!$B$5:$B$400="AJUSTE")*(MOVIMIENTOS!$C$5:$C$400="M")*(MOVIMIENTOS!$D$5:$D$400="jabas")*(MOVIMIENTOS!$A$5:$A$400&lt;&gt;"")*(MOVIMIENTOS!$A$5:$A$400&lt;=$A19)*MOVIMIENTOS!$E$5:$E$400))</f>
        <v>65</v>
      </c>
      <c r="F19" s="46" t="n">
        <f aca="false">IF($A19="","",SUMPRODUCT((MOVIMIENTOS!$B$5:$B$400="SALDO INICIAL")*(MOVIMIENTOS!$C$5:$C$400="Chancho")*(MOVIMIENTOS!$D$5:$D$400="sacos")*(MOVIMIENTOS!$A$5:$A$400&lt;&gt;"")*(MOVIMIENTOS!$A$5:$A$400&lt;=$A19)*MOVIMIENTOS!$E$5:$E$400)+SUMPRODUCT((MOVIMIENTOS!$B$5:$B$400="PROCESO")*(MOVIMIENTOS!$C$5:$C$400="Chancho")*(MOVIMIENTOS!$D$5:$D$400="sacos")*(MOVIMIENTOS!$A$5:$A$400&lt;&gt;"")*(MOVIMIENTOS!$A$5:$A$400&lt;=$A19)*MOVIMIENTOS!$E$5:$E$400)-SUMPRODUCT((MOVIMIENTOS!$B$5:$B$400="VENTA CHANCHO")*(MOVIMIENTOS!$C$5:$C$400="Chancho")*(MOVIMIENTOS!$D$5:$D$400="sacos")*(MOVIMIENTOS!$A$5:$A$400&lt;&gt;"")*(MOVIMIENTOS!$A$5:$A$400&lt;=$A19)*MOVIMIENTOS!$E$5:$E$400)-SUMPRODUCT((MOVIMIENTOS!$B$5:$B$400="REGALO")*(MOVIMIENTOS!$C$5:$C$400="Chancho")*(MOVIMIENTOS!$D$5:$D$400="sacos")*(MOVIMIENTOS!$A$5:$A$400&lt;&gt;"")*(MOVIMIENTOS!$A$5:$A$400&lt;=$A19)*MOVIMIENTOS!$E$5:$E$400)-SUMPRODUCT((MOVIMIENTOS!$B$5:$B$400="VENTA")*(MOVIMIENTOS!$C$5:$C$400="Chancho")*(MOVIMIENTOS!$D$5:$D$400="sacos")*(MOVIMIENTOS!$A$5:$A$400&lt;&gt;"")*(MOVIMIENTOS!$A$5:$A$400&lt;=$A19)*MOVIMIENTOS!$E$5:$E$400)+SUMPRODUCT((MOVIMIENTOS!$B$5:$B$400="AJUSTE")*(MOVIMIENTOS!$C$5:$C$400="Chancho")*(MOVIMIENTOS!$D$5:$D$400="sacos")*(MOVIMIENTOS!$A$5:$A$400&lt;&gt;"")*(MOVIMIENTOS!$A$5:$A$400&lt;=$A19)*MOVIMIENTOS!$E$5:$E$400))</f>
        <v>23.5</v>
      </c>
      <c r="G19" s="46" t="n">
        <f aca="false">IF($A19="","",SUM(B19:E19))</f>
        <v>174</v>
      </c>
      <c r="H19" s="46" t="n">
        <f aca="false">IF($A19="","",SUMPRODUCT((((MOVIMIENTOS!$B$5:$B$400="SALDO INICIAL")*(MOVIMIENTOS!$C$5:$C$400&lt;&gt;"Chancho"))+(MOVIMIENTOS!$B$5:$B$400="COMPRA")+(MOVIMIENTOS!$B$5:$B$400="REPROCESO")+(MOVIMIENTOS!$B$5:$B$400="DEVOLUCIÓN")+((MOVIMIENTOS!$B$5:$B$400="AJUSTE")*(MOVIMIENTOS!$C$5:$C$400&lt;&gt;"Chancho")))*(MOVIMIENTOS!$A$5:$A$400&lt;&gt;"")*(MOVIMIENTOS!$A$5:$A$400&lt;=$A19)*MOVIMIENTOS!$I$5:$I$400)-SUMPRODUCT(((MOVIMIENTOS!$B$5:$B$400="ENVÍO A SUPESA")+(MOVIMIENTOS!$B$5:$B$400="ENVÍO A TOTTUS")+(MOVIMIENTOS!$B$5:$B$400="ENVIO A TOTTUS")+(MOVIMIENTOS!$B$5:$B$400="MALOGRADO")+(MOVIMIENTOS!$B$5:$B$400="OTRA SALIDA")+((MOVIMIENTOS!$B$5:$B$400="PROCESO")*(MOVIMIENTOS!$C$5:$C$400="Chancho"))+((MOVIMIENTOS!$B$5:$B$400="REGALO")*(MOVIMIENTOS!$C$5:$C$400&lt;&gt;"Chancho"))+((MOVIMIENTOS!$B$5:$B$400="VENTA")*(MOVIMIENTOS!$C$5:$C$400&lt;&gt;"Chancho")))*(MOVIMIENTOS!$A$5:$A$400&lt;&gt;"")*(MOVIMIENTOS!$A$5:$A$400&lt;=$A19)*MOVIMIENTOS!$I$5:$I$400))</f>
        <v>3062.5</v>
      </c>
      <c r="I19" s="44"/>
      <c r="J19" s="44" t="n">
        <f aca="false">IF(AND(MOVIMIENTOS!$A19&lt;&gt;"",COUNTIF(MOVIMIENTOS!$A$5:$A18,MOVIMIENTOS!$A19)=0),COUNT(J$4:J18)+1,"")</f>
        <v>3</v>
      </c>
      <c r="K19" s="47" t="n">
        <f aca="false">MOVIMIENTOS!$A19</f>
        <v>46216</v>
      </c>
      <c r="L19" s="44"/>
      <c r="M19" s="44"/>
      <c r="N19" s="44"/>
    </row>
    <row r="20" customFormat="false" ht="15" hidden="false" customHeight="true" outlineLevel="0" collapsed="false">
      <c r="A20" s="45" t="n">
        <f aca="false">IFERROR(INDEX(K$5:K$400,MATCH(ROW()-4,J$5:J$400,0)),"")</f>
        <v>46229</v>
      </c>
      <c r="B20" s="46" t="n">
        <f aca="false">IF($A20="","",SUMPRODUCT((MOVIMIENTOS!$B$5:$B$400="SALDO INICIAL")*(MOVIMIENTOS!$C$5:$C$400="A")*(MOVIMIENTOS!$D$5:$D$400="jabas")*(MOVIMIENTOS!$A$5:$A$400&lt;&gt;"")*(MOVIMIENTOS!$A$5:$A$400&lt;=$A20)*MOVIMIENTOS!$E$5:$E$400)+SUMPRODUCT((MOVIMIENTOS!$B$5:$B$400="PROCESO")*(MOVIMIENTOS!$C$5:$C$400="A")*(MOVIMIENTOS!$D$5:$D$400="jabas")*(MOVIMIENTOS!$A$5:$A$400&lt;&gt;"")*(MOVIMIENTOS!$A$5:$A$400&lt;=$A20)*MOVIMIENTOS!$E$5:$E$400)-SUMPRODUCT((MOVIMIENTOS!$B$5:$B$400="ENVÍO A SUPESA")*(MOVIMIENTOS!$C$5:$C$400="A")*(MOVIMIENTOS!$D$5:$D$400="jabas")*(MOVIMIENTOS!$A$5:$A$400&lt;&gt;"")*(MOVIMIENTOS!$A$5:$A$400&lt;=$A20)*MOVIMIENTOS!$E$5:$E$400)+SUMPRODUCT((MOVIMIENTOS!$B$5:$B$400="DEVOLUCIÓN")*(MOVIMIENTOS!$C$5:$C$400="A")*(MOVIMIENTOS!$D$5:$D$400="jabas")*(MOVIMIENTOS!$A$5:$A$400&lt;&gt;"")*(MOVIMIENTOS!$A$5:$A$400&lt;=$A20)*MOVIMIENTOS!$E$5:$E$400)-SUMPRODUCT((MOVIMIENTOS!$B$5:$B$400="TRASIEGO")*(MOVIMIENTOS!$C$5:$C$400="A")*(MOVIMIENTOS!$D$5:$D$400="jabas")*(MOVIMIENTOS!$A$5:$A$400&lt;&gt;"")*(MOVIMIENTOS!$A$5:$A$400&lt;=$A20)*MOVIMIENTOS!$E$5:$E$400)-SUMPRODUCT((MOVIMIENTOS!$B$5:$B$400="REGALO")*(MOVIMIENTOS!$C$5:$C$400="A")*(MOVIMIENTOS!$D$5:$D$400="jabas")*(MOVIMIENTOS!$A$5:$A$400&lt;&gt;"")*(MOVIMIENTOS!$A$5:$A$400&lt;=$A20)*MOVIMIENTOS!$E$5:$E$400)-SUMPRODUCT((MOVIMIENTOS!$B$5:$B$400="VENTA")*(MOVIMIENTOS!$C$5:$C$400="A")*(MOVIMIENTOS!$D$5:$D$400="jabas")*(MOVIMIENTOS!$A$5:$A$400&lt;&gt;"")*(MOVIMIENTOS!$A$5:$A$400&lt;=$A20)*MOVIMIENTOS!$E$5:$E$400)+SUMPRODUCT((MOVIMIENTOS!$B$5:$B$400="AJUSTE")*(MOVIMIENTOS!$C$5:$C$400="A")*(MOVIMIENTOS!$D$5:$D$400="jabas")*(MOVIMIENTOS!$A$5:$A$400&lt;&gt;"")*(MOVIMIENTOS!$A$5:$A$400&lt;=$A20)*MOVIMIENTOS!$E$5:$E$400))</f>
        <v>10</v>
      </c>
      <c r="C20" s="46" t="n">
        <f aca="false">IF($A20="","",SUMPRODUCT((MOVIMIENTOS!$B$5:$B$400="SALDO INICIAL")*(MOVIMIENTOS!$C$5:$C$400="P")*(MOVIMIENTOS!$D$5:$D$400="jabas")*(MOVIMIENTOS!$A$5:$A$400&lt;&gt;"")*(MOVIMIENTOS!$A$5:$A$400&lt;=$A20)*MOVIMIENTOS!$E$5:$E$400)+SUMPRODUCT((MOVIMIENTOS!$B$5:$B$400="PROCESO")*(MOVIMIENTOS!$C$5:$C$400="P")*(MOVIMIENTOS!$D$5:$D$400="jabas")*(MOVIMIENTOS!$A$5:$A$400&lt;&gt;"")*(MOVIMIENTOS!$A$5:$A$400&lt;=$A20)*MOVIMIENTOS!$E$5:$E$400)-SUMPRODUCT((MOVIMIENTOS!$B$5:$B$400="ENVÍO A SUPESA")*(MOVIMIENTOS!$C$5:$C$400="P")*(MOVIMIENTOS!$D$5:$D$400="jabas")*(MOVIMIENTOS!$A$5:$A$400&lt;&gt;"")*(MOVIMIENTOS!$A$5:$A$400&lt;=$A20)*MOVIMIENTOS!$E$5:$E$400)+SUMPRODUCT((MOVIMIENTOS!$B$5:$B$400="DEVOLUCIÓN")*(MOVIMIENTOS!$C$5:$C$400="P")*(MOVIMIENTOS!$D$5:$D$400="jabas")*(MOVIMIENTOS!$A$5:$A$400&lt;&gt;"")*(MOVIMIENTOS!$A$5:$A$400&lt;=$A20)*MOVIMIENTOS!$E$5:$E$400)-SUMPRODUCT((MOVIMIENTOS!$B$5:$B$400="TRASIEGO")*(MOVIMIENTOS!$C$5:$C$400="P")*(MOVIMIENTOS!$D$5:$D$400="jabas")*(MOVIMIENTOS!$A$5:$A$400&lt;&gt;"")*(MOVIMIENTOS!$A$5:$A$400&lt;=$A20)*MOVIMIENTOS!$E$5:$E$400)-SUMPRODUCT((MOVIMIENTOS!$B$5:$B$400="REGALO")*(MOVIMIENTOS!$C$5:$C$400="P")*(MOVIMIENTOS!$D$5:$D$400="jabas")*(MOVIMIENTOS!$A$5:$A$400&lt;&gt;"")*(MOVIMIENTOS!$A$5:$A$400&lt;=$A20)*MOVIMIENTOS!$E$5:$E$400)-SUMPRODUCT((MOVIMIENTOS!$B$5:$B$400="VENTA")*(MOVIMIENTOS!$C$5:$C$400="P")*(MOVIMIENTOS!$D$5:$D$400="jabas")*(MOVIMIENTOS!$A$5:$A$400&lt;&gt;"")*(MOVIMIENTOS!$A$5:$A$400&lt;=$A20)*MOVIMIENTOS!$E$5:$E$400)+SUMPRODUCT((MOVIMIENTOS!$B$5:$B$400="AJUSTE")*(MOVIMIENTOS!$C$5:$C$400="P")*(MOVIMIENTOS!$D$5:$D$400="jabas")*(MOVIMIENTOS!$A$5:$A$400&lt;&gt;"")*(MOVIMIENTOS!$A$5:$A$400&lt;=$A20)*MOVIMIENTOS!$E$5:$E$400))</f>
        <v>9</v>
      </c>
      <c r="D20" s="46" t="n">
        <f aca="false">IF($A20="","",SUMPRODUCT((MOVIMIENTOS!$B$5:$B$400="SALDO INICIAL")*(MOVIMIENTOS!$C$5:$C$400="C")*(MOVIMIENTOS!$D$5:$D$400="jabas")*(MOVIMIENTOS!$A$5:$A$400&lt;&gt;"")*(MOVIMIENTOS!$A$5:$A$400&lt;=$A20)*MOVIMIENTOS!$E$5:$E$400)+SUMPRODUCT((MOVIMIENTOS!$B$5:$B$400="PROCESO")*(MOVIMIENTOS!$C$5:$C$400="C")*(MOVIMIENTOS!$D$5:$D$400="jabas")*(MOVIMIENTOS!$A$5:$A$400&lt;&gt;"")*(MOVIMIENTOS!$A$5:$A$400&lt;=$A20)*MOVIMIENTOS!$E$5:$E$400)-SUMPRODUCT((MOVIMIENTOS!$B$5:$B$400="ENVÍO A SUPESA")*(MOVIMIENTOS!$C$5:$C$400="C")*(MOVIMIENTOS!$D$5:$D$400="jabas")*(MOVIMIENTOS!$A$5:$A$400&lt;&gt;"")*(MOVIMIENTOS!$A$5:$A$400&lt;=$A20)*MOVIMIENTOS!$E$5:$E$400)+SUMPRODUCT((MOVIMIENTOS!$B$5:$B$400="DEVOLUCIÓN")*(MOVIMIENTOS!$C$5:$C$400="C")*(MOVIMIENTOS!$D$5:$D$400="jabas")*(MOVIMIENTOS!$A$5:$A$400&lt;&gt;"")*(MOVIMIENTOS!$A$5:$A$400&lt;=$A20)*MOVIMIENTOS!$E$5:$E$400)-SUMPRODUCT((MOVIMIENTOS!$B$5:$B$400="TRASIEGO")*(MOVIMIENTOS!$C$5:$C$400="C")*(MOVIMIENTOS!$D$5:$D$400="jabas")*(MOVIMIENTOS!$A$5:$A$400&lt;&gt;"")*(MOVIMIENTOS!$A$5:$A$400&lt;=$A20)*MOVIMIENTOS!$E$5:$E$400)-SUMPRODUCT((MOVIMIENTOS!$B$5:$B$400="REGALO")*(MOVIMIENTOS!$C$5:$C$400="C")*(MOVIMIENTOS!$D$5:$D$400="jabas")*(MOVIMIENTOS!$A$5:$A$400&lt;&gt;"")*(MOVIMIENTOS!$A$5:$A$400&lt;=$A20)*MOVIMIENTOS!$E$5:$E$400)-SUMPRODUCT((MOVIMIENTOS!$B$5:$B$400="VENTA")*(MOVIMIENTOS!$C$5:$C$400="C")*(MOVIMIENTOS!$D$5:$D$400="jabas")*(MOVIMIENTOS!$A$5:$A$400&lt;&gt;"")*(MOVIMIENTOS!$A$5:$A$400&lt;=$A20)*MOVIMIENTOS!$E$5:$E$400)+SUMPRODUCT((MOVIMIENTOS!$B$5:$B$400="AJUSTE")*(MOVIMIENTOS!$C$5:$C$400="C")*(MOVIMIENTOS!$D$5:$D$400="jabas")*(MOVIMIENTOS!$A$5:$A$400&lt;&gt;"")*(MOVIMIENTOS!$A$5:$A$400&lt;=$A20)*MOVIMIENTOS!$E$5:$E$400))</f>
        <v>0</v>
      </c>
      <c r="E20" s="46" t="n">
        <f aca="false">IF($A20="","",SUMPRODUCT((MOVIMIENTOS!$B$5:$B$400="SALDO INICIAL")*(MOVIMIENTOS!$C$5:$C$400="M")*(MOVIMIENTOS!$D$5:$D$400="jabas")*(MOVIMIENTOS!$A$5:$A$400&lt;&gt;"")*(MOVIMIENTOS!$A$5:$A$400&lt;=$A20)*MOVIMIENTOS!$E$5:$E$400)+SUMPRODUCT((MOVIMIENTOS!$B$5:$B$400="PROCESO")*(MOVIMIENTOS!$C$5:$C$400="M")*(MOVIMIENTOS!$D$5:$D$400="jabas")*(MOVIMIENTOS!$A$5:$A$400&lt;&gt;"")*(MOVIMIENTOS!$A$5:$A$400&lt;=$A20)*MOVIMIENTOS!$E$5:$E$400)-SUMPRODUCT((MOVIMIENTOS!$B$5:$B$400="ENVÍO A SUPESA")*(MOVIMIENTOS!$C$5:$C$400="M")*(MOVIMIENTOS!$D$5:$D$400="jabas")*(MOVIMIENTOS!$A$5:$A$400&lt;&gt;"")*(MOVIMIENTOS!$A$5:$A$400&lt;=$A20)*MOVIMIENTOS!$E$5:$E$400)+SUMPRODUCT((MOVIMIENTOS!$B$5:$B$400="DEVOLUCIÓN")*(MOVIMIENTOS!$C$5:$C$400="M")*(MOVIMIENTOS!$D$5:$D$400="jabas")*(MOVIMIENTOS!$A$5:$A$400&lt;&gt;"")*(MOVIMIENTOS!$A$5:$A$400&lt;=$A20)*MOVIMIENTOS!$E$5:$E$400)-SUMPRODUCT((MOVIMIENTOS!$B$5:$B$400="TRASIEGO")*(MOVIMIENTOS!$C$5:$C$400="M")*(MOVIMIENTOS!$D$5:$D$400="jabas")*(MOVIMIENTOS!$A$5:$A$400&lt;&gt;"")*(MOVIMIENTOS!$A$5:$A$400&lt;=$A20)*MOVIMIENTOS!$E$5:$E$400)-SUMPRODUCT((MOVIMIENTOS!$B$5:$B$400="REGALO")*(MOVIMIENTOS!$C$5:$C$400="M")*(MOVIMIENTOS!$D$5:$D$400="jabas")*(MOVIMIENTOS!$A$5:$A$400&lt;&gt;"")*(MOVIMIENTOS!$A$5:$A$400&lt;=$A20)*MOVIMIENTOS!$E$5:$E$400)-SUMPRODUCT((MOVIMIENTOS!$B$5:$B$400="VENTA")*(MOVIMIENTOS!$C$5:$C$400="M")*(MOVIMIENTOS!$D$5:$D$400="jabas")*(MOVIMIENTOS!$A$5:$A$400&lt;&gt;"")*(MOVIMIENTOS!$A$5:$A$400&lt;=$A20)*MOVIMIENTOS!$E$5:$E$400)+SUMPRODUCT((MOVIMIENTOS!$B$5:$B$400="AJUSTE")*(MOVIMIENTOS!$C$5:$C$400="M")*(MOVIMIENTOS!$D$5:$D$400="jabas")*(MOVIMIENTOS!$A$5:$A$400&lt;&gt;"")*(MOVIMIENTOS!$A$5:$A$400&lt;=$A20)*MOVIMIENTOS!$E$5:$E$400))</f>
        <v>65</v>
      </c>
      <c r="F20" s="46" t="n">
        <f aca="false">IF($A20="","",SUMPRODUCT((MOVIMIENTOS!$B$5:$B$400="SALDO INICIAL")*(MOVIMIENTOS!$C$5:$C$400="Chancho")*(MOVIMIENTOS!$D$5:$D$400="sacos")*(MOVIMIENTOS!$A$5:$A$400&lt;&gt;"")*(MOVIMIENTOS!$A$5:$A$400&lt;=$A20)*MOVIMIENTOS!$E$5:$E$400)+SUMPRODUCT((MOVIMIENTOS!$B$5:$B$400="PROCESO")*(MOVIMIENTOS!$C$5:$C$400="Chancho")*(MOVIMIENTOS!$D$5:$D$400="sacos")*(MOVIMIENTOS!$A$5:$A$400&lt;&gt;"")*(MOVIMIENTOS!$A$5:$A$400&lt;=$A20)*MOVIMIENTOS!$E$5:$E$400)-SUMPRODUCT((MOVIMIENTOS!$B$5:$B$400="VENTA CHANCHO")*(MOVIMIENTOS!$C$5:$C$400="Chancho")*(MOVIMIENTOS!$D$5:$D$400="sacos")*(MOVIMIENTOS!$A$5:$A$400&lt;&gt;"")*(MOVIMIENTOS!$A$5:$A$400&lt;=$A20)*MOVIMIENTOS!$E$5:$E$400)-SUMPRODUCT((MOVIMIENTOS!$B$5:$B$400="REGALO")*(MOVIMIENTOS!$C$5:$C$400="Chancho")*(MOVIMIENTOS!$D$5:$D$400="sacos")*(MOVIMIENTOS!$A$5:$A$400&lt;&gt;"")*(MOVIMIENTOS!$A$5:$A$400&lt;=$A20)*MOVIMIENTOS!$E$5:$E$400)-SUMPRODUCT((MOVIMIENTOS!$B$5:$B$400="VENTA")*(MOVIMIENTOS!$C$5:$C$400="Chancho")*(MOVIMIENTOS!$D$5:$D$400="sacos")*(MOVIMIENTOS!$A$5:$A$400&lt;&gt;"")*(MOVIMIENTOS!$A$5:$A$400&lt;=$A20)*MOVIMIENTOS!$E$5:$E$400)+SUMPRODUCT((MOVIMIENTOS!$B$5:$B$400="AJUSTE")*(MOVIMIENTOS!$C$5:$C$400="Chancho")*(MOVIMIENTOS!$D$5:$D$400="sacos")*(MOVIMIENTOS!$A$5:$A$400&lt;&gt;"")*(MOVIMIENTOS!$A$5:$A$400&lt;=$A20)*MOVIMIENTOS!$E$5:$E$400))</f>
        <v>23.5</v>
      </c>
      <c r="G20" s="46" t="n">
        <f aca="false">IF($A20="","",SUM(B20:E20))</f>
        <v>84</v>
      </c>
      <c r="H20" s="46" t="n">
        <f aca="false">IF($A20="","",SUMPRODUCT((((MOVIMIENTOS!$B$5:$B$400="SALDO INICIAL")*(MOVIMIENTOS!$C$5:$C$400&lt;&gt;"Chancho"))+(MOVIMIENTOS!$B$5:$B$400="COMPRA")+(MOVIMIENTOS!$B$5:$B$400="REPROCESO")+(MOVIMIENTOS!$B$5:$B$400="DEVOLUCIÓN")+((MOVIMIENTOS!$B$5:$B$400="AJUSTE")*(MOVIMIENTOS!$C$5:$C$400&lt;&gt;"Chancho")))*(MOVIMIENTOS!$A$5:$A$400&lt;&gt;"")*(MOVIMIENTOS!$A$5:$A$400&lt;=$A20)*MOVIMIENTOS!$I$5:$I$400)-SUMPRODUCT(((MOVIMIENTOS!$B$5:$B$400="ENVÍO A SUPESA")+(MOVIMIENTOS!$B$5:$B$400="ENVÍO A TOTTUS")+(MOVIMIENTOS!$B$5:$B$400="ENVIO A TOTTUS")+(MOVIMIENTOS!$B$5:$B$400="MALOGRADO")+(MOVIMIENTOS!$B$5:$B$400="OTRA SALIDA")+((MOVIMIENTOS!$B$5:$B$400="PROCESO")*(MOVIMIENTOS!$C$5:$C$400="Chancho"))+((MOVIMIENTOS!$B$5:$B$400="REGALO")*(MOVIMIENTOS!$C$5:$C$400&lt;&gt;"Chancho"))+((MOVIMIENTOS!$B$5:$B$400="VENTA")*(MOVIMIENTOS!$C$5:$C$400&lt;&gt;"Chancho")))*(MOVIMIENTOS!$A$5:$A$400&lt;&gt;"")*(MOVIMIENTOS!$A$5:$A$400&lt;=$A20)*MOVIMIENTOS!$I$5:$I$400))</f>
        <v>1655.5</v>
      </c>
      <c r="I20" s="44"/>
      <c r="J20" s="44" t="str">
        <f aca="false">IF(AND(MOVIMIENTOS!$A20&lt;&gt;"",COUNTIF(MOVIMIENTOS!$A$5:$A19,MOVIMIENTOS!$A20)=0),COUNT(J$4:J19)+1,"")</f>
        <v/>
      </c>
      <c r="K20" s="47" t="n">
        <f aca="false">MOVIMIENTOS!$A20</f>
        <v>46216</v>
      </c>
      <c r="L20" s="44"/>
      <c r="M20" s="44"/>
      <c r="N20" s="44"/>
    </row>
    <row r="21" customFormat="false" ht="15" hidden="false" customHeight="true" outlineLevel="0" collapsed="false">
      <c r="A21" s="45" t="n">
        <f aca="false">IFERROR(INDEX(K$5:K$400,MATCH(ROW()-4,J$5:J$400,0)),"")</f>
        <v>46230</v>
      </c>
      <c r="B21" s="46" t="n">
        <f aca="false">IF($A21="","",SUMPRODUCT((MOVIMIENTOS!$B$5:$B$400="SALDO INICIAL")*(MOVIMIENTOS!$C$5:$C$400="A")*(MOVIMIENTOS!$D$5:$D$400="jabas")*(MOVIMIENTOS!$A$5:$A$400&lt;&gt;"")*(MOVIMIENTOS!$A$5:$A$400&lt;=$A21)*MOVIMIENTOS!$E$5:$E$400)+SUMPRODUCT((MOVIMIENTOS!$B$5:$B$400="PROCESO")*(MOVIMIENTOS!$C$5:$C$400="A")*(MOVIMIENTOS!$D$5:$D$400="jabas")*(MOVIMIENTOS!$A$5:$A$400&lt;&gt;"")*(MOVIMIENTOS!$A$5:$A$400&lt;=$A21)*MOVIMIENTOS!$E$5:$E$400)-SUMPRODUCT((MOVIMIENTOS!$B$5:$B$400="ENVÍO A SUPESA")*(MOVIMIENTOS!$C$5:$C$400="A")*(MOVIMIENTOS!$D$5:$D$400="jabas")*(MOVIMIENTOS!$A$5:$A$400&lt;&gt;"")*(MOVIMIENTOS!$A$5:$A$400&lt;=$A21)*MOVIMIENTOS!$E$5:$E$400)+SUMPRODUCT((MOVIMIENTOS!$B$5:$B$400="DEVOLUCIÓN")*(MOVIMIENTOS!$C$5:$C$400="A")*(MOVIMIENTOS!$D$5:$D$400="jabas")*(MOVIMIENTOS!$A$5:$A$400&lt;&gt;"")*(MOVIMIENTOS!$A$5:$A$400&lt;=$A21)*MOVIMIENTOS!$E$5:$E$400)-SUMPRODUCT((MOVIMIENTOS!$B$5:$B$400="TRASIEGO")*(MOVIMIENTOS!$C$5:$C$400="A")*(MOVIMIENTOS!$D$5:$D$400="jabas")*(MOVIMIENTOS!$A$5:$A$400&lt;&gt;"")*(MOVIMIENTOS!$A$5:$A$400&lt;=$A21)*MOVIMIENTOS!$E$5:$E$400)-SUMPRODUCT((MOVIMIENTOS!$B$5:$B$400="REGALO")*(MOVIMIENTOS!$C$5:$C$400="A")*(MOVIMIENTOS!$D$5:$D$400="jabas")*(MOVIMIENTOS!$A$5:$A$400&lt;&gt;"")*(MOVIMIENTOS!$A$5:$A$400&lt;=$A21)*MOVIMIENTOS!$E$5:$E$400)-SUMPRODUCT((MOVIMIENTOS!$B$5:$B$400="VENTA")*(MOVIMIENTOS!$C$5:$C$400="A")*(MOVIMIENTOS!$D$5:$D$400="jabas")*(MOVIMIENTOS!$A$5:$A$400&lt;&gt;"")*(MOVIMIENTOS!$A$5:$A$400&lt;=$A21)*MOVIMIENTOS!$E$5:$E$400)+SUMPRODUCT((MOVIMIENTOS!$B$5:$B$400="AJUSTE")*(MOVIMIENTOS!$C$5:$C$400="A")*(MOVIMIENTOS!$D$5:$D$400="jabas")*(MOVIMIENTOS!$A$5:$A$400&lt;&gt;"")*(MOVIMIENTOS!$A$5:$A$400&lt;=$A21)*MOVIMIENTOS!$E$5:$E$400))</f>
        <v>40</v>
      </c>
      <c r="C21" s="46" t="n">
        <f aca="false">IF($A21="","",SUMPRODUCT((MOVIMIENTOS!$B$5:$B$400="SALDO INICIAL")*(MOVIMIENTOS!$C$5:$C$400="P")*(MOVIMIENTOS!$D$5:$D$400="jabas")*(MOVIMIENTOS!$A$5:$A$400&lt;&gt;"")*(MOVIMIENTOS!$A$5:$A$400&lt;=$A21)*MOVIMIENTOS!$E$5:$E$400)+SUMPRODUCT((MOVIMIENTOS!$B$5:$B$400="PROCESO")*(MOVIMIENTOS!$C$5:$C$400="P")*(MOVIMIENTOS!$D$5:$D$400="jabas")*(MOVIMIENTOS!$A$5:$A$400&lt;&gt;"")*(MOVIMIENTOS!$A$5:$A$400&lt;=$A21)*MOVIMIENTOS!$E$5:$E$400)-SUMPRODUCT((MOVIMIENTOS!$B$5:$B$400="ENVÍO A SUPESA")*(MOVIMIENTOS!$C$5:$C$400="P")*(MOVIMIENTOS!$D$5:$D$400="jabas")*(MOVIMIENTOS!$A$5:$A$400&lt;&gt;"")*(MOVIMIENTOS!$A$5:$A$400&lt;=$A21)*MOVIMIENTOS!$E$5:$E$400)+SUMPRODUCT((MOVIMIENTOS!$B$5:$B$400="DEVOLUCIÓN")*(MOVIMIENTOS!$C$5:$C$400="P")*(MOVIMIENTOS!$D$5:$D$400="jabas")*(MOVIMIENTOS!$A$5:$A$400&lt;&gt;"")*(MOVIMIENTOS!$A$5:$A$400&lt;=$A21)*MOVIMIENTOS!$E$5:$E$400)-SUMPRODUCT((MOVIMIENTOS!$B$5:$B$400="TRASIEGO")*(MOVIMIENTOS!$C$5:$C$400="P")*(MOVIMIENTOS!$D$5:$D$400="jabas")*(MOVIMIENTOS!$A$5:$A$400&lt;&gt;"")*(MOVIMIENTOS!$A$5:$A$400&lt;=$A21)*MOVIMIENTOS!$E$5:$E$400)-SUMPRODUCT((MOVIMIENTOS!$B$5:$B$400="REGALO")*(MOVIMIENTOS!$C$5:$C$400="P")*(MOVIMIENTOS!$D$5:$D$400="jabas")*(MOVIMIENTOS!$A$5:$A$400&lt;&gt;"")*(MOVIMIENTOS!$A$5:$A$400&lt;=$A21)*MOVIMIENTOS!$E$5:$E$400)-SUMPRODUCT((MOVIMIENTOS!$B$5:$B$400="VENTA")*(MOVIMIENTOS!$C$5:$C$400="P")*(MOVIMIENTOS!$D$5:$D$400="jabas")*(MOVIMIENTOS!$A$5:$A$400&lt;&gt;"")*(MOVIMIENTOS!$A$5:$A$400&lt;=$A21)*MOVIMIENTOS!$E$5:$E$400)+SUMPRODUCT((MOVIMIENTOS!$B$5:$B$400="AJUSTE")*(MOVIMIENTOS!$C$5:$C$400="P")*(MOVIMIENTOS!$D$5:$D$400="jabas")*(MOVIMIENTOS!$A$5:$A$400&lt;&gt;"")*(MOVIMIENTOS!$A$5:$A$400&lt;=$A21)*MOVIMIENTOS!$E$5:$E$400))</f>
        <v>11</v>
      </c>
      <c r="D21" s="46" t="n">
        <f aca="false">IF($A21="","",SUMPRODUCT((MOVIMIENTOS!$B$5:$B$400="SALDO INICIAL")*(MOVIMIENTOS!$C$5:$C$400="C")*(MOVIMIENTOS!$D$5:$D$400="jabas")*(MOVIMIENTOS!$A$5:$A$400&lt;&gt;"")*(MOVIMIENTOS!$A$5:$A$400&lt;=$A21)*MOVIMIENTOS!$E$5:$E$400)+SUMPRODUCT((MOVIMIENTOS!$B$5:$B$400="PROCESO")*(MOVIMIENTOS!$C$5:$C$400="C")*(MOVIMIENTOS!$D$5:$D$400="jabas")*(MOVIMIENTOS!$A$5:$A$400&lt;&gt;"")*(MOVIMIENTOS!$A$5:$A$400&lt;=$A21)*MOVIMIENTOS!$E$5:$E$400)-SUMPRODUCT((MOVIMIENTOS!$B$5:$B$400="ENVÍO A SUPESA")*(MOVIMIENTOS!$C$5:$C$400="C")*(MOVIMIENTOS!$D$5:$D$400="jabas")*(MOVIMIENTOS!$A$5:$A$400&lt;&gt;"")*(MOVIMIENTOS!$A$5:$A$400&lt;=$A21)*MOVIMIENTOS!$E$5:$E$400)+SUMPRODUCT((MOVIMIENTOS!$B$5:$B$400="DEVOLUCIÓN")*(MOVIMIENTOS!$C$5:$C$400="C")*(MOVIMIENTOS!$D$5:$D$400="jabas")*(MOVIMIENTOS!$A$5:$A$400&lt;&gt;"")*(MOVIMIENTOS!$A$5:$A$400&lt;=$A21)*MOVIMIENTOS!$E$5:$E$400)-SUMPRODUCT((MOVIMIENTOS!$B$5:$B$400="TRASIEGO")*(MOVIMIENTOS!$C$5:$C$400="C")*(MOVIMIENTOS!$D$5:$D$400="jabas")*(MOVIMIENTOS!$A$5:$A$400&lt;&gt;"")*(MOVIMIENTOS!$A$5:$A$400&lt;=$A21)*MOVIMIENTOS!$E$5:$E$400)-SUMPRODUCT((MOVIMIENTOS!$B$5:$B$400="REGALO")*(MOVIMIENTOS!$C$5:$C$400="C")*(MOVIMIENTOS!$D$5:$D$400="jabas")*(MOVIMIENTOS!$A$5:$A$400&lt;&gt;"")*(MOVIMIENTOS!$A$5:$A$400&lt;=$A21)*MOVIMIENTOS!$E$5:$E$400)-SUMPRODUCT((MOVIMIENTOS!$B$5:$B$400="VENTA")*(MOVIMIENTOS!$C$5:$C$400="C")*(MOVIMIENTOS!$D$5:$D$400="jabas")*(MOVIMIENTOS!$A$5:$A$400&lt;&gt;"")*(MOVIMIENTOS!$A$5:$A$400&lt;=$A21)*MOVIMIENTOS!$E$5:$E$400)+SUMPRODUCT((MOVIMIENTOS!$B$5:$B$400="AJUSTE")*(MOVIMIENTOS!$C$5:$C$400="C")*(MOVIMIENTOS!$D$5:$D$400="jabas")*(MOVIMIENTOS!$A$5:$A$400&lt;&gt;"")*(MOVIMIENTOS!$A$5:$A$400&lt;=$A21)*MOVIMIENTOS!$E$5:$E$400))</f>
        <v>10</v>
      </c>
      <c r="E21" s="46" t="n">
        <f aca="false">IF($A21="","",SUMPRODUCT((MOVIMIENTOS!$B$5:$B$400="SALDO INICIAL")*(MOVIMIENTOS!$C$5:$C$400="M")*(MOVIMIENTOS!$D$5:$D$400="jabas")*(MOVIMIENTOS!$A$5:$A$400&lt;&gt;"")*(MOVIMIENTOS!$A$5:$A$400&lt;=$A21)*MOVIMIENTOS!$E$5:$E$400)+SUMPRODUCT((MOVIMIENTOS!$B$5:$B$400="PROCESO")*(MOVIMIENTOS!$C$5:$C$400="M")*(MOVIMIENTOS!$D$5:$D$400="jabas")*(MOVIMIENTOS!$A$5:$A$400&lt;&gt;"")*(MOVIMIENTOS!$A$5:$A$400&lt;=$A21)*MOVIMIENTOS!$E$5:$E$400)-SUMPRODUCT((MOVIMIENTOS!$B$5:$B$400="ENVÍO A SUPESA")*(MOVIMIENTOS!$C$5:$C$400="M")*(MOVIMIENTOS!$D$5:$D$400="jabas")*(MOVIMIENTOS!$A$5:$A$400&lt;&gt;"")*(MOVIMIENTOS!$A$5:$A$400&lt;=$A21)*MOVIMIENTOS!$E$5:$E$400)+SUMPRODUCT((MOVIMIENTOS!$B$5:$B$400="DEVOLUCIÓN")*(MOVIMIENTOS!$C$5:$C$400="M")*(MOVIMIENTOS!$D$5:$D$400="jabas")*(MOVIMIENTOS!$A$5:$A$400&lt;&gt;"")*(MOVIMIENTOS!$A$5:$A$400&lt;=$A21)*MOVIMIENTOS!$E$5:$E$400)-SUMPRODUCT((MOVIMIENTOS!$B$5:$B$400="TRASIEGO")*(MOVIMIENTOS!$C$5:$C$400="M")*(MOVIMIENTOS!$D$5:$D$400="jabas")*(MOVIMIENTOS!$A$5:$A$400&lt;&gt;"")*(MOVIMIENTOS!$A$5:$A$400&lt;=$A21)*MOVIMIENTOS!$E$5:$E$400)-SUMPRODUCT((MOVIMIENTOS!$B$5:$B$400="REGALO")*(MOVIMIENTOS!$C$5:$C$400="M")*(MOVIMIENTOS!$D$5:$D$400="jabas")*(MOVIMIENTOS!$A$5:$A$400&lt;&gt;"")*(MOVIMIENTOS!$A$5:$A$400&lt;=$A21)*MOVIMIENTOS!$E$5:$E$400)-SUMPRODUCT((MOVIMIENTOS!$B$5:$B$400="VENTA")*(MOVIMIENTOS!$C$5:$C$400="M")*(MOVIMIENTOS!$D$5:$D$400="jabas")*(MOVIMIENTOS!$A$5:$A$400&lt;&gt;"")*(MOVIMIENTOS!$A$5:$A$400&lt;=$A21)*MOVIMIENTOS!$E$5:$E$400)+SUMPRODUCT((MOVIMIENTOS!$B$5:$B$400="AJUSTE")*(MOVIMIENTOS!$C$5:$C$400="M")*(MOVIMIENTOS!$D$5:$D$400="jabas")*(MOVIMIENTOS!$A$5:$A$400&lt;&gt;"")*(MOVIMIENTOS!$A$5:$A$400&lt;=$A21)*MOVIMIENTOS!$E$5:$E$400))</f>
        <v>142</v>
      </c>
      <c r="F21" s="46" t="n">
        <f aca="false">IF($A21="","",SUMPRODUCT((MOVIMIENTOS!$B$5:$B$400="SALDO INICIAL")*(MOVIMIENTOS!$C$5:$C$400="Chancho")*(MOVIMIENTOS!$D$5:$D$400="sacos")*(MOVIMIENTOS!$A$5:$A$400&lt;&gt;"")*(MOVIMIENTOS!$A$5:$A$400&lt;=$A21)*MOVIMIENTOS!$E$5:$E$400)+SUMPRODUCT((MOVIMIENTOS!$B$5:$B$400="PROCESO")*(MOVIMIENTOS!$C$5:$C$400="Chancho")*(MOVIMIENTOS!$D$5:$D$400="sacos")*(MOVIMIENTOS!$A$5:$A$400&lt;&gt;"")*(MOVIMIENTOS!$A$5:$A$400&lt;=$A21)*MOVIMIENTOS!$E$5:$E$400)-SUMPRODUCT((MOVIMIENTOS!$B$5:$B$400="VENTA CHANCHO")*(MOVIMIENTOS!$C$5:$C$400="Chancho")*(MOVIMIENTOS!$D$5:$D$400="sacos")*(MOVIMIENTOS!$A$5:$A$400&lt;&gt;"")*(MOVIMIENTOS!$A$5:$A$400&lt;=$A21)*MOVIMIENTOS!$E$5:$E$400)-SUMPRODUCT((MOVIMIENTOS!$B$5:$B$400="REGALO")*(MOVIMIENTOS!$C$5:$C$400="Chancho")*(MOVIMIENTOS!$D$5:$D$400="sacos")*(MOVIMIENTOS!$A$5:$A$400&lt;&gt;"")*(MOVIMIENTOS!$A$5:$A$400&lt;=$A21)*MOVIMIENTOS!$E$5:$E$400)-SUMPRODUCT((MOVIMIENTOS!$B$5:$B$400="VENTA")*(MOVIMIENTOS!$C$5:$C$400="Chancho")*(MOVIMIENTOS!$D$5:$D$400="sacos")*(MOVIMIENTOS!$A$5:$A$400&lt;&gt;"")*(MOVIMIENTOS!$A$5:$A$400&lt;=$A21)*MOVIMIENTOS!$E$5:$E$400)+SUMPRODUCT((MOVIMIENTOS!$B$5:$B$400="AJUSTE")*(MOVIMIENTOS!$C$5:$C$400="Chancho")*(MOVIMIENTOS!$D$5:$D$400="sacos")*(MOVIMIENTOS!$A$5:$A$400&lt;&gt;"")*(MOVIMIENTOS!$A$5:$A$400&lt;=$A21)*MOVIMIENTOS!$E$5:$E$400))</f>
        <v>7.5</v>
      </c>
      <c r="G21" s="46" t="n">
        <f aca="false">IF($A21="","",SUM(B21:E21))</f>
        <v>203</v>
      </c>
      <c r="H21" s="46" t="n">
        <f aca="false">IF($A21="","",SUMPRODUCT((((MOVIMIENTOS!$B$5:$B$400="SALDO INICIAL")*(MOVIMIENTOS!$C$5:$C$400&lt;&gt;"Chancho"))+(MOVIMIENTOS!$B$5:$B$400="COMPRA")+(MOVIMIENTOS!$B$5:$B$400="REPROCESO")+(MOVIMIENTOS!$B$5:$B$400="DEVOLUCIÓN")+((MOVIMIENTOS!$B$5:$B$400="AJUSTE")*(MOVIMIENTOS!$C$5:$C$400&lt;&gt;"Chancho")))*(MOVIMIENTOS!$A$5:$A$400&lt;&gt;"")*(MOVIMIENTOS!$A$5:$A$400&lt;=$A21)*MOVIMIENTOS!$I$5:$I$400)-SUMPRODUCT(((MOVIMIENTOS!$B$5:$B$400="ENVÍO A SUPESA")+(MOVIMIENTOS!$B$5:$B$400="ENVÍO A TOTTUS")+(MOVIMIENTOS!$B$5:$B$400="ENVIO A TOTTUS")+(MOVIMIENTOS!$B$5:$B$400="MALOGRADO")+(MOVIMIENTOS!$B$5:$B$400="OTRA SALIDA")+((MOVIMIENTOS!$B$5:$B$400="PROCESO")*(MOVIMIENTOS!$C$5:$C$400="Chancho"))+((MOVIMIENTOS!$B$5:$B$400="REGALO")*(MOVIMIENTOS!$C$5:$C$400&lt;&gt;"Chancho"))+((MOVIMIENTOS!$B$5:$B$400="VENTA")*(MOVIMIENTOS!$C$5:$C$400&lt;&gt;"Chancho")))*(MOVIMIENTOS!$A$5:$A$400&lt;&gt;"")*(MOVIMIENTOS!$A$5:$A$400&lt;=$A21)*MOVIMIENTOS!$I$5:$I$400))</f>
        <v>3958</v>
      </c>
      <c r="I21" s="44"/>
      <c r="J21" s="44" t="str">
        <f aca="false">IF(AND(MOVIMIENTOS!$A21&lt;&gt;"",COUNTIF(MOVIMIENTOS!$A$5:$A20,MOVIMIENTOS!$A21)=0),COUNT(J$4:J20)+1,"")</f>
        <v/>
      </c>
      <c r="K21" s="47" t="n">
        <f aca="false">MOVIMIENTOS!$A21</f>
        <v>46216</v>
      </c>
      <c r="L21" s="44"/>
      <c r="M21" s="44"/>
      <c r="N21" s="44"/>
    </row>
    <row r="22" customFormat="false" ht="15" hidden="false" customHeight="true" outlineLevel="0" collapsed="false">
      <c r="A22" s="45" t="n">
        <f aca="false">IFERROR(INDEX(K$5:K$400,MATCH(ROW()-4,J$5:J$400,0)),"")</f>
        <v>46231</v>
      </c>
      <c r="B22" s="46" t="n">
        <f aca="false">IF($A22="","",SUMPRODUCT((MOVIMIENTOS!$B$5:$B$400="SALDO INICIAL")*(MOVIMIENTOS!$C$5:$C$400="A")*(MOVIMIENTOS!$D$5:$D$400="jabas")*(MOVIMIENTOS!$A$5:$A$400&lt;&gt;"")*(MOVIMIENTOS!$A$5:$A$400&lt;=$A22)*MOVIMIENTOS!$E$5:$E$400)+SUMPRODUCT((MOVIMIENTOS!$B$5:$B$400="PROCESO")*(MOVIMIENTOS!$C$5:$C$400="A")*(MOVIMIENTOS!$D$5:$D$400="jabas")*(MOVIMIENTOS!$A$5:$A$400&lt;&gt;"")*(MOVIMIENTOS!$A$5:$A$400&lt;=$A22)*MOVIMIENTOS!$E$5:$E$400)-SUMPRODUCT((MOVIMIENTOS!$B$5:$B$400="ENVÍO A SUPESA")*(MOVIMIENTOS!$C$5:$C$400="A")*(MOVIMIENTOS!$D$5:$D$400="jabas")*(MOVIMIENTOS!$A$5:$A$400&lt;&gt;"")*(MOVIMIENTOS!$A$5:$A$400&lt;=$A22)*MOVIMIENTOS!$E$5:$E$400)+SUMPRODUCT((MOVIMIENTOS!$B$5:$B$400="DEVOLUCIÓN")*(MOVIMIENTOS!$C$5:$C$400="A")*(MOVIMIENTOS!$D$5:$D$400="jabas")*(MOVIMIENTOS!$A$5:$A$400&lt;&gt;"")*(MOVIMIENTOS!$A$5:$A$400&lt;=$A22)*MOVIMIENTOS!$E$5:$E$400)-SUMPRODUCT((MOVIMIENTOS!$B$5:$B$400="TRASIEGO")*(MOVIMIENTOS!$C$5:$C$400="A")*(MOVIMIENTOS!$D$5:$D$400="jabas")*(MOVIMIENTOS!$A$5:$A$400&lt;&gt;"")*(MOVIMIENTOS!$A$5:$A$400&lt;=$A22)*MOVIMIENTOS!$E$5:$E$400)-SUMPRODUCT((MOVIMIENTOS!$B$5:$B$400="REGALO")*(MOVIMIENTOS!$C$5:$C$400="A")*(MOVIMIENTOS!$D$5:$D$400="jabas")*(MOVIMIENTOS!$A$5:$A$400&lt;&gt;"")*(MOVIMIENTOS!$A$5:$A$400&lt;=$A22)*MOVIMIENTOS!$E$5:$E$400)-SUMPRODUCT((MOVIMIENTOS!$B$5:$B$400="VENTA")*(MOVIMIENTOS!$C$5:$C$400="A")*(MOVIMIENTOS!$D$5:$D$400="jabas")*(MOVIMIENTOS!$A$5:$A$400&lt;&gt;"")*(MOVIMIENTOS!$A$5:$A$400&lt;=$A22)*MOVIMIENTOS!$E$5:$E$400)+SUMPRODUCT((MOVIMIENTOS!$B$5:$B$400="AJUSTE")*(MOVIMIENTOS!$C$5:$C$400="A")*(MOVIMIENTOS!$D$5:$D$400="jabas")*(MOVIMIENTOS!$A$5:$A$400&lt;&gt;"")*(MOVIMIENTOS!$A$5:$A$400&lt;=$A22)*MOVIMIENTOS!$E$5:$E$400))</f>
        <v>106</v>
      </c>
      <c r="C22" s="46" t="n">
        <f aca="false">IF($A22="","",SUMPRODUCT((MOVIMIENTOS!$B$5:$B$400="SALDO INICIAL")*(MOVIMIENTOS!$C$5:$C$400="P")*(MOVIMIENTOS!$D$5:$D$400="jabas")*(MOVIMIENTOS!$A$5:$A$400&lt;&gt;"")*(MOVIMIENTOS!$A$5:$A$400&lt;=$A22)*MOVIMIENTOS!$E$5:$E$400)+SUMPRODUCT((MOVIMIENTOS!$B$5:$B$400="PROCESO")*(MOVIMIENTOS!$C$5:$C$400="P")*(MOVIMIENTOS!$D$5:$D$400="jabas")*(MOVIMIENTOS!$A$5:$A$400&lt;&gt;"")*(MOVIMIENTOS!$A$5:$A$400&lt;=$A22)*MOVIMIENTOS!$E$5:$E$400)-SUMPRODUCT((MOVIMIENTOS!$B$5:$B$400="ENVÍO A SUPESA")*(MOVIMIENTOS!$C$5:$C$400="P")*(MOVIMIENTOS!$D$5:$D$400="jabas")*(MOVIMIENTOS!$A$5:$A$400&lt;&gt;"")*(MOVIMIENTOS!$A$5:$A$400&lt;=$A22)*MOVIMIENTOS!$E$5:$E$400)+SUMPRODUCT((MOVIMIENTOS!$B$5:$B$400="DEVOLUCIÓN")*(MOVIMIENTOS!$C$5:$C$400="P")*(MOVIMIENTOS!$D$5:$D$400="jabas")*(MOVIMIENTOS!$A$5:$A$400&lt;&gt;"")*(MOVIMIENTOS!$A$5:$A$400&lt;=$A22)*MOVIMIENTOS!$E$5:$E$400)-SUMPRODUCT((MOVIMIENTOS!$B$5:$B$400="TRASIEGO")*(MOVIMIENTOS!$C$5:$C$400="P")*(MOVIMIENTOS!$D$5:$D$400="jabas")*(MOVIMIENTOS!$A$5:$A$400&lt;&gt;"")*(MOVIMIENTOS!$A$5:$A$400&lt;=$A22)*MOVIMIENTOS!$E$5:$E$400)-SUMPRODUCT((MOVIMIENTOS!$B$5:$B$400="REGALO")*(MOVIMIENTOS!$C$5:$C$400="P")*(MOVIMIENTOS!$D$5:$D$400="jabas")*(MOVIMIENTOS!$A$5:$A$400&lt;&gt;"")*(MOVIMIENTOS!$A$5:$A$400&lt;=$A22)*MOVIMIENTOS!$E$5:$E$400)-SUMPRODUCT((MOVIMIENTOS!$B$5:$B$400="VENTA")*(MOVIMIENTOS!$C$5:$C$400="P")*(MOVIMIENTOS!$D$5:$D$400="jabas")*(MOVIMIENTOS!$A$5:$A$400&lt;&gt;"")*(MOVIMIENTOS!$A$5:$A$400&lt;=$A22)*MOVIMIENTOS!$E$5:$E$400)+SUMPRODUCT((MOVIMIENTOS!$B$5:$B$400="AJUSTE")*(MOVIMIENTOS!$C$5:$C$400="P")*(MOVIMIENTOS!$D$5:$D$400="jabas")*(MOVIMIENTOS!$A$5:$A$400&lt;&gt;"")*(MOVIMIENTOS!$A$5:$A$400&lt;=$A22)*MOVIMIENTOS!$E$5:$E$400))</f>
        <v>4</v>
      </c>
      <c r="D22" s="46" t="n">
        <f aca="false">IF($A22="","",SUMPRODUCT((MOVIMIENTOS!$B$5:$B$400="SALDO INICIAL")*(MOVIMIENTOS!$C$5:$C$400="C")*(MOVIMIENTOS!$D$5:$D$400="jabas")*(MOVIMIENTOS!$A$5:$A$400&lt;&gt;"")*(MOVIMIENTOS!$A$5:$A$400&lt;=$A22)*MOVIMIENTOS!$E$5:$E$400)+SUMPRODUCT((MOVIMIENTOS!$B$5:$B$400="PROCESO")*(MOVIMIENTOS!$C$5:$C$400="C")*(MOVIMIENTOS!$D$5:$D$400="jabas")*(MOVIMIENTOS!$A$5:$A$400&lt;&gt;"")*(MOVIMIENTOS!$A$5:$A$400&lt;=$A22)*MOVIMIENTOS!$E$5:$E$400)-SUMPRODUCT((MOVIMIENTOS!$B$5:$B$400="ENVÍO A SUPESA")*(MOVIMIENTOS!$C$5:$C$400="C")*(MOVIMIENTOS!$D$5:$D$400="jabas")*(MOVIMIENTOS!$A$5:$A$400&lt;&gt;"")*(MOVIMIENTOS!$A$5:$A$400&lt;=$A22)*MOVIMIENTOS!$E$5:$E$400)+SUMPRODUCT((MOVIMIENTOS!$B$5:$B$400="DEVOLUCIÓN")*(MOVIMIENTOS!$C$5:$C$400="C")*(MOVIMIENTOS!$D$5:$D$400="jabas")*(MOVIMIENTOS!$A$5:$A$400&lt;&gt;"")*(MOVIMIENTOS!$A$5:$A$400&lt;=$A22)*MOVIMIENTOS!$E$5:$E$400)-SUMPRODUCT((MOVIMIENTOS!$B$5:$B$400="TRASIEGO")*(MOVIMIENTOS!$C$5:$C$400="C")*(MOVIMIENTOS!$D$5:$D$400="jabas")*(MOVIMIENTOS!$A$5:$A$400&lt;&gt;"")*(MOVIMIENTOS!$A$5:$A$400&lt;=$A22)*MOVIMIENTOS!$E$5:$E$400)-SUMPRODUCT((MOVIMIENTOS!$B$5:$B$400="REGALO")*(MOVIMIENTOS!$C$5:$C$400="C")*(MOVIMIENTOS!$D$5:$D$400="jabas")*(MOVIMIENTOS!$A$5:$A$400&lt;&gt;"")*(MOVIMIENTOS!$A$5:$A$400&lt;=$A22)*MOVIMIENTOS!$E$5:$E$400)-SUMPRODUCT((MOVIMIENTOS!$B$5:$B$400="VENTA")*(MOVIMIENTOS!$C$5:$C$400="C")*(MOVIMIENTOS!$D$5:$D$400="jabas")*(MOVIMIENTOS!$A$5:$A$400&lt;&gt;"")*(MOVIMIENTOS!$A$5:$A$400&lt;=$A22)*MOVIMIENTOS!$E$5:$E$400)+SUMPRODUCT((MOVIMIENTOS!$B$5:$B$400="AJUSTE")*(MOVIMIENTOS!$C$5:$C$400="C")*(MOVIMIENTOS!$D$5:$D$400="jabas")*(MOVIMIENTOS!$A$5:$A$400&lt;&gt;"")*(MOVIMIENTOS!$A$5:$A$400&lt;=$A22)*MOVIMIENTOS!$E$5:$E$400))</f>
        <v>12</v>
      </c>
      <c r="E22" s="46" t="n">
        <f aca="false">IF($A22="","",SUMPRODUCT((MOVIMIENTOS!$B$5:$B$400="SALDO INICIAL")*(MOVIMIENTOS!$C$5:$C$400="M")*(MOVIMIENTOS!$D$5:$D$400="jabas")*(MOVIMIENTOS!$A$5:$A$400&lt;&gt;"")*(MOVIMIENTOS!$A$5:$A$400&lt;=$A22)*MOVIMIENTOS!$E$5:$E$400)+SUMPRODUCT((MOVIMIENTOS!$B$5:$B$400="PROCESO")*(MOVIMIENTOS!$C$5:$C$400="M")*(MOVIMIENTOS!$D$5:$D$400="jabas")*(MOVIMIENTOS!$A$5:$A$400&lt;&gt;"")*(MOVIMIENTOS!$A$5:$A$400&lt;=$A22)*MOVIMIENTOS!$E$5:$E$400)-SUMPRODUCT((MOVIMIENTOS!$B$5:$B$400="ENVÍO A SUPESA")*(MOVIMIENTOS!$C$5:$C$400="M")*(MOVIMIENTOS!$D$5:$D$400="jabas")*(MOVIMIENTOS!$A$5:$A$400&lt;&gt;"")*(MOVIMIENTOS!$A$5:$A$400&lt;=$A22)*MOVIMIENTOS!$E$5:$E$400)+SUMPRODUCT((MOVIMIENTOS!$B$5:$B$400="DEVOLUCIÓN")*(MOVIMIENTOS!$C$5:$C$400="M")*(MOVIMIENTOS!$D$5:$D$400="jabas")*(MOVIMIENTOS!$A$5:$A$400&lt;&gt;"")*(MOVIMIENTOS!$A$5:$A$400&lt;=$A22)*MOVIMIENTOS!$E$5:$E$400)-SUMPRODUCT((MOVIMIENTOS!$B$5:$B$400="TRASIEGO")*(MOVIMIENTOS!$C$5:$C$400="M")*(MOVIMIENTOS!$D$5:$D$400="jabas")*(MOVIMIENTOS!$A$5:$A$400&lt;&gt;"")*(MOVIMIENTOS!$A$5:$A$400&lt;=$A22)*MOVIMIENTOS!$E$5:$E$400)-SUMPRODUCT((MOVIMIENTOS!$B$5:$B$400="REGALO")*(MOVIMIENTOS!$C$5:$C$400="M")*(MOVIMIENTOS!$D$5:$D$400="jabas")*(MOVIMIENTOS!$A$5:$A$400&lt;&gt;"")*(MOVIMIENTOS!$A$5:$A$400&lt;=$A22)*MOVIMIENTOS!$E$5:$E$400)-SUMPRODUCT((MOVIMIENTOS!$B$5:$B$400="VENTA")*(MOVIMIENTOS!$C$5:$C$400="M")*(MOVIMIENTOS!$D$5:$D$400="jabas")*(MOVIMIENTOS!$A$5:$A$400&lt;&gt;"")*(MOVIMIENTOS!$A$5:$A$400&lt;=$A22)*MOVIMIENTOS!$E$5:$E$400)+SUMPRODUCT((MOVIMIENTOS!$B$5:$B$400="AJUSTE")*(MOVIMIENTOS!$C$5:$C$400="M")*(MOVIMIENTOS!$D$5:$D$400="jabas")*(MOVIMIENTOS!$A$5:$A$400&lt;&gt;"")*(MOVIMIENTOS!$A$5:$A$400&lt;=$A22)*MOVIMIENTOS!$E$5:$E$400))</f>
        <v>118</v>
      </c>
      <c r="F22" s="46" t="n">
        <f aca="false">IF($A22="","",SUMPRODUCT((MOVIMIENTOS!$B$5:$B$400="SALDO INICIAL")*(MOVIMIENTOS!$C$5:$C$400="Chancho")*(MOVIMIENTOS!$D$5:$D$400="sacos")*(MOVIMIENTOS!$A$5:$A$400&lt;&gt;"")*(MOVIMIENTOS!$A$5:$A$400&lt;=$A22)*MOVIMIENTOS!$E$5:$E$400)+SUMPRODUCT((MOVIMIENTOS!$B$5:$B$400="PROCESO")*(MOVIMIENTOS!$C$5:$C$400="Chancho")*(MOVIMIENTOS!$D$5:$D$400="sacos")*(MOVIMIENTOS!$A$5:$A$400&lt;&gt;"")*(MOVIMIENTOS!$A$5:$A$400&lt;=$A22)*MOVIMIENTOS!$E$5:$E$400)-SUMPRODUCT((MOVIMIENTOS!$B$5:$B$400="VENTA CHANCHO")*(MOVIMIENTOS!$C$5:$C$400="Chancho")*(MOVIMIENTOS!$D$5:$D$400="sacos")*(MOVIMIENTOS!$A$5:$A$400&lt;&gt;"")*(MOVIMIENTOS!$A$5:$A$400&lt;=$A22)*MOVIMIENTOS!$E$5:$E$400)-SUMPRODUCT((MOVIMIENTOS!$B$5:$B$400="REGALO")*(MOVIMIENTOS!$C$5:$C$400="Chancho")*(MOVIMIENTOS!$D$5:$D$400="sacos")*(MOVIMIENTOS!$A$5:$A$400&lt;&gt;"")*(MOVIMIENTOS!$A$5:$A$400&lt;=$A22)*MOVIMIENTOS!$E$5:$E$400)-SUMPRODUCT((MOVIMIENTOS!$B$5:$B$400="VENTA")*(MOVIMIENTOS!$C$5:$C$400="Chancho")*(MOVIMIENTOS!$D$5:$D$400="sacos")*(MOVIMIENTOS!$A$5:$A$400&lt;&gt;"")*(MOVIMIENTOS!$A$5:$A$400&lt;=$A22)*MOVIMIENTOS!$E$5:$E$400)+SUMPRODUCT((MOVIMIENTOS!$B$5:$B$400="AJUSTE")*(MOVIMIENTOS!$C$5:$C$400="Chancho")*(MOVIMIENTOS!$D$5:$D$400="sacos")*(MOVIMIENTOS!$A$5:$A$400&lt;&gt;"")*(MOVIMIENTOS!$A$5:$A$400&lt;=$A22)*MOVIMIENTOS!$E$5:$E$400))</f>
        <v>22</v>
      </c>
      <c r="G22" s="46" t="n">
        <f aca="false">IF($A22="","",SUM(B22:E22))</f>
        <v>240</v>
      </c>
      <c r="H22" s="46" t="n">
        <f aca="false">IF($A22="","",SUMPRODUCT((((MOVIMIENTOS!$B$5:$B$400="SALDO INICIAL")*(MOVIMIENTOS!$C$5:$C$400&lt;&gt;"Chancho"))+(MOVIMIENTOS!$B$5:$B$400="COMPRA")+(MOVIMIENTOS!$B$5:$B$400="REPROCESO")+(MOVIMIENTOS!$B$5:$B$400="DEVOLUCIÓN")+((MOVIMIENTOS!$B$5:$B$400="AJUSTE")*(MOVIMIENTOS!$C$5:$C$400&lt;&gt;"Chancho")))*(MOVIMIENTOS!$A$5:$A$400&lt;&gt;"")*(MOVIMIENTOS!$A$5:$A$400&lt;=$A22)*MOVIMIENTOS!$I$5:$I$400)-SUMPRODUCT(((MOVIMIENTOS!$B$5:$B$400="ENVÍO A SUPESA")+(MOVIMIENTOS!$B$5:$B$400="ENVÍO A TOTTUS")+(MOVIMIENTOS!$B$5:$B$400="ENVIO A TOTTUS")+(MOVIMIENTOS!$B$5:$B$400="MALOGRADO")+(MOVIMIENTOS!$B$5:$B$400="OTRA SALIDA")+((MOVIMIENTOS!$B$5:$B$400="PROCESO")*(MOVIMIENTOS!$C$5:$C$400="Chancho"))+((MOVIMIENTOS!$B$5:$B$400="REGALO")*(MOVIMIENTOS!$C$5:$C$400&lt;&gt;"Chancho"))+((MOVIMIENTOS!$B$5:$B$400="VENTA")*(MOVIMIENTOS!$C$5:$C$400&lt;&gt;"Chancho")))*(MOVIMIENTOS!$A$5:$A$400&lt;&gt;"")*(MOVIMIENTOS!$A$5:$A$400&lt;=$A22)*MOVIMIENTOS!$I$5:$I$400))</f>
        <v>4623.5</v>
      </c>
      <c r="I22" s="44"/>
      <c r="J22" s="44" t="str">
        <f aca="false">IF(AND(MOVIMIENTOS!$A22&lt;&gt;"",COUNTIF(MOVIMIENTOS!$A$5:$A21,MOVIMIENTOS!$A22)=0),COUNT(J$4:J21)+1,"")</f>
        <v/>
      </c>
      <c r="K22" s="47" t="n">
        <f aca="false">MOVIMIENTOS!$A22</f>
        <v>46216</v>
      </c>
      <c r="L22" s="44"/>
      <c r="M22" s="44"/>
      <c r="N22" s="44"/>
    </row>
    <row r="23" customFormat="false" ht="15" hidden="false" customHeight="true" outlineLevel="0" collapsed="false">
      <c r="A23" s="45" t="n">
        <f aca="false">IFERROR(INDEX(K$5:K$400,MATCH(ROW()-4,J$5:J$400,0)),"")</f>
        <v>46232</v>
      </c>
      <c r="B23" s="46" t="n">
        <f aca="false">IF($A23="","",SUMPRODUCT((MOVIMIENTOS!$B$5:$B$400="SALDO INICIAL")*(MOVIMIENTOS!$C$5:$C$400="A")*(MOVIMIENTOS!$D$5:$D$400="jabas")*(MOVIMIENTOS!$A$5:$A$400&lt;&gt;"")*(MOVIMIENTOS!$A$5:$A$400&lt;=$A23)*MOVIMIENTOS!$E$5:$E$400)+SUMPRODUCT((MOVIMIENTOS!$B$5:$B$400="PROCESO")*(MOVIMIENTOS!$C$5:$C$400="A")*(MOVIMIENTOS!$D$5:$D$400="jabas")*(MOVIMIENTOS!$A$5:$A$400&lt;&gt;"")*(MOVIMIENTOS!$A$5:$A$400&lt;=$A23)*MOVIMIENTOS!$E$5:$E$400)-SUMPRODUCT((MOVIMIENTOS!$B$5:$B$400="ENVÍO A SUPESA")*(MOVIMIENTOS!$C$5:$C$400="A")*(MOVIMIENTOS!$D$5:$D$400="jabas")*(MOVIMIENTOS!$A$5:$A$400&lt;&gt;"")*(MOVIMIENTOS!$A$5:$A$400&lt;=$A23)*MOVIMIENTOS!$E$5:$E$400)+SUMPRODUCT((MOVIMIENTOS!$B$5:$B$400="DEVOLUCIÓN")*(MOVIMIENTOS!$C$5:$C$400="A")*(MOVIMIENTOS!$D$5:$D$400="jabas")*(MOVIMIENTOS!$A$5:$A$400&lt;&gt;"")*(MOVIMIENTOS!$A$5:$A$400&lt;=$A23)*MOVIMIENTOS!$E$5:$E$400)-SUMPRODUCT((MOVIMIENTOS!$B$5:$B$400="TRASIEGO")*(MOVIMIENTOS!$C$5:$C$400="A")*(MOVIMIENTOS!$D$5:$D$400="jabas")*(MOVIMIENTOS!$A$5:$A$400&lt;&gt;"")*(MOVIMIENTOS!$A$5:$A$400&lt;=$A23)*MOVIMIENTOS!$E$5:$E$400)-SUMPRODUCT((MOVIMIENTOS!$B$5:$B$400="REGALO")*(MOVIMIENTOS!$C$5:$C$400="A")*(MOVIMIENTOS!$D$5:$D$400="jabas")*(MOVIMIENTOS!$A$5:$A$400&lt;&gt;"")*(MOVIMIENTOS!$A$5:$A$400&lt;=$A23)*MOVIMIENTOS!$E$5:$E$400)-SUMPRODUCT((MOVIMIENTOS!$B$5:$B$400="VENTA")*(MOVIMIENTOS!$C$5:$C$400="A")*(MOVIMIENTOS!$D$5:$D$400="jabas")*(MOVIMIENTOS!$A$5:$A$400&lt;&gt;"")*(MOVIMIENTOS!$A$5:$A$400&lt;=$A23)*MOVIMIENTOS!$E$5:$E$400)+SUMPRODUCT((MOVIMIENTOS!$B$5:$B$400="AJUSTE")*(MOVIMIENTOS!$C$5:$C$400="A")*(MOVIMIENTOS!$D$5:$D$400="jabas")*(MOVIMIENTOS!$A$5:$A$400&lt;&gt;"")*(MOVIMIENTOS!$A$5:$A$400&lt;=$A23)*MOVIMIENTOS!$E$5:$E$400))</f>
        <v>39</v>
      </c>
      <c r="C23" s="46" t="n">
        <f aca="false">IF($A23="","",SUMPRODUCT((MOVIMIENTOS!$B$5:$B$400="SALDO INICIAL")*(MOVIMIENTOS!$C$5:$C$400="P")*(MOVIMIENTOS!$D$5:$D$400="jabas")*(MOVIMIENTOS!$A$5:$A$400&lt;&gt;"")*(MOVIMIENTOS!$A$5:$A$400&lt;=$A23)*MOVIMIENTOS!$E$5:$E$400)+SUMPRODUCT((MOVIMIENTOS!$B$5:$B$400="PROCESO")*(MOVIMIENTOS!$C$5:$C$400="P")*(MOVIMIENTOS!$D$5:$D$400="jabas")*(MOVIMIENTOS!$A$5:$A$400&lt;&gt;"")*(MOVIMIENTOS!$A$5:$A$400&lt;=$A23)*MOVIMIENTOS!$E$5:$E$400)-SUMPRODUCT((MOVIMIENTOS!$B$5:$B$400="ENVÍO A SUPESA")*(MOVIMIENTOS!$C$5:$C$400="P")*(MOVIMIENTOS!$D$5:$D$400="jabas")*(MOVIMIENTOS!$A$5:$A$400&lt;&gt;"")*(MOVIMIENTOS!$A$5:$A$400&lt;=$A23)*MOVIMIENTOS!$E$5:$E$400)+SUMPRODUCT((MOVIMIENTOS!$B$5:$B$400="DEVOLUCIÓN")*(MOVIMIENTOS!$C$5:$C$400="P")*(MOVIMIENTOS!$D$5:$D$400="jabas")*(MOVIMIENTOS!$A$5:$A$400&lt;&gt;"")*(MOVIMIENTOS!$A$5:$A$400&lt;=$A23)*MOVIMIENTOS!$E$5:$E$400)-SUMPRODUCT((MOVIMIENTOS!$B$5:$B$400="TRASIEGO")*(MOVIMIENTOS!$C$5:$C$400="P")*(MOVIMIENTOS!$D$5:$D$400="jabas")*(MOVIMIENTOS!$A$5:$A$400&lt;&gt;"")*(MOVIMIENTOS!$A$5:$A$400&lt;=$A23)*MOVIMIENTOS!$E$5:$E$400)-SUMPRODUCT((MOVIMIENTOS!$B$5:$B$400="REGALO")*(MOVIMIENTOS!$C$5:$C$400="P")*(MOVIMIENTOS!$D$5:$D$400="jabas")*(MOVIMIENTOS!$A$5:$A$400&lt;&gt;"")*(MOVIMIENTOS!$A$5:$A$400&lt;=$A23)*MOVIMIENTOS!$E$5:$E$400)-SUMPRODUCT((MOVIMIENTOS!$B$5:$B$400="VENTA")*(MOVIMIENTOS!$C$5:$C$400="P")*(MOVIMIENTOS!$D$5:$D$400="jabas")*(MOVIMIENTOS!$A$5:$A$400&lt;&gt;"")*(MOVIMIENTOS!$A$5:$A$400&lt;=$A23)*MOVIMIENTOS!$E$5:$E$400)+SUMPRODUCT((MOVIMIENTOS!$B$5:$B$400="AJUSTE")*(MOVIMIENTOS!$C$5:$C$400="P")*(MOVIMIENTOS!$D$5:$D$400="jabas")*(MOVIMIENTOS!$A$5:$A$400&lt;&gt;"")*(MOVIMIENTOS!$A$5:$A$400&lt;=$A23)*MOVIMIENTOS!$E$5:$E$400))</f>
        <v>0</v>
      </c>
      <c r="D23" s="46" t="n">
        <f aca="false">IF($A23="","",SUMPRODUCT((MOVIMIENTOS!$B$5:$B$400="SALDO INICIAL")*(MOVIMIENTOS!$C$5:$C$400="C")*(MOVIMIENTOS!$D$5:$D$400="jabas")*(MOVIMIENTOS!$A$5:$A$400&lt;&gt;"")*(MOVIMIENTOS!$A$5:$A$400&lt;=$A23)*MOVIMIENTOS!$E$5:$E$400)+SUMPRODUCT((MOVIMIENTOS!$B$5:$B$400="PROCESO")*(MOVIMIENTOS!$C$5:$C$400="C")*(MOVIMIENTOS!$D$5:$D$400="jabas")*(MOVIMIENTOS!$A$5:$A$400&lt;&gt;"")*(MOVIMIENTOS!$A$5:$A$400&lt;=$A23)*MOVIMIENTOS!$E$5:$E$400)-SUMPRODUCT((MOVIMIENTOS!$B$5:$B$400="ENVÍO A SUPESA")*(MOVIMIENTOS!$C$5:$C$400="C")*(MOVIMIENTOS!$D$5:$D$400="jabas")*(MOVIMIENTOS!$A$5:$A$400&lt;&gt;"")*(MOVIMIENTOS!$A$5:$A$400&lt;=$A23)*MOVIMIENTOS!$E$5:$E$400)+SUMPRODUCT((MOVIMIENTOS!$B$5:$B$400="DEVOLUCIÓN")*(MOVIMIENTOS!$C$5:$C$400="C")*(MOVIMIENTOS!$D$5:$D$400="jabas")*(MOVIMIENTOS!$A$5:$A$400&lt;&gt;"")*(MOVIMIENTOS!$A$5:$A$400&lt;=$A23)*MOVIMIENTOS!$E$5:$E$400)-SUMPRODUCT((MOVIMIENTOS!$B$5:$B$400="TRASIEGO")*(MOVIMIENTOS!$C$5:$C$400="C")*(MOVIMIENTOS!$D$5:$D$400="jabas")*(MOVIMIENTOS!$A$5:$A$400&lt;&gt;"")*(MOVIMIENTOS!$A$5:$A$400&lt;=$A23)*MOVIMIENTOS!$E$5:$E$400)-SUMPRODUCT((MOVIMIENTOS!$B$5:$B$400="REGALO")*(MOVIMIENTOS!$C$5:$C$400="C")*(MOVIMIENTOS!$D$5:$D$400="jabas")*(MOVIMIENTOS!$A$5:$A$400&lt;&gt;"")*(MOVIMIENTOS!$A$5:$A$400&lt;=$A23)*MOVIMIENTOS!$E$5:$E$400)-SUMPRODUCT((MOVIMIENTOS!$B$5:$B$400="VENTA")*(MOVIMIENTOS!$C$5:$C$400="C")*(MOVIMIENTOS!$D$5:$D$400="jabas")*(MOVIMIENTOS!$A$5:$A$400&lt;&gt;"")*(MOVIMIENTOS!$A$5:$A$400&lt;=$A23)*MOVIMIENTOS!$E$5:$E$400)+SUMPRODUCT((MOVIMIENTOS!$B$5:$B$400="AJUSTE")*(MOVIMIENTOS!$C$5:$C$400="C")*(MOVIMIENTOS!$D$5:$D$400="jabas")*(MOVIMIENTOS!$A$5:$A$400&lt;&gt;"")*(MOVIMIENTOS!$A$5:$A$400&lt;=$A23)*MOVIMIENTOS!$E$5:$E$400))</f>
        <v>0</v>
      </c>
      <c r="E23" s="46" t="n">
        <f aca="false">IF($A23="","",SUMPRODUCT((MOVIMIENTOS!$B$5:$B$400="SALDO INICIAL")*(MOVIMIENTOS!$C$5:$C$400="M")*(MOVIMIENTOS!$D$5:$D$400="jabas")*(MOVIMIENTOS!$A$5:$A$400&lt;&gt;"")*(MOVIMIENTOS!$A$5:$A$400&lt;=$A23)*MOVIMIENTOS!$E$5:$E$400)+SUMPRODUCT((MOVIMIENTOS!$B$5:$B$400="PROCESO")*(MOVIMIENTOS!$C$5:$C$400="M")*(MOVIMIENTOS!$D$5:$D$400="jabas")*(MOVIMIENTOS!$A$5:$A$400&lt;&gt;"")*(MOVIMIENTOS!$A$5:$A$400&lt;=$A23)*MOVIMIENTOS!$E$5:$E$400)-SUMPRODUCT((MOVIMIENTOS!$B$5:$B$400="ENVÍO A SUPESA")*(MOVIMIENTOS!$C$5:$C$400="M")*(MOVIMIENTOS!$D$5:$D$400="jabas")*(MOVIMIENTOS!$A$5:$A$400&lt;&gt;"")*(MOVIMIENTOS!$A$5:$A$400&lt;=$A23)*MOVIMIENTOS!$E$5:$E$400)+SUMPRODUCT((MOVIMIENTOS!$B$5:$B$400="DEVOLUCIÓN")*(MOVIMIENTOS!$C$5:$C$400="M")*(MOVIMIENTOS!$D$5:$D$400="jabas")*(MOVIMIENTOS!$A$5:$A$400&lt;&gt;"")*(MOVIMIENTOS!$A$5:$A$400&lt;=$A23)*MOVIMIENTOS!$E$5:$E$400)-SUMPRODUCT((MOVIMIENTOS!$B$5:$B$400="TRASIEGO")*(MOVIMIENTOS!$C$5:$C$400="M")*(MOVIMIENTOS!$D$5:$D$400="jabas")*(MOVIMIENTOS!$A$5:$A$400&lt;&gt;"")*(MOVIMIENTOS!$A$5:$A$400&lt;=$A23)*MOVIMIENTOS!$E$5:$E$400)-SUMPRODUCT((MOVIMIENTOS!$B$5:$B$400="REGALO")*(MOVIMIENTOS!$C$5:$C$400="M")*(MOVIMIENTOS!$D$5:$D$400="jabas")*(MOVIMIENTOS!$A$5:$A$400&lt;&gt;"")*(MOVIMIENTOS!$A$5:$A$400&lt;=$A23)*MOVIMIENTOS!$E$5:$E$400)-SUMPRODUCT((MOVIMIENTOS!$B$5:$B$400="VENTA")*(MOVIMIENTOS!$C$5:$C$400="M")*(MOVIMIENTOS!$D$5:$D$400="jabas")*(MOVIMIENTOS!$A$5:$A$400&lt;&gt;"")*(MOVIMIENTOS!$A$5:$A$400&lt;=$A23)*MOVIMIENTOS!$E$5:$E$400)+SUMPRODUCT((MOVIMIENTOS!$B$5:$B$400="AJUSTE")*(MOVIMIENTOS!$C$5:$C$400="M")*(MOVIMIENTOS!$D$5:$D$400="jabas")*(MOVIMIENTOS!$A$5:$A$400&lt;&gt;"")*(MOVIMIENTOS!$A$5:$A$400&lt;=$A23)*MOVIMIENTOS!$E$5:$E$400))</f>
        <v>29</v>
      </c>
      <c r="F23" s="46" t="n">
        <f aca="false">IF($A23="","",SUMPRODUCT((MOVIMIENTOS!$B$5:$B$400="SALDO INICIAL")*(MOVIMIENTOS!$C$5:$C$400="Chancho")*(MOVIMIENTOS!$D$5:$D$400="sacos")*(MOVIMIENTOS!$A$5:$A$400&lt;&gt;"")*(MOVIMIENTOS!$A$5:$A$400&lt;=$A23)*MOVIMIENTOS!$E$5:$E$400)+SUMPRODUCT((MOVIMIENTOS!$B$5:$B$400="PROCESO")*(MOVIMIENTOS!$C$5:$C$400="Chancho")*(MOVIMIENTOS!$D$5:$D$400="sacos")*(MOVIMIENTOS!$A$5:$A$400&lt;&gt;"")*(MOVIMIENTOS!$A$5:$A$400&lt;=$A23)*MOVIMIENTOS!$E$5:$E$400)-SUMPRODUCT((MOVIMIENTOS!$B$5:$B$400="VENTA CHANCHO")*(MOVIMIENTOS!$C$5:$C$400="Chancho")*(MOVIMIENTOS!$D$5:$D$400="sacos")*(MOVIMIENTOS!$A$5:$A$400&lt;&gt;"")*(MOVIMIENTOS!$A$5:$A$400&lt;=$A23)*MOVIMIENTOS!$E$5:$E$400)-SUMPRODUCT((MOVIMIENTOS!$B$5:$B$400="REGALO")*(MOVIMIENTOS!$C$5:$C$400="Chancho")*(MOVIMIENTOS!$D$5:$D$400="sacos")*(MOVIMIENTOS!$A$5:$A$400&lt;&gt;"")*(MOVIMIENTOS!$A$5:$A$400&lt;=$A23)*MOVIMIENTOS!$E$5:$E$400)-SUMPRODUCT((MOVIMIENTOS!$B$5:$B$400="VENTA")*(MOVIMIENTOS!$C$5:$C$400="Chancho")*(MOVIMIENTOS!$D$5:$D$400="sacos")*(MOVIMIENTOS!$A$5:$A$400&lt;&gt;"")*(MOVIMIENTOS!$A$5:$A$400&lt;=$A23)*MOVIMIENTOS!$E$5:$E$400)+SUMPRODUCT((MOVIMIENTOS!$B$5:$B$400="AJUSTE")*(MOVIMIENTOS!$C$5:$C$400="Chancho")*(MOVIMIENTOS!$D$5:$D$400="sacos")*(MOVIMIENTOS!$A$5:$A$400&lt;&gt;"")*(MOVIMIENTOS!$A$5:$A$400&lt;=$A23)*MOVIMIENTOS!$E$5:$E$400))</f>
        <v>12</v>
      </c>
      <c r="G23" s="46" t="n">
        <f aca="false">IF($A23="","",SUM(B23:E23))</f>
        <v>68</v>
      </c>
      <c r="H23" s="46" t="n">
        <f aca="false">IF($A23="","",SUMPRODUCT((((MOVIMIENTOS!$B$5:$B$400="SALDO INICIAL")*(MOVIMIENTOS!$C$5:$C$400&lt;&gt;"Chancho"))+(MOVIMIENTOS!$B$5:$B$400="COMPRA")+(MOVIMIENTOS!$B$5:$B$400="REPROCESO")+(MOVIMIENTOS!$B$5:$B$400="DEVOLUCIÓN")+((MOVIMIENTOS!$B$5:$B$400="AJUSTE")*(MOVIMIENTOS!$C$5:$C$400&lt;&gt;"Chancho")))*(MOVIMIENTOS!$A$5:$A$400&lt;&gt;"")*(MOVIMIENTOS!$A$5:$A$400&lt;=$A23)*MOVIMIENTOS!$I$5:$I$400)-SUMPRODUCT(((MOVIMIENTOS!$B$5:$B$400="ENVÍO A SUPESA")+(MOVIMIENTOS!$B$5:$B$400="ENVÍO A TOTTUS")+(MOVIMIENTOS!$B$5:$B$400="ENVIO A TOTTUS")+(MOVIMIENTOS!$B$5:$B$400="MALOGRADO")+(MOVIMIENTOS!$B$5:$B$400="OTRA SALIDA")+((MOVIMIENTOS!$B$5:$B$400="PROCESO")*(MOVIMIENTOS!$C$5:$C$400="Chancho"))+((MOVIMIENTOS!$B$5:$B$400="REGALO")*(MOVIMIENTOS!$C$5:$C$400&lt;&gt;"Chancho"))+((MOVIMIENTOS!$B$5:$B$400="VENTA")*(MOVIMIENTOS!$C$5:$C$400&lt;&gt;"Chancho")))*(MOVIMIENTOS!$A$5:$A$400&lt;&gt;"")*(MOVIMIENTOS!$A$5:$A$400&lt;=$A23)*MOVIMIENTOS!$I$5:$I$400))</f>
        <v>1829.5</v>
      </c>
      <c r="I23" s="44"/>
      <c r="J23" s="44" t="str">
        <f aca="false">IF(AND(MOVIMIENTOS!$A23&lt;&gt;"",COUNTIF(MOVIMIENTOS!$A$5:$A22,MOVIMIENTOS!$A23)=0),COUNT(J$4:J22)+1,"")</f>
        <v/>
      </c>
      <c r="K23" s="47" t="n">
        <f aca="false">MOVIMIENTOS!$A23</f>
        <v>46216</v>
      </c>
      <c r="L23" s="44"/>
      <c r="M23" s="44"/>
      <c r="N23" s="44"/>
    </row>
    <row r="24" customFormat="false" ht="15" hidden="false" customHeight="true" outlineLevel="0" collapsed="false">
      <c r="A24" s="45" t="n">
        <f aca="false">IFERROR(INDEX(K$5:K$400,MATCH(ROW()-4,J$5:J$400,0)),"")</f>
        <v>46233</v>
      </c>
      <c r="B24" s="46" t="n">
        <f aca="false">IF($A24="","",SUMPRODUCT((MOVIMIENTOS!$B$5:$B$400="SALDO INICIAL")*(MOVIMIENTOS!$C$5:$C$400="A")*(MOVIMIENTOS!$D$5:$D$400="jabas")*(MOVIMIENTOS!$A$5:$A$400&lt;&gt;"")*(MOVIMIENTOS!$A$5:$A$400&lt;=$A24)*MOVIMIENTOS!$E$5:$E$400)+SUMPRODUCT((MOVIMIENTOS!$B$5:$B$400="PROCESO")*(MOVIMIENTOS!$C$5:$C$400="A")*(MOVIMIENTOS!$D$5:$D$400="jabas")*(MOVIMIENTOS!$A$5:$A$400&lt;&gt;"")*(MOVIMIENTOS!$A$5:$A$400&lt;=$A24)*MOVIMIENTOS!$E$5:$E$400)-SUMPRODUCT((MOVIMIENTOS!$B$5:$B$400="ENVÍO A SUPESA")*(MOVIMIENTOS!$C$5:$C$400="A")*(MOVIMIENTOS!$D$5:$D$400="jabas")*(MOVIMIENTOS!$A$5:$A$400&lt;&gt;"")*(MOVIMIENTOS!$A$5:$A$400&lt;=$A24)*MOVIMIENTOS!$E$5:$E$400)+SUMPRODUCT((MOVIMIENTOS!$B$5:$B$400="DEVOLUCIÓN")*(MOVIMIENTOS!$C$5:$C$400="A")*(MOVIMIENTOS!$D$5:$D$400="jabas")*(MOVIMIENTOS!$A$5:$A$400&lt;&gt;"")*(MOVIMIENTOS!$A$5:$A$400&lt;=$A24)*MOVIMIENTOS!$E$5:$E$400)-SUMPRODUCT((MOVIMIENTOS!$B$5:$B$400="TRASIEGO")*(MOVIMIENTOS!$C$5:$C$400="A")*(MOVIMIENTOS!$D$5:$D$400="jabas")*(MOVIMIENTOS!$A$5:$A$400&lt;&gt;"")*(MOVIMIENTOS!$A$5:$A$400&lt;=$A24)*MOVIMIENTOS!$E$5:$E$400)-SUMPRODUCT((MOVIMIENTOS!$B$5:$B$400="REGALO")*(MOVIMIENTOS!$C$5:$C$400="A")*(MOVIMIENTOS!$D$5:$D$400="jabas")*(MOVIMIENTOS!$A$5:$A$400&lt;&gt;"")*(MOVIMIENTOS!$A$5:$A$400&lt;=$A24)*MOVIMIENTOS!$E$5:$E$400)-SUMPRODUCT((MOVIMIENTOS!$B$5:$B$400="VENTA")*(MOVIMIENTOS!$C$5:$C$400="A")*(MOVIMIENTOS!$D$5:$D$400="jabas")*(MOVIMIENTOS!$A$5:$A$400&lt;&gt;"")*(MOVIMIENTOS!$A$5:$A$400&lt;=$A24)*MOVIMIENTOS!$E$5:$E$400)+SUMPRODUCT((MOVIMIENTOS!$B$5:$B$400="AJUSTE")*(MOVIMIENTOS!$C$5:$C$400="A")*(MOVIMIENTOS!$D$5:$D$400="jabas")*(MOVIMIENTOS!$A$5:$A$400&lt;&gt;"")*(MOVIMIENTOS!$A$5:$A$400&lt;=$A24)*MOVIMIENTOS!$E$5:$E$400))</f>
        <v>18</v>
      </c>
      <c r="C24" s="46" t="n">
        <f aca="false">IF($A24="","",SUMPRODUCT((MOVIMIENTOS!$B$5:$B$400="SALDO INICIAL")*(MOVIMIENTOS!$C$5:$C$400="P")*(MOVIMIENTOS!$D$5:$D$400="jabas")*(MOVIMIENTOS!$A$5:$A$400&lt;&gt;"")*(MOVIMIENTOS!$A$5:$A$400&lt;=$A24)*MOVIMIENTOS!$E$5:$E$400)+SUMPRODUCT((MOVIMIENTOS!$B$5:$B$400="PROCESO")*(MOVIMIENTOS!$C$5:$C$400="P")*(MOVIMIENTOS!$D$5:$D$400="jabas")*(MOVIMIENTOS!$A$5:$A$400&lt;&gt;"")*(MOVIMIENTOS!$A$5:$A$400&lt;=$A24)*MOVIMIENTOS!$E$5:$E$400)-SUMPRODUCT((MOVIMIENTOS!$B$5:$B$400="ENVÍO A SUPESA")*(MOVIMIENTOS!$C$5:$C$400="P")*(MOVIMIENTOS!$D$5:$D$400="jabas")*(MOVIMIENTOS!$A$5:$A$400&lt;&gt;"")*(MOVIMIENTOS!$A$5:$A$400&lt;=$A24)*MOVIMIENTOS!$E$5:$E$400)+SUMPRODUCT((MOVIMIENTOS!$B$5:$B$400="DEVOLUCIÓN")*(MOVIMIENTOS!$C$5:$C$400="P")*(MOVIMIENTOS!$D$5:$D$400="jabas")*(MOVIMIENTOS!$A$5:$A$400&lt;&gt;"")*(MOVIMIENTOS!$A$5:$A$400&lt;=$A24)*MOVIMIENTOS!$E$5:$E$400)-SUMPRODUCT((MOVIMIENTOS!$B$5:$B$400="TRASIEGO")*(MOVIMIENTOS!$C$5:$C$400="P")*(MOVIMIENTOS!$D$5:$D$400="jabas")*(MOVIMIENTOS!$A$5:$A$400&lt;&gt;"")*(MOVIMIENTOS!$A$5:$A$400&lt;=$A24)*MOVIMIENTOS!$E$5:$E$400)-SUMPRODUCT((MOVIMIENTOS!$B$5:$B$400="REGALO")*(MOVIMIENTOS!$C$5:$C$400="P")*(MOVIMIENTOS!$D$5:$D$400="jabas")*(MOVIMIENTOS!$A$5:$A$400&lt;&gt;"")*(MOVIMIENTOS!$A$5:$A$400&lt;=$A24)*MOVIMIENTOS!$E$5:$E$400)-SUMPRODUCT((MOVIMIENTOS!$B$5:$B$400="VENTA")*(MOVIMIENTOS!$C$5:$C$400="P")*(MOVIMIENTOS!$D$5:$D$400="jabas")*(MOVIMIENTOS!$A$5:$A$400&lt;&gt;"")*(MOVIMIENTOS!$A$5:$A$400&lt;=$A24)*MOVIMIENTOS!$E$5:$E$400)+SUMPRODUCT((MOVIMIENTOS!$B$5:$B$400="AJUSTE")*(MOVIMIENTOS!$C$5:$C$400="P")*(MOVIMIENTOS!$D$5:$D$400="jabas")*(MOVIMIENTOS!$A$5:$A$400&lt;&gt;"")*(MOVIMIENTOS!$A$5:$A$400&lt;=$A24)*MOVIMIENTOS!$E$5:$E$400))</f>
        <v>0</v>
      </c>
      <c r="D24" s="46" t="n">
        <f aca="false">IF($A24="","",SUMPRODUCT((MOVIMIENTOS!$B$5:$B$400="SALDO INICIAL")*(MOVIMIENTOS!$C$5:$C$400="C")*(MOVIMIENTOS!$D$5:$D$400="jabas")*(MOVIMIENTOS!$A$5:$A$400&lt;&gt;"")*(MOVIMIENTOS!$A$5:$A$400&lt;=$A24)*MOVIMIENTOS!$E$5:$E$400)+SUMPRODUCT((MOVIMIENTOS!$B$5:$B$400="PROCESO")*(MOVIMIENTOS!$C$5:$C$400="C")*(MOVIMIENTOS!$D$5:$D$400="jabas")*(MOVIMIENTOS!$A$5:$A$400&lt;&gt;"")*(MOVIMIENTOS!$A$5:$A$400&lt;=$A24)*MOVIMIENTOS!$E$5:$E$400)-SUMPRODUCT((MOVIMIENTOS!$B$5:$B$400="ENVÍO A SUPESA")*(MOVIMIENTOS!$C$5:$C$400="C")*(MOVIMIENTOS!$D$5:$D$400="jabas")*(MOVIMIENTOS!$A$5:$A$400&lt;&gt;"")*(MOVIMIENTOS!$A$5:$A$400&lt;=$A24)*MOVIMIENTOS!$E$5:$E$400)+SUMPRODUCT((MOVIMIENTOS!$B$5:$B$400="DEVOLUCIÓN")*(MOVIMIENTOS!$C$5:$C$400="C")*(MOVIMIENTOS!$D$5:$D$400="jabas")*(MOVIMIENTOS!$A$5:$A$400&lt;&gt;"")*(MOVIMIENTOS!$A$5:$A$400&lt;=$A24)*MOVIMIENTOS!$E$5:$E$400)-SUMPRODUCT((MOVIMIENTOS!$B$5:$B$400="TRASIEGO")*(MOVIMIENTOS!$C$5:$C$400="C")*(MOVIMIENTOS!$D$5:$D$400="jabas")*(MOVIMIENTOS!$A$5:$A$400&lt;&gt;"")*(MOVIMIENTOS!$A$5:$A$400&lt;=$A24)*MOVIMIENTOS!$E$5:$E$400)-SUMPRODUCT((MOVIMIENTOS!$B$5:$B$400="REGALO")*(MOVIMIENTOS!$C$5:$C$400="C")*(MOVIMIENTOS!$D$5:$D$400="jabas")*(MOVIMIENTOS!$A$5:$A$400&lt;&gt;"")*(MOVIMIENTOS!$A$5:$A$400&lt;=$A24)*MOVIMIENTOS!$E$5:$E$400)-SUMPRODUCT((MOVIMIENTOS!$B$5:$B$400="VENTA")*(MOVIMIENTOS!$C$5:$C$400="C")*(MOVIMIENTOS!$D$5:$D$400="jabas")*(MOVIMIENTOS!$A$5:$A$400&lt;&gt;"")*(MOVIMIENTOS!$A$5:$A$400&lt;=$A24)*MOVIMIENTOS!$E$5:$E$400)+SUMPRODUCT((MOVIMIENTOS!$B$5:$B$400="AJUSTE")*(MOVIMIENTOS!$C$5:$C$400="C")*(MOVIMIENTOS!$D$5:$D$400="jabas")*(MOVIMIENTOS!$A$5:$A$400&lt;&gt;"")*(MOVIMIENTOS!$A$5:$A$400&lt;=$A24)*MOVIMIENTOS!$E$5:$E$400))</f>
        <v>0</v>
      </c>
      <c r="E24" s="46" t="n">
        <f aca="false">IF($A24="","",SUMPRODUCT((MOVIMIENTOS!$B$5:$B$400="SALDO INICIAL")*(MOVIMIENTOS!$C$5:$C$400="M")*(MOVIMIENTOS!$D$5:$D$400="jabas")*(MOVIMIENTOS!$A$5:$A$400&lt;&gt;"")*(MOVIMIENTOS!$A$5:$A$400&lt;=$A24)*MOVIMIENTOS!$E$5:$E$400)+SUMPRODUCT((MOVIMIENTOS!$B$5:$B$400="PROCESO")*(MOVIMIENTOS!$C$5:$C$400="M")*(MOVIMIENTOS!$D$5:$D$400="jabas")*(MOVIMIENTOS!$A$5:$A$400&lt;&gt;"")*(MOVIMIENTOS!$A$5:$A$400&lt;=$A24)*MOVIMIENTOS!$E$5:$E$400)-SUMPRODUCT((MOVIMIENTOS!$B$5:$B$400="ENVÍO A SUPESA")*(MOVIMIENTOS!$C$5:$C$400="M")*(MOVIMIENTOS!$D$5:$D$400="jabas")*(MOVIMIENTOS!$A$5:$A$400&lt;&gt;"")*(MOVIMIENTOS!$A$5:$A$400&lt;=$A24)*MOVIMIENTOS!$E$5:$E$400)+SUMPRODUCT((MOVIMIENTOS!$B$5:$B$400="DEVOLUCIÓN")*(MOVIMIENTOS!$C$5:$C$400="M")*(MOVIMIENTOS!$D$5:$D$400="jabas")*(MOVIMIENTOS!$A$5:$A$400&lt;&gt;"")*(MOVIMIENTOS!$A$5:$A$400&lt;=$A24)*MOVIMIENTOS!$E$5:$E$400)-SUMPRODUCT((MOVIMIENTOS!$B$5:$B$400="TRASIEGO")*(MOVIMIENTOS!$C$5:$C$400="M")*(MOVIMIENTOS!$D$5:$D$400="jabas")*(MOVIMIENTOS!$A$5:$A$400&lt;&gt;"")*(MOVIMIENTOS!$A$5:$A$400&lt;=$A24)*MOVIMIENTOS!$E$5:$E$400)-SUMPRODUCT((MOVIMIENTOS!$B$5:$B$400="REGALO")*(MOVIMIENTOS!$C$5:$C$400="M")*(MOVIMIENTOS!$D$5:$D$400="jabas")*(MOVIMIENTOS!$A$5:$A$400&lt;&gt;"")*(MOVIMIENTOS!$A$5:$A$400&lt;=$A24)*MOVIMIENTOS!$E$5:$E$400)-SUMPRODUCT((MOVIMIENTOS!$B$5:$B$400="VENTA")*(MOVIMIENTOS!$C$5:$C$400="M")*(MOVIMIENTOS!$D$5:$D$400="jabas")*(MOVIMIENTOS!$A$5:$A$400&lt;&gt;"")*(MOVIMIENTOS!$A$5:$A$400&lt;=$A24)*MOVIMIENTOS!$E$5:$E$400)+SUMPRODUCT((MOVIMIENTOS!$B$5:$B$400="AJUSTE")*(MOVIMIENTOS!$C$5:$C$400="M")*(MOVIMIENTOS!$D$5:$D$400="jabas")*(MOVIMIENTOS!$A$5:$A$400&lt;&gt;"")*(MOVIMIENTOS!$A$5:$A$400&lt;=$A24)*MOVIMIENTOS!$E$5:$E$400))</f>
        <v>0</v>
      </c>
      <c r="F24" s="46" t="n">
        <f aca="false">IF($A24="","",SUMPRODUCT((MOVIMIENTOS!$B$5:$B$400="SALDO INICIAL")*(MOVIMIENTOS!$C$5:$C$400="Chancho")*(MOVIMIENTOS!$D$5:$D$400="sacos")*(MOVIMIENTOS!$A$5:$A$400&lt;&gt;"")*(MOVIMIENTOS!$A$5:$A$400&lt;=$A24)*MOVIMIENTOS!$E$5:$E$400)+SUMPRODUCT((MOVIMIENTOS!$B$5:$B$400="PROCESO")*(MOVIMIENTOS!$C$5:$C$400="Chancho")*(MOVIMIENTOS!$D$5:$D$400="sacos")*(MOVIMIENTOS!$A$5:$A$400&lt;&gt;"")*(MOVIMIENTOS!$A$5:$A$400&lt;=$A24)*MOVIMIENTOS!$E$5:$E$400)-SUMPRODUCT((MOVIMIENTOS!$B$5:$B$400="VENTA CHANCHO")*(MOVIMIENTOS!$C$5:$C$400="Chancho")*(MOVIMIENTOS!$D$5:$D$400="sacos")*(MOVIMIENTOS!$A$5:$A$400&lt;&gt;"")*(MOVIMIENTOS!$A$5:$A$400&lt;=$A24)*MOVIMIENTOS!$E$5:$E$400)-SUMPRODUCT((MOVIMIENTOS!$B$5:$B$400="REGALO")*(MOVIMIENTOS!$C$5:$C$400="Chancho")*(MOVIMIENTOS!$D$5:$D$400="sacos")*(MOVIMIENTOS!$A$5:$A$400&lt;&gt;"")*(MOVIMIENTOS!$A$5:$A$400&lt;=$A24)*MOVIMIENTOS!$E$5:$E$400)-SUMPRODUCT((MOVIMIENTOS!$B$5:$B$400="VENTA")*(MOVIMIENTOS!$C$5:$C$400="Chancho")*(MOVIMIENTOS!$D$5:$D$400="sacos")*(MOVIMIENTOS!$A$5:$A$400&lt;&gt;"")*(MOVIMIENTOS!$A$5:$A$400&lt;=$A24)*MOVIMIENTOS!$E$5:$E$400)+SUMPRODUCT((MOVIMIENTOS!$B$5:$B$400="AJUSTE")*(MOVIMIENTOS!$C$5:$C$400="Chancho")*(MOVIMIENTOS!$D$5:$D$400="sacos")*(MOVIMIENTOS!$A$5:$A$400&lt;&gt;"")*(MOVIMIENTOS!$A$5:$A$400&lt;=$A24)*MOVIMIENTOS!$E$5:$E$400))</f>
        <v>17</v>
      </c>
      <c r="G24" s="46" t="n">
        <f aca="false">IF($A24="","",SUM(B24:E24))</f>
        <v>18</v>
      </c>
      <c r="H24" s="46" t="n">
        <f aca="false">IF($A24="","",SUMPRODUCT((((MOVIMIENTOS!$B$5:$B$400="SALDO INICIAL")*(MOVIMIENTOS!$C$5:$C$400&lt;&gt;"Chancho"))+(MOVIMIENTOS!$B$5:$B$400="COMPRA")+(MOVIMIENTOS!$B$5:$B$400="REPROCESO")+(MOVIMIENTOS!$B$5:$B$400="DEVOLUCIÓN")+((MOVIMIENTOS!$B$5:$B$400="AJUSTE")*(MOVIMIENTOS!$C$5:$C$400&lt;&gt;"Chancho")))*(MOVIMIENTOS!$A$5:$A$400&lt;&gt;"")*(MOVIMIENTOS!$A$5:$A$400&lt;=$A24)*MOVIMIENTOS!$I$5:$I$400)-SUMPRODUCT(((MOVIMIENTOS!$B$5:$B$400="ENVÍO A SUPESA")+(MOVIMIENTOS!$B$5:$B$400="ENVÍO A TOTTUS")+(MOVIMIENTOS!$B$5:$B$400="ENVIO A TOTTUS")+(MOVIMIENTOS!$B$5:$B$400="MALOGRADO")+(MOVIMIENTOS!$B$5:$B$400="OTRA SALIDA")+((MOVIMIENTOS!$B$5:$B$400="PROCESO")*(MOVIMIENTOS!$C$5:$C$400="Chancho"))+((MOVIMIENTOS!$B$5:$B$400="REGALO")*(MOVIMIENTOS!$C$5:$C$400&lt;&gt;"Chancho"))+((MOVIMIENTOS!$B$5:$B$400="VENTA")*(MOVIMIENTOS!$C$5:$C$400&lt;&gt;"Chancho")))*(MOVIMIENTOS!$A$5:$A$400&lt;&gt;"")*(MOVIMIENTOS!$A$5:$A$400&lt;=$A24)*MOVIMIENTOS!$I$5:$I$400))</f>
        <v>960.5</v>
      </c>
      <c r="I24" s="44"/>
      <c r="J24" s="44" t="str">
        <f aca="false">IF(AND(MOVIMIENTOS!$A24&lt;&gt;"",COUNTIF(MOVIMIENTOS!$A$5:$A23,MOVIMIENTOS!$A24)=0),COUNT(J$4:J23)+1,"")</f>
        <v/>
      </c>
      <c r="K24" s="47" t="n">
        <f aca="false">MOVIMIENTOS!$A24</f>
        <v>46216</v>
      </c>
      <c r="L24" s="44"/>
      <c r="M24" s="44"/>
      <c r="N24" s="44"/>
    </row>
    <row r="25" customFormat="false" ht="15" hidden="false" customHeight="true" outlineLevel="0" collapsed="false">
      <c r="A25" s="45" t="n">
        <f aca="false">IFERROR(INDEX(K$5:K$400,MATCH(ROW()-4,J$5:J$400,0)),"")</f>
        <v>46234</v>
      </c>
      <c r="B25" s="46" t="n">
        <f aca="false">IF($A25="","",SUMPRODUCT((MOVIMIENTOS!$B$5:$B$400="SALDO INICIAL")*(MOVIMIENTOS!$C$5:$C$400="A")*(MOVIMIENTOS!$D$5:$D$400="jabas")*(MOVIMIENTOS!$A$5:$A$400&lt;&gt;"")*(MOVIMIENTOS!$A$5:$A$400&lt;=$A25)*MOVIMIENTOS!$E$5:$E$400)+SUMPRODUCT((MOVIMIENTOS!$B$5:$B$400="PROCESO")*(MOVIMIENTOS!$C$5:$C$400="A")*(MOVIMIENTOS!$D$5:$D$400="jabas")*(MOVIMIENTOS!$A$5:$A$400&lt;&gt;"")*(MOVIMIENTOS!$A$5:$A$400&lt;=$A25)*MOVIMIENTOS!$E$5:$E$400)-SUMPRODUCT((MOVIMIENTOS!$B$5:$B$400="ENVÍO A SUPESA")*(MOVIMIENTOS!$C$5:$C$400="A")*(MOVIMIENTOS!$D$5:$D$400="jabas")*(MOVIMIENTOS!$A$5:$A$400&lt;&gt;"")*(MOVIMIENTOS!$A$5:$A$400&lt;=$A25)*MOVIMIENTOS!$E$5:$E$400)+SUMPRODUCT((MOVIMIENTOS!$B$5:$B$400="DEVOLUCIÓN")*(MOVIMIENTOS!$C$5:$C$400="A")*(MOVIMIENTOS!$D$5:$D$400="jabas")*(MOVIMIENTOS!$A$5:$A$400&lt;&gt;"")*(MOVIMIENTOS!$A$5:$A$400&lt;=$A25)*MOVIMIENTOS!$E$5:$E$400)-SUMPRODUCT((MOVIMIENTOS!$B$5:$B$400="TRASIEGO")*(MOVIMIENTOS!$C$5:$C$400="A")*(MOVIMIENTOS!$D$5:$D$400="jabas")*(MOVIMIENTOS!$A$5:$A$400&lt;&gt;"")*(MOVIMIENTOS!$A$5:$A$400&lt;=$A25)*MOVIMIENTOS!$E$5:$E$400)-SUMPRODUCT((MOVIMIENTOS!$B$5:$B$400="REGALO")*(MOVIMIENTOS!$C$5:$C$400="A")*(MOVIMIENTOS!$D$5:$D$400="jabas")*(MOVIMIENTOS!$A$5:$A$400&lt;&gt;"")*(MOVIMIENTOS!$A$5:$A$400&lt;=$A25)*MOVIMIENTOS!$E$5:$E$400)-SUMPRODUCT((MOVIMIENTOS!$B$5:$B$400="VENTA")*(MOVIMIENTOS!$C$5:$C$400="A")*(MOVIMIENTOS!$D$5:$D$400="jabas")*(MOVIMIENTOS!$A$5:$A$400&lt;&gt;"")*(MOVIMIENTOS!$A$5:$A$400&lt;=$A25)*MOVIMIENTOS!$E$5:$E$400)+SUMPRODUCT((MOVIMIENTOS!$B$5:$B$400="AJUSTE")*(MOVIMIENTOS!$C$5:$C$400="A")*(MOVIMIENTOS!$D$5:$D$400="jabas")*(MOVIMIENTOS!$A$5:$A$400&lt;&gt;"")*(MOVIMIENTOS!$A$5:$A$400&lt;=$A25)*MOVIMIENTOS!$E$5:$E$400))</f>
        <v>18</v>
      </c>
      <c r="C25" s="46" t="n">
        <f aca="false">IF($A25="","",SUMPRODUCT((MOVIMIENTOS!$B$5:$B$400="SALDO INICIAL")*(MOVIMIENTOS!$C$5:$C$400="P")*(MOVIMIENTOS!$D$5:$D$400="jabas")*(MOVIMIENTOS!$A$5:$A$400&lt;&gt;"")*(MOVIMIENTOS!$A$5:$A$400&lt;=$A25)*MOVIMIENTOS!$E$5:$E$400)+SUMPRODUCT((MOVIMIENTOS!$B$5:$B$400="PROCESO")*(MOVIMIENTOS!$C$5:$C$400="P")*(MOVIMIENTOS!$D$5:$D$400="jabas")*(MOVIMIENTOS!$A$5:$A$400&lt;&gt;"")*(MOVIMIENTOS!$A$5:$A$400&lt;=$A25)*MOVIMIENTOS!$E$5:$E$400)-SUMPRODUCT((MOVIMIENTOS!$B$5:$B$400="ENVÍO A SUPESA")*(MOVIMIENTOS!$C$5:$C$400="P")*(MOVIMIENTOS!$D$5:$D$400="jabas")*(MOVIMIENTOS!$A$5:$A$400&lt;&gt;"")*(MOVIMIENTOS!$A$5:$A$400&lt;=$A25)*MOVIMIENTOS!$E$5:$E$400)+SUMPRODUCT((MOVIMIENTOS!$B$5:$B$400="DEVOLUCIÓN")*(MOVIMIENTOS!$C$5:$C$400="P")*(MOVIMIENTOS!$D$5:$D$400="jabas")*(MOVIMIENTOS!$A$5:$A$400&lt;&gt;"")*(MOVIMIENTOS!$A$5:$A$400&lt;=$A25)*MOVIMIENTOS!$E$5:$E$400)-SUMPRODUCT((MOVIMIENTOS!$B$5:$B$400="TRASIEGO")*(MOVIMIENTOS!$C$5:$C$400="P")*(MOVIMIENTOS!$D$5:$D$400="jabas")*(MOVIMIENTOS!$A$5:$A$400&lt;&gt;"")*(MOVIMIENTOS!$A$5:$A$400&lt;=$A25)*MOVIMIENTOS!$E$5:$E$400)-SUMPRODUCT((MOVIMIENTOS!$B$5:$B$400="REGALO")*(MOVIMIENTOS!$C$5:$C$400="P")*(MOVIMIENTOS!$D$5:$D$400="jabas")*(MOVIMIENTOS!$A$5:$A$400&lt;&gt;"")*(MOVIMIENTOS!$A$5:$A$400&lt;=$A25)*MOVIMIENTOS!$E$5:$E$400)-SUMPRODUCT((MOVIMIENTOS!$B$5:$B$400="VENTA")*(MOVIMIENTOS!$C$5:$C$400="P")*(MOVIMIENTOS!$D$5:$D$400="jabas")*(MOVIMIENTOS!$A$5:$A$400&lt;&gt;"")*(MOVIMIENTOS!$A$5:$A$400&lt;=$A25)*MOVIMIENTOS!$E$5:$E$400)+SUMPRODUCT((MOVIMIENTOS!$B$5:$B$400="AJUSTE")*(MOVIMIENTOS!$C$5:$C$400="P")*(MOVIMIENTOS!$D$5:$D$400="jabas")*(MOVIMIENTOS!$A$5:$A$400&lt;&gt;"")*(MOVIMIENTOS!$A$5:$A$400&lt;=$A25)*MOVIMIENTOS!$E$5:$E$400))</f>
        <v>0</v>
      </c>
      <c r="D25" s="46" t="n">
        <f aca="false">IF($A25="","",SUMPRODUCT((MOVIMIENTOS!$B$5:$B$400="SALDO INICIAL")*(MOVIMIENTOS!$C$5:$C$400="C")*(MOVIMIENTOS!$D$5:$D$400="jabas")*(MOVIMIENTOS!$A$5:$A$400&lt;&gt;"")*(MOVIMIENTOS!$A$5:$A$400&lt;=$A25)*MOVIMIENTOS!$E$5:$E$400)+SUMPRODUCT((MOVIMIENTOS!$B$5:$B$400="PROCESO")*(MOVIMIENTOS!$C$5:$C$400="C")*(MOVIMIENTOS!$D$5:$D$400="jabas")*(MOVIMIENTOS!$A$5:$A$400&lt;&gt;"")*(MOVIMIENTOS!$A$5:$A$400&lt;=$A25)*MOVIMIENTOS!$E$5:$E$400)-SUMPRODUCT((MOVIMIENTOS!$B$5:$B$400="ENVÍO A SUPESA")*(MOVIMIENTOS!$C$5:$C$400="C")*(MOVIMIENTOS!$D$5:$D$400="jabas")*(MOVIMIENTOS!$A$5:$A$400&lt;&gt;"")*(MOVIMIENTOS!$A$5:$A$400&lt;=$A25)*MOVIMIENTOS!$E$5:$E$400)+SUMPRODUCT((MOVIMIENTOS!$B$5:$B$400="DEVOLUCIÓN")*(MOVIMIENTOS!$C$5:$C$400="C")*(MOVIMIENTOS!$D$5:$D$400="jabas")*(MOVIMIENTOS!$A$5:$A$400&lt;&gt;"")*(MOVIMIENTOS!$A$5:$A$400&lt;=$A25)*MOVIMIENTOS!$E$5:$E$400)-SUMPRODUCT((MOVIMIENTOS!$B$5:$B$400="TRASIEGO")*(MOVIMIENTOS!$C$5:$C$400="C")*(MOVIMIENTOS!$D$5:$D$400="jabas")*(MOVIMIENTOS!$A$5:$A$400&lt;&gt;"")*(MOVIMIENTOS!$A$5:$A$400&lt;=$A25)*MOVIMIENTOS!$E$5:$E$400)-SUMPRODUCT((MOVIMIENTOS!$B$5:$B$400="REGALO")*(MOVIMIENTOS!$C$5:$C$400="C")*(MOVIMIENTOS!$D$5:$D$400="jabas")*(MOVIMIENTOS!$A$5:$A$400&lt;&gt;"")*(MOVIMIENTOS!$A$5:$A$400&lt;=$A25)*MOVIMIENTOS!$E$5:$E$400)-SUMPRODUCT((MOVIMIENTOS!$B$5:$B$400="VENTA")*(MOVIMIENTOS!$C$5:$C$400="C")*(MOVIMIENTOS!$D$5:$D$400="jabas")*(MOVIMIENTOS!$A$5:$A$400&lt;&gt;"")*(MOVIMIENTOS!$A$5:$A$400&lt;=$A25)*MOVIMIENTOS!$E$5:$E$400)+SUMPRODUCT((MOVIMIENTOS!$B$5:$B$400="AJUSTE")*(MOVIMIENTOS!$C$5:$C$400="C")*(MOVIMIENTOS!$D$5:$D$400="jabas")*(MOVIMIENTOS!$A$5:$A$400&lt;&gt;"")*(MOVIMIENTOS!$A$5:$A$400&lt;=$A25)*MOVIMIENTOS!$E$5:$E$400))</f>
        <v>0</v>
      </c>
      <c r="E25" s="46" t="n">
        <f aca="false">IF($A25="","",SUMPRODUCT((MOVIMIENTOS!$B$5:$B$400="SALDO INICIAL")*(MOVIMIENTOS!$C$5:$C$400="M")*(MOVIMIENTOS!$D$5:$D$400="jabas")*(MOVIMIENTOS!$A$5:$A$400&lt;&gt;"")*(MOVIMIENTOS!$A$5:$A$400&lt;=$A25)*MOVIMIENTOS!$E$5:$E$400)+SUMPRODUCT((MOVIMIENTOS!$B$5:$B$400="PROCESO")*(MOVIMIENTOS!$C$5:$C$400="M")*(MOVIMIENTOS!$D$5:$D$400="jabas")*(MOVIMIENTOS!$A$5:$A$400&lt;&gt;"")*(MOVIMIENTOS!$A$5:$A$400&lt;=$A25)*MOVIMIENTOS!$E$5:$E$400)-SUMPRODUCT((MOVIMIENTOS!$B$5:$B$400="ENVÍO A SUPESA")*(MOVIMIENTOS!$C$5:$C$400="M")*(MOVIMIENTOS!$D$5:$D$400="jabas")*(MOVIMIENTOS!$A$5:$A$400&lt;&gt;"")*(MOVIMIENTOS!$A$5:$A$400&lt;=$A25)*MOVIMIENTOS!$E$5:$E$400)+SUMPRODUCT((MOVIMIENTOS!$B$5:$B$400="DEVOLUCIÓN")*(MOVIMIENTOS!$C$5:$C$400="M")*(MOVIMIENTOS!$D$5:$D$400="jabas")*(MOVIMIENTOS!$A$5:$A$400&lt;&gt;"")*(MOVIMIENTOS!$A$5:$A$400&lt;=$A25)*MOVIMIENTOS!$E$5:$E$400)-SUMPRODUCT((MOVIMIENTOS!$B$5:$B$400="TRASIEGO")*(MOVIMIENTOS!$C$5:$C$400="M")*(MOVIMIENTOS!$D$5:$D$400="jabas")*(MOVIMIENTOS!$A$5:$A$400&lt;&gt;"")*(MOVIMIENTOS!$A$5:$A$400&lt;=$A25)*MOVIMIENTOS!$E$5:$E$400)-SUMPRODUCT((MOVIMIENTOS!$B$5:$B$400="REGALO")*(MOVIMIENTOS!$C$5:$C$400="M")*(MOVIMIENTOS!$D$5:$D$400="jabas")*(MOVIMIENTOS!$A$5:$A$400&lt;&gt;"")*(MOVIMIENTOS!$A$5:$A$400&lt;=$A25)*MOVIMIENTOS!$E$5:$E$400)-SUMPRODUCT((MOVIMIENTOS!$B$5:$B$400="VENTA")*(MOVIMIENTOS!$C$5:$C$400="M")*(MOVIMIENTOS!$D$5:$D$400="jabas")*(MOVIMIENTOS!$A$5:$A$400&lt;&gt;"")*(MOVIMIENTOS!$A$5:$A$400&lt;=$A25)*MOVIMIENTOS!$E$5:$E$400)+SUMPRODUCT((MOVIMIENTOS!$B$5:$B$400="AJUSTE")*(MOVIMIENTOS!$C$5:$C$400="M")*(MOVIMIENTOS!$D$5:$D$400="jabas")*(MOVIMIENTOS!$A$5:$A$400&lt;&gt;"")*(MOVIMIENTOS!$A$5:$A$400&lt;=$A25)*MOVIMIENTOS!$E$5:$E$400))</f>
        <v>0</v>
      </c>
      <c r="F25" s="46" t="n">
        <f aca="false">IF($A25="","",SUMPRODUCT((MOVIMIENTOS!$B$5:$B$400="SALDO INICIAL")*(MOVIMIENTOS!$C$5:$C$400="Chancho")*(MOVIMIENTOS!$D$5:$D$400="sacos")*(MOVIMIENTOS!$A$5:$A$400&lt;&gt;"")*(MOVIMIENTOS!$A$5:$A$400&lt;=$A25)*MOVIMIENTOS!$E$5:$E$400)+SUMPRODUCT((MOVIMIENTOS!$B$5:$B$400="PROCESO")*(MOVIMIENTOS!$C$5:$C$400="Chancho")*(MOVIMIENTOS!$D$5:$D$400="sacos")*(MOVIMIENTOS!$A$5:$A$400&lt;&gt;"")*(MOVIMIENTOS!$A$5:$A$400&lt;=$A25)*MOVIMIENTOS!$E$5:$E$400)-SUMPRODUCT((MOVIMIENTOS!$B$5:$B$400="VENTA CHANCHO")*(MOVIMIENTOS!$C$5:$C$400="Chancho")*(MOVIMIENTOS!$D$5:$D$400="sacos")*(MOVIMIENTOS!$A$5:$A$400&lt;&gt;"")*(MOVIMIENTOS!$A$5:$A$400&lt;=$A25)*MOVIMIENTOS!$E$5:$E$400)-SUMPRODUCT((MOVIMIENTOS!$B$5:$B$400="REGALO")*(MOVIMIENTOS!$C$5:$C$400="Chancho")*(MOVIMIENTOS!$D$5:$D$400="sacos")*(MOVIMIENTOS!$A$5:$A$400&lt;&gt;"")*(MOVIMIENTOS!$A$5:$A$400&lt;=$A25)*MOVIMIENTOS!$E$5:$E$400)-SUMPRODUCT((MOVIMIENTOS!$B$5:$B$400="VENTA")*(MOVIMIENTOS!$C$5:$C$400="Chancho")*(MOVIMIENTOS!$D$5:$D$400="sacos")*(MOVIMIENTOS!$A$5:$A$400&lt;&gt;"")*(MOVIMIENTOS!$A$5:$A$400&lt;=$A25)*MOVIMIENTOS!$E$5:$E$400)+SUMPRODUCT((MOVIMIENTOS!$B$5:$B$400="AJUSTE")*(MOVIMIENTOS!$C$5:$C$400="Chancho")*(MOVIMIENTOS!$D$5:$D$400="sacos")*(MOVIMIENTOS!$A$5:$A$400&lt;&gt;"")*(MOVIMIENTOS!$A$5:$A$400&lt;=$A25)*MOVIMIENTOS!$E$5:$E$400))</f>
        <v>17</v>
      </c>
      <c r="G25" s="46" t="n">
        <f aca="false">IF($A25="","",SUM(B25:E25))</f>
        <v>18</v>
      </c>
      <c r="H25" s="46" t="n">
        <f aca="false">IF($A25="","",SUMPRODUCT((((MOVIMIENTOS!$B$5:$B$400="SALDO INICIAL")*(MOVIMIENTOS!$C$5:$C$400&lt;&gt;"Chancho"))+(MOVIMIENTOS!$B$5:$B$400="COMPRA")+(MOVIMIENTOS!$B$5:$B$400="REPROCESO")+(MOVIMIENTOS!$B$5:$B$400="DEVOLUCIÓN")+((MOVIMIENTOS!$B$5:$B$400="AJUSTE")*(MOVIMIENTOS!$C$5:$C$400&lt;&gt;"Chancho")))*(MOVIMIENTOS!$A$5:$A$400&lt;&gt;"")*(MOVIMIENTOS!$A$5:$A$400&lt;=$A25)*MOVIMIENTOS!$I$5:$I$400)-SUMPRODUCT(((MOVIMIENTOS!$B$5:$B$400="ENVÍO A SUPESA")+(MOVIMIENTOS!$B$5:$B$400="ENVÍO A TOTTUS")+(MOVIMIENTOS!$B$5:$B$400="ENVIO A TOTTUS")+(MOVIMIENTOS!$B$5:$B$400="MALOGRADO")+(MOVIMIENTOS!$B$5:$B$400="OTRA SALIDA")+((MOVIMIENTOS!$B$5:$B$400="PROCESO")*(MOVIMIENTOS!$C$5:$C$400="Chancho"))+((MOVIMIENTOS!$B$5:$B$400="REGALO")*(MOVIMIENTOS!$C$5:$C$400&lt;&gt;"Chancho"))+((MOVIMIENTOS!$B$5:$B$400="VENTA")*(MOVIMIENTOS!$C$5:$C$400&lt;&gt;"Chancho")))*(MOVIMIENTOS!$A$5:$A$400&lt;&gt;"")*(MOVIMIENTOS!$A$5:$A$400&lt;=$A25)*MOVIMIENTOS!$I$5:$I$400))</f>
        <v>7750.5</v>
      </c>
      <c r="I25" s="44"/>
      <c r="J25" s="44" t="str">
        <f aca="false">IF(AND(MOVIMIENTOS!$A25&lt;&gt;"",COUNTIF(MOVIMIENTOS!$A$5:$A24,MOVIMIENTOS!$A25)=0),COUNT(J$4:J24)+1,"")</f>
        <v/>
      </c>
      <c r="K25" s="47" t="n">
        <f aca="false">MOVIMIENTOS!$A25</f>
        <v>46216</v>
      </c>
      <c r="L25" s="44"/>
      <c r="M25" s="44"/>
      <c r="N25" s="44"/>
    </row>
    <row r="26" customFormat="false" ht="15" hidden="false" customHeight="true" outlineLevel="0" collapsed="false">
      <c r="A26" s="45" t="str">
        <f aca="false">IFERROR(INDEX(K$5:K$400,MATCH(ROW()-4,J$5:J$400,0)),"")</f>
        <v/>
      </c>
      <c r="B26" s="46" t="str">
        <f aca="false">IF($A26="","",SUMPRODUCT((MOVIMIENTOS!$B$5:$B$400="SALDO INICIAL")*(MOVIMIENTOS!$C$5:$C$400="A")*(MOVIMIENTOS!$D$5:$D$400="jabas")*(MOVIMIENTOS!$A$5:$A$400&lt;&gt;"")*(MOVIMIENTOS!$A$5:$A$400&lt;=$A26)*MOVIMIENTOS!$E$5:$E$400)+SUMPRODUCT((MOVIMIENTOS!$B$5:$B$400="PROCESO")*(MOVIMIENTOS!$C$5:$C$400="A")*(MOVIMIENTOS!$D$5:$D$400="jabas")*(MOVIMIENTOS!$A$5:$A$400&lt;&gt;"")*(MOVIMIENTOS!$A$5:$A$400&lt;=$A26)*MOVIMIENTOS!$E$5:$E$400)-SUMPRODUCT((MOVIMIENTOS!$B$5:$B$400="ENVÍO A SUPESA")*(MOVIMIENTOS!$C$5:$C$400="A")*(MOVIMIENTOS!$D$5:$D$400="jabas")*(MOVIMIENTOS!$A$5:$A$400&lt;&gt;"")*(MOVIMIENTOS!$A$5:$A$400&lt;=$A26)*MOVIMIENTOS!$E$5:$E$400)+SUMPRODUCT((MOVIMIENTOS!$B$5:$B$400="DEVOLUCIÓN")*(MOVIMIENTOS!$C$5:$C$400="A")*(MOVIMIENTOS!$D$5:$D$400="jabas")*(MOVIMIENTOS!$A$5:$A$400&lt;&gt;"")*(MOVIMIENTOS!$A$5:$A$400&lt;=$A26)*MOVIMIENTOS!$E$5:$E$400)-SUMPRODUCT((MOVIMIENTOS!$B$5:$B$400="TRASIEGO")*(MOVIMIENTOS!$C$5:$C$400="A")*(MOVIMIENTOS!$D$5:$D$400="jabas")*(MOVIMIENTOS!$A$5:$A$400&lt;&gt;"")*(MOVIMIENTOS!$A$5:$A$400&lt;=$A26)*MOVIMIENTOS!$E$5:$E$400)-SUMPRODUCT((MOVIMIENTOS!$B$5:$B$400="REGALO")*(MOVIMIENTOS!$C$5:$C$400="A")*(MOVIMIENTOS!$D$5:$D$400="jabas")*(MOVIMIENTOS!$A$5:$A$400&lt;&gt;"")*(MOVIMIENTOS!$A$5:$A$400&lt;=$A26)*MOVIMIENTOS!$E$5:$E$400)-SUMPRODUCT((MOVIMIENTOS!$B$5:$B$400="VENTA")*(MOVIMIENTOS!$C$5:$C$400="A")*(MOVIMIENTOS!$D$5:$D$400="jabas")*(MOVIMIENTOS!$A$5:$A$400&lt;&gt;"")*(MOVIMIENTOS!$A$5:$A$400&lt;=$A26)*MOVIMIENTOS!$E$5:$E$400)+SUMPRODUCT((MOVIMIENTOS!$B$5:$B$400="AJUSTE")*(MOVIMIENTOS!$C$5:$C$400="A")*(MOVIMIENTOS!$D$5:$D$400="jabas")*(MOVIMIENTOS!$A$5:$A$400&lt;&gt;"")*(MOVIMIENTOS!$A$5:$A$400&lt;=$A26)*MOVIMIENTOS!$E$5:$E$400))</f>
        <v/>
      </c>
      <c r="C26" s="46" t="str">
        <f aca="false">IF($A26="","",SUMPRODUCT((MOVIMIENTOS!$B$5:$B$400="SALDO INICIAL")*(MOVIMIENTOS!$C$5:$C$400="P")*(MOVIMIENTOS!$D$5:$D$400="jabas")*(MOVIMIENTOS!$A$5:$A$400&lt;&gt;"")*(MOVIMIENTOS!$A$5:$A$400&lt;=$A26)*MOVIMIENTOS!$E$5:$E$400)+SUMPRODUCT((MOVIMIENTOS!$B$5:$B$400="PROCESO")*(MOVIMIENTOS!$C$5:$C$400="P")*(MOVIMIENTOS!$D$5:$D$400="jabas")*(MOVIMIENTOS!$A$5:$A$400&lt;&gt;"")*(MOVIMIENTOS!$A$5:$A$400&lt;=$A26)*MOVIMIENTOS!$E$5:$E$400)-SUMPRODUCT((MOVIMIENTOS!$B$5:$B$400="ENVÍO A SUPESA")*(MOVIMIENTOS!$C$5:$C$400="P")*(MOVIMIENTOS!$D$5:$D$400="jabas")*(MOVIMIENTOS!$A$5:$A$400&lt;&gt;"")*(MOVIMIENTOS!$A$5:$A$400&lt;=$A26)*MOVIMIENTOS!$E$5:$E$400)+SUMPRODUCT((MOVIMIENTOS!$B$5:$B$400="DEVOLUCIÓN")*(MOVIMIENTOS!$C$5:$C$400="P")*(MOVIMIENTOS!$D$5:$D$400="jabas")*(MOVIMIENTOS!$A$5:$A$400&lt;&gt;"")*(MOVIMIENTOS!$A$5:$A$400&lt;=$A26)*MOVIMIENTOS!$E$5:$E$400)-SUMPRODUCT((MOVIMIENTOS!$B$5:$B$400="TRASIEGO")*(MOVIMIENTOS!$C$5:$C$400="P")*(MOVIMIENTOS!$D$5:$D$400="jabas")*(MOVIMIENTOS!$A$5:$A$400&lt;&gt;"")*(MOVIMIENTOS!$A$5:$A$400&lt;=$A26)*MOVIMIENTOS!$E$5:$E$400)-SUMPRODUCT((MOVIMIENTOS!$B$5:$B$400="REGALO")*(MOVIMIENTOS!$C$5:$C$400="P")*(MOVIMIENTOS!$D$5:$D$400="jabas")*(MOVIMIENTOS!$A$5:$A$400&lt;&gt;"")*(MOVIMIENTOS!$A$5:$A$400&lt;=$A26)*MOVIMIENTOS!$E$5:$E$400)-SUMPRODUCT((MOVIMIENTOS!$B$5:$B$400="VENTA")*(MOVIMIENTOS!$C$5:$C$400="P")*(MOVIMIENTOS!$D$5:$D$400="jabas")*(MOVIMIENTOS!$A$5:$A$400&lt;&gt;"")*(MOVIMIENTOS!$A$5:$A$400&lt;=$A26)*MOVIMIENTOS!$E$5:$E$400)+SUMPRODUCT((MOVIMIENTOS!$B$5:$B$400="AJUSTE")*(MOVIMIENTOS!$C$5:$C$400="P")*(MOVIMIENTOS!$D$5:$D$400="jabas")*(MOVIMIENTOS!$A$5:$A$400&lt;&gt;"")*(MOVIMIENTOS!$A$5:$A$400&lt;=$A26)*MOVIMIENTOS!$E$5:$E$400))</f>
        <v/>
      </c>
      <c r="D26" s="46" t="str">
        <f aca="false">IF($A26="","",SUMPRODUCT((MOVIMIENTOS!$B$5:$B$400="SALDO INICIAL")*(MOVIMIENTOS!$C$5:$C$400="C")*(MOVIMIENTOS!$D$5:$D$400="jabas")*(MOVIMIENTOS!$A$5:$A$400&lt;&gt;"")*(MOVIMIENTOS!$A$5:$A$400&lt;=$A26)*MOVIMIENTOS!$E$5:$E$400)+SUMPRODUCT((MOVIMIENTOS!$B$5:$B$400="PROCESO")*(MOVIMIENTOS!$C$5:$C$400="C")*(MOVIMIENTOS!$D$5:$D$400="jabas")*(MOVIMIENTOS!$A$5:$A$400&lt;&gt;"")*(MOVIMIENTOS!$A$5:$A$400&lt;=$A26)*MOVIMIENTOS!$E$5:$E$400)-SUMPRODUCT((MOVIMIENTOS!$B$5:$B$400="ENVÍO A SUPESA")*(MOVIMIENTOS!$C$5:$C$400="C")*(MOVIMIENTOS!$D$5:$D$400="jabas")*(MOVIMIENTOS!$A$5:$A$400&lt;&gt;"")*(MOVIMIENTOS!$A$5:$A$400&lt;=$A26)*MOVIMIENTOS!$E$5:$E$400)+SUMPRODUCT((MOVIMIENTOS!$B$5:$B$400="DEVOLUCIÓN")*(MOVIMIENTOS!$C$5:$C$400="C")*(MOVIMIENTOS!$D$5:$D$400="jabas")*(MOVIMIENTOS!$A$5:$A$400&lt;&gt;"")*(MOVIMIENTOS!$A$5:$A$400&lt;=$A26)*MOVIMIENTOS!$E$5:$E$400)-SUMPRODUCT((MOVIMIENTOS!$B$5:$B$400="TRASIEGO")*(MOVIMIENTOS!$C$5:$C$400="C")*(MOVIMIENTOS!$D$5:$D$400="jabas")*(MOVIMIENTOS!$A$5:$A$400&lt;&gt;"")*(MOVIMIENTOS!$A$5:$A$400&lt;=$A26)*MOVIMIENTOS!$E$5:$E$400)-SUMPRODUCT((MOVIMIENTOS!$B$5:$B$400="REGALO")*(MOVIMIENTOS!$C$5:$C$400="C")*(MOVIMIENTOS!$D$5:$D$400="jabas")*(MOVIMIENTOS!$A$5:$A$400&lt;&gt;"")*(MOVIMIENTOS!$A$5:$A$400&lt;=$A26)*MOVIMIENTOS!$E$5:$E$400)-SUMPRODUCT((MOVIMIENTOS!$B$5:$B$400="VENTA")*(MOVIMIENTOS!$C$5:$C$400="C")*(MOVIMIENTOS!$D$5:$D$400="jabas")*(MOVIMIENTOS!$A$5:$A$400&lt;&gt;"")*(MOVIMIENTOS!$A$5:$A$400&lt;=$A26)*MOVIMIENTOS!$E$5:$E$400)+SUMPRODUCT((MOVIMIENTOS!$B$5:$B$400="AJUSTE")*(MOVIMIENTOS!$C$5:$C$400="C")*(MOVIMIENTOS!$D$5:$D$400="jabas")*(MOVIMIENTOS!$A$5:$A$400&lt;&gt;"")*(MOVIMIENTOS!$A$5:$A$400&lt;=$A26)*MOVIMIENTOS!$E$5:$E$400))</f>
        <v/>
      </c>
      <c r="E26" s="46" t="str">
        <f aca="false">IF($A26="","",SUMPRODUCT((MOVIMIENTOS!$B$5:$B$400="SALDO INICIAL")*(MOVIMIENTOS!$C$5:$C$400="M")*(MOVIMIENTOS!$D$5:$D$400="jabas")*(MOVIMIENTOS!$A$5:$A$400&lt;&gt;"")*(MOVIMIENTOS!$A$5:$A$400&lt;=$A26)*MOVIMIENTOS!$E$5:$E$400)+SUMPRODUCT((MOVIMIENTOS!$B$5:$B$400="PROCESO")*(MOVIMIENTOS!$C$5:$C$400="M")*(MOVIMIENTOS!$D$5:$D$400="jabas")*(MOVIMIENTOS!$A$5:$A$400&lt;&gt;"")*(MOVIMIENTOS!$A$5:$A$400&lt;=$A26)*MOVIMIENTOS!$E$5:$E$400)-SUMPRODUCT((MOVIMIENTOS!$B$5:$B$400="ENVÍO A SUPESA")*(MOVIMIENTOS!$C$5:$C$400="M")*(MOVIMIENTOS!$D$5:$D$400="jabas")*(MOVIMIENTOS!$A$5:$A$400&lt;&gt;"")*(MOVIMIENTOS!$A$5:$A$400&lt;=$A26)*MOVIMIENTOS!$E$5:$E$400)+SUMPRODUCT((MOVIMIENTOS!$B$5:$B$400="DEVOLUCIÓN")*(MOVIMIENTOS!$C$5:$C$400="M")*(MOVIMIENTOS!$D$5:$D$400="jabas")*(MOVIMIENTOS!$A$5:$A$400&lt;&gt;"")*(MOVIMIENTOS!$A$5:$A$400&lt;=$A26)*MOVIMIENTOS!$E$5:$E$400)-SUMPRODUCT((MOVIMIENTOS!$B$5:$B$400="TRASIEGO")*(MOVIMIENTOS!$C$5:$C$400="M")*(MOVIMIENTOS!$D$5:$D$400="jabas")*(MOVIMIENTOS!$A$5:$A$400&lt;&gt;"")*(MOVIMIENTOS!$A$5:$A$400&lt;=$A26)*MOVIMIENTOS!$E$5:$E$400)-SUMPRODUCT((MOVIMIENTOS!$B$5:$B$400="REGALO")*(MOVIMIENTOS!$C$5:$C$400="M")*(MOVIMIENTOS!$D$5:$D$400="jabas")*(MOVIMIENTOS!$A$5:$A$400&lt;&gt;"")*(MOVIMIENTOS!$A$5:$A$400&lt;=$A26)*MOVIMIENTOS!$E$5:$E$400)-SUMPRODUCT((MOVIMIENTOS!$B$5:$B$400="VENTA")*(MOVIMIENTOS!$C$5:$C$400="M")*(MOVIMIENTOS!$D$5:$D$400="jabas")*(MOVIMIENTOS!$A$5:$A$400&lt;&gt;"")*(MOVIMIENTOS!$A$5:$A$400&lt;=$A26)*MOVIMIENTOS!$E$5:$E$400)+SUMPRODUCT((MOVIMIENTOS!$B$5:$B$400="AJUSTE")*(MOVIMIENTOS!$C$5:$C$400="M")*(MOVIMIENTOS!$D$5:$D$400="jabas")*(MOVIMIENTOS!$A$5:$A$400&lt;&gt;"")*(MOVIMIENTOS!$A$5:$A$400&lt;=$A26)*MOVIMIENTOS!$E$5:$E$400))</f>
        <v/>
      </c>
      <c r="F26" s="46" t="str">
        <f aca="false">IF($A26="","",SUMPRODUCT((MOVIMIENTOS!$B$5:$B$400="SALDO INICIAL")*(MOVIMIENTOS!$C$5:$C$400="Chancho")*(MOVIMIENTOS!$D$5:$D$400="sacos")*(MOVIMIENTOS!$A$5:$A$400&lt;&gt;"")*(MOVIMIENTOS!$A$5:$A$400&lt;=$A26)*MOVIMIENTOS!$E$5:$E$400)+SUMPRODUCT((MOVIMIENTOS!$B$5:$B$400="PROCESO")*(MOVIMIENTOS!$C$5:$C$400="Chancho")*(MOVIMIENTOS!$D$5:$D$400="sacos")*(MOVIMIENTOS!$A$5:$A$400&lt;&gt;"")*(MOVIMIENTOS!$A$5:$A$400&lt;=$A26)*MOVIMIENTOS!$E$5:$E$400)-SUMPRODUCT((MOVIMIENTOS!$B$5:$B$400="VENTA CHANCHO")*(MOVIMIENTOS!$C$5:$C$400="Chancho")*(MOVIMIENTOS!$D$5:$D$400="sacos")*(MOVIMIENTOS!$A$5:$A$400&lt;&gt;"")*(MOVIMIENTOS!$A$5:$A$400&lt;=$A26)*MOVIMIENTOS!$E$5:$E$400)-SUMPRODUCT((MOVIMIENTOS!$B$5:$B$400="REGALO")*(MOVIMIENTOS!$C$5:$C$400="Chancho")*(MOVIMIENTOS!$D$5:$D$400="sacos")*(MOVIMIENTOS!$A$5:$A$400&lt;&gt;"")*(MOVIMIENTOS!$A$5:$A$400&lt;=$A26)*MOVIMIENTOS!$E$5:$E$400)-SUMPRODUCT((MOVIMIENTOS!$B$5:$B$400="VENTA")*(MOVIMIENTOS!$C$5:$C$400="Chancho")*(MOVIMIENTOS!$D$5:$D$400="sacos")*(MOVIMIENTOS!$A$5:$A$400&lt;&gt;"")*(MOVIMIENTOS!$A$5:$A$400&lt;=$A26)*MOVIMIENTOS!$E$5:$E$400)+SUMPRODUCT((MOVIMIENTOS!$B$5:$B$400="AJUSTE")*(MOVIMIENTOS!$C$5:$C$400="Chancho")*(MOVIMIENTOS!$D$5:$D$400="sacos")*(MOVIMIENTOS!$A$5:$A$400&lt;&gt;"")*(MOVIMIENTOS!$A$5:$A$400&lt;=$A26)*MOVIMIENTOS!$E$5:$E$400))</f>
        <v/>
      </c>
      <c r="G26" s="46" t="str">
        <f aca="false">IF($A26="","",SUM(B26:E26))</f>
        <v/>
      </c>
      <c r="H26" s="46" t="str">
        <f aca="false">IF($A26="","",SUMPRODUCT((((MOVIMIENTOS!$B$5:$B$400="SALDO INICIAL")*(MOVIMIENTOS!$C$5:$C$400&lt;&gt;"Chancho"))+(MOVIMIENTOS!$B$5:$B$400="COMPRA")+(MOVIMIENTOS!$B$5:$B$400="REPROCESO")+(MOVIMIENTOS!$B$5:$B$400="DEVOLUCIÓN")+((MOVIMIENTOS!$B$5:$B$400="AJUSTE")*(MOVIMIENTOS!$C$5:$C$400&lt;&gt;"Chancho")))*(MOVIMIENTOS!$A$5:$A$400&lt;&gt;"")*(MOVIMIENTOS!$A$5:$A$400&lt;=$A26)*MOVIMIENTOS!$I$5:$I$400)-SUMPRODUCT(((MOVIMIENTOS!$B$5:$B$400="ENVÍO A SUPESA")+(MOVIMIENTOS!$B$5:$B$400="ENVÍO A TOTTUS")+(MOVIMIENTOS!$B$5:$B$400="ENVIO A TOTTUS")+(MOVIMIENTOS!$B$5:$B$400="MALOGRADO")+(MOVIMIENTOS!$B$5:$B$400="OTRA SALIDA")+((MOVIMIENTOS!$B$5:$B$400="PROCESO")*(MOVIMIENTOS!$C$5:$C$400="Chancho"))+((MOVIMIENTOS!$B$5:$B$400="REGALO")*(MOVIMIENTOS!$C$5:$C$400&lt;&gt;"Chancho"))+((MOVIMIENTOS!$B$5:$B$400="VENTA")*(MOVIMIENTOS!$C$5:$C$400&lt;&gt;"Chancho")))*(MOVIMIENTOS!$A$5:$A$400&lt;&gt;"")*(MOVIMIENTOS!$A$5:$A$400&lt;=$A26)*MOVIMIENTOS!$I$5:$I$400))</f>
        <v/>
      </c>
      <c r="I26" s="44"/>
      <c r="J26" s="44" t="str">
        <f aca="false">IF(AND(MOVIMIENTOS!$A26&lt;&gt;"",COUNTIF(MOVIMIENTOS!$A$5:$A25,MOVIMIENTOS!$A26)=0),COUNT(J$4:J25)+1,"")</f>
        <v/>
      </c>
      <c r="K26" s="47" t="n">
        <f aca="false">MOVIMIENTOS!$A26</f>
        <v>46216</v>
      </c>
      <c r="L26" s="44"/>
      <c r="M26" s="44"/>
      <c r="N26" s="44"/>
    </row>
    <row r="27" customFormat="false" ht="15" hidden="false" customHeight="true" outlineLevel="0" collapsed="false">
      <c r="A27" s="45" t="str">
        <f aca="false">IFERROR(INDEX(K$5:K$400,MATCH(ROW()-4,J$5:J$400,0)),"")</f>
        <v/>
      </c>
      <c r="B27" s="46" t="str">
        <f aca="false">IF($A27="","",SUMPRODUCT((MOVIMIENTOS!$B$5:$B$400="SALDO INICIAL")*(MOVIMIENTOS!$C$5:$C$400="A")*(MOVIMIENTOS!$D$5:$D$400="jabas")*(MOVIMIENTOS!$A$5:$A$400&lt;&gt;"")*(MOVIMIENTOS!$A$5:$A$400&lt;=$A27)*MOVIMIENTOS!$E$5:$E$400)+SUMPRODUCT((MOVIMIENTOS!$B$5:$B$400="PROCESO")*(MOVIMIENTOS!$C$5:$C$400="A")*(MOVIMIENTOS!$D$5:$D$400="jabas")*(MOVIMIENTOS!$A$5:$A$400&lt;&gt;"")*(MOVIMIENTOS!$A$5:$A$400&lt;=$A27)*MOVIMIENTOS!$E$5:$E$400)-SUMPRODUCT((MOVIMIENTOS!$B$5:$B$400="ENVÍO A SUPESA")*(MOVIMIENTOS!$C$5:$C$400="A")*(MOVIMIENTOS!$D$5:$D$400="jabas")*(MOVIMIENTOS!$A$5:$A$400&lt;&gt;"")*(MOVIMIENTOS!$A$5:$A$400&lt;=$A27)*MOVIMIENTOS!$E$5:$E$400)+SUMPRODUCT((MOVIMIENTOS!$B$5:$B$400="DEVOLUCIÓN")*(MOVIMIENTOS!$C$5:$C$400="A")*(MOVIMIENTOS!$D$5:$D$400="jabas")*(MOVIMIENTOS!$A$5:$A$400&lt;&gt;"")*(MOVIMIENTOS!$A$5:$A$400&lt;=$A27)*MOVIMIENTOS!$E$5:$E$400)-SUMPRODUCT((MOVIMIENTOS!$B$5:$B$400="TRASIEGO")*(MOVIMIENTOS!$C$5:$C$400="A")*(MOVIMIENTOS!$D$5:$D$400="jabas")*(MOVIMIENTOS!$A$5:$A$400&lt;&gt;"")*(MOVIMIENTOS!$A$5:$A$400&lt;=$A27)*MOVIMIENTOS!$E$5:$E$400)-SUMPRODUCT((MOVIMIENTOS!$B$5:$B$400="REGALO")*(MOVIMIENTOS!$C$5:$C$400="A")*(MOVIMIENTOS!$D$5:$D$400="jabas")*(MOVIMIENTOS!$A$5:$A$400&lt;&gt;"")*(MOVIMIENTOS!$A$5:$A$400&lt;=$A27)*MOVIMIENTOS!$E$5:$E$400)-SUMPRODUCT((MOVIMIENTOS!$B$5:$B$400="VENTA")*(MOVIMIENTOS!$C$5:$C$400="A")*(MOVIMIENTOS!$D$5:$D$400="jabas")*(MOVIMIENTOS!$A$5:$A$400&lt;&gt;"")*(MOVIMIENTOS!$A$5:$A$400&lt;=$A27)*MOVIMIENTOS!$E$5:$E$400)+SUMPRODUCT((MOVIMIENTOS!$B$5:$B$400="AJUSTE")*(MOVIMIENTOS!$C$5:$C$400="A")*(MOVIMIENTOS!$D$5:$D$400="jabas")*(MOVIMIENTOS!$A$5:$A$400&lt;&gt;"")*(MOVIMIENTOS!$A$5:$A$400&lt;=$A27)*MOVIMIENTOS!$E$5:$E$400))</f>
        <v/>
      </c>
      <c r="C27" s="46" t="str">
        <f aca="false">IF($A27="","",SUMPRODUCT((MOVIMIENTOS!$B$5:$B$400="SALDO INICIAL")*(MOVIMIENTOS!$C$5:$C$400="P")*(MOVIMIENTOS!$D$5:$D$400="jabas")*(MOVIMIENTOS!$A$5:$A$400&lt;&gt;"")*(MOVIMIENTOS!$A$5:$A$400&lt;=$A27)*MOVIMIENTOS!$E$5:$E$400)+SUMPRODUCT((MOVIMIENTOS!$B$5:$B$400="PROCESO")*(MOVIMIENTOS!$C$5:$C$400="P")*(MOVIMIENTOS!$D$5:$D$400="jabas")*(MOVIMIENTOS!$A$5:$A$400&lt;&gt;"")*(MOVIMIENTOS!$A$5:$A$400&lt;=$A27)*MOVIMIENTOS!$E$5:$E$400)-SUMPRODUCT((MOVIMIENTOS!$B$5:$B$400="ENVÍO A SUPESA")*(MOVIMIENTOS!$C$5:$C$400="P")*(MOVIMIENTOS!$D$5:$D$400="jabas")*(MOVIMIENTOS!$A$5:$A$400&lt;&gt;"")*(MOVIMIENTOS!$A$5:$A$400&lt;=$A27)*MOVIMIENTOS!$E$5:$E$400)+SUMPRODUCT((MOVIMIENTOS!$B$5:$B$400="DEVOLUCIÓN")*(MOVIMIENTOS!$C$5:$C$400="P")*(MOVIMIENTOS!$D$5:$D$400="jabas")*(MOVIMIENTOS!$A$5:$A$400&lt;&gt;"")*(MOVIMIENTOS!$A$5:$A$400&lt;=$A27)*MOVIMIENTOS!$E$5:$E$400)-SUMPRODUCT((MOVIMIENTOS!$B$5:$B$400="TRASIEGO")*(MOVIMIENTOS!$C$5:$C$400="P")*(MOVIMIENTOS!$D$5:$D$400="jabas")*(MOVIMIENTOS!$A$5:$A$400&lt;&gt;"")*(MOVIMIENTOS!$A$5:$A$400&lt;=$A27)*MOVIMIENTOS!$E$5:$E$400)-SUMPRODUCT((MOVIMIENTOS!$B$5:$B$400="REGALO")*(MOVIMIENTOS!$C$5:$C$400="P")*(MOVIMIENTOS!$D$5:$D$400="jabas")*(MOVIMIENTOS!$A$5:$A$400&lt;&gt;"")*(MOVIMIENTOS!$A$5:$A$400&lt;=$A27)*MOVIMIENTOS!$E$5:$E$400)-SUMPRODUCT((MOVIMIENTOS!$B$5:$B$400="VENTA")*(MOVIMIENTOS!$C$5:$C$400="P")*(MOVIMIENTOS!$D$5:$D$400="jabas")*(MOVIMIENTOS!$A$5:$A$400&lt;&gt;"")*(MOVIMIENTOS!$A$5:$A$400&lt;=$A27)*MOVIMIENTOS!$E$5:$E$400)+SUMPRODUCT((MOVIMIENTOS!$B$5:$B$400="AJUSTE")*(MOVIMIENTOS!$C$5:$C$400="P")*(MOVIMIENTOS!$D$5:$D$400="jabas")*(MOVIMIENTOS!$A$5:$A$400&lt;&gt;"")*(MOVIMIENTOS!$A$5:$A$400&lt;=$A27)*MOVIMIENTOS!$E$5:$E$400))</f>
        <v/>
      </c>
      <c r="D27" s="46" t="str">
        <f aca="false">IF($A27="","",SUMPRODUCT((MOVIMIENTOS!$B$5:$B$400="SALDO INICIAL")*(MOVIMIENTOS!$C$5:$C$400="C")*(MOVIMIENTOS!$D$5:$D$400="jabas")*(MOVIMIENTOS!$A$5:$A$400&lt;&gt;"")*(MOVIMIENTOS!$A$5:$A$400&lt;=$A27)*MOVIMIENTOS!$E$5:$E$400)+SUMPRODUCT((MOVIMIENTOS!$B$5:$B$400="PROCESO")*(MOVIMIENTOS!$C$5:$C$400="C")*(MOVIMIENTOS!$D$5:$D$400="jabas")*(MOVIMIENTOS!$A$5:$A$400&lt;&gt;"")*(MOVIMIENTOS!$A$5:$A$400&lt;=$A27)*MOVIMIENTOS!$E$5:$E$400)-SUMPRODUCT((MOVIMIENTOS!$B$5:$B$400="ENVÍO A SUPESA")*(MOVIMIENTOS!$C$5:$C$400="C")*(MOVIMIENTOS!$D$5:$D$400="jabas")*(MOVIMIENTOS!$A$5:$A$400&lt;&gt;"")*(MOVIMIENTOS!$A$5:$A$400&lt;=$A27)*MOVIMIENTOS!$E$5:$E$400)+SUMPRODUCT((MOVIMIENTOS!$B$5:$B$400="DEVOLUCIÓN")*(MOVIMIENTOS!$C$5:$C$400="C")*(MOVIMIENTOS!$D$5:$D$400="jabas")*(MOVIMIENTOS!$A$5:$A$400&lt;&gt;"")*(MOVIMIENTOS!$A$5:$A$400&lt;=$A27)*MOVIMIENTOS!$E$5:$E$400)-SUMPRODUCT((MOVIMIENTOS!$B$5:$B$400="TRASIEGO")*(MOVIMIENTOS!$C$5:$C$400="C")*(MOVIMIENTOS!$D$5:$D$400="jabas")*(MOVIMIENTOS!$A$5:$A$400&lt;&gt;"")*(MOVIMIENTOS!$A$5:$A$400&lt;=$A27)*MOVIMIENTOS!$E$5:$E$400)-SUMPRODUCT((MOVIMIENTOS!$B$5:$B$400="REGALO")*(MOVIMIENTOS!$C$5:$C$400="C")*(MOVIMIENTOS!$D$5:$D$400="jabas")*(MOVIMIENTOS!$A$5:$A$400&lt;&gt;"")*(MOVIMIENTOS!$A$5:$A$400&lt;=$A27)*MOVIMIENTOS!$E$5:$E$400)-SUMPRODUCT((MOVIMIENTOS!$B$5:$B$400="VENTA")*(MOVIMIENTOS!$C$5:$C$400="C")*(MOVIMIENTOS!$D$5:$D$400="jabas")*(MOVIMIENTOS!$A$5:$A$400&lt;&gt;"")*(MOVIMIENTOS!$A$5:$A$400&lt;=$A27)*MOVIMIENTOS!$E$5:$E$400)+SUMPRODUCT((MOVIMIENTOS!$B$5:$B$400="AJUSTE")*(MOVIMIENTOS!$C$5:$C$400="C")*(MOVIMIENTOS!$D$5:$D$400="jabas")*(MOVIMIENTOS!$A$5:$A$400&lt;&gt;"")*(MOVIMIENTOS!$A$5:$A$400&lt;=$A27)*MOVIMIENTOS!$E$5:$E$400))</f>
        <v/>
      </c>
      <c r="E27" s="46" t="str">
        <f aca="false">IF($A27="","",SUMPRODUCT((MOVIMIENTOS!$B$5:$B$400="SALDO INICIAL")*(MOVIMIENTOS!$C$5:$C$400="M")*(MOVIMIENTOS!$D$5:$D$400="jabas")*(MOVIMIENTOS!$A$5:$A$400&lt;&gt;"")*(MOVIMIENTOS!$A$5:$A$400&lt;=$A27)*MOVIMIENTOS!$E$5:$E$400)+SUMPRODUCT((MOVIMIENTOS!$B$5:$B$400="PROCESO")*(MOVIMIENTOS!$C$5:$C$400="M")*(MOVIMIENTOS!$D$5:$D$400="jabas")*(MOVIMIENTOS!$A$5:$A$400&lt;&gt;"")*(MOVIMIENTOS!$A$5:$A$400&lt;=$A27)*MOVIMIENTOS!$E$5:$E$400)-SUMPRODUCT((MOVIMIENTOS!$B$5:$B$400="ENVÍO A SUPESA")*(MOVIMIENTOS!$C$5:$C$400="M")*(MOVIMIENTOS!$D$5:$D$400="jabas")*(MOVIMIENTOS!$A$5:$A$400&lt;&gt;"")*(MOVIMIENTOS!$A$5:$A$400&lt;=$A27)*MOVIMIENTOS!$E$5:$E$400)+SUMPRODUCT((MOVIMIENTOS!$B$5:$B$400="DEVOLUCIÓN")*(MOVIMIENTOS!$C$5:$C$400="M")*(MOVIMIENTOS!$D$5:$D$400="jabas")*(MOVIMIENTOS!$A$5:$A$400&lt;&gt;"")*(MOVIMIENTOS!$A$5:$A$400&lt;=$A27)*MOVIMIENTOS!$E$5:$E$400)-SUMPRODUCT((MOVIMIENTOS!$B$5:$B$400="TRASIEGO")*(MOVIMIENTOS!$C$5:$C$400="M")*(MOVIMIENTOS!$D$5:$D$400="jabas")*(MOVIMIENTOS!$A$5:$A$400&lt;&gt;"")*(MOVIMIENTOS!$A$5:$A$400&lt;=$A27)*MOVIMIENTOS!$E$5:$E$400)-SUMPRODUCT((MOVIMIENTOS!$B$5:$B$400="REGALO")*(MOVIMIENTOS!$C$5:$C$400="M")*(MOVIMIENTOS!$D$5:$D$400="jabas")*(MOVIMIENTOS!$A$5:$A$400&lt;&gt;"")*(MOVIMIENTOS!$A$5:$A$400&lt;=$A27)*MOVIMIENTOS!$E$5:$E$400)-SUMPRODUCT((MOVIMIENTOS!$B$5:$B$400="VENTA")*(MOVIMIENTOS!$C$5:$C$400="M")*(MOVIMIENTOS!$D$5:$D$400="jabas")*(MOVIMIENTOS!$A$5:$A$400&lt;&gt;"")*(MOVIMIENTOS!$A$5:$A$400&lt;=$A27)*MOVIMIENTOS!$E$5:$E$400)+SUMPRODUCT((MOVIMIENTOS!$B$5:$B$400="AJUSTE")*(MOVIMIENTOS!$C$5:$C$400="M")*(MOVIMIENTOS!$D$5:$D$400="jabas")*(MOVIMIENTOS!$A$5:$A$400&lt;&gt;"")*(MOVIMIENTOS!$A$5:$A$400&lt;=$A27)*MOVIMIENTOS!$E$5:$E$400))</f>
        <v/>
      </c>
      <c r="F27" s="46" t="str">
        <f aca="false">IF($A27="","",SUMPRODUCT((MOVIMIENTOS!$B$5:$B$400="SALDO INICIAL")*(MOVIMIENTOS!$C$5:$C$400="Chancho")*(MOVIMIENTOS!$D$5:$D$400="sacos")*(MOVIMIENTOS!$A$5:$A$400&lt;&gt;"")*(MOVIMIENTOS!$A$5:$A$400&lt;=$A27)*MOVIMIENTOS!$E$5:$E$400)+SUMPRODUCT((MOVIMIENTOS!$B$5:$B$400="PROCESO")*(MOVIMIENTOS!$C$5:$C$400="Chancho")*(MOVIMIENTOS!$D$5:$D$400="sacos")*(MOVIMIENTOS!$A$5:$A$400&lt;&gt;"")*(MOVIMIENTOS!$A$5:$A$400&lt;=$A27)*MOVIMIENTOS!$E$5:$E$400)-SUMPRODUCT((MOVIMIENTOS!$B$5:$B$400="VENTA CHANCHO")*(MOVIMIENTOS!$C$5:$C$400="Chancho")*(MOVIMIENTOS!$D$5:$D$400="sacos")*(MOVIMIENTOS!$A$5:$A$400&lt;&gt;"")*(MOVIMIENTOS!$A$5:$A$400&lt;=$A27)*MOVIMIENTOS!$E$5:$E$400)-SUMPRODUCT((MOVIMIENTOS!$B$5:$B$400="REGALO")*(MOVIMIENTOS!$C$5:$C$400="Chancho")*(MOVIMIENTOS!$D$5:$D$400="sacos")*(MOVIMIENTOS!$A$5:$A$400&lt;&gt;"")*(MOVIMIENTOS!$A$5:$A$400&lt;=$A27)*MOVIMIENTOS!$E$5:$E$400)-SUMPRODUCT((MOVIMIENTOS!$B$5:$B$400="VENTA")*(MOVIMIENTOS!$C$5:$C$400="Chancho")*(MOVIMIENTOS!$D$5:$D$400="sacos")*(MOVIMIENTOS!$A$5:$A$400&lt;&gt;"")*(MOVIMIENTOS!$A$5:$A$400&lt;=$A27)*MOVIMIENTOS!$E$5:$E$400)+SUMPRODUCT((MOVIMIENTOS!$B$5:$B$400="AJUSTE")*(MOVIMIENTOS!$C$5:$C$400="Chancho")*(MOVIMIENTOS!$D$5:$D$400="sacos")*(MOVIMIENTOS!$A$5:$A$400&lt;&gt;"")*(MOVIMIENTOS!$A$5:$A$400&lt;=$A27)*MOVIMIENTOS!$E$5:$E$400))</f>
        <v/>
      </c>
      <c r="G27" s="46" t="str">
        <f aca="false">IF($A27="","",SUM(B27:E27))</f>
        <v/>
      </c>
      <c r="H27" s="46" t="str">
        <f aca="false">IF($A27="","",SUMPRODUCT((((MOVIMIENTOS!$B$5:$B$400="SALDO INICIAL")*(MOVIMIENTOS!$C$5:$C$400&lt;&gt;"Chancho"))+(MOVIMIENTOS!$B$5:$B$400="COMPRA")+(MOVIMIENTOS!$B$5:$B$400="REPROCESO")+(MOVIMIENTOS!$B$5:$B$400="DEVOLUCIÓN")+((MOVIMIENTOS!$B$5:$B$400="AJUSTE")*(MOVIMIENTOS!$C$5:$C$400&lt;&gt;"Chancho")))*(MOVIMIENTOS!$A$5:$A$400&lt;&gt;"")*(MOVIMIENTOS!$A$5:$A$400&lt;=$A27)*MOVIMIENTOS!$I$5:$I$400)-SUMPRODUCT(((MOVIMIENTOS!$B$5:$B$400="ENVÍO A SUPESA")+(MOVIMIENTOS!$B$5:$B$400="ENVÍO A TOTTUS")+(MOVIMIENTOS!$B$5:$B$400="ENVIO A TOTTUS")+(MOVIMIENTOS!$B$5:$B$400="MALOGRADO")+(MOVIMIENTOS!$B$5:$B$400="OTRA SALIDA")+((MOVIMIENTOS!$B$5:$B$400="PROCESO")*(MOVIMIENTOS!$C$5:$C$400="Chancho"))+((MOVIMIENTOS!$B$5:$B$400="REGALO")*(MOVIMIENTOS!$C$5:$C$400&lt;&gt;"Chancho"))+((MOVIMIENTOS!$B$5:$B$400="VENTA")*(MOVIMIENTOS!$C$5:$C$400&lt;&gt;"Chancho")))*(MOVIMIENTOS!$A$5:$A$400&lt;&gt;"")*(MOVIMIENTOS!$A$5:$A$400&lt;=$A27)*MOVIMIENTOS!$I$5:$I$400))</f>
        <v/>
      </c>
      <c r="I27" s="44"/>
      <c r="J27" s="44" t="str">
        <f aca="false">IF(AND(MOVIMIENTOS!$A27&lt;&gt;"",COUNTIF(MOVIMIENTOS!$A$5:$A26,MOVIMIENTOS!$A27)=0),COUNT(J$4:J26)+1,"")</f>
        <v/>
      </c>
      <c r="K27" s="47" t="n">
        <f aca="false">MOVIMIENTOS!$A27</f>
        <v>46216</v>
      </c>
      <c r="L27" s="44"/>
      <c r="M27" s="44"/>
      <c r="N27" s="44"/>
    </row>
    <row r="28" customFormat="false" ht="15" hidden="false" customHeight="true" outlineLevel="0" collapsed="false">
      <c r="A28" s="45" t="str">
        <f aca="false">IFERROR(INDEX(K$5:K$400,MATCH(ROW()-4,J$5:J$400,0)),"")</f>
        <v/>
      </c>
      <c r="B28" s="46" t="str">
        <f aca="false">IF($A28="","",SUMPRODUCT((MOVIMIENTOS!$B$5:$B$400="SALDO INICIAL")*(MOVIMIENTOS!$C$5:$C$400="A")*(MOVIMIENTOS!$D$5:$D$400="jabas")*(MOVIMIENTOS!$A$5:$A$400&lt;&gt;"")*(MOVIMIENTOS!$A$5:$A$400&lt;=$A28)*MOVIMIENTOS!$E$5:$E$400)+SUMPRODUCT((MOVIMIENTOS!$B$5:$B$400="PROCESO")*(MOVIMIENTOS!$C$5:$C$400="A")*(MOVIMIENTOS!$D$5:$D$400="jabas")*(MOVIMIENTOS!$A$5:$A$400&lt;&gt;"")*(MOVIMIENTOS!$A$5:$A$400&lt;=$A28)*MOVIMIENTOS!$E$5:$E$400)-SUMPRODUCT((MOVIMIENTOS!$B$5:$B$400="ENVÍO A SUPESA")*(MOVIMIENTOS!$C$5:$C$400="A")*(MOVIMIENTOS!$D$5:$D$400="jabas")*(MOVIMIENTOS!$A$5:$A$400&lt;&gt;"")*(MOVIMIENTOS!$A$5:$A$400&lt;=$A28)*MOVIMIENTOS!$E$5:$E$400)+SUMPRODUCT((MOVIMIENTOS!$B$5:$B$400="DEVOLUCIÓN")*(MOVIMIENTOS!$C$5:$C$400="A")*(MOVIMIENTOS!$D$5:$D$400="jabas")*(MOVIMIENTOS!$A$5:$A$400&lt;&gt;"")*(MOVIMIENTOS!$A$5:$A$400&lt;=$A28)*MOVIMIENTOS!$E$5:$E$400)-SUMPRODUCT((MOVIMIENTOS!$B$5:$B$400="TRASIEGO")*(MOVIMIENTOS!$C$5:$C$400="A")*(MOVIMIENTOS!$D$5:$D$400="jabas")*(MOVIMIENTOS!$A$5:$A$400&lt;&gt;"")*(MOVIMIENTOS!$A$5:$A$400&lt;=$A28)*MOVIMIENTOS!$E$5:$E$400)-SUMPRODUCT((MOVIMIENTOS!$B$5:$B$400="REGALO")*(MOVIMIENTOS!$C$5:$C$400="A")*(MOVIMIENTOS!$D$5:$D$400="jabas")*(MOVIMIENTOS!$A$5:$A$400&lt;&gt;"")*(MOVIMIENTOS!$A$5:$A$400&lt;=$A28)*MOVIMIENTOS!$E$5:$E$400)-SUMPRODUCT((MOVIMIENTOS!$B$5:$B$400="VENTA")*(MOVIMIENTOS!$C$5:$C$400="A")*(MOVIMIENTOS!$D$5:$D$400="jabas")*(MOVIMIENTOS!$A$5:$A$400&lt;&gt;"")*(MOVIMIENTOS!$A$5:$A$400&lt;=$A28)*MOVIMIENTOS!$E$5:$E$400)+SUMPRODUCT((MOVIMIENTOS!$B$5:$B$400="AJUSTE")*(MOVIMIENTOS!$C$5:$C$400="A")*(MOVIMIENTOS!$D$5:$D$400="jabas")*(MOVIMIENTOS!$A$5:$A$400&lt;&gt;"")*(MOVIMIENTOS!$A$5:$A$400&lt;=$A28)*MOVIMIENTOS!$E$5:$E$400))</f>
        <v/>
      </c>
      <c r="C28" s="46" t="str">
        <f aca="false">IF($A28="","",SUMPRODUCT((MOVIMIENTOS!$B$5:$B$400="SALDO INICIAL")*(MOVIMIENTOS!$C$5:$C$400="P")*(MOVIMIENTOS!$D$5:$D$400="jabas")*(MOVIMIENTOS!$A$5:$A$400&lt;&gt;"")*(MOVIMIENTOS!$A$5:$A$400&lt;=$A28)*MOVIMIENTOS!$E$5:$E$400)+SUMPRODUCT((MOVIMIENTOS!$B$5:$B$400="PROCESO")*(MOVIMIENTOS!$C$5:$C$400="P")*(MOVIMIENTOS!$D$5:$D$400="jabas")*(MOVIMIENTOS!$A$5:$A$400&lt;&gt;"")*(MOVIMIENTOS!$A$5:$A$400&lt;=$A28)*MOVIMIENTOS!$E$5:$E$400)-SUMPRODUCT((MOVIMIENTOS!$B$5:$B$400="ENVÍO A SUPESA")*(MOVIMIENTOS!$C$5:$C$400="P")*(MOVIMIENTOS!$D$5:$D$400="jabas")*(MOVIMIENTOS!$A$5:$A$400&lt;&gt;"")*(MOVIMIENTOS!$A$5:$A$400&lt;=$A28)*MOVIMIENTOS!$E$5:$E$400)+SUMPRODUCT((MOVIMIENTOS!$B$5:$B$400="DEVOLUCIÓN")*(MOVIMIENTOS!$C$5:$C$400="P")*(MOVIMIENTOS!$D$5:$D$400="jabas")*(MOVIMIENTOS!$A$5:$A$400&lt;&gt;"")*(MOVIMIENTOS!$A$5:$A$400&lt;=$A28)*MOVIMIENTOS!$E$5:$E$400)-SUMPRODUCT((MOVIMIENTOS!$B$5:$B$400="TRASIEGO")*(MOVIMIENTOS!$C$5:$C$400="P")*(MOVIMIENTOS!$D$5:$D$400="jabas")*(MOVIMIENTOS!$A$5:$A$400&lt;&gt;"")*(MOVIMIENTOS!$A$5:$A$400&lt;=$A28)*MOVIMIENTOS!$E$5:$E$400)-SUMPRODUCT((MOVIMIENTOS!$B$5:$B$400="REGALO")*(MOVIMIENTOS!$C$5:$C$400="P")*(MOVIMIENTOS!$D$5:$D$400="jabas")*(MOVIMIENTOS!$A$5:$A$400&lt;&gt;"")*(MOVIMIENTOS!$A$5:$A$400&lt;=$A28)*MOVIMIENTOS!$E$5:$E$400)-SUMPRODUCT((MOVIMIENTOS!$B$5:$B$400="VENTA")*(MOVIMIENTOS!$C$5:$C$400="P")*(MOVIMIENTOS!$D$5:$D$400="jabas")*(MOVIMIENTOS!$A$5:$A$400&lt;&gt;"")*(MOVIMIENTOS!$A$5:$A$400&lt;=$A28)*MOVIMIENTOS!$E$5:$E$400)+SUMPRODUCT((MOVIMIENTOS!$B$5:$B$400="AJUSTE")*(MOVIMIENTOS!$C$5:$C$400="P")*(MOVIMIENTOS!$D$5:$D$400="jabas")*(MOVIMIENTOS!$A$5:$A$400&lt;&gt;"")*(MOVIMIENTOS!$A$5:$A$400&lt;=$A28)*MOVIMIENTOS!$E$5:$E$400))</f>
        <v/>
      </c>
      <c r="D28" s="46" t="str">
        <f aca="false">IF($A28="","",SUMPRODUCT((MOVIMIENTOS!$B$5:$B$400="SALDO INICIAL")*(MOVIMIENTOS!$C$5:$C$400="C")*(MOVIMIENTOS!$D$5:$D$400="jabas")*(MOVIMIENTOS!$A$5:$A$400&lt;&gt;"")*(MOVIMIENTOS!$A$5:$A$400&lt;=$A28)*MOVIMIENTOS!$E$5:$E$400)+SUMPRODUCT((MOVIMIENTOS!$B$5:$B$400="PROCESO")*(MOVIMIENTOS!$C$5:$C$400="C")*(MOVIMIENTOS!$D$5:$D$400="jabas")*(MOVIMIENTOS!$A$5:$A$400&lt;&gt;"")*(MOVIMIENTOS!$A$5:$A$400&lt;=$A28)*MOVIMIENTOS!$E$5:$E$400)-SUMPRODUCT((MOVIMIENTOS!$B$5:$B$400="ENVÍO A SUPESA")*(MOVIMIENTOS!$C$5:$C$400="C")*(MOVIMIENTOS!$D$5:$D$400="jabas")*(MOVIMIENTOS!$A$5:$A$400&lt;&gt;"")*(MOVIMIENTOS!$A$5:$A$400&lt;=$A28)*MOVIMIENTOS!$E$5:$E$400)+SUMPRODUCT((MOVIMIENTOS!$B$5:$B$400="DEVOLUCIÓN")*(MOVIMIENTOS!$C$5:$C$400="C")*(MOVIMIENTOS!$D$5:$D$400="jabas")*(MOVIMIENTOS!$A$5:$A$400&lt;&gt;"")*(MOVIMIENTOS!$A$5:$A$400&lt;=$A28)*MOVIMIENTOS!$E$5:$E$400)-SUMPRODUCT((MOVIMIENTOS!$B$5:$B$400="TRASIEGO")*(MOVIMIENTOS!$C$5:$C$400="C")*(MOVIMIENTOS!$D$5:$D$400="jabas")*(MOVIMIENTOS!$A$5:$A$400&lt;&gt;"")*(MOVIMIENTOS!$A$5:$A$400&lt;=$A28)*MOVIMIENTOS!$E$5:$E$400)-SUMPRODUCT((MOVIMIENTOS!$B$5:$B$400="REGALO")*(MOVIMIENTOS!$C$5:$C$400="C")*(MOVIMIENTOS!$D$5:$D$400="jabas")*(MOVIMIENTOS!$A$5:$A$400&lt;&gt;"")*(MOVIMIENTOS!$A$5:$A$400&lt;=$A28)*MOVIMIENTOS!$E$5:$E$400)-SUMPRODUCT((MOVIMIENTOS!$B$5:$B$400="VENTA")*(MOVIMIENTOS!$C$5:$C$400="C")*(MOVIMIENTOS!$D$5:$D$400="jabas")*(MOVIMIENTOS!$A$5:$A$400&lt;&gt;"")*(MOVIMIENTOS!$A$5:$A$400&lt;=$A28)*MOVIMIENTOS!$E$5:$E$400)+SUMPRODUCT((MOVIMIENTOS!$B$5:$B$400="AJUSTE")*(MOVIMIENTOS!$C$5:$C$400="C")*(MOVIMIENTOS!$D$5:$D$400="jabas")*(MOVIMIENTOS!$A$5:$A$400&lt;&gt;"")*(MOVIMIENTOS!$A$5:$A$400&lt;=$A28)*MOVIMIENTOS!$E$5:$E$400))</f>
        <v/>
      </c>
      <c r="E28" s="46" t="str">
        <f aca="false">IF($A28="","",SUMPRODUCT((MOVIMIENTOS!$B$5:$B$400="SALDO INICIAL")*(MOVIMIENTOS!$C$5:$C$400="M")*(MOVIMIENTOS!$D$5:$D$400="jabas")*(MOVIMIENTOS!$A$5:$A$400&lt;&gt;"")*(MOVIMIENTOS!$A$5:$A$400&lt;=$A28)*MOVIMIENTOS!$E$5:$E$400)+SUMPRODUCT((MOVIMIENTOS!$B$5:$B$400="PROCESO")*(MOVIMIENTOS!$C$5:$C$400="M")*(MOVIMIENTOS!$D$5:$D$400="jabas")*(MOVIMIENTOS!$A$5:$A$400&lt;&gt;"")*(MOVIMIENTOS!$A$5:$A$400&lt;=$A28)*MOVIMIENTOS!$E$5:$E$400)-SUMPRODUCT((MOVIMIENTOS!$B$5:$B$400="ENVÍO A SUPESA")*(MOVIMIENTOS!$C$5:$C$400="M")*(MOVIMIENTOS!$D$5:$D$400="jabas")*(MOVIMIENTOS!$A$5:$A$400&lt;&gt;"")*(MOVIMIENTOS!$A$5:$A$400&lt;=$A28)*MOVIMIENTOS!$E$5:$E$400)+SUMPRODUCT((MOVIMIENTOS!$B$5:$B$400="DEVOLUCIÓN")*(MOVIMIENTOS!$C$5:$C$400="M")*(MOVIMIENTOS!$D$5:$D$400="jabas")*(MOVIMIENTOS!$A$5:$A$400&lt;&gt;"")*(MOVIMIENTOS!$A$5:$A$400&lt;=$A28)*MOVIMIENTOS!$E$5:$E$400)-SUMPRODUCT((MOVIMIENTOS!$B$5:$B$400="TRASIEGO")*(MOVIMIENTOS!$C$5:$C$400="M")*(MOVIMIENTOS!$D$5:$D$400="jabas")*(MOVIMIENTOS!$A$5:$A$400&lt;&gt;"")*(MOVIMIENTOS!$A$5:$A$400&lt;=$A28)*MOVIMIENTOS!$E$5:$E$400)-SUMPRODUCT((MOVIMIENTOS!$B$5:$B$400="REGALO")*(MOVIMIENTOS!$C$5:$C$400="M")*(MOVIMIENTOS!$D$5:$D$400="jabas")*(MOVIMIENTOS!$A$5:$A$400&lt;&gt;"")*(MOVIMIENTOS!$A$5:$A$400&lt;=$A28)*MOVIMIENTOS!$E$5:$E$400)-SUMPRODUCT((MOVIMIENTOS!$B$5:$B$400="VENTA")*(MOVIMIENTOS!$C$5:$C$400="M")*(MOVIMIENTOS!$D$5:$D$400="jabas")*(MOVIMIENTOS!$A$5:$A$400&lt;&gt;"")*(MOVIMIENTOS!$A$5:$A$400&lt;=$A28)*MOVIMIENTOS!$E$5:$E$400)+SUMPRODUCT((MOVIMIENTOS!$B$5:$B$400="AJUSTE")*(MOVIMIENTOS!$C$5:$C$400="M")*(MOVIMIENTOS!$D$5:$D$400="jabas")*(MOVIMIENTOS!$A$5:$A$400&lt;&gt;"")*(MOVIMIENTOS!$A$5:$A$400&lt;=$A28)*MOVIMIENTOS!$E$5:$E$400))</f>
        <v/>
      </c>
      <c r="F28" s="46" t="str">
        <f aca="false">IF($A28="","",SUMPRODUCT((MOVIMIENTOS!$B$5:$B$400="SALDO INICIAL")*(MOVIMIENTOS!$C$5:$C$400="Chancho")*(MOVIMIENTOS!$D$5:$D$400="sacos")*(MOVIMIENTOS!$A$5:$A$400&lt;&gt;"")*(MOVIMIENTOS!$A$5:$A$400&lt;=$A28)*MOVIMIENTOS!$E$5:$E$400)+SUMPRODUCT((MOVIMIENTOS!$B$5:$B$400="PROCESO")*(MOVIMIENTOS!$C$5:$C$400="Chancho")*(MOVIMIENTOS!$D$5:$D$400="sacos")*(MOVIMIENTOS!$A$5:$A$400&lt;&gt;"")*(MOVIMIENTOS!$A$5:$A$400&lt;=$A28)*MOVIMIENTOS!$E$5:$E$400)-SUMPRODUCT((MOVIMIENTOS!$B$5:$B$400="VENTA CHANCHO")*(MOVIMIENTOS!$C$5:$C$400="Chancho")*(MOVIMIENTOS!$D$5:$D$400="sacos")*(MOVIMIENTOS!$A$5:$A$400&lt;&gt;"")*(MOVIMIENTOS!$A$5:$A$400&lt;=$A28)*MOVIMIENTOS!$E$5:$E$400)-SUMPRODUCT((MOVIMIENTOS!$B$5:$B$400="REGALO")*(MOVIMIENTOS!$C$5:$C$400="Chancho")*(MOVIMIENTOS!$D$5:$D$400="sacos")*(MOVIMIENTOS!$A$5:$A$400&lt;&gt;"")*(MOVIMIENTOS!$A$5:$A$400&lt;=$A28)*MOVIMIENTOS!$E$5:$E$400)-SUMPRODUCT((MOVIMIENTOS!$B$5:$B$400="VENTA")*(MOVIMIENTOS!$C$5:$C$400="Chancho")*(MOVIMIENTOS!$D$5:$D$400="sacos")*(MOVIMIENTOS!$A$5:$A$400&lt;&gt;"")*(MOVIMIENTOS!$A$5:$A$400&lt;=$A28)*MOVIMIENTOS!$E$5:$E$400)+SUMPRODUCT((MOVIMIENTOS!$B$5:$B$400="AJUSTE")*(MOVIMIENTOS!$C$5:$C$400="Chancho")*(MOVIMIENTOS!$D$5:$D$400="sacos")*(MOVIMIENTOS!$A$5:$A$400&lt;&gt;"")*(MOVIMIENTOS!$A$5:$A$400&lt;=$A28)*MOVIMIENTOS!$E$5:$E$400))</f>
        <v/>
      </c>
      <c r="G28" s="46" t="str">
        <f aca="false">IF($A28="","",SUM(B28:E28))</f>
        <v/>
      </c>
      <c r="H28" s="46" t="str">
        <f aca="false">IF($A28="","",SUMPRODUCT((((MOVIMIENTOS!$B$5:$B$400="SALDO INICIAL")*(MOVIMIENTOS!$C$5:$C$400&lt;&gt;"Chancho"))+(MOVIMIENTOS!$B$5:$B$400="COMPRA")+(MOVIMIENTOS!$B$5:$B$400="REPROCESO")+(MOVIMIENTOS!$B$5:$B$400="DEVOLUCIÓN")+((MOVIMIENTOS!$B$5:$B$400="AJUSTE")*(MOVIMIENTOS!$C$5:$C$400&lt;&gt;"Chancho")))*(MOVIMIENTOS!$A$5:$A$400&lt;&gt;"")*(MOVIMIENTOS!$A$5:$A$400&lt;=$A28)*MOVIMIENTOS!$I$5:$I$400)-SUMPRODUCT(((MOVIMIENTOS!$B$5:$B$400="ENVÍO A SUPESA")+(MOVIMIENTOS!$B$5:$B$400="ENVÍO A TOTTUS")+(MOVIMIENTOS!$B$5:$B$400="ENVIO A TOTTUS")+(MOVIMIENTOS!$B$5:$B$400="MALOGRADO")+(MOVIMIENTOS!$B$5:$B$400="OTRA SALIDA")+((MOVIMIENTOS!$B$5:$B$400="PROCESO")*(MOVIMIENTOS!$C$5:$C$400="Chancho"))+((MOVIMIENTOS!$B$5:$B$400="REGALO")*(MOVIMIENTOS!$C$5:$C$400&lt;&gt;"Chancho"))+((MOVIMIENTOS!$B$5:$B$400="VENTA")*(MOVIMIENTOS!$C$5:$C$400&lt;&gt;"Chancho")))*(MOVIMIENTOS!$A$5:$A$400&lt;&gt;"")*(MOVIMIENTOS!$A$5:$A$400&lt;=$A28)*MOVIMIENTOS!$I$5:$I$400))</f>
        <v/>
      </c>
      <c r="I28" s="44"/>
      <c r="J28" s="44" t="str">
        <f aca="false">IF(AND(MOVIMIENTOS!$A28&lt;&gt;"",COUNTIF(MOVIMIENTOS!$A$5:$A27,MOVIMIENTOS!$A28)=0),COUNT(J$4:J27)+1,"")</f>
        <v/>
      </c>
      <c r="K28" s="47" t="n">
        <f aca="false">MOVIMIENTOS!$A28</f>
        <v>46216</v>
      </c>
      <c r="L28" s="44"/>
      <c r="M28" s="44"/>
      <c r="N28" s="44"/>
    </row>
    <row r="29" customFormat="false" ht="15" hidden="false" customHeight="true" outlineLevel="0" collapsed="false">
      <c r="A29" s="45" t="str">
        <f aca="false">IFERROR(INDEX(K$5:K$400,MATCH(ROW()-4,J$5:J$400,0)),"")</f>
        <v/>
      </c>
      <c r="B29" s="46" t="str">
        <f aca="false">IF($A29="","",SUMPRODUCT((MOVIMIENTOS!$B$5:$B$400="SALDO INICIAL")*(MOVIMIENTOS!$C$5:$C$400="A")*(MOVIMIENTOS!$D$5:$D$400="jabas")*(MOVIMIENTOS!$A$5:$A$400&lt;&gt;"")*(MOVIMIENTOS!$A$5:$A$400&lt;=$A29)*MOVIMIENTOS!$E$5:$E$400)+SUMPRODUCT((MOVIMIENTOS!$B$5:$B$400="PROCESO")*(MOVIMIENTOS!$C$5:$C$400="A")*(MOVIMIENTOS!$D$5:$D$400="jabas")*(MOVIMIENTOS!$A$5:$A$400&lt;&gt;"")*(MOVIMIENTOS!$A$5:$A$400&lt;=$A29)*MOVIMIENTOS!$E$5:$E$400)-SUMPRODUCT((MOVIMIENTOS!$B$5:$B$400="ENVÍO A SUPESA")*(MOVIMIENTOS!$C$5:$C$400="A")*(MOVIMIENTOS!$D$5:$D$400="jabas")*(MOVIMIENTOS!$A$5:$A$400&lt;&gt;"")*(MOVIMIENTOS!$A$5:$A$400&lt;=$A29)*MOVIMIENTOS!$E$5:$E$400)+SUMPRODUCT((MOVIMIENTOS!$B$5:$B$400="DEVOLUCIÓN")*(MOVIMIENTOS!$C$5:$C$400="A")*(MOVIMIENTOS!$D$5:$D$400="jabas")*(MOVIMIENTOS!$A$5:$A$400&lt;&gt;"")*(MOVIMIENTOS!$A$5:$A$400&lt;=$A29)*MOVIMIENTOS!$E$5:$E$400)-SUMPRODUCT((MOVIMIENTOS!$B$5:$B$400="TRASIEGO")*(MOVIMIENTOS!$C$5:$C$400="A")*(MOVIMIENTOS!$D$5:$D$400="jabas")*(MOVIMIENTOS!$A$5:$A$400&lt;&gt;"")*(MOVIMIENTOS!$A$5:$A$400&lt;=$A29)*MOVIMIENTOS!$E$5:$E$400)-SUMPRODUCT((MOVIMIENTOS!$B$5:$B$400="REGALO")*(MOVIMIENTOS!$C$5:$C$400="A")*(MOVIMIENTOS!$D$5:$D$400="jabas")*(MOVIMIENTOS!$A$5:$A$400&lt;&gt;"")*(MOVIMIENTOS!$A$5:$A$400&lt;=$A29)*MOVIMIENTOS!$E$5:$E$400)-SUMPRODUCT((MOVIMIENTOS!$B$5:$B$400="VENTA")*(MOVIMIENTOS!$C$5:$C$400="A")*(MOVIMIENTOS!$D$5:$D$400="jabas")*(MOVIMIENTOS!$A$5:$A$400&lt;&gt;"")*(MOVIMIENTOS!$A$5:$A$400&lt;=$A29)*MOVIMIENTOS!$E$5:$E$400)+SUMPRODUCT((MOVIMIENTOS!$B$5:$B$400="AJUSTE")*(MOVIMIENTOS!$C$5:$C$400="A")*(MOVIMIENTOS!$D$5:$D$400="jabas")*(MOVIMIENTOS!$A$5:$A$400&lt;&gt;"")*(MOVIMIENTOS!$A$5:$A$400&lt;=$A29)*MOVIMIENTOS!$E$5:$E$400))</f>
        <v/>
      </c>
      <c r="C29" s="46" t="str">
        <f aca="false">IF($A29="","",SUMPRODUCT((MOVIMIENTOS!$B$5:$B$400="SALDO INICIAL")*(MOVIMIENTOS!$C$5:$C$400="P")*(MOVIMIENTOS!$D$5:$D$400="jabas")*(MOVIMIENTOS!$A$5:$A$400&lt;&gt;"")*(MOVIMIENTOS!$A$5:$A$400&lt;=$A29)*MOVIMIENTOS!$E$5:$E$400)+SUMPRODUCT((MOVIMIENTOS!$B$5:$B$400="PROCESO")*(MOVIMIENTOS!$C$5:$C$400="P")*(MOVIMIENTOS!$D$5:$D$400="jabas")*(MOVIMIENTOS!$A$5:$A$400&lt;&gt;"")*(MOVIMIENTOS!$A$5:$A$400&lt;=$A29)*MOVIMIENTOS!$E$5:$E$400)-SUMPRODUCT((MOVIMIENTOS!$B$5:$B$400="ENVÍO A SUPESA")*(MOVIMIENTOS!$C$5:$C$400="P")*(MOVIMIENTOS!$D$5:$D$400="jabas")*(MOVIMIENTOS!$A$5:$A$400&lt;&gt;"")*(MOVIMIENTOS!$A$5:$A$400&lt;=$A29)*MOVIMIENTOS!$E$5:$E$400)+SUMPRODUCT((MOVIMIENTOS!$B$5:$B$400="DEVOLUCIÓN")*(MOVIMIENTOS!$C$5:$C$400="P")*(MOVIMIENTOS!$D$5:$D$400="jabas")*(MOVIMIENTOS!$A$5:$A$400&lt;&gt;"")*(MOVIMIENTOS!$A$5:$A$400&lt;=$A29)*MOVIMIENTOS!$E$5:$E$400)-SUMPRODUCT((MOVIMIENTOS!$B$5:$B$400="TRASIEGO")*(MOVIMIENTOS!$C$5:$C$400="P")*(MOVIMIENTOS!$D$5:$D$400="jabas")*(MOVIMIENTOS!$A$5:$A$400&lt;&gt;"")*(MOVIMIENTOS!$A$5:$A$400&lt;=$A29)*MOVIMIENTOS!$E$5:$E$400)-SUMPRODUCT((MOVIMIENTOS!$B$5:$B$400="REGALO")*(MOVIMIENTOS!$C$5:$C$400="P")*(MOVIMIENTOS!$D$5:$D$400="jabas")*(MOVIMIENTOS!$A$5:$A$400&lt;&gt;"")*(MOVIMIENTOS!$A$5:$A$400&lt;=$A29)*MOVIMIENTOS!$E$5:$E$400)-SUMPRODUCT((MOVIMIENTOS!$B$5:$B$400="VENTA")*(MOVIMIENTOS!$C$5:$C$400="P")*(MOVIMIENTOS!$D$5:$D$400="jabas")*(MOVIMIENTOS!$A$5:$A$400&lt;&gt;"")*(MOVIMIENTOS!$A$5:$A$400&lt;=$A29)*MOVIMIENTOS!$E$5:$E$400)+SUMPRODUCT((MOVIMIENTOS!$B$5:$B$400="AJUSTE")*(MOVIMIENTOS!$C$5:$C$400="P")*(MOVIMIENTOS!$D$5:$D$400="jabas")*(MOVIMIENTOS!$A$5:$A$400&lt;&gt;"")*(MOVIMIENTOS!$A$5:$A$400&lt;=$A29)*MOVIMIENTOS!$E$5:$E$400))</f>
        <v/>
      </c>
      <c r="D29" s="46" t="str">
        <f aca="false">IF($A29="","",SUMPRODUCT((MOVIMIENTOS!$B$5:$B$400="SALDO INICIAL")*(MOVIMIENTOS!$C$5:$C$400="C")*(MOVIMIENTOS!$D$5:$D$400="jabas")*(MOVIMIENTOS!$A$5:$A$400&lt;&gt;"")*(MOVIMIENTOS!$A$5:$A$400&lt;=$A29)*MOVIMIENTOS!$E$5:$E$400)+SUMPRODUCT((MOVIMIENTOS!$B$5:$B$400="PROCESO")*(MOVIMIENTOS!$C$5:$C$400="C")*(MOVIMIENTOS!$D$5:$D$400="jabas")*(MOVIMIENTOS!$A$5:$A$400&lt;&gt;"")*(MOVIMIENTOS!$A$5:$A$400&lt;=$A29)*MOVIMIENTOS!$E$5:$E$400)-SUMPRODUCT((MOVIMIENTOS!$B$5:$B$400="ENVÍO A SUPESA")*(MOVIMIENTOS!$C$5:$C$400="C")*(MOVIMIENTOS!$D$5:$D$400="jabas")*(MOVIMIENTOS!$A$5:$A$400&lt;&gt;"")*(MOVIMIENTOS!$A$5:$A$400&lt;=$A29)*MOVIMIENTOS!$E$5:$E$400)+SUMPRODUCT((MOVIMIENTOS!$B$5:$B$400="DEVOLUCIÓN")*(MOVIMIENTOS!$C$5:$C$400="C")*(MOVIMIENTOS!$D$5:$D$400="jabas")*(MOVIMIENTOS!$A$5:$A$400&lt;&gt;"")*(MOVIMIENTOS!$A$5:$A$400&lt;=$A29)*MOVIMIENTOS!$E$5:$E$400)-SUMPRODUCT((MOVIMIENTOS!$B$5:$B$400="TRASIEGO")*(MOVIMIENTOS!$C$5:$C$400="C")*(MOVIMIENTOS!$D$5:$D$400="jabas")*(MOVIMIENTOS!$A$5:$A$400&lt;&gt;"")*(MOVIMIENTOS!$A$5:$A$400&lt;=$A29)*MOVIMIENTOS!$E$5:$E$400)-SUMPRODUCT((MOVIMIENTOS!$B$5:$B$400="REGALO")*(MOVIMIENTOS!$C$5:$C$400="C")*(MOVIMIENTOS!$D$5:$D$400="jabas")*(MOVIMIENTOS!$A$5:$A$400&lt;&gt;"")*(MOVIMIENTOS!$A$5:$A$400&lt;=$A29)*MOVIMIENTOS!$E$5:$E$400)-SUMPRODUCT((MOVIMIENTOS!$B$5:$B$400="VENTA")*(MOVIMIENTOS!$C$5:$C$400="C")*(MOVIMIENTOS!$D$5:$D$400="jabas")*(MOVIMIENTOS!$A$5:$A$400&lt;&gt;"")*(MOVIMIENTOS!$A$5:$A$400&lt;=$A29)*MOVIMIENTOS!$E$5:$E$400)+SUMPRODUCT((MOVIMIENTOS!$B$5:$B$400="AJUSTE")*(MOVIMIENTOS!$C$5:$C$400="C")*(MOVIMIENTOS!$D$5:$D$400="jabas")*(MOVIMIENTOS!$A$5:$A$400&lt;&gt;"")*(MOVIMIENTOS!$A$5:$A$400&lt;=$A29)*MOVIMIENTOS!$E$5:$E$400))</f>
        <v/>
      </c>
      <c r="E29" s="46" t="str">
        <f aca="false">IF($A29="","",SUMPRODUCT((MOVIMIENTOS!$B$5:$B$400="SALDO INICIAL")*(MOVIMIENTOS!$C$5:$C$400="M")*(MOVIMIENTOS!$D$5:$D$400="jabas")*(MOVIMIENTOS!$A$5:$A$400&lt;&gt;"")*(MOVIMIENTOS!$A$5:$A$400&lt;=$A29)*MOVIMIENTOS!$E$5:$E$400)+SUMPRODUCT((MOVIMIENTOS!$B$5:$B$400="PROCESO")*(MOVIMIENTOS!$C$5:$C$400="M")*(MOVIMIENTOS!$D$5:$D$400="jabas")*(MOVIMIENTOS!$A$5:$A$400&lt;&gt;"")*(MOVIMIENTOS!$A$5:$A$400&lt;=$A29)*MOVIMIENTOS!$E$5:$E$400)-SUMPRODUCT((MOVIMIENTOS!$B$5:$B$400="ENVÍO A SUPESA")*(MOVIMIENTOS!$C$5:$C$400="M")*(MOVIMIENTOS!$D$5:$D$400="jabas")*(MOVIMIENTOS!$A$5:$A$400&lt;&gt;"")*(MOVIMIENTOS!$A$5:$A$400&lt;=$A29)*MOVIMIENTOS!$E$5:$E$400)+SUMPRODUCT((MOVIMIENTOS!$B$5:$B$400="DEVOLUCIÓN")*(MOVIMIENTOS!$C$5:$C$400="M")*(MOVIMIENTOS!$D$5:$D$400="jabas")*(MOVIMIENTOS!$A$5:$A$400&lt;&gt;"")*(MOVIMIENTOS!$A$5:$A$400&lt;=$A29)*MOVIMIENTOS!$E$5:$E$400)-SUMPRODUCT((MOVIMIENTOS!$B$5:$B$400="TRASIEGO")*(MOVIMIENTOS!$C$5:$C$400="M")*(MOVIMIENTOS!$D$5:$D$400="jabas")*(MOVIMIENTOS!$A$5:$A$400&lt;&gt;"")*(MOVIMIENTOS!$A$5:$A$400&lt;=$A29)*MOVIMIENTOS!$E$5:$E$400)-SUMPRODUCT((MOVIMIENTOS!$B$5:$B$400="REGALO")*(MOVIMIENTOS!$C$5:$C$400="M")*(MOVIMIENTOS!$D$5:$D$400="jabas")*(MOVIMIENTOS!$A$5:$A$400&lt;&gt;"")*(MOVIMIENTOS!$A$5:$A$400&lt;=$A29)*MOVIMIENTOS!$E$5:$E$400)-SUMPRODUCT((MOVIMIENTOS!$B$5:$B$400="VENTA")*(MOVIMIENTOS!$C$5:$C$400="M")*(MOVIMIENTOS!$D$5:$D$400="jabas")*(MOVIMIENTOS!$A$5:$A$400&lt;&gt;"")*(MOVIMIENTOS!$A$5:$A$400&lt;=$A29)*MOVIMIENTOS!$E$5:$E$400)+SUMPRODUCT((MOVIMIENTOS!$B$5:$B$400="AJUSTE")*(MOVIMIENTOS!$C$5:$C$400="M")*(MOVIMIENTOS!$D$5:$D$400="jabas")*(MOVIMIENTOS!$A$5:$A$400&lt;&gt;"")*(MOVIMIENTOS!$A$5:$A$400&lt;=$A29)*MOVIMIENTOS!$E$5:$E$400))</f>
        <v/>
      </c>
      <c r="F29" s="46" t="str">
        <f aca="false">IF($A29="","",SUMPRODUCT((MOVIMIENTOS!$B$5:$B$400="SALDO INICIAL")*(MOVIMIENTOS!$C$5:$C$400="Chancho")*(MOVIMIENTOS!$D$5:$D$400="sacos")*(MOVIMIENTOS!$A$5:$A$400&lt;&gt;"")*(MOVIMIENTOS!$A$5:$A$400&lt;=$A29)*MOVIMIENTOS!$E$5:$E$400)+SUMPRODUCT((MOVIMIENTOS!$B$5:$B$400="PROCESO")*(MOVIMIENTOS!$C$5:$C$400="Chancho")*(MOVIMIENTOS!$D$5:$D$400="sacos")*(MOVIMIENTOS!$A$5:$A$400&lt;&gt;"")*(MOVIMIENTOS!$A$5:$A$400&lt;=$A29)*MOVIMIENTOS!$E$5:$E$400)-SUMPRODUCT((MOVIMIENTOS!$B$5:$B$400="VENTA CHANCHO")*(MOVIMIENTOS!$C$5:$C$400="Chancho")*(MOVIMIENTOS!$D$5:$D$400="sacos")*(MOVIMIENTOS!$A$5:$A$400&lt;&gt;"")*(MOVIMIENTOS!$A$5:$A$400&lt;=$A29)*MOVIMIENTOS!$E$5:$E$400)-SUMPRODUCT((MOVIMIENTOS!$B$5:$B$400="REGALO")*(MOVIMIENTOS!$C$5:$C$400="Chancho")*(MOVIMIENTOS!$D$5:$D$400="sacos")*(MOVIMIENTOS!$A$5:$A$400&lt;&gt;"")*(MOVIMIENTOS!$A$5:$A$400&lt;=$A29)*MOVIMIENTOS!$E$5:$E$400)-SUMPRODUCT((MOVIMIENTOS!$B$5:$B$400="VENTA")*(MOVIMIENTOS!$C$5:$C$400="Chancho")*(MOVIMIENTOS!$D$5:$D$400="sacos")*(MOVIMIENTOS!$A$5:$A$400&lt;&gt;"")*(MOVIMIENTOS!$A$5:$A$400&lt;=$A29)*MOVIMIENTOS!$E$5:$E$400)+SUMPRODUCT((MOVIMIENTOS!$B$5:$B$400="AJUSTE")*(MOVIMIENTOS!$C$5:$C$400="Chancho")*(MOVIMIENTOS!$D$5:$D$400="sacos")*(MOVIMIENTOS!$A$5:$A$400&lt;&gt;"")*(MOVIMIENTOS!$A$5:$A$400&lt;=$A29)*MOVIMIENTOS!$E$5:$E$400))</f>
        <v/>
      </c>
      <c r="G29" s="46" t="str">
        <f aca="false">IF($A29="","",SUM(B29:E29))</f>
        <v/>
      </c>
      <c r="H29" s="46" t="str">
        <f aca="false">IF($A29="","",SUMPRODUCT((((MOVIMIENTOS!$B$5:$B$400="SALDO INICIAL")*(MOVIMIENTOS!$C$5:$C$400&lt;&gt;"Chancho"))+(MOVIMIENTOS!$B$5:$B$400="COMPRA")+(MOVIMIENTOS!$B$5:$B$400="REPROCESO")+(MOVIMIENTOS!$B$5:$B$400="DEVOLUCIÓN")+((MOVIMIENTOS!$B$5:$B$400="AJUSTE")*(MOVIMIENTOS!$C$5:$C$400&lt;&gt;"Chancho")))*(MOVIMIENTOS!$A$5:$A$400&lt;&gt;"")*(MOVIMIENTOS!$A$5:$A$400&lt;=$A29)*MOVIMIENTOS!$I$5:$I$400)-SUMPRODUCT(((MOVIMIENTOS!$B$5:$B$400="ENVÍO A SUPESA")+(MOVIMIENTOS!$B$5:$B$400="ENVÍO A TOTTUS")+(MOVIMIENTOS!$B$5:$B$400="ENVIO A TOTTUS")+(MOVIMIENTOS!$B$5:$B$400="MALOGRADO")+(MOVIMIENTOS!$B$5:$B$400="OTRA SALIDA")+((MOVIMIENTOS!$B$5:$B$400="PROCESO")*(MOVIMIENTOS!$C$5:$C$400="Chancho"))+((MOVIMIENTOS!$B$5:$B$400="REGALO")*(MOVIMIENTOS!$C$5:$C$400&lt;&gt;"Chancho"))+((MOVIMIENTOS!$B$5:$B$400="VENTA")*(MOVIMIENTOS!$C$5:$C$400&lt;&gt;"Chancho")))*(MOVIMIENTOS!$A$5:$A$400&lt;&gt;"")*(MOVIMIENTOS!$A$5:$A$400&lt;=$A29)*MOVIMIENTOS!$I$5:$I$400))</f>
        <v/>
      </c>
      <c r="I29" s="44"/>
      <c r="J29" s="44" t="n">
        <f aca="false">IF(AND(MOVIMIENTOS!$A29&lt;&gt;"",COUNTIF(MOVIMIENTOS!$A$5:$A28,MOVIMIENTOS!$A29)=0),COUNT(J$4:J28)+1,"")</f>
        <v>4</v>
      </c>
      <c r="K29" s="47" t="n">
        <f aca="false">MOVIMIENTOS!$A29</f>
        <v>46217</v>
      </c>
      <c r="L29" s="44"/>
      <c r="M29" s="44"/>
      <c r="N29" s="44"/>
    </row>
    <row r="30" customFormat="false" ht="15" hidden="false" customHeight="true" outlineLevel="0" collapsed="false">
      <c r="A30" s="45" t="str">
        <f aca="false">IFERROR(INDEX(K$5:K$400,MATCH(ROW()-4,J$5:J$400,0)),"")</f>
        <v/>
      </c>
      <c r="B30" s="46" t="str">
        <f aca="false">IF($A30="","",SUMPRODUCT((MOVIMIENTOS!$B$5:$B$400="SALDO INICIAL")*(MOVIMIENTOS!$C$5:$C$400="A")*(MOVIMIENTOS!$D$5:$D$400="jabas")*(MOVIMIENTOS!$A$5:$A$400&lt;&gt;"")*(MOVIMIENTOS!$A$5:$A$400&lt;=$A30)*MOVIMIENTOS!$E$5:$E$400)+SUMPRODUCT((MOVIMIENTOS!$B$5:$B$400="PROCESO")*(MOVIMIENTOS!$C$5:$C$400="A")*(MOVIMIENTOS!$D$5:$D$400="jabas")*(MOVIMIENTOS!$A$5:$A$400&lt;&gt;"")*(MOVIMIENTOS!$A$5:$A$400&lt;=$A30)*MOVIMIENTOS!$E$5:$E$400)-SUMPRODUCT((MOVIMIENTOS!$B$5:$B$400="ENVÍO A SUPESA")*(MOVIMIENTOS!$C$5:$C$400="A")*(MOVIMIENTOS!$D$5:$D$400="jabas")*(MOVIMIENTOS!$A$5:$A$400&lt;&gt;"")*(MOVIMIENTOS!$A$5:$A$400&lt;=$A30)*MOVIMIENTOS!$E$5:$E$400)+SUMPRODUCT((MOVIMIENTOS!$B$5:$B$400="DEVOLUCIÓN")*(MOVIMIENTOS!$C$5:$C$400="A")*(MOVIMIENTOS!$D$5:$D$400="jabas")*(MOVIMIENTOS!$A$5:$A$400&lt;&gt;"")*(MOVIMIENTOS!$A$5:$A$400&lt;=$A30)*MOVIMIENTOS!$E$5:$E$400)-SUMPRODUCT((MOVIMIENTOS!$B$5:$B$400="TRASIEGO")*(MOVIMIENTOS!$C$5:$C$400="A")*(MOVIMIENTOS!$D$5:$D$400="jabas")*(MOVIMIENTOS!$A$5:$A$400&lt;&gt;"")*(MOVIMIENTOS!$A$5:$A$400&lt;=$A30)*MOVIMIENTOS!$E$5:$E$400)-SUMPRODUCT((MOVIMIENTOS!$B$5:$B$400="REGALO")*(MOVIMIENTOS!$C$5:$C$400="A")*(MOVIMIENTOS!$D$5:$D$400="jabas")*(MOVIMIENTOS!$A$5:$A$400&lt;&gt;"")*(MOVIMIENTOS!$A$5:$A$400&lt;=$A30)*MOVIMIENTOS!$E$5:$E$400)-SUMPRODUCT((MOVIMIENTOS!$B$5:$B$400="VENTA")*(MOVIMIENTOS!$C$5:$C$400="A")*(MOVIMIENTOS!$D$5:$D$400="jabas")*(MOVIMIENTOS!$A$5:$A$400&lt;&gt;"")*(MOVIMIENTOS!$A$5:$A$400&lt;=$A30)*MOVIMIENTOS!$E$5:$E$400)+SUMPRODUCT((MOVIMIENTOS!$B$5:$B$400="AJUSTE")*(MOVIMIENTOS!$C$5:$C$400="A")*(MOVIMIENTOS!$D$5:$D$400="jabas")*(MOVIMIENTOS!$A$5:$A$400&lt;&gt;"")*(MOVIMIENTOS!$A$5:$A$400&lt;=$A30)*MOVIMIENTOS!$E$5:$E$400))</f>
        <v/>
      </c>
      <c r="C30" s="46" t="str">
        <f aca="false">IF($A30="","",SUMPRODUCT((MOVIMIENTOS!$B$5:$B$400="SALDO INICIAL")*(MOVIMIENTOS!$C$5:$C$400="P")*(MOVIMIENTOS!$D$5:$D$400="jabas")*(MOVIMIENTOS!$A$5:$A$400&lt;&gt;"")*(MOVIMIENTOS!$A$5:$A$400&lt;=$A30)*MOVIMIENTOS!$E$5:$E$400)+SUMPRODUCT((MOVIMIENTOS!$B$5:$B$400="PROCESO")*(MOVIMIENTOS!$C$5:$C$400="P")*(MOVIMIENTOS!$D$5:$D$400="jabas")*(MOVIMIENTOS!$A$5:$A$400&lt;&gt;"")*(MOVIMIENTOS!$A$5:$A$400&lt;=$A30)*MOVIMIENTOS!$E$5:$E$400)-SUMPRODUCT((MOVIMIENTOS!$B$5:$B$400="ENVÍO A SUPESA")*(MOVIMIENTOS!$C$5:$C$400="P")*(MOVIMIENTOS!$D$5:$D$400="jabas")*(MOVIMIENTOS!$A$5:$A$400&lt;&gt;"")*(MOVIMIENTOS!$A$5:$A$400&lt;=$A30)*MOVIMIENTOS!$E$5:$E$400)+SUMPRODUCT((MOVIMIENTOS!$B$5:$B$400="DEVOLUCIÓN")*(MOVIMIENTOS!$C$5:$C$400="P")*(MOVIMIENTOS!$D$5:$D$400="jabas")*(MOVIMIENTOS!$A$5:$A$400&lt;&gt;"")*(MOVIMIENTOS!$A$5:$A$400&lt;=$A30)*MOVIMIENTOS!$E$5:$E$400)-SUMPRODUCT((MOVIMIENTOS!$B$5:$B$400="TRASIEGO")*(MOVIMIENTOS!$C$5:$C$400="P")*(MOVIMIENTOS!$D$5:$D$400="jabas")*(MOVIMIENTOS!$A$5:$A$400&lt;&gt;"")*(MOVIMIENTOS!$A$5:$A$400&lt;=$A30)*MOVIMIENTOS!$E$5:$E$400)-SUMPRODUCT((MOVIMIENTOS!$B$5:$B$400="REGALO")*(MOVIMIENTOS!$C$5:$C$400="P")*(MOVIMIENTOS!$D$5:$D$400="jabas")*(MOVIMIENTOS!$A$5:$A$400&lt;&gt;"")*(MOVIMIENTOS!$A$5:$A$400&lt;=$A30)*MOVIMIENTOS!$E$5:$E$400)-SUMPRODUCT((MOVIMIENTOS!$B$5:$B$400="VENTA")*(MOVIMIENTOS!$C$5:$C$400="P")*(MOVIMIENTOS!$D$5:$D$400="jabas")*(MOVIMIENTOS!$A$5:$A$400&lt;&gt;"")*(MOVIMIENTOS!$A$5:$A$400&lt;=$A30)*MOVIMIENTOS!$E$5:$E$400)+SUMPRODUCT((MOVIMIENTOS!$B$5:$B$400="AJUSTE")*(MOVIMIENTOS!$C$5:$C$400="P")*(MOVIMIENTOS!$D$5:$D$400="jabas")*(MOVIMIENTOS!$A$5:$A$400&lt;&gt;"")*(MOVIMIENTOS!$A$5:$A$400&lt;=$A30)*MOVIMIENTOS!$E$5:$E$400))</f>
        <v/>
      </c>
      <c r="D30" s="46" t="str">
        <f aca="false">IF($A30="","",SUMPRODUCT((MOVIMIENTOS!$B$5:$B$400="SALDO INICIAL")*(MOVIMIENTOS!$C$5:$C$400="C")*(MOVIMIENTOS!$D$5:$D$400="jabas")*(MOVIMIENTOS!$A$5:$A$400&lt;&gt;"")*(MOVIMIENTOS!$A$5:$A$400&lt;=$A30)*MOVIMIENTOS!$E$5:$E$400)+SUMPRODUCT((MOVIMIENTOS!$B$5:$B$400="PROCESO")*(MOVIMIENTOS!$C$5:$C$400="C")*(MOVIMIENTOS!$D$5:$D$400="jabas")*(MOVIMIENTOS!$A$5:$A$400&lt;&gt;"")*(MOVIMIENTOS!$A$5:$A$400&lt;=$A30)*MOVIMIENTOS!$E$5:$E$400)-SUMPRODUCT((MOVIMIENTOS!$B$5:$B$400="ENVÍO A SUPESA")*(MOVIMIENTOS!$C$5:$C$400="C")*(MOVIMIENTOS!$D$5:$D$400="jabas")*(MOVIMIENTOS!$A$5:$A$400&lt;&gt;"")*(MOVIMIENTOS!$A$5:$A$400&lt;=$A30)*MOVIMIENTOS!$E$5:$E$400)+SUMPRODUCT((MOVIMIENTOS!$B$5:$B$400="DEVOLUCIÓN")*(MOVIMIENTOS!$C$5:$C$400="C")*(MOVIMIENTOS!$D$5:$D$400="jabas")*(MOVIMIENTOS!$A$5:$A$400&lt;&gt;"")*(MOVIMIENTOS!$A$5:$A$400&lt;=$A30)*MOVIMIENTOS!$E$5:$E$400)-SUMPRODUCT((MOVIMIENTOS!$B$5:$B$400="TRASIEGO")*(MOVIMIENTOS!$C$5:$C$400="C")*(MOVIMIENTOS!$D$5:$D$400="jabas")*(MOVIMIENTOS!$A$5:$A$400&lt;&gt;"")*(MOVIMIENTOS!$A$5:$A$400&lt;=$A30)*MOVIMIENTOS!$E$5:$E$400)-SUMPRODUCT((MOVIMIENTOS!$B$5:$B$400="REGALO")*(MOVIMIENTOS!$C$5:$C$400="C")*(MOVIMIENTOS!$D$5:$D$400="jabas")*(MOVIMIENTOS!$A$5:$A$400&lt;&gt;"")*(MOVIMIENTOS!$A$5:$A$400&lt;=$A30)*MOVIMIENTOS!$E$5:$E$400)-SUMPRODUCT((MOVIMIENTOS!$B$5:$B$400="VENTA")*(MOVIMIENTOS!$C$5:$C$400="C")*(MOVIMIENTOS!$D$5:$D$400="jabas")*(MOVIMIENTOS!$A$5:$A$400&lt;&gt;"")*(MOVIMIENTOS!$A$5:$A$400&lt;=$A30)*MOVIMIENTOS!$E$5:$E$400)+SUMPRODUCT((MOVIMIENTOS!$B$5:$B$400="AJUSTE")*(MOVIMIENTOS!$C$5:$C$400="C")*(MOVIMIENTOS!$D$5:$D$400="jabas")*(MOVIMIENTOS!$A$5:$A$400&lt;&gt;"")*(MOVIMIENTOS!$A$5:$A$400&lt;=$A30)*MOVIMIENTOS!$E$5:$E$400))</f>
        <v/>
      </c>
      <c r="E30" s="46" t="str">
        <f aca="false">IF($A30="","",SUMPRODUCT((MOVIMIENTOS!$B$5:$B$400="SALDO INICIAL")*(MOVIMIENTOS!$C$5:$C$400="M")*(MOVIMIENTOS!$D$5:$D$400="jabas")*(MOVIMIENTOS!$A$5:$A$400&lt;&gt;"")*(MOVIMIENTOS!$A$5:$A$400&lt;=$A30)*MOVIMIENTOS!$E$5:$E$400)+SUMPRODUCT((MOVIMIENTOS!$B$5:$B$400="PROCESO")*(MOVIMIENTOS!$C$5:$C$400="M")*(MOVIMIENTOS!$D$5:$D$400="jabas")*(MOVIMIENTOS!$A$5:$A$400&lt;&gt;"")*(MOVIMIENTOS!$A$5:$A$400&lt;=$A30)*MOVIMIENTOS!$E$5:$E$400)-SUMPRODUCT((MOVIMIENTOS!$B$5:$B$400="ENVÍO A SUPESA")*(MOVIMIENTOS!$C$5:$C$400="M")*(MOVIMIENTOS!$D$5:$D$400="jabas")*(MOVIMIENTOS!$A$5:$A$400&lt;&gt;"")*(MOVIMIENTOS!$A$5:$A$400&lt;=$A30)*MOVIMIENTOS!$E$5:$E$400)+SUMPRODUCT((MOVIMIENTOS!$B$5:$B$400="DEVOLUCIÓN")*(MOVIMIENTOS!$C$5:$C$400="M")*(MOVIMIENTOS!$D$5:$D$400="jabas")*(MOVIMIENTOS!$A$5:$A$400&lt;&gt;"")*(MOVIMIENTOS!$A$5:$A$400&lt;=$A30)*MOVIMIENTOS!$E$5:$E$400)-SUMPRODUCT((MOVIMIENTOS!$B$5:$B$400="TRASIEGO")*(MOVIMIENTOS!$C$5:$C$400="M")*(MOVIMIENTOS!$D$5:$D$400="jabas")*(MOVIMIENTOS!$A$5:$A$400&lt;&gt;"")*(MOVIMIENTOS!$A$5:$A$400&lt;=$A30)*MOVIMIENTOS!$E$5:$E$400)-SUMPRODUCT((MOVIMIENTOS!$B$5:$B$400="REGALO")*(MOVIMIENTOS!$C$5:$C$400="M")*(MOVIMIENTOS!$D$5:$D$400="jabas")*(MOVIMIENTOS!$A$5:$A$400&lt;&gt;"")*(MOVIMIENTOS!$A$5:$A$400&lt;=$A30)*MOVIMIENTOS!$E$5:$E$400)-SUMPRODUCT((MOVIMIENTOS!$B$5:$B$400="VENTA")*(MOVIMIENTOS!$C$5:$C$400="M")*(MOVIMIENTOS!$D$5:$D$400="jabas")*(MOVIMIENTOS!$A$5:$A$400&lt;&gt;"")*(MOVIMIENTOS!$A$5:$A$400&lt;=$A30)*MOVIMIENTOS!$E$5:$E$400)+SUMPRODUCT((MOVIMIENTOS!$B$5:$B$400="AJUSTE")*(MOVIMIENTOS!$C$5:$C$400="M")*(MOVIMIENTOS!$D$5:$D$400="jabas")*(MOVIMIENTOS!$A$5:$A$400&lt;&gt;"")*(MOVIMIENTOS!$A$5:$A$400&lt;=$A30)*MOVIMIENTOS!$E$5:$E$400))</f>
        <v/>
      </c>
      <c r="F30" s="46" t="str">
        <f aca="false">IF($A30="","",SUMPRODUCT((MOVIMIENTOS!$B$5:$B$400="SALDO INICIAL")*(MOVIMIENTOS!$C$5:$C$400="Chancho")*(MOVIMIENTOS!$D$5:$D$400="sacos")*(MOVIMIENTOS!$A$5:$A$400&lt;&gt;"")*(MOVIMIENTOS!$A$5:$A$400&lt;=$A30)*MOVIMIENTOS!$E$5:$E$400)+SUMPRODUCT((MOVIMIENTOS!$B$5:$B$400="PROCESO")*(MOVIMIENTOS!$C$5:$C$400="Chancho")*(MOVIMIENTOS!$D$5:$D$400="sacos")*(MOVIMIENTOS!$A$5:$A$400&lt;&gt;"")*(MOVIMIENTOS!$A$5:$A$400&lt;=$A30)*MOVIMIENTOS!$E$5:$E$400)-SUMPRODUCT((MOVIMIENTOS!$B$5:$B$400="VENTA CHANCHO")*(MOVIMIENTOS!$C$5:$C$400="Chancho")*(MOVIMIENTOS!$D$5:$D$400="sacos")*(MOVIMIENTOS!$A$5:$A$400&lt;&gt;"")*(MOVIMIENTOS!$A$5:$A$400&lt;=$A30)*MOVIMIENTOS!$E$5:$E$400)-SUMPRODUCT((MOVIMIENTOS!$B$5:$B$400="REGALO")*(MOVIMIENTOS!$C$5:$C$400="Chancho")*(MOVIMIENTOS!$D$5:$D$400="sacos")*(MOVIMIENTOS!$A$5:$A$400&lt;&gt;"")*(MOVIMIENTOS!$A$5:$A$400&lt;=$A30)*MOVIMIENTOS!$E$5:$E$400)-SUMPRODUCT((MOVIMIENTOS!$B$5:$B$400="VENTA")*(MOVIMIENTOS!$C$5:$C$400="Chancho")*(MOVIMIENTOS!$D$5:$D$400="sacos")*(MOVIMIENTOS!$A$5:$A$400&lt;&gt;"")*(MOVIMIENTOS!$A$5:$A$400&lt;=$A30)*MOVIMIENTOS!$E$5:$E$400)+SUMPRODUCT((MOVIMIENTOS!$B$5:$B$400="AJUSTE")*(MOVIMIENTOS!$C$5:$C$400="Chancho")*(MOVIMIENTOS!$D$5:$D$400="sacos")*(MOVIMIENTOS!$A$5:$A$400&lt;&gt;"")*(MOVIMIENTOS!$A$5:$A$400&lt;=$A30)*MOVIMIENTOS!$E$5:$E$400))</f>
        <v/>
      </c>
      <c r="G30" s="46" t="str">
        <f aca="false">IF($A30="","",SUM(B30:E30))</f>
        <v/>
      </c>
      <c r="H30" s="46" t="str">
        <f aca="false">IF($A30="","",SUMPRODUCT((((MOVIMIENTOS!$B$5:$B$400="SALDO INICIAL")*(MOVIMIENTOS!$C$5:$C$400&lt;&gt;"Chancho"))+(MOVIMIENTOS!$B$5:$B$400="COMPRA")+(MOVIMIENTOS!$B$5:$B$400="REPROCESO")+(MOVIMIENTOS!$B$5:$B$400="DEVOLUCIÓN")+((MOVIMIENTOS!$B$5:$B$400="AJUSTE")*(MOVIMIENTOS!$C$5:$C$400&lt;&gt;"Chancho")))*(MOVIMIENTOS!$A$5:$A$400&lt;&gt;"")*(MOVIMIENTOS!$A$5:$A$400&lt;=$A30)*MOVIMIENTOS!$I$5:$I$400)-SUMPRODUCT(((MOVIMIENTOS!$B$5:$B$400="ENVÍO A SUPESA")+(MOVIMIENTOS!$B$5:$B$400="ENVÍO A TOTTUS")+(MOVIMIENTOS!$B$5:$B$400="ENVIO A TOTTUS")+(MOVIMIENTOS!$B$5:$B$400="MALOGRADO")+(MOVIMIENTOS!$B$5:$B$400="OTRA SALIDA")+((MOVIMIENTOS!$B$5:$B$400="PROCESO")*(MOVIMIENTOS!$C$5:$C$400="Chancho"))+((MOVIMIENTOS!$B$5:$B$400="REGALO")*(MOVIMIENTOS!$C$5:$C$400&lt;&gt;"Chancho"))+((MOVIMIENTOS!$B$5:$B$400="VENTA")*(MOVIMIENTOS!$C$5:$C$400&lt;&gt;"Chancho")))*(MOVIMIENTOS!$A$5:$A$400&lt;&gt;"")*(MOVIMIENTOS!$A$5:$A$400&lt;=$A30)*MOVIMIENTOS!$I$5:$I$400))</f>
        <v/>
      </c>
      <c r="I30" s="44"/>
      <c r="J30" s="44" t="str">
        <f aca="false">IF(AND(MOVIMIENTOS!$A30&lt;&gt;"",COUNTIF(MOVIMIENTOS!$A$5:$A29,MOVIMIENTOS!$A30)=0),COUNT(J$4:J29)+1,"")</f>
        <v/>
      </c>
      <c r="K30" s="47" t="n">
        <f aca="false">MOVIMIENTOS!$A30</f>
        <v>46217</v>
      </c>
      <c r="L30" s="44"/>
      <c r="M30" s="44"/>
      <c r="N30" s="44"/>
    </row>
    <row r="31" customFormat="false" ht="15" hidden="false" customHeight="true" outlineLevel="0" collapsed="false">
      <c r="A31" s="45" t="str">
        <f aca="false">IFERROR(INDEX(K$5:K$400,MATCH(ROW()-4,J$5:J$400,0)),"")</f>
        <v/>
      </c>
      <c r="B31" s="46" t="str">
        <f aca="false">IF($A31="","",SUMPRODUCT((MOVIMIENTOS!$B$5:$B$400="SALDO INICIAL")*(MOVIMIENTOS!$C$5:$C$400="A")*(MOVIMIENTOS!$D$5:$D$400="jabas")*(MOVIMIENTOS!$A$5:$A$400&lt;&gt;"")*(MOVIMIENTOS!$A$5:$A$400&lt;=$A31)*MOVIMIENTOS!$E$5:$E$400)+SUMPRODUCT((MOVIMIENTOS!$B$5:$B$400="PROCESO")*(MOVIMIENTOS!$C$5:$C$400="A")*(MOVIMIENTOS!$D$5:$D$400="jabas")*(MOVIMIENTOS!$A$5:$A$400&lt;&gt;"")*(MOVIMIENTOS!$A$5:$A$400&lt;=$A31)*MOVIMIENTOS!$E$5:$E$400)-SUMPRODUCT((MOVIMIENTOS!$B$5:$B$400="ENVÍO A SUPESA")*(MOVIMIENTOS!$C$5:$C$400="A")*(MOVIMIENTOS!$D$5:$D$400="jabas")*(MOVIMIENTOS!$A$5:$A$400&lt;&gt;"")*(MOVIMIENTOS!$A$5:$A$400&lt;=$A31)*MOVIMIENTOS!$E$5:$E$400)+SUMPRODUCT((MOVIMIENTOS!$B$5:$B$400="DEVOLUCIÓN")*(MOVIMIENTOS!$C$5:$C$400="A")*(MOVIMIENTOS!$D$5:$D$400="jabas")*(MOVIMIENTOS!$A$5:$A$400&lt;&gt;"")*(MOVIMIENTOS!$A$5:$A$400&lt;=$A31)*MOVIMIENTOS!$E$5:$E$400)-SUMPRODUCT((MOVIMIENTOS!$B$5:$B$400="TRASIEGO")*(MOVIMIENTOS!$C$5:$C$400="A")*(MOVIMIENTOS!$D$5:$D$400="jabas")*(MOVIMIENTOS!$A$5:$A$400&lt;&gt;"")*(MOVIMIENTOS!$A$5:$A$400&lt;=$A31)*MOVIMIENTOS!$E$5:$E$400)-SUMPRODUCT((MOVIMIENTOS!$B$5:$B$400="REGALO")*(MOVIMIENTOS!$C$5:$C$400="A")*(MOVIMIENTOS!$D$5:$D$400="jabas")*(MOVIMIENTOS!$A$5:$A$400&lt;&gt;"")*(MOVIMIENTOS!$A$5:$A$400&lt;=$A31)*MOVIMIENTOS!$E$5:$E$400)-SUMPRODUCT((MOVIMIENTOS!$B$5:$B$400="VENTA")*(MOVIMIENTOS!$C$5:$C$400="A")*(MOVIMIENTOS!$D$5:$D$400="jabas")*(MOVIMIENTOS!$A$5:$A$400&lt;&gt;"")*(MOVIMIENTOS!$A$5:$A$400&lt;=$A31)*MOVIMIENTOS!$E$5:$E$400)+SUMPRODUCT((MOVIMIENTOS!$B$5:$B$400="AJUSTE")*(MOVIMIENTOS!$C$5:$C$400="A")*(MOVIMIENTOS!$D$5:$D$400="jabas")*(MOVIMIENTOS!$A$5:$A$400&lt;&gt;"")*(MOVIMIENTOS!$A$5:$A$400&lt;=$A31)*MOVIMIENTOS!$E$5:$E$400))</f>
        <v/>
      </c>
      <c r="C31" s="46" t="str">
        <f aca="false">IF($A31="","",SUMPRODUCT((MOVIMIENTOS!$B$5:$B$400="SALDO INICIAL")*(MOVIMIENTOS!$C$5:$C$400="P")*(MOVIMIENTOS!$D$5:$D$400="jabas")*(MOVIMIENTOS!$A$5:$A$400&lt;&gt;"")*(MOVIMIENTOS!$A$5:$A$400&lt;=$A31)*MOVIMIENTOS!$E$5:$E$400)+SUMPRODUCT((MOVIMIENTOS!$B$5:$B$400="PROCESO")*(MOVIMIENTOS!$C$5:$C$400="P")*(MOVIMIENTOS!$D$5:$D$400="jabas")*(MOVIMIENTOS!$A$5:$A$400&lt;&gt;"")*(MOVIMIENTOS!$A$5:$A$400&lt;=$A31)*MOVIMIENTOS!$E$5:$E$400)-SUMPRODUCT((MOVIMIENTOS!$B$5:$B$400="ENVÍO A SUPESA")*(MOVIMIENTOS!$C$5:$C$400="P")*(MOVIMIENTOS!$D$5:$D$400="jabas")*(MOVIMIENTOS!$A$5:$A$400&lt;&gt;"")*(MOVIMIENTOS!$A$5:$A$400&lt;=$A31)*MOVIMIENTOS!$E$5:$E$400)+SUMPRODUCT((MOVIMIENTOS!$B$5:$B$400="DEVOLUCIÓN")*(MOVIMIENTOS!$C$5:$C$400="P")*(MOVIMIENTOS!$D$5:$D$400="jabas")*(MOVIMIENTOS!$A$5:$A$400&lt;&gt;"")*(MOVIMIENTOS!$A$5:$A$400&lt;=$A31)*MOVIMIENTOS!$E$5:$E$400)-SUMPRODUCT((MOVIMIENTOS!$B$5:$B$400="TRASIEGO")*(MOVIMIENTOS!$C$5:$C$400="P")*(MOVIMIENTOS!$D$5:$D$400="jabas")*(MOVIMIENTOS!$A$5:$A$400&lt;&gt;"")*(MOVIMIENTOS!$A$5:$A$400&lt;=$A31)*MOVIMIENTOS!$E$5:$E$400)-SUMPRODUCT((MOVIMIENTOS!$B$5:$B$400="REGALO")*(MOVIMIENTOS!$C$5:$C$400="P")*(MOVIMIENTOS!$D$5:$D$400="jabas")*(MOVIMIENTOS!$A$5:$A$400&lt;&gt;"")*(MOVIMIENTOS!$A$5:$A$400&lt;=$A31)*MOVIMIENTOS!$E$5:$E$400)-SUMPRODUCT((MOVIMIENTOS!$B$5:$B$400="VENTA")*(MOVIMIENTOS!$C$5:$C$400="P")*(MOVIMIENTOS!$D$5:$D$400="jabas")*(MOVIMIENTOS!$A$5:$A$400&lt;&gt;"")*(MOVIMIENTOS!$A$5:$A$400&lt;=$A31)*MOVIMIENTOS!$E$5:$E$400)+SUMPRODUCT((MOVIMIENTOS!$B$5:$B$400="AJUSTE")*(MOVIMIENTOS!$C$5:$C$400="P")*(MOVIMIENTOS!$D$5:$D$400="jabas")*(MOVIMIENTOS!$A$5:$A$400&lt;&gt;"")*(MOVIMIENTOS!$A$5:$A$400&lt;=$A31)*MOVIMIENTOS!$E$5:$E$400))</f>
        <v/>
      </c>
      <c r="D31" s="46" t="str">
        <f aca="false">IF($A31="","",SUMPRODUCT((MOVIMIENTOS!$B$5:$B$400="SALDO INICIAL")*(MOVIMIENTOS!$C$5:$C$400="C")*(MOVIMIENTOS!$D$5:$D$400="jabas")*(MOVIMIENTOS!$A$5:$A$400&lt;&gt;"")*(MOVIMIENTOS!$A$5:$A$400&lt;=$A31)*MOVIMIENTOS!$E$5:$E$400)+SUMPRODUCT((MOVIMIENTOS!$B$5:$B$400="PROCESO")*(MOVIMIENTOS!$C$5:$C$400="C")*(MOVIMIENTOS!$D$5:$D$400="jabas")*(MOVIMIENTOS!$A$5:$A$400&lt;&gt;"")*(MOVIMIENTOS!$A$5:$A$400&lt;=$A31)*MOVIMIENTOS!$E$5:$E$400)-SUMPRODUCT((MOVIMIENTOS!$B$5:$B$400="ENVÍO A SUPESA")*(MOVIMIENTOS!$C$5:$C$400="C")*(MOVIMIENTOS!$D$5:$D$400="jabas")*(MOVIMIENTOS!$A$5:$A$400&lt;&gt;"")*(MOVIMIENTOS!$A$5:$A$400&lt;=$A31)*MOVIMIENTOS!$E$5:$E$400)+SUMPRODUCT((MOVIMIENTOS!$B$5:$B$400="DEVOLUCIÓN")*(MOVIMIENTOS!$C$5:$C$400="C")*(MOVIMIENTOS!$D$5:$D$400="jabas")*(MOVIMIENTOS!$A$5:$A$400&lt;&gt;"")*(MOVIMIENTOS!$A$5:$A$400&lt;=$A31)*MOVIMIENTOS!$E$5:$E$400)-SUMPRODUCT((MOVIMIENTOS!$B$5:$B$400="TRASIEGO")*(MOVIMIENTOS!$C$5:$C$400="C")*(MOVIMIENTOS!$D$5:$D$400="jabas")*(MOVIMIENTOS!$A$5:$A$400&lt;&gt;"")*(MOVIMIENTOS!$A$5:$A$400&lt;=$A31)*MOVIMIENTOS!$E$5:$E$400)-SUMPRODUCT((MOVIMIENTOS!$B$5:$B$400="REGALO")*(MOVIMIENTOS!$C$5:$C$400="C")*(MOVIMIENTOS!$D$5:$D$400="jabas")*(MOVIMIENTOS!$A$5:$A$400&lt;&gt;"")*(MOVIMIENTOS!$A$5:$A$400&lt;=$A31)*MOVIMIENTOS!$E$5:$E$400)-SUMPRODUCT((MOVIMIENTOS!$B$5:$B$400="VENTA")*(MOVIMIENTOS!$C$5:$C$400="C")*(MOVIMIENTOS!$D$5:$D$400="jabas")*(MOVIMIENTOS!$A$5:$A$400&lt;&gt;"")*(MOVIMIENTOS!$A$5:$A$400&lt;=$A31)*MOVIMIENTOS!$E$5:$E$400)+SUMPRODUCT((MOVIMIENTOS!$B$5:$B$400="AJUSTE")*(MOVIMIENTOS!$C$5:$C$400="C")*(MOVIMIENTOS!$D$5:$D$400="jabas")*(MOVIMIENTOS!$A$5:$A$400&lt;&gt;"")*(MOVIMIENTOS!$A$5:$A$400&lt;=$A31)*MOVIMIENTOS!$E$5:$E$400))</f>
        <v/>
      </c>
      <c r="E31" s="46" t="str">
        <f aca="false">IF($A31="","",SUMPRODUCT((MOVIMIENTOS!$B$5:$B$400="SALDO INICIAL")*(MOVIMIENTOS!$C$5:$C$400="M")*(MOVIMIENTOS!$D$5:$D$400="jabas")*(MOVIMIENTOS!$A$5:$A$400&lt;&gt;"")*(MOVIMIENTOS!$A$5:$A$400&lt;=$A31)*MOVIMIENTOS!$E$5:$E$400)+SUMPRODUCT((MOVIMIENTOS!$B$5:$B$400="PROCESO")*(MOVIMIENTOS!$C$5:$C$400="M")*(MOVIMIENTOS!$D$5:$D$400="jabas")*(MOVIMIENTOS!$A$5:$A$400&lt;&gt;"")*(MOVIMIENTOS!$A$5:$A$400&lt;=$A31)*MOVIMIENTOS!$E$5:$E$400)-SUMPRODUCT((MOVIMIENTOS!$B$5:$B$400="ENVÍO A SUPESA")*(MOVIMIENTOS!$C$5:$C$400="M")*(MOVIMIENTOS!$D$5:$D$400="jabas")*(MOVIMIENTOS!$A$5:$A$400&lt;&gt;"")*(MOVIMIENTOS!$A$5:$A$400&lt;=$A31)*MOVIMIENTOS!$E$5:$E$400)+SUMPRODUCT((MOVIMIENTOS!$B$5:$B$400="DEVOLUCIÓN")*(MOVIMIENTOS!$C$5:$C$400="M")*(MOVIMIENTOS!$D$5:$D$400="jabas")*(MOVIMIENTOS!$A$5:$A$400&lt;&gt;"")*(MOVIMIENTOS!$A$5:$A$400&lt;=$A31)*MOVIMIENTOS!$E$5:$E$400)-SUMPRODUCT((MOVIMIENTOS!$B$5:$B$400="TRASIEGO")*(MOVIMIENTOS!$C$5:$C$400="M")*(MOVIMIENTOS!$D$5:$D$400="jabas")*(MOVIMIENTOS!$A$5:$A$400&lt;&gt;"")*(MOVIMIENTOS!$A$5:$A$400&lt;=$A31)*MOVIMIENTOS!$E$5:$E$400)-SUMPRODUCT((MOVIMIENTOS!$B$5:$B$400="REGALO")*(MOVIMIENTOS!$C$5:$C$400="M")*(MOVIMIENTOS!$D$5:$D$400="jabas")*(MOVIMIENTOS!$A$5:$A$400&lt;&gt;"")*(MOVIMIENTOS!$A$5:$A$400&lt;=$A31)*MOVIMIENTOS!$E$5:$E$400)-SUMPRODUCT((MOVIMIENTOS!$B$5:$B$400="VENTA")*(MOVIMIENTOS!$C$5:$C$400="M")*(MOVIMIENTOS!$D$5:$D$400="jabas")*(MOVIMIENTOS!$A$5:$A$400&lt;&gt;"")*(MOVIMIENTOS!$A$5:$A$400&lt;=$A31)*MOVIMIENTOS!$E$5:$E$400)+SUMPRODUCT((MOVIMIENTOS!$B$5:$B$400="AJUSTE")*(MOVIMIENTOS!$C$5:$C$400="M")*(MOVIMIENTOS!$D$5:$D$400="jabas")*(MOVIMIENTOS!$A$5:$A$400&lt;&gt;"")*(MOVIMIENTOS!$A$5:$A$400&lt;=$A31)*MOVIMIENTOS!$E$5:$E$400))</f>
        <v/>
      </c>
      <c r="F31" s="46" t="str">
        <f aca="false">IF($A31="","",SUMPRODUCT((MOVIMIENTOS!$B$5:$B$400="SALDO INICIAL")*(MOVIMIENTOS!$C$5:$C$400="Chancho")*(MOVIMIENTOS!$D$5:$D$400="sacos")*(MOVIMIENTOS!$A$5:$A$400&lt;&gt;"")*(MOVIMIENTOS!$A$5:$A$400&lt;=$A31)*MOVIMIENTOS!$E$5:$E$400)+SUMPRODUCT((MOVIMIENTOS!$B$5:$B$400="PROCESO")*(MOVIMIENTOS!$C$5:$C$400="Chancho")*(MOVIMIENTOS!$D$5:$D$400="sacos")*(MOVIMIENTOS!$A$5:$A$400&lt;&gt;"")*(MOVIMIENTOS!$A$5:$A$400&lt;=$A31)*MOVIMIENTOS!$E$5:$E$400)-SUMPRODUCT((MOVIMIENTOS!$B$5:$B$400="VENTA CHANCHO")*(MOVIMIENTOS!$C$5:$C$400="Chancho")*(MOVIMIENTOS!$D$5:$D$400="sacos")*(MOVIMIENTOS!$A$5:$A$400&lt;&gt;"")*(MOVIMIENTOS!$A$5:$A$400&lt;=$A31)*MOVIMIENTOS!$E$5:$E$400)-SUMPRODUCT((MOVIMIENTOS!$B$5:$B$400="REGALO")*(MOVIMIENTOS!$C$5:$C$400="Chancho")*(MOVIMIENTOS!$D$5:$D$400="sacos")*(MOVIMIENTOS!$A$5:$A$400&lt;&gt;"")*(MOVIMIENTOS!$A$5:$A$400&lt;=$A31)*MOVIMIENTOS!$E$5:$E$400)-SUMPRODUCT((MOVIMIENTOS!$B$5:$B$400="VENTA")*(MOVIMIENTOS!$C$5:$C$400="Chancho")*(MOVIMIENTOS!$D$5:$D$400="sacos")*(MOVIMIENTOS!$A$5:$A$400&lt;&gt;"")*(MOVIMIENTOS!$A$5:$A$400&lt;=$A31)*MOVIMIENTOS!$E$5:$E$400)+SUMPRODUCT((MOVIMIENTOS!$B$5:$B$400="AJUSTE")*(MOVIMIENTOS!$C$5:$C$400="Chancho")*(MOVIMIENTOS!$D$5:$D$400="sacos")*(MOVIMIENTOS!$A$5:$A$400&lt;&gt;"")*(MOVIMIENTOS!$A$5:$A$400&lt;=$A31)*MOVIMIENTOS!$E$5:$E$400))</f>
        <v/>
      </c>
      <c r="G31" s="46" t="str">
        <f aca="false">IF($A31="","",SUM(B31:E31))</f>
        <v/>
      </c>
      <c r="H31" s="46" t="str">
        <f aca="false">IF($A31="","",SUMPRODUCT((((MOVIMIENTOS!$B$5:$B$400="SALDO INICIAL")*(MOVIMIENTOS!$C$5:$C$400&lt;&gt;"Chancho"))+(MOVIMIENTOS!$B$5:$B$400="COMPRA")+(MOVIMIENTOS!$B$5:$B$400="REPROCESO")+(MOVIMIENTOS!$B$5:$B$400="DEVOLUCIÓN")+((MOVIMIENTOS!$B$5:$B$400="AJUSTE")*(MOVIMIENTOS!$C$5:$C$400&lt;&gt;"Chancho")))*(MOVIMIENTOS!$A$5:$A$400&lt;&gt;"")*(MOVIMIENTOS!$A$5:$A$400&lt;=$A31)*MOVIMIENTOS!$I$5:$I$400)-SUMPRODUCT(((MOVIMIENTOS!$B$5:$B$400="ENVÍO A SUPESA")+(MOVIMIENTOS!$B$5:$B$400="ENVÍO A TOTTUS")+(MOVIMIENTOS!$B$5:$B$400="ENVIO A TOTTUS")+(MOVIMIENTOS!$B$5:$B$400="MALOGRADO")+(MOVIMIENTOS!$B$5:$B$400="OTRA SALIDA")+((MOVIMIENTOS!$B$5:$B$400="PROCESO")*(MOVIMIENTOS!$C$5:$C$400="Chancho"))+((MOVIMIENTOS!$B$5:$B$400="REGALO")*(MOVIMIENTOS!$C$5:$C$400&lt;&gt;"Chancho"))+((MOVIMIENTOS!$B$5:$B$400="VENTA")*(MOVIMIENTOS!$C$5:$C$400&lt;&gt;"Chancho")))*(MOVIMIENTOS!$A$5:$A$400&lt;&gt;"")*(MOVIMIENTOS!$A$5:$A$400&lt;=$A31)*MOVIMIENTOS!$I$5:$I$400))</f>
        <v/>
      </c>
      <c r="I31" s="44"/>
      <c r="J31" s="44" t="str">
        <f aca="false">IF(AND(MOVIMIENTOS!$A31&lt;&gt;"",COUNTIF(MOVIMIENTOS!$A$5:$A30,MOVIMIENTOS!$A31)=0),COUNT(J$4:J30)+1,"")</f>
        <v/>
      </c>
      <c r="K31" s="47" t="n">
        <f aca="false">MOVIMIENTOS!$A31</f>
        <v>46217</v>
      </c>
      <c r="L31" s="44"/>
      <c r="M31" s="44"/>
      <c r="N31" s="44"/>
    </row>
    <row r="32" customFormat="false" ht="15" hidden="false" customHeight="true" outlineLevel="0" collapsed="false">
      <c r="A32" s="45" t="str">
        <f aca="false">IFERROR(INDEX(K$5:K$400,MATCH(ROW()-4,J$5:J$400,0)),"")</f>
        <v/>
      </c>
      <c r="B32" s="46" t="str">
        <f aca="false">IF($A32="","",SUMPRODUCT((MOVIMIENTOS!$B$5:$B$400="SALDO INICIAL")*(MOVIMIENTOS!$C$5:$C$400="A")*(MOVIMIENTOS!$D$5:$D$400="jabas")*(MOVIMIENTOS!$A$5:$A$400&lt;&gt;"")*(MOVIMIENTOS!$A$5:$A$400&lt;=$A32)*MOVIMIENTOS!$E$5:$E$400)+SUMPRODUCT((MOVIMIENTOS!$B$5:$B$400="PROCESO")*(MOVIMIENTOS!$C$5:$C$400="A")*(MOVIMIENTOS!$D$5:$D$400="jabas")*(MOVIMIENTOS!$A$5:$A$400&lt;&gt;"")*(MOVIMIENTOS!$A$5:$A$400&lt;=$A32)*MOVIMIENTOS!$E$5:$E$400)-SUMPRODUCT((MOVIMIENTOS!$B$5:$B$400="ENVÍO A SUPESA")*(MOVIMIENTOS!$C$5:$C$400="A")*(MOVIMIENTOS!$D$5:$D$400="jabas")*(MOVIMIENTOS!$A$5:$A$400&lt;&gt;"")*(MOVIMIENTOS!$A$5:$A$400&lt;=$A32)*MOVIMIENTOS!$E$5:$E$400)+SUMPRODUCT((MOVIMIENTOS!$B$5:$B$400="DEVOLUCIÓN")*(MOVIMIENTOS!$C$5:$C$400="A")*(MOVIMIENTOS!$D$5:$D$400="jabas")*(MOVIMIENTOS!$A$5:$A$400&lt;&gt;"")*(MOVIMIENTOS!$A$5:$A$400&lt;=$A32)*MOVIMIENTOS!$E$5:$E$400)-SUMPRODUCT((MOVIMIENTOS!$B$5:$B$400="TRASIEGO")*(MOVIMIENTOS!$C$5:$C$400="A")*(MOVIMIENTOS!$D$5:$D$400="jabas")*(MOVIMIENTOS!$A$5:$A$400&lt;&gt;"")*(MOVIMIENTOS!$A$5:$A$400&lt;=$A32)*MOVIMIENTOS!$E$5:$E$400)-SUMPRODUCT((MOVIMIENTOS!$B$5:$B$400="REGALO")*(MOVIMIENTOS!$C$5:$C$400="A")*(MOVIMIENTOS!$D$5:$D$400="jabas")*(MOVIMIENTOS!$A$5:$A$400&lt;&gt;"")*(MOVIMIENTOS!$A$5:$A$400&lt;=$A32)*MOVIMIENTOS!$E$5:$E$400)-SUMPRODUCT((MOVIMIENTOS!$B$5:$B$400="VENTA")*(MOVIMIENTOS!$C$5:$C$400="A")*(MOVIMIENTOS!$D$5:$D$400="jabas")*(MOVIMIENTOS!$A$5:$A$400&lt;&gt;"")*(MOVIMIENTOS!$A$5:$A$400&lt;=$A32)*MOVIMIENTOS!$E$5:$E$400)+SUMPRODUCT((MOVIMIENTOS!$B$5:$B$400="AJUSTE")*(MOVIMIENTOS!$C$5:$C$400="A")*(MOVIMIENTOS!$D$5:$D$400="jabas")*(MOVIMIENTOS!$A$5:$A$400&lt;&gt;"")*(MOVIMIENTOS!$A$5:$A$400&lt;=$A32)*MOVIMIENTOS!$E$5:$E$400))</f>
        <v/>
      </c>
      <c r="C32" s="46" t="str">
        <f aca="false">IF($A32="","",SUMPRODUCT((MOVIMIENTOS!$B$5:$B$400="SALDO INICIAL")*(MOVIMIENTOS!$C$5:$C$400="P")*(MOVIMIENTOS!$D$5:$D$400="jabas")*(MOVIMIENTOS!$A$5:$A$400&lt;&gt;"")*(MOVIMIENTOS!$A$5:$A$400&lt;=$A32)*MOVIMIENTOS!$E$5:$E$400)+SUMPRODUCT((MOVIMIENTOS!$B$5:$B$400="PROCESO")*(MOVIMIENTOS!$C$5:$C$400="P")*(MOVIMIENTOS!$D$5:$D$400="jabas")*(MOVIMIENTOS!$A$5:$A$400&lt;&gt;"")*(MOVIMIENTOS!$A$5:$A$400&lt;=$A32)*MOVIMIENTOS!$E$5:$E$400)-SUMPRODUCT((MOVIMIENTOS!$B$5:$B$400="ENVÍO A SUPESA")*(MOVIMIENTOS!$C$5:$C$400="P")*(MOVIMIENTOS!$D$5:$D$400="jabas")*(MOVIMIENTOS!$A$5:$A$400&lt;&gt;"")*(MOVIMIENTOS!$A$5:$A$400&lt;=$A32)*MOVIMIENTOS!$E$5:$E$400)+SUMPRODUCT((MOVIMIENTOS!$B$5:$B$400="DEVOLUCIÓN")*(MOVIMIENTOS!$C$5:$C$400="P")*(MOVIMIENTOS!$D$5:$D$400="jabas")*(MOVIMIENTOS!$A$5:$A$400&lt;&gt;"")*(MOVIMIENTOS!$A$5:$A$400&lt;=$A32)*MOVIMIENTOS!$E$5:$E$400)-SUMPRODUCT((MOVIMIENTOS!$B$5:$B$400="TRASIEGO")*(MOVIMIENTOS!$C$5:$C$400="P")*(MOVIMIENTOS!$D$5:$D$400="jabas")*(MOVIMIENTOS!$A$5:$A$400&lt;&gt;"")*(MOVIMIENTOS!$A$5:$A$400&lt;=$A32)*MOVIMIENTOS!$E$5:$E$400)-SUMPRODUCT((MOVIMIENTOS!$B$5:$B$400="REGALO")*(MOVIMIENTOS!$C$5:$C$400="P")*(MOVIMIENTOS!$D$5:$D$400="jabas")*(MOVIMIENTOS!$A$5:$A$400&lt;&gt;"")*(MOVIMIENTOS!$A$5:$A$400&lt;=$A32)*MOVIMIENTOS!$E$5:$E$400)-SUMPRODUCT((MOVIMIENTOS!$B$5:$B$400="VENTA")*(MOVIMIENTOS!$C$5:$C$400="P")*(MOVIMIENTOS!$D$5:$D$400="jabas")*(MOVIMIENTOS!$A$5:$A$400&lt;&gt;"")*(MOVIMIENTOS!$A$5:$A$400&lt;=$A32)*MOVIMIENTOS!$E$5:$E$400)+SUMPRODUCT((MOVIMIENTOS!$B$5:$B$400="AJUSTE")*(MOVIMIENTOS!$C$5:$C$400="P")*(MOVIMIENTOS!$D$5:$D$400="jabas")*(MOVIMIENTOS!$A$5:$A$400&lt;&gt;"")*(MOVIMIENTOS!$A$5:$A$400&lt;=$A32)*MOVIMIENTOS!$E$5:$E$400))</f>
        <v/>
      </c>
      <c r="D32" s="46" t="str">
        <f aca="false">IF($A32="","",SUMPRODUCT((MOVIMIENTOS!$B$5:$B$400="SALDO INICIAL")*(MOVIMIENTOS!$C$5:$C$400="C")*(MOVIMIENTOS!$D$5:$D$400="jabas")*(MOVIMIENTOS!$A$5:$A$400&lt;&gt;"")*(MOVIMIENTOS!$A$5:$A$400&lt;=$A32)*MOVIMIENTOS!$E$5:$E$400)+SUMPRODUCT((MOVIMIENTOS!$B$5:$B$400="PROCESO")*(MOVIMIENTOS!$C$5:$C$400="C")*(MOVIMIENTOS!$D$5:$D$400="jabas")*(MOVIMIENTOS!$A$5:$A$400&lt;&gt;"")*(MOVIMIENTOS!$A$5:$A$400&lt;=$A32)*MOVIMIENTOS!$E$5:$E$400)-SUMPRODUCT((MOVIMIENTOS!$B$5:$B$400="ENVÍO A SUPESA")*(MOVIMIENTOS!$C$5:$C$400="C")*(MOVIMIENTOS!$D$5:$D$400="jabas")*(MOVIMIENTOS!$A$5:$A$400&lt;&gt;"")*(MOVIMIENTOS!$A$5:$A$400&lt;=$A32)*MOVIMIENTOS!$E$5:$E$400)+SUMPRODUCT((MOVIMIENTOS!$B$5:$B$400="DEVOLUCIÓN")*(MOVIMIENTOS!$C$5:$C$400="C")*(MOVIMIENTOS!$D$5:$D$400="jabas")*(MOVIMIENTOS!$A$5:$A$400&lt;&gt;"")*(MOVIMIENTOS!$A$5:$A$400&lt;=$A32)*MOVIMIENTOS!$E$5:$E$400)-SUMPRODUCT((MOVIMIENTOS!$B$5:$B$400="TRASIEGO")*(MOVIMIENTOS!$C$5:$C$400="C")*(MOVIMIENTOS!$D$5:$D$400="jabas")*(MOVIMIENTOS!$A$5:$A$400&lt;&gt;"")*(MOVIMIENTOS!$A$5:$A$400&lt;=$A32)*MOVIMIENTOS!$E$5:$E$400)-SUMPRODUCT((MOVIMIENTOS!$B$5:$B$400="REGALO")*(MOVIMIENTOS!$C$5:$C$400="C")*(MOVIMIENTOS!$D$5:$D$400="jabas")*(MOVIMIENTOS!$A$5:$A$400&lt;&gt;"")*(MOVIMIENTOS!$A$5:$A$400&lt;=$A32)*MOVIMIENTOS!$E$5:$E$400)-SUMPRODUCT((MOVIMIENTOS!$B$5:$B$400="VENTA")*(MOVIMIENTOS!$C$5:$C$400="C")*(MOVIMIENTOS!$D$5:$D$400="jabas")*(MOVIMIENTOS!$A$5:$A$400&lt;&gt;"")*(MOVIMIENTOS!$A$5:$A$400&lt;=$A32)*MOVIMIENTOS!$E$5:$E$400)+SUMPRODUCT((MOVIMIENTOS!$B$5:$B$400="AJUSTE")*(MOVIMIENTOS!$C$5:$C$400="C")*(MOVIMIENTOS!$D$5:$D$400="jabas")*(MOVIMIENTOS!$A$5:$A$400&lt;&gt;"")*(MOVIMIENTOS!$A$5:$A$400&lt;=$A32)*MOVIMIENTOS!$E$5:$E$400))</f>
        <v/>
      </c>
      <c r="E32" s="46" t="str">
        <f aca="false">IF($A32="","",SUMPRODUCT((MOVIMIENTOS!$B$5:$B$400="SALDO INICIAL")*(MOVIMIENTOS!$C$5:$C$400="M")*(MOVIMIENTOS!$D$5:$D$400="jabas")*(MOVIMIENTOS!$A$5:$A$400&lt;&gt;"")*(MOVIMIENTOS!$A$5:$A$400&lt;=$A32)*MOVIMIENTOS!$E$5:$E$400)+SUMPRODUCT((MOVIMIENTOS!$B$5:$B$400="PROCESO")*(MOVIMIENTOS!$C$5:$C$400="M")*(MOVIMIENTOS!$D$5:$D$400="jabas")*(MOVIMIENTOS!$A$5:$A$400&lt;&gt;"")*(MOVIMIENTOS!$A$5:$A$400&lt;=$A32)*MOVIMIENTOS!$E$5:$E$400)-SUMPRODUCT((MOVIMIENTOS!$B$5:$B$400="ENVÍO A SUPESA")*(MOVIMIENTOS!$C$5:$C$400="M")*(MOVIMIENTOS!$D$5:$D$400="jabas")*(MOVIMIENTOS!$A$5:$A$400&lt;&gt;"")*(MOVIMIENTOS!$A$5:$A$400&lt;=$A32)*MOVIMIENTOS!$E$5:$E$400)+SUMPRODUCT((MOVIMIENTOS!$B$5:$B$400="DEVOLUCIÓN")*(MOVIMIENTOS!$C$5:$C$400="M")*(MOVIMIENTOS!$D$5:$D$400="jabas")*(MOVIMIENTOS!$A$5:$A$400&lt;&gt;"")*(MOVIMIENTOS!$A$5:$A$400&lt;=$A32)*MOVIMIENTOS!$E$5:$E$400)-SUMPRODUCT((MOVIMIENTOS!$B$5:$B$400="TRASIEGO")*(MOVIMIENTOS!$C$5:$C$400="M")*(MOVIMIENTOS!$D$5:$D$400="jabas")*(MOVIMIENTOS!$A$5:$A$400&lt;&gt;"")*(MOVIMIENTOS!$A$5:$A$400&lt;=$A32)*MOVIMIENTOS!$E$5:$E$400)-SUMPRODUCT((MOVIMIENTOS!$B$5:$B$400="REGALO")*(MOVIMIENTOS!$C$5:$C$400="M")*(MOVIMIENTOS!$D$5:$D$400="jabas")*(MOVIMIENTOS!$A$5:$A$400&lt;&gt;"")*(MOVIMIENTOS!$A$5:$A$400&lt;=$A32)*MOVIMIENTOS!$E$5:$E$400)-SUMPRODUCT((MOVIMIENTOS!$B$5:$B$400="VENTA")*(MOVIMIENTOS!$C$5:$C$400="M")*(MOVIMIENTOS!$D$5:$D$400="jabas")*(MOVIMIENTOS!$A$5:$A$400&lt;&gt;"")*(MOVIMIENTOS!$A$5:$A$400&lt;=$A32)*MOVIMIENTOS!$E$5:$E$400)+SUMPRODUCT((MOVIMIENTOS!$B$5:$B$400="AJUSTE")*(MOVIMIENTOS!$C$5:$C$400="M")*(MOVIMIENTOS!$D$5:$D$400="jabas")*(MOVIMIENTOS!$A$5:$A$400&lt;&gt;"")*(MOVIMIENTOS!$A$5:$A$400&lt;=$A32)*MOVIMIENTOS!$E$5:$E$400))</f>
        <v/>
      </c>
      <c r="F32" s="46" t="str">
        <f aca="false">IF($A32="","",SUMPRODUCT((MOVIMIENTOS!$B$5:$B$400="SALDO INICIAL")*(MOVIMIENTOS!$C$5:$C$400="Chancho")*(MOVIMIENTOS!$D$5:$D$400="sacos")*(MOVIMIENTOS!$A$5:$A$400&lt;&gt;"")*(MOVIMIENTOS!$A$5:$A$400&lt;=$A32)*MOVIMIENTOS!$E$5:$E$400)+SUMPRODUCT((MOVIMIENTOS!$B$5:$B$400="PROCESO")*(MOVIMIENTOS!$C$5:$C$400="Chancho")*(MOVIMIENTOS!$D$5:$D$400="sacos")*(MOVIMIENTOS!$A$5:$A$400&lt;&gt;"")*(MOVIMIENTOS!$A$5:$A$400&lt;=$A32)*MOVIMIENTOS!$E$5:$E$400)-SUMPRODUCT((MOVIMIENTOS!$B$5:$B$400="VENTA CHANCHO")*(MOVIMIENTOS!$C$5:$C$400="Chancho")*(MOVIMIENTOS!$D$5:$D$400="sacos")*(MOVIMIENTOS!$A$5:$A$400&lt;&gt;"")*(MOVIMIENTOS!$A$5:$A$400&lt;=$A32)*MOVIMIENTOS!$E$5:$E$400)-SUMPRODUCT((MOVIMIENTOS!$B$5:$B$400="REGALO")*(MOVIMIENTOS!$C$5:$C$400="Chancho")*(MOVIMIENTOS!$D$5:$D$400="sacos")*(MOVIMIENTOS!$A$5:$A$400&lt;&gt;"")*(MOVIMIENTOS!$A$5:$A$400&lt;=$A32)*MOVIMIENTOS!$E$5:$E$400)-SUMPRODUCT((MOVIMIENTOS!$B$5:$B$400="VENTA")*(MOVIMIENTOS!$C$5:$C$400="Chancho")*(MOVIMIENTOS!$D$5:$D$400="sacos")*(MOVIMIENTOS!$A$5:$A$400&lt;&gt;"")*(MOVIMIENTOS!$A$5:$A$400&lt;=$A32)*MOVIMIENTOS!$E$5:$E$400)+SUMPRODUCT((MOVIMIENTOS!$B$5:$B$400="AJUSTE")*(MOVIMIENTOS!$C$5:$C$400="Chancho")*(MOVIMIENTOS!$D$5:$D$400="sacos")*(MOVIMIENTOS!$A$5:$A$400&lt;&gt;"")*(MOVIMIENTOS!$A$5:$A$400&lt;=$A32)*MOVIMIENTOS!$E$5:$E$400))</f>
        <v/>
      </c>
      <c r="G32" s="46" t="str">
        <f aca="false">IF($A32="","",SUM(B32:E32))</f>
        <v/>
      </c>
      <c r="H32" s="46" t="str">
        <f aca="false">IF($A32="","",SUMPRODUCT((((MOVIMIENTOS!$B$5:$B$400="SALDO INICIAL")*(MOVIMIENTOS!$C$5:$C$400&lt;&gt;"Chancho"))+(MOVIMIENTOS!$B$5:$B$400="COMPRA")+(MOVIMIENTOS!$B$5:$B$400="REPROCESO")+(MOVIMIENTOS!$B$5:$B$400="DEVOLUCIÓN")+((MOVIMIENTOS!$B$5:$B$400="AJUSTE")*(MOVIMIENTOS!$C$5:$C$400&lt;&gt;"Chancho")))*(MOVIMIENTOS!$A$5:$A$400&lt;&gt;"")*(MOVIMIENTOS!$A$5:$A$400&lt;=$A32)*MOVIMIENTOS!$I$5:$I$400)-SUMPRODUCT(((MOVIMIENTOS!$B$5:$B$400="ENVÍO A SUPESA")+(MOVIMIENTOS!$B$5:$B$400="ENVÍO A TOTTUS")+(MOVIMIENTOS!$B$5:$B$400="ENVIO A TOTTUS")+(MOVIMIENTOS!$B$5:$B$400="MALOGRADO")+(MOVIMIENTOS!$B$5:$B$400="OTRA SALIDA")+((MOVIMIENTOS!$B$5:$B$400="PROCESO")*(MOVIMIENTOS!$C$5:$C$400="Chancho"))+((MOVIMIENTOS!$B$5:$B$400="REGALO")*(MOVIMIENTOS!$C$5:$C$400&lt;&gt;"Chancho"))+((MOVIMIENTOS!$B$5:$B$400="VENTA")*(MOVIMIENTOS!$C$5:$C$400&lt;&gt;"Chancho")))*(MOVIMIENTOS!$A$5:$A$400&lt;&gt;"")*(MOVIMIENTOS!$A$5:$A$400&lt;=$A32)*MOVIMIENTOS!$I$5:$I$400))</f>
        <v/>
      </c>
      <c r="I32" s="44"/>
      <c r="J32" s="44" t="str">
        <f aca="false">IF(AND(MOVIMIENTOS!$A32&lt;&gt;"",COUNTIF(MOVIMIENTOS!$A$5:$A31,MOVIMIENTOS!$A32)=0),COUNT(J$4:J31)+1,"")</f>
        <v/>
      </c>
      <c r="K32" s="47" t="n">
        <f aca="false">MOVIMIENTOS!$A32</f>
        <v>46217</v>
      </c>
      <c r="L32" s="44"/>
      <c r="M32" s="44"/>
      <c r="N32" s="44"/>
    </row>
    <row r="33" customFormat="false" ht="15" hidden="false" customHeight="true" outlineLevel="0" collapsed="false">
      <c r="A33" s="45" t="str">
        <f aca="false">IFERROR(INDEX(K$5:K$400,MATCH(ROW()-4,J$5:J$400,0)),"")</f>
        <v/>
      </c>
      <c r="B33" s="46" t="str">
        <f aca="false">IF($A33="","",SUMPRODUCT((MOVIMIENTOS!$B$5:$B$400="SALDO INICIAL")*(MOVIMIENTOS!$C$5:$C$400="A")*(MOVIMIENTOS!$D$5:$D$400="jabas")*(MOVIMIENTOS!$A$5:$A$400&lt;&gt;"")*(MOVIMIENTOS!$A$5:$A$400&lt;=$A33)*MOVIMIENTOS!$E$5:$E$400)+SUMPRODUCT((MOVIMIENTOS!$B$5:$B$400="PROCESO")*(MOVIMIENTOS!$C$5:$C$400="A")*(MOVIMIENTOS!$D$5:$D$400="jabas")*(MOVIMIENTOS!$A$5:$A$400&lt;&gt;"")*(MOVIMIENTOS!$A$5:$A$400&lt;=$A33)*MOVIMIENTOS!$E$5:$E$400)-SUMPRODUCT((MOVIMIENTOS!$B$5:$B$400="ENVÍO A SUPESA")*(MOVIMIENTOS!$C$5:$C$400="A")*(MOVIMIENTOS!$D$5:$D$400="jabas")*(MOVIMIENTOS!$A$5:$A$400&lt;&gt;"")*(MOVIMIENTOS!$A$5:$A$400&lt;=$A33)*MOVIMIENTOS!$E$5:$E$400)+SUMPRODUCT((MOVIMIENTOS!$B$5:$B$400="DEVOLUCIÓN")*(MOVIMIENTOS!$C$5:$C$400="A")*(MOVIMIENTOS!$D$5:$D$400="jabas")*(MOVIMIENTOS!$A$5:$A$400&lt;&gt;"")*(MOVIMIENTOS!$A$5:$A$400&lt;=$A33)*MOVIMIENTOS!$E$5:$E$400)-SUMPRODUCT((MOVIMIENTOS!$B$5:$B$400="TRASIEGO")*(MOVIMIENTOS!$C$5:$C$400="A")*(MOVIMIENTOS!$D$5:$D$400="jabas")*(MOVIMIENTOS!$A$5:$A$400&lt;&gt;"")*(MOVIMIENTOS!$A$5:$A$400&lt;=$A33)*MOVIMIENTOS!$E$5:$E$400)-SUMPRODUCT((MOVIMIENTOS!$B$5:$B$400="REGALO")*(MOVIMIENTOS!$C$5:$C$400="A")*(MOVIMIENTOS!$D$5:$D$400="jabas")*(MOVIMIENTOS!$A$5:$A$400&lt;&gt;"")*(MOVIMIENTOS!$A$5:$A$400&lt;=$A33)*MOVIMIENTOS!$E$5:$E$400)-SUMPRODUCT((MOVIMIENTOS!$B$5:$B$400="VENTA")*(MOVIMIENTOS!$C$5:$C$400="A")*(MOVIMIENTOS!$D$5:$D$400="jabas")*(MOVIMIENTOS!$A$5:$A$400&lt;&gt;"")*(MOVIMIENTOS!$A$5:$A$400&lt;=$A33)*MOVIMIENTOS!$E$5:$E$400)+SUMPRODUCT((MOVIMIENTOS!$B$5:$B$400="AJUSTE")*(MOVIMIENTOS!$C$5:$C$400="A")*(MOVIMIENTOS!$D$5:$D$400="jabas")*(MOVIMIENTOS!$A$5:$A$400&lt;&gt;"")*(MOVIMIENTOS!$A$5:$A$400&lt;=$A33)*MOVIMIENTOS!$E$5:$E$400))</f>
        <v/>
      </c>
      <c r="C33" s="46" t="str">
        <f aca="false">IF($A33="","",SUMPRODUCT((MOVIMIENTOS!$B$5:$B$400="SALDO INICIAL")*(MOVIMIENTOS!$C$5:$C$400="P")*(MOVIMIENTOS!$D$5:$D$400="jabas")*(MOVIMIENTOS!$A$5:$A$400&lt;&gt;"")*(MOVIMIENTOS!$A$5:$A$400&lt;=$A33)*MOVIMIENTOS!$E$5:$E$400)+SUMPRODUCT((MOVIMIENTOS!$B$5:$B$400="PROCESO")*(MOVIMIENTOS!$C$5:$C$400="P")*(MOVIMIENTOS!$D$5:$D$400="jabas")*(MOVIMIENTOS!$A$5:$A$400&lt;&gt;"")*(MOVIMIENTOS!$A$5:$A$400&lt;=$A33)*MOVIMIENTOS!$E$5:$E$400)-SUMPRODUCT((MOVIMIENTOS!$B$5:$B$400="ENVÍO A SUPESA")*(MOVIMIENTOS!$C$5:$C$400="P")*(MOVIMIENTOS!$D$5:$D$400="jabas")*(MOVIMIENTOS!$A$5:$A$400&lt;&gt;"")*(MOVIMIENTOS!$A$5:$A$400&lt;=$A33)*MOVIMIENTOS!$E$5:$E$400)+SUMPRODUCT((MOVIMIENTOS!$B$5:$B$400="DEVOLUCIÓN")*(MOVIMIENTOS!$C$5:$C$400="P")*(MOVIMIENTOS!$D$5:$D$400="jabas")*(MOVIMIENTOS!$A$5:$A$400&lt;&gt;"")*(MOVIMIENTOS!$A$5:$A$400&lt;=$A33)*MOVIMIENTOS!$E$5:$E$400)-SUMPRODUCT((MOVIMIENTOS!$B$5:$B$400="TRASIEGO")*(MOVIMIENTOS!$C$5:$C$400="P")*(MOVIMIENTOS!$D$5:$D$400="jabas")*(MOVIMIENTOS!$A$5:$A$400&lt;&gt;"")*(MOVIMIENTOS!$A$5:$A$400&lt;=$A33)*MOVIMIENTOS!$E$5:$E$400)-SUMPRODUCT((MOVIMIENTOS!$B$5:$B$400="REGALO")*(MOVIMIENTOS!$C$5:$C$400="P")*(MOVIMIENTOS!$D$5:$D$400="jabas")*(MOVIMIENTOS!$A$5:$A$400&lt;&gt;"")*(MOVIMIENTOS!$A$5:$A$400&lt;=$A33)*MOVIMIENTOS!$E$5:$E$400)-SUMPRODUCT((MOVIMIENTOS!$B$5:$B$400="VENTA")*(MOVIMIENTOS!$C$5:$C$400="P")*(MOVIMIENTOS!$D$5:$D$400="jabas")*(MOVIMIENTOS!$A$5:$A$400&lt;&gt;"")*(MOVIMIENTOS!$A$5:$A$400&lt;=$A33)*MOVIMIENTOS!$E$5:$E$400)+SUMPRODUCT((MOVIMIENTOS!$B$5:$B$400="AJUSTE")*(MOVIMIENTOS!$C$5:$C$400="P")*(MOVIMIENTOS!$D$5:$D$400="jabas")*(MOVIMIENTOS!$A$5:$A$400&lt;&gt;"")*(MOVIMIENTOS!$A$5:$A$400&lt;=$A33)*MOVIMIENTOS!$E$5:$E$400))</f>
        <v/>
      </c>
      <c r="D33" s="46" t="str">
        <f aca="false">IF($A33="","",SUMPRODUCT((MOVIMIENTOS!$B$5:$B$400="SALDO INICIAL")*(MOVIMIENTOS!$C$5:$C$400="C")*(MOVIMIENTOS!$D$5:$D$400="jabas")*(MOVIMIENTOS!$A$5:$A$400&lt;&gt;"")*(MOVIMIENTOS!$A$5:$A$400&lt;=$A33)*MOVIMIENTOS!$E$5:$E$400)+SUMPRODUCT((MOVIMIENTOS!$B$5:$B$400="PROCESO")*(MOVIMIENTOS!$C$5:$C$400="C")*(MOVIMIENTOS!$D$5:$D$400="jabas")*(MOVIMIENTOS!$A$5:$A$400&lt;&gt;"")*(MOVIMIENTOS!$A$5:$A$400&lt;=$A33)*MOVIMIENTOS!$E$5:$E$400)-SUMPRODUCT((MOVIMIENTOS!$B$5:$B$400="ENVÍO A SUPESA")*(MOVIMIENTOS!$C$5:$C$400="C")*(MOVIMIENTOS!$D$5:$D$400="jabas")*(MOVIMIENTOS!$A$5:$A$400&lt;&gt;"")*(MOVIMIENTOS!$A$5:$A$400&lt;=$A33)*MOVIMIENTOS!$E$5:$E$400)+SUMPRODUCT((MOVIMIENTOS!$B$5:$B$400="DEVOLUCIÓN")*(MOVIMIENTOS!$C$5:$C$400="C")*(MOVIMIENTOS!$D$5:$D$400="jabas")*(MOVIMIENTOS!$A$5:$A$400&lt;&gt;"")*(MOVIMIENTOS!$A$5:$A$400&lt;=$A33)*MOVIMIENTOS!$E$5:$E$400)-SUMPRODUCT((MOVIMIENTOS!$B$5:$B$400="TRASIEGO")*(MOVIMIENTOS!$C$5:$C$400="C")*(MOVIMIENTOS!$D$5:$D$400="jabas")*(MOVIMIENTOS!$A$5:$A$400&lt;&gt;"")*(MOVIMIENTOS!$A$5:$A$400&lt;=$A33)*MOVIMIENTOS!$E$5:$E$400)-SUMPRODUCT((MOVIMIENTOS!$B$5:$B$400="REGALO")*(MOVIMIENTOS!$C$5:$C$400="C")*(MOVIMIENTOS!$D$5:$D$400="jabas")*(MOVIMIENTOS!$A$5:$A$400&lt;&gt;"")*(MOVIMIENTOS!$A$5:$A$400&lt;=$A33)*MOVIMIENTOS!$E$5:$E$400)-SUMPRODUCT((MOVIMIENTOS!$B$5:$B$400="VENTA")*(MOVIMIENTOS!$C$5:$C$400="C")*(MOVIMIENTOS!$D$5:$D$400="jabas")*(MOVIMIENTOS!$A$5:$A$400&lt;&gt;"")*(MOVIMIENTOS!$A$5:$A$400&lt;=$A33)*MOVIMIENTOS!$E$5:$E$400)+SUMPRODUCT((MOVIMIENTOS!$B$5:$B$400="AJUSTE")*(MOVIMIENTOS!$C$5:$C$400="C")*(MOVIMIENTOS!$D$5:$D$400="jabas")*(MOVIMIENTOS!$A$5:$A$400&lt;&gt;"")*(MOVIMIENTOS!$A$5:$A$400&lt;=$A33)*MOVIMIENTOS!$E$5:$E$400))</f>
        <v/>
      </c>
      <c r="E33" s="46" t="str">
        <f aca="false">IF($A33="","",SUMPRODUCT((MOVIMIENTOS!$B$5:$B$400="SALDO INICIAL")*(MOVIMIENTOS!$C$5:$C$400="M")*(MOVIMIENTOS!$D$5:$D$400="jabas")*(MOVIMIENTOS!$A$5:$A$400&lt;&gt;"")*(MOVIMIENTOS!$A$5:$A$400&lt;=$A33)*MOVIMIENTOS!$E$5:$E$400)+SUMPRODUCT((MOVIMIENTOS!$B$5:$B$400="PROCESO")*(MOVIMIENTOS!$C$5:$C$400="M")*(MOVIMIENTOS!$D$5:$D$400="jabas")*(MOVIMIENTOS!$A$5:$A$400&lt;&gt;"")*(MOVIMIENTOS!$A$5:$A$400&lt;=$A33)*MOVIMIENTOS!$E$5:$E$400)-SUMPRODUCT((MOVIMIENTOS!$B$5:$B$400="ENVÍO A SUPESA")*(MOVIMIENTOS!$C$5:$C$400="M")*(MOVIMIENTOS!$D$5:$D$400="jabas")*(MOVIMIENTOS!$A$5:$A$400&lt;&gt;"")*(MOVIMIENTOS!$A$5:$A$400&lt;=$A33)*MOVIMIENTOS!$E$5:$E$400)+SUMPRODUCT((MOVIMIENTOS!$B$5:$B$400="DEVOLUCIÓN")*(MOVIMIENTOS!$C$5:$C$400="M")*(MOVIMIENTOS!$D$5:$D$400="jabas")*(MOVIMIENTOS!$A$5:$A$400&lt;&gt;"")*(MOVIMIENTOS!$A$5:$A$400&lt;=$A33)*MOVIMIENTOS!$E$5:$E$400)-SUMPRODUCT((MOVIMIENTOS!$B$5:$B$400="TRASIEGO")*(MOVIMIENTOS!$C$5:$C$400="M")*(MOVIMIENTOS!$D$5:$D$400="jabas")*(MOVIMIENTOS!$A$5:$A$400&lt;&gt;"")*(MOVIMIENTOS!$A$5:$A$400&lt;=$A33)*MOVIMIENTOS!$E$5:$E$400)-SUMPRODUCT((MOVIMIENTOS!$B$5:$B$400="REGALO")*(MOVIMIENTOS!$C$5:$C$400="M")*(MOVIMIENTOS!$D$5:$D$400="jabas")*(MOVIMIENTOS!$A$5:$A$400&lt;&gt;"")*(MOVIMIENTOS!$A$5:$A$400&lt;=$A33)*MOVIMIENTOS!$E$5:$E$400)-SUMPRODUCT((MOVIMIENTOS!$B$5:$B$400="VENTA")*(MOVIMIENTOS!$C$5:$C$400="M")*(MOVIMIENTOS!$D$5:$D$400="jabas")*(MOVIMIENTOS!$A$5:$A$400&lt;&gt;"")*(MOVIMIENTOS!$A$5:$A$400&lt;=$A33)*MOVIMIENTOS!$E$5:$E$400)+SUMPRODUCT((MOVIMIENTOS!$B$5:$B$400="AJUSTE")*(MOVIMIENTOS!$C$5:$C$400="M")*(MOVIMIENTOS!$D$5:$D$400="jabas")*(MOVIMIENTOS!$A$5:$A$400&lt;&gt;"")*(MOVIMIENTOS!$A$5:$A$400&lt;=$A33)*MOVIMIENTOS!$E$5:$E$400))</f>
        <v/>
      </c>
      <c r="F33" s="46" t="str">
        <f aca="false">IF($A33="","",SUMPRODUCT((MOVIMIENTOS!$B$5:$B$400="SALDO INICIAL")*(MOVIMIENTOS!$C$5:$C$400="Chancho")*(MOVIMIENTOS!$D$5:$D$400="sacos")*(MOVIMIENTOS!$A$5:$A$400&lt;&gt;"")*(MOVIMIENTOS!$A$5:$A$400&lt;=$A33)*MOVIMIENTOS!$E$5:$E$400)+SUMPRODUCT((MOVIMIENTOS!$B$5:$B$400="PROCESO")*(MOVIMIENTOS!$C$5:$C$400="Chancho")*(MOVIMIENTOS!$D$5:$D$400="sacos")*(MOVIMIENTOS!$A$5:$A$400&lt;&gt;"")*(MOVIMIENTOS!$A$5:$A$400&lt;=$A33)*MOVIMIENTOS!$E$5:$E$400)-SUMPRODUCT((MOVIMIENTOS!$B$5:$B$400="VENTA CHANCHO")*(MOVIMIENTOS!$C$5:$C$400="Chancho")*(MOVIMIENTOS!$D$5:$D$400="sacos")*(MOVIMIENTOS!$A$5:$A$400&lt;&gt;"")*(MOVIMIENTOS!$A$5:$A$400&lt;=$A33)*MOVIMIENTOS!$E$5:$E$400)-SUMPRODUCT((MOVIMIENTOS!$B$5:$B$400="REGALO")*(MOVIMIENTOS!$C$5:$C$400="Chancho")*(MOVIMIENTOS!$D$5:$D$400="sacos")*(MOVIMIENTOS!$A$5:$A$400&lt;&gt;"")*(MOVIMIENTOS!$A$5:$A$400&lt;=$A33)*MOVIMIENTOS!$E$5:$E$400)-SUMPRODUCT((MOVIMIENTOS!$B$5:$B$400="VENTA")*(MOVIMIENTOS!$C$5:$C$400="Chancho")*(MOVIMIENTOS!$D$5:$D$400="sacos")*(MOVIMIENTOS!$A$5:$A$400&lt;&gt;"")*(MOVIMIENTOS!$A$5:$A$400&lt;=$A33)*MOVIMIENTOS!$E$5:$E$400)+SUMPRODUCT((MOVIMIENTOS!$B$5:$B$400="AJUSTE")*(MOVIMIENTOS!$C$5:$C$400="Chancho")*(MOVIMIENTOS!$D$5:$D$400="sacos")*(MOVIMIENTOS!$A$5:$A$400&lt;&gt;"")*(MOVIMIENTOS!$A$5:$A$400&lt;=$A33)*MOVIMIENTOS!$E$5:$E$400))</f>
        <v/>
      </c>
      <c r="G33" s="46" t="str">
        <f aca="false">IF($A33="","",SUM(B33:E33))</f>
        <v/>
      </c>
      <c r="H33" s="46" t="str">
        <f aca="false">IF($A33="","",SUMPRODUCT((((MOVIMIENTOS!$B$5:$B$400="SALDO INICIAL")*(MOVIMIENTOS!$C$5:$C$400&lt;&gt;"Chancho"))+(MOVIMIENTOS!$B$5:$B$400="COMPRA")+(MOVIMIENTOS!$B$5:$B$400="REPROCESO")+(MOVIMIENTOS!$B$5:$B$400="DEVOLUCIÓN")+((MOVIMIENTOS!$B$5:$B$400="AJUSTE")*(MOVIMIENTOS!$C$5:$C$400&lt;&gt;"Chancho")))*(MOVIMIENTOS!$A$5:$A$400&lt;&gt;"")*(MOVIMIENTOS!$A$5:$A$400&lt;=$A33)*MOVIMIENTOS!$I$5:$I$400)-SUMPRODUCT(((MOVIMIENTOS!$B$5:$B$400="ENVÍO A SUPESA")+(MOVIMIENTOS!$B$5:$B$400="ENVÍO A TOTTUS")+(MOVIMIENTOS!$B$5:$B$400="ENVIO A TOTTUS")+(MOVIMIENTOS!$B$5:$B$400="MALOGRADO")+(MOVIMIENTOS!$B$5:$B$400="OTRA SALIDA")+((MOVIMIENTOS!$B$5:$B$400="PROCESO")*(MOVIMIENTOS!$C$5:$C$400="Chancho"))+((MOVIMIENTOS!$B$5:$B$400="REGALO")*(MOVIMIENTOS!$C$5:$C$400&lt;&gt;"Chancho"))+((MOVIMIENTOS!$B$5:$B$400="VENTA")*(MOVIMIENTOS!$C$5:$C$400&lt;&gt;"Chancho")))*(MOVIMIENTOS!$A$5:$A$400&lt;&gt;"")*(MOVIMIENTOS!$A$5:$A$400&lt;=$A33)*MOVIMIENTOS!$I$5:$I$400))</f>
        <v/>
      </c>
      <c r="I33" s="44"/>
      <c r="J33" s="44" t="str">
        <f aca="false">IF(AND(MOVIMIENTOS!$A33&lt;&gt;"",COUNTIF(MOVIMIENTOS!$A$5:$A32,MOVIMIENTOS!$A33)=0),COUNT(J$4:J32)+1,"")</f>
        <v/>
      </c>
      <c r="K33" s="47" t="n">
        <f aca="false">MOVIMIENTOS!$A33</f>
        <v>46217</v>
      </c>
      <c r="L33" s="44"/>
      <c r="M33" s="44"/>
      <c r="N33" s="44"/>
    </row>
    <row r="34" customFormat="false" ht="15" hidden="false" customHeight="true" outlineLevel="0" collapsed="false">
      <c r="A34" s="45" t="str">
        <f aca="false">IFERROR(INDEX(K$5:K$400,MATCH(ROW()-4,J$5:J$400,0)),"")</f>
        <v/>
      </c>
      <c r="B34" s="46" t="str">
        <f aca="false">IF($A34="","",SUMPRODUCT((MOVIMIENTOS!$B$5:$B$400="SALDO INICIAL")*(MOVIMIENTOS!$C$5:$C$400="A")*(MOVIMIENTOS!$D$5:$D$400="jabas")*(MOVIMIENTOS!$A$5:$A$400&lt;&gt;"")*(MOVIMIENTOS!$A$5:$A$400&lt;=$A34)*MOVIMIENTOS!$E$5:$E$400)+SUMPRODUCT((MOVIMIENTOS!$B$5:$B$400="PROCESO")*(MOVIMIENTOS!$C$5:$C$400="A")*(MOVIMIENTOS!$D$5:$D$400="jabas")*(MOVIMIENTOS!$A$5:$A$400&lt;&gt;"")*(MOVIMIENTOS!$A$5:$A$400&lt;=$A34)*MOVIMIENTOS!$E$5:$E$400)-SUMPRODUCT((MOVIMIENTOS!$B$5:$B$400="ENVÍO A SUPESA")*(MOVIMIENTOS!$C$5:$C$400="A")*(MOVIMIENTOS!$D$5:$D$400="jabas")*(MOVIMIENTOS!$A$5:$A$400&lt;&gt;"")*(MOVIMIENTOS!$A$5:$A$400&lt;=$A34)*MOVIMIENTOS!$E$5:$E$400)+SUMPRODUCT((MOVIMIENTOS!$B$5:$B$400="DEVOLUCIÓN")*(MOVIMIENTOS!$C$5:$C$400="A")*(MOVIMIENTOS!$D$5:$D$400="jabas")*(MOVIMIENTOS!$A$5:$A$400&lt;&gt;"")*(MOVIMIENTOS!$A$5:$A$400&lt;=$A34)*MOVIMIENTOS!$E$5:$E$400)-SUMPRODUCT((MOVIMIENTOS!$B$5:$B$400="TRASIEGO")*(MOVIMIENTOS!$C$5:$C$400="A")*(MOVIMIENTOS!$D$5:$D$400="jabas")*(MOVIMIENTOS!$A$5:$A$400&lt;&gt;"")*(MOVIMIENTOS!$A$5:$A$400&lt;=$A34)*MOVIMIENTOS!$E$5:$E$400)-SUMPRODUCT((MOVIMIENTOS!$B$5:$B$400="REGALO")*(MOVIMIENTOS!$C$5:$C$400="A")*(MOVIMIENTOS!$D$5:$D$400="jabas")*(MOVIMIENTOS!$A$5:$A$400&lt;&gt;"")*(MOVIMIENTOS!$A$5:$A$400&lt;=$A34)*MOVIMIENTOS!$E$5:$E$400)-SUMPRODUCT((MOVIMIENTOS!$B$5:$B$400="VENTA")*(MOVIMIENTOS!$C$5:$C$400="A")*(MOVIMIENTOS!$D$5:$D$400="jabas")*(MOVIMIENTOS!$A$5:$A$400&lt;&gt;"")*(MOVIMIENTOS!$A$5:$A$400&lt;=$A34)*MOVIMIENTOS!$E$5:$E$400)+SUMPRODUCT((MOVIMIENTOS!$B$5:$B$400="AJUSTE")*(MOVIMIENTOS!$C$5:$C$400="A")*(MOVIMIENTOS!$D$5:$D$400="jabas")*(MOVIMIENTOS!$A$5:$A$400&lt;&gt;"")*(MOVIMIENTOS!$A$5:$A$400&lt;=$A34)*MOVIMIENTOS!$E$5:$E$400))</f>
        <v/>
      </c>
      <c r="C34" s="46" t="str">
        <f aca="false">IF($A34="","",SUMPRODUCT((MOVIMIENTOS!$B$5:$B$400="SALDO INICIAL")*(MOVIMIENTOS!$C$5:$C$400="P")*(MOVIMIENTOS!$D$5:$D$400="jabas")*(MOVIMIENTOS!$A$5:$A$400&lt;&gt;"")*(MOVIMIENTOS!$A$5:$A$400&lt;=$A34)*MOVIMIENTOS!$E$5:$E$400)+SUMPRODUCT((MOVIMIENTOS!$B$5:$B$400="PROCESO")*(MOVIMIENTOS!$C$5:$C$400="P")*(MOVIMIENTOS!$D$5:$D$400="jabas")*(MOVIMIENTOS!$A$5:$A$400&lt;&gt;"")*(MOVIMIENTOS!$A$5:$A$400&lt;=$A34)*MOVIMIENTOS!$E$5:$E$400)-SUMPRODUCT((MOVIMIENTOS!$B$5:$B$400="ENVÍO A SUPESA")*(MOVIMIENTOS!$C$5:$C$400="P")*(MOVIMIENTOS!$D$5:$D$400="jabas")*(MOVIMIENTOS!$A$5:$A$400&lt;&gt;"")*(MOVIMIENTOS!$A$5:$A$400&lt;=$A34)*MOVIMIENTOS!$E$5:$E$400)+SUMPRODUCT((MOVIMIENTOS!$B$5:$B$400="DEVOLUCIÓN")*(MOVIMIENTOS!$C$5:$C$400="P")*(MOVIMIENTOS!$D$5:$D$400="jabas")*(MOVIMIENTOS!$A$5:$A$400&lt;&gt;"")*(MOVIMIENTOS!$A$5:$A$400&lt;=$A34)*MOVIMIENTOS!$E$5:$E$400)-SUMPRODUCT((MOVIMIENTOS!$B$5:$B$400="TRASIEGO")*(MOVIMIENTOS!$C$5:$C$400="P")*(MOVIMIENTOS!$D$5:$D$400="jabas")*(MOVIMIENTOS!$A$5:$A$400&lt;&gt;"")*(MOVIMIENTOS!$A$5:$A$400&lt;=$A34)*MOVIMIENTOS!$E$5:$E$400)-SUMPRODUCT((MOVIMIENTOS!$B$5:$B$400="REGALO")*(MOVIMIENTOS!$C$5:$C$400="P")*(MOVIMIENTOS!$D$5:$D$400="jabas")*(MOVIMIENTOS!$A$5:$A$400&lt;&gt;"")*(MOVIMIENTOS!$A$5:$A$400&lt;=$A34)*MOVIMIENTOS!$E$5:$E$400)-SUMPRODUCT((MOVIMIENTOS!$B$5:$B$400="VENTA")*(MOVIMIENTOS!$C$5:$C$400="P")*(MOVIMIENTOS!$D$5:$D$400="jabas")*(MOVIMIENTOS!$A$5:$A$400&lt;&gt;"")*(MOVIMIENTOS!$A$5:$A$400&lt;=$A34)*MOVIMIENTOS!$E$5:$E$400)+SUMPRODUCT((MOVIMIENTOS!$B$5:$B$400="AJUSTE")*(MOVIMIENTOS!$C$5:$C$400="P")*(MOVIMIENTOS!$D$5:$D$400="jabas")*(MOVIMIENTOS!$A$5:$A$400&lt;&gt;"")*(MOVIMIENTOS!$A$5:$A$400&lt;=$A34)*MOVIMIENTOS!$E$5:$E$400))</f>
        <v/>
      </c>
      <c r="D34" s="46" t="str">
        <f aca="false">IF($A34="","",SUMPRODUCT((MOVIMIENTOS!$B$5:$B$400="SALDO INICIAL")*(MOVIMIENTOS!$C$5:$C$400="C")*(MOVIMIENTOS!$D$5:$D$400="jabas")*(MOVIMIENTOS!$A$5:$A$400&lt;&gt;"")*(MOVIMIENTOS!$A$5:$A$400&lt;=$A34)*MOVIMIENTOS!$E$5:$E$400)+SUMPRODUCT((MOVIMIENTOS!$B$5:$B$400="PROCESO")*(MOVIMIENTOS!$C$5:$C$400="C")*(MOVIMIENTOS!$D$5:$D$400="jabas")*(MOVIMIENTOS!$A$5:$A$400&lt;&gt;"")*(MOVIMIENTOS!$A$5:$A$400&lt;=$A34)*MOVIMIENTOS!$E$5:$E$400)-SUMPRODUCT((MOVIMIENTOS!$B$5:$B$400="ENVÍO A SUPESA")*(MOVIMIENTOS!$C$5:$C$400="C")*(MOVIMIENTOS!$D$5:$D$400="jabas")*(MOVIMIENTOS!$A$5:$A$400&lt;&gt;"")*(MOVIMIENTOS!$A$5:$A$400&lt;=$A34)*MOVIMIENTOS!$E$5:$E$400)+SUMPRODUCT((MOVIMIENTOS!$B$5:$B$400="DEVOLUCIÓN")*(MOVIMIENTOS!$C$5:$C$400="C")*(MOVIMIENTOS!$D$5:$D$400="jabas")*(MOVIMIENTOS!$A$5:$A$400&lt;&gt;"")*(MOVIMIENTOS!$A$5:$A$400&lt;=$A34)*MOVIMIENTOS!$E$5:$E$400)-SUMPRODUCT((MOVIMIENTOS!$B$5:$B$400="TRASIEGO")*(MOVIMIENTOS!$C$5:$C$400="C")*(MOVIMIENTOS!$D$5:$D$400="jabas")*(MOVIMIENTOS!$A$5:$A$400&lt;&gt;"")*(MOVIMIENTOS!$A$5:$A$400&lt;=$A34)*MOVIMIENTOS!$E$5:$E$400)-SUMPRODUCT((MOVIMIENTOS!$B$5:$B$400="REGALO")*(MOVIMIENTOS!$C$5:$C$400="C")*(MOVIMIENTOS!$D$5:$D$400="jabas")*(MOVIMIENTOS!$A$5:$A$400&lt;&gt;"")*(MOVIMIENTOS!$A$5:$A$400&lt;=$A34)*MOVIMIENTOS!$E$5:$E$400)-SUMPRODUCT((MOVIMIENTOS!$B$5:$B$400="VENTA")*(MOVIMIENTOS!$C$5:$C$400="C")*(MOVIMIENTOS!$D$5:$D$400="jabas")*(MOVIMIENTOS!$A$5:$A$400&lt;&gt;"")*(MOVIMIENTOS!$A$5:$A$400&lt;=$A34)*MOVIMIENTOS!$E$5:$E$400)+SUMPRODUCT((MOVIMIENTOS!$B$5:$B$400="AJUSTE")*(MOVIMIENTOS!$C$5:$C$400="C")*(MOVIMIENTOS!$D$5:$D$400="jabas")*(MOVIMIENTOS!$A$5:$A$400&lt;&gt;"")*(MOVIMIENTOS!$A$5:$A$400&lt;=$A34)*MOVIMIENTOS!$E$5:$E$400))</f>
        <v/>
      </c>
      <c r="E34" s="46" t="str">
        <f aca="false">IF($A34="","",SUMPRODUCT((MOVIMIENTOS!$B$5:$B$400="SALDO INICIAL")*(MOVIMIENTOS!$C$5:$C$400="M")*(MOVIMIENTOS!$D$5:$D$400="jabas")*(MOVIMIENTOS!$A$5:$A$400&lt;&gt;"")*(MOVIMIENTOS!$A$5:$A$400&lt;=$A34)*MOVIMIENTOS!$E$5:$E$400)+SUMPRODUCT((MOVIMIENTOS!$B$5:$B$400="PROCESO")*(MOVIMIENTOS!$C$5:$C$400="M")*(MOVIMIENTOS!$D$5:$D$400="jabas")*(MOVIMIENTOS!$A$5:$A$400&lt;&gt;"")*(MOVIMIENTOS!$A$5:$A$400&lt;=$A34)*MOVIMIENTOS!$E$5:$E$400)-SUMPRODUCT((MOVIMIENTOS!$B$5:$B$400="ENVÍO A SUPESA")*(MOVIMIENTOS!$C$5:$C$400="M")*(MOVIMIENTOS!$D$5:$D$400="jabas")*(MOVIMIENTOS!$A$5:$A$400&lt;&gt;"")*(MOVIMIENTOS!$A$5:$A$400&lt;=$A34)*MOVIMIENTOS!$E$5:$E$400)+SUMPRODUCT((MOVIMIENTOS!$B$5:$B$400="DEVOLUCIÓN")*(MOVIMIENTOS!$C$5:$C$400="M")*(MOVIMIENTOS!$D$5:$D$400="jabas")*(MOVIMIENTOS!$A$5:$A$400&lt;&gt;"")*(MOVIMIENTOS!$A$5:$A$400&lt;=$A34)*MOVIMIENTOS!$E$5:$E$400)-SUMPRODUCT((MOVIMIENTOS!$B$5:$B$400="TRASIEGO")*(MOVIMIENTOS!$C$5:$C$400="M")*(MOVIMIENTOS!$D$5:$D$400="jabas")*(MOVIMIENTOS!$A$5:$A$400&lt;&gt;"")*(MOVIMIENTOS!$A$5:$A$400&lt;=$A34)*MOVIMIENTOS!$E$5:$E$400)-SUMPRODUCT((MOVIMIENTOS!$B$5:$B$400="REGALO")*(MOVIMIENTOS!$C$5:$C$400="M")*(MOVIMIENTOS!$D$5:$D$400="jabas")*(MOVIMIENTOS!$A$5:$A$400&lt;&gt;"")*(MOVIMIENTOS!$A$5:$A$400&lt;=$A34)*MOVIMIENTOS!$E$5:$E$400)-SUMPRODUCT((MOVIMIENTOS!$B$5:$B$400="VENTA")*(MOVIMIENTOS!$C$5:$C$400="M")*(MOVIMIENTOS!$D$5:$D$400="jabas")*(MOVIMIENTOS!$A$5:$A$400&lt;&gt;"")*(MOVIMIENTOS!$A$5:$A$400&lt;=$A34)*MOVIMIENTOS!$E$5:$E$400)+SUMPRODUCT((MOVIMIENTOS!$B$5:$B$400="AJUSTE")*(MOVIMIENTOS!$C$5:$C$400="M")*(MOVIMIENTOS!$D$5:$D$400="jabas")*(MOVIMIENTOS!$A$5:$A$400&lt;&gt;"")*(MOVIMIENTOS!$A$5:$A$400&lt;=$A34)*MOVIMIENTOS!$E$5:$E$400))</f>
        <v/>
      </c>
      <c r="F34" s="46" t="str">
        <f aca="false">IF($A34="","",SUMPRODUCT((MOVIMIENTOS!$B$5:$B$400="SALDO INICIAL")*(MOVIMIENTOS!$C$5:$C$400="Chancho")*(MOVIMIENTOS!$D$5:$D$400="sacos")*(MOVIMIENTOS!$A$5:$A$400&lt;&gt;"")*(MOVIMIENTOS!$A$5:$A$400&lt;=$A34)*MOVIMIENTOS!$E$5:$E$400)+SUMPRODUCT((MOVIMIENTOS!$B$5:$B$400="PROCESO")*(MOVIMIENTOS!$C$5:$C$400="Chancho")*(MOVIMIENTOS!$D$5:$D$400="sacos")*(MOVIMIENTOS!$A$5:$A$400&lt;&gt;"")*(MOVIMIENTOS!$A$5:$A$400&lt;=$A34)*MOVIMIENTOS!$E$5:$E$400)-SUMPRODUCT((MOVIMIENTOS!$B$5:$B$400="VENTA CHANCHO")*(MOVIMIENTOS!$C$5:$C$400="Chancho")*(MOVIMIENTOS!$D$5:$D$400="sacos")*(MOVIMIENTOS!$A$5:$A$400&lt;&gt;"")*(MOVIMIENTOS!$A$5:$A$400&lt;=$A34)*MOVIMIENTOS!$E$5:$E$400)-SUMPRODUCT((MOVIMIENTOS!$B$5:$B$400="REGALO")*(MOVIMIENTOS!$C$5:$C$400="Chancho")*(MOVIMIENTOS!$D$5:$D$400="sacos")*(MOVIMIENTOS!$A$5:$A$400&lt;&gt;"")*(MOVIMIENTOS!$A$5:$A$400&lt;=$A34)*MOVIMIENTOS!$E$5:$E$400)-SUMPRODUCT((MOVIMIENTOS!$B$5:$B$400="VENTA")*(MOVIMIENTOS!$C$5:$C$400="Chancho")*(MOVIMIENTOS!$D$5:$D$400="sacos")*(MOVIMIENTOS!$A$5:$A$400&lt;&gt;"")*(MOVIMIENTOS!$A$5:$A$400&lt;=$A34)*MOVIMIENTOS!$E$5:$E$400)+SUMPRODUCT((MOVIMIENTOS!$B$5:$B$400="AJUSTE")*(MOVIMIENTOS!$C$5:$C$400="Chancho")*(MOVIMIENTOS!$D$5:$D$400="sacos")*(MOVIMIENTOS!$A$5:$A$400&lt;&gt;"")*(MOVIMIENTOS!$A$5:$A$400&lt;=$A34)*MOVIMIENTOS!$E$5:$E$400))</f>
        <v/>
      </c>
      <c r="G34" s="46" t="str">
        <f aca="false">IF($A34="","",SUM(B34:E34))</f>
        <v/>
      </c>
      <c r="H34" s="46" t="str">
        <f aca="false">IF($A34="","",SUMPRODUCT((((MOVIMIENTOS!$B$5:$B$400="SALDO INICIAL")*(MOVIMIENTOS!$C$5:$C$400&lt;&gt;"Chancho"))+(MOVIMIENTOS!$B$5:$B$400="COMPRA")+(MOVIMIENTOS!$B$5:$B$400="REPROCESO")+(MOVIMIENTOS!$B$5:$B$400="DEVOLUCIÓN")+((MOVIMIENTOS!$B$5:$B$400="AJUSTE")*(MOVIMIENTOS!$C$5:$C$400&lt;&gt;"Chancho")))*(MOVIMIENTOS!$A$5:$A$400&lt;&gt;"")*(MOVIMIENTOS!$A$5:$A$400&lt;=$A34)*MOVIMIENTOS!$I$5:$I$400)-SUMPRODUCT(((MOVIMIENTOS!$B$5:$B$400="ENVÍO A SUPESA")+(MOVIMIENTOS!$B$5:$B$400="ENVÍO A TOTTUS")+(MOVIMIENTOS!$B$5:$B$400="ENVIO A TOTTUS")+(MOVIMIENTOS!$B$5:$B$400="MALOGRADO")+(MOVIMIENTOS!$B$5:$B$400="OTRA SALIDA")+((MOVIMIENTOS!$B$5:$B$400="PROCESO")*(MOVIMIENTOS!$C$5:$C$400="Chancho"))+((MOVIMIENTOS!$B$5:$B$400="REGALO")*(MOVIMIENTOS!$C$5:$C$400&lt;&gt;"Chancho"))+((MOVIMIENTOS!$B$5:$B$400="VENTA")*(MOVIMIENTOS!$C$5:$C$400&lt;&gt;"Chancho")))*(MOVIMIENTOS!$A$5:$A$400&lt;&gt;"")*(MOVIMIENTOS!$A$5:$A$400&lt;=$A34)*MOVIMIENTOS!$I$5:$I$400))</f>
        <v/>
      </c>
      <c r="I34" s="44"/>
      <c r="J34" s="44" t="str">
        <f aca="false">IF(AND(MOVIMIENTOS!$A34&lt;&gt;"",COUNTIF(MOVIMIENTOS!$A$5:$A33,MOVIMIENTOS!$A34)=0),COUNT(J$4:J33)+1,"")</f>
        <v/>
      </c>
      <c r="K34" s="47" t="n">
        <f aca="false">MOVIMIENTOS!$A34</f>
        <v>46217</v>
      </c>
      <c r="L34" s="44"/>
      <c r="M34" s="44"/>
      <c r="N34" s="44"/>
    </row>
    <row r="35" customFormat="false" ht="15" hidden="false" customHeight="true" outlineLevel="0" collapsed="false">
      <c r="A35" s="45" t="str">
        <f aca="false">IFERROR(INDEX(K$5:K$400,MATCH(ROW()-4,J$5:J$400,0)),"")</f>
        <v/>
      </c>
      <c r="B35" s="46" t="str">
        <f aca="false">IF($A35="","",SUMPRODUCT((MOVIMIENTOS!$B$5:$B$400="SALDO INICIAL")*(MOVIMIENTOS!$C$5:$C$400="A")*(MOVIMIENTOS!$D$5:$D$400="jabas")*(MOVIMIENTOS!$A$5:$A$400&lt;&gt;"")*(MOVIMIENTOS!$A$5:$A$400&lt;=$A35)*MOVIMIENTOS!$E$5:$E$400)+SUMPRODUCT((MOVIMIENTOS!$B$5:$B$400="PROCESO")*(MOVIMIENTOS!$C$5:$C$400="A")*(MOVIMIENTOS!$D$5:$D$400="jabas")*(MOVIMIENTOS!$A$5:$A$400&lt;&gt;"")*(MOVIMIENTOS!$A$5:$A$400&lt;=$A35)*MOVIMIENTOS!$E$5:$E$400)-SUMPRODUCT((MOVIMIENTOS!$B$5:$B$400="ENVÍO A SUPESA")*(MOVIMIENTOS!$C$5:$C$400="A")*(MOVIMIENTOS!$D$5:$D$400="jabas")*(MOVIMIENTOS!$A$5:$A$400&lt;&gt;"")*(MOVIMIENTOS!$A$5:$A$400&lt;=$A35)*MOVIMIENTOS!$E$5:$E$400)+SUMPRODUCT((MOVIMIENTOS!$B$5:$B$400="DEVOLUCIÓN")*(MOVIMIENTOS!$C$5:$C$400="A")*(MOVIMIENTOS!$D$5:$D$400="jabas")*(MOVIMIENTOS!$A$5:$A$400&lt;&gt;"")*(MOVIMIENTOS!$A$5:$A$400&lt;=$A35)*MOVIMIENTOS!$E$5:$E$400)-SUMPRODUCT((MOVIMIENTOS!$B$5:$B$400="TRASIEGO")*(MOVIMIENTOS!$C$5:$C$400="A")*(MOVIMIENTOS!$D$5:$D$400="jabas")*(MOVIMIENTOS!$A$5:$A$400&lt;&gt;"")*(MOVIMIENTOS!$A$5:$A$400&lt;=$A35)*MOVIMIENTOS!$E$5:$E$400)-SUMPRODUCT((MOVIMIENTOS!$B$5:$B$400="REGALO")*(MOVIMIENTOS!$C$5:$C$400="A")*(MOVIMIENTOS!$D$5:$D$400="jabas")*(MOVIMIENTOS!$A$5:$A$400&lt;&gt;"")*(MOVIMIENTOS!$A$5:$A$400&lt;=$A35)*MOVIMIENTOS!$E$5:$E$400)-SUMPRODUCT((MOVIMIENTOS!$B$5:$B$400="VENTA")*(MOVIMIENTOS!$C$5:$C$400="A")*(MOVIMIENTOS!$D$5:$D$400="jabas")*(MOVIMIENTOS!$A$5:$A$400&lt;&gt;"")*(MOVIMIENTOS!$A$5:$A$400&lt;=$A35)*MOVIMIENTOS!$E$5:$E$400)+SUMPRODUCT((MOVIMIENTOS!$B$5:$B$400="AJUSTE")*(MOVIMIENTOS!$C$5:$C$400="A")*(MOVIMIENTOS!$D$5:$D$400="jabas")*(MOVIMIENTOS!$A$5:$A$400&lt;&gt;"")*(MOVIMIENTOS!$A$5:$A$400&lt;=$A35)*MOVIMIENTOS!$E$5:$E$400))</f>
        <v/>
      </c>
      <c r="C35" s="46" t="str">
        <f aca="false">IF($A35="","",SUMPRODUCT((MOVIMIENTOS!$B$5:$B$400="SALDO INICIAL")*(MOVIMIENTOS!$C$5:$C$400="P")*(MOVIMIENTOS!$D$5:$D$400="jabas")*(MOVIMIENTOS!$A$5:$A$400&lt;&gt;"")*(MOVIMIENTOS!$A$5:$A$400&lt;=$A35)*MOVIMIENTOS!$E$5:$E$400)+SUMPRODUCT((MOVIMIENTOS!$B$5:$B$400="PROCESO")*(MOVIMIENTOS!$C$5:$C$400="P")*(MOVIMIENTOS!$D$5:$D$400="jabas")*(MOVIMIENTOS!$A$5:$A$400&lt;&gt;"")*(MOVIMIENTOS!$A$5:$A$400&lt;=$A35)*MOVIMIENTOS!$E$5:$E$400)-SUMPRODUCT((MOVIMIENTOS!$B$5:$B$400="ENVÍO A SUPESA")*(MOVIMIENTOS!$C$5:$C$400="P")*(MOVIMIENTOS!$D$5:$D$400="jabas")*(MOVIMIENTOS!$A$5:$A$400&lt;&gt;"")*(MOVIMIENTOS!$A$5:$A$400&lt;=$A35)*MOVIMIENTOS!$E$5:$E$400)+SUMPRODUCT((MOVIMIENTOS!$B$5:$B$400="DEVOLUCIÓN")*(MOVIMIENTOS!$C$5:$C$400="P")*(MOVIMIENTOS!$D$5:$D$400="jabas")*(MOVIMIENTOS!$A$5:$A$400&lt;&gt;"")*(MOVIMIENTOS!$A$5:$A$400&lt;=$A35)*MOVIMIENTOS!$E$5:$E$400)-SUMPRODUCT((MOVIMIENTOS!$B$5:$B$400="TRASIEGO")*(MOVIMIENTOS!$C$5:$C$400="P")*(MOVIMIENTOS!$D$5:$D$400="jabas")*(MOVIMIENTOS!$A$5:$A$400&lt;&gt;"")*(MOVIMIENTOS!$A$5:$A$400&lt;=$A35)*MOVIMIENTOS!$E$5:$E$400)-SUMPRODUCT((MOVIMIENTOS!$B$5:$B$400="REGALO")*(MOVIMIENTOS!$C$5:$C$400="P")*(MOVIMIENTOS!$D$5:$D$400="jabas")*(MOVIMIENTOS!$A$5:$A$400&lt;&gt;"")*(MOVIMIENTOS!$A$5:$A$400&lt;=$A35)*MOVIMIENTOS!$E$5:$E$400)-SUMPRODUCT((MOVIMIENTOS!$B$5:$B$400="VENTA")*(MOVIMIENTOS!$C$5:$C$400="P")*(MOVIMIENTOS!$D$5:$D$400="jabas")*(MOVIMIENTOS!$A$5:$A$400&lt;&gt;"")*(MOVIMIENTOS!$A$5:$A$400&lt;=$A35)*MOVIMIENTOS!$E$5:$E$400)+SUMPRODUCT((MOVIMIENTOS!$B$5:$B$400="AJUSTE")*(MOVIMIENTOS!$C$5:$C$400="P")*(MOVIMIENTOS!$D$5:$D$400="jabas")*(MOVIMIENTOS!$A$5:$A$400&lt;&gt;"")*(MOVIMIENTOS!$A$5:$A$400&lt;=$A35)*MOVIMIENTOS!$E$5:$E$400))</f>
        <v/>
      </c>
      <c r="D35" s="46" t="str">
        <f aca="false">IF($A35="","",SUMPRODUCT((MOVIMIENTOS!$B$5:$B$400="SALDO INICIAL")*(MOVIMIENTOS!$C$5:$C$400="C")*(MOVIMIENTOS!$D$5:$D$400="jabas")*(MOVIMIENTOS!$A$5:$A$400&lt;&gt;"")*(MOVIMIENTOS!$A$5:$A$400&lt;=$A35)*MOVIMIENTOS!$E$5:$E$400)+SUMPRODUCT((MOVIMIENTOS!$B$5:$B$400="PROCESO")*(MOVIMIENTOS!$C$5:$C$400="C")*(MOVIMIENTOS!$D$5:$D$400="jabas")*(MOVIMIENTOS!$A$5:$A$400&lt;&gt;"")*(MOVIMIENTOS!$A$5:$A$400&lt;=$A35)*MOVIMIENTOS!$E$5:$E$400)-SUMPRODUCT((MOVIMIENTOS!$B$5:$B$400="ENVÍO A SUPESA")*(MOVIMIENTOS!$C$5:$C$400="C")*(MOVIMIENTOS!$D$5:$D$400="jabas")*(MOVIMIENTOS!$A$5:$A$400&lt;&gt;"")*(MOVIMIENTOS!$A$5:$A$400&lt;=$A35)*MOVIMIENTOS!$E$5:$E$400)+SUMPRODUCT((MOVIMIENTOS!$B$5:$B$400="DEVOLUCIÓN")*(MOVIMIENTOS!$C$5:$C$400="C")*(MOVIMIENTOS!$D$5:$D$400="jabas")*(MOVIMIENTOS!$A$5:$A$400&lt;&gt;"")*(MOVIMIENTOS!$A$5:$A$400&lt;=$A35)*MOVIMIENTOS!$E$5:$E$400)-SUMPRODUCT((MOVIMIENTOS!$B$5:$B$400="TRASIEGO")*(MOVIMIENTOS!$C$5:$C$400="C")*(MOVIMIENTOS!$D$5:$D$400="jabas")*(MOVIMIENTOS!$A$5:$A$400&lt;&gt;"")*(MOVIMIENTOS!$A$5:$A$400&lt;=$A35)*MOVIMIENTOS!$E$5:$E$400)-SUMPRODUCT((MOVIMIENTOS!$B$5:$B$400="REGALO")*(MOVIMIENTOS!$C$5:$C$400="C")*(MOVIMIENTOS!$D$5:$D$400="jabas")*(MOVIMIENTOS!$A$5:$A$400&lt;&gt;"")*(MOVIMIENTOS!$A$5:$A$400&lt;=$A35)*MOVIMIENTOS!$E$5:$E$400)-SUMPRODUCT((MOVIMIENTOS!$B$5:$B$400="VENTA")*(MOVIMIENTOS!$C$5:$C$400="C")*(MOVIMIENTOS!$D$5:$D$400="jabas")*(MOVIMIENTOS!$A$5:$A$400&lt;&gt;"")*(MOVIMIENTOS!$A$5:$A$400&lt;=$A35)*MOVIMIENTOS!$E$5:$E$400)+SUMPRODUCT((MOVIMIENTOS!$B$5:$B$400="AJUSTE")*(MOVIMIENTOS!$C$5:$C$400="C")*(MOVIMIENTOS!$D$5:$D$400="jabas")*(MOVIMIENTOS!$A$5:$A$400&lt;&gt;"")*(MOVIMIENTOS!$A$5:$A$400&lt;=$A35)*MOVIMIENTOS!$E$5:$E$400))</f>
        <v/>
      </c>
      <c r="E35" s="46" t="str">
        <f aca="false">IF($A35="","",SUMPRODUCT((MOVIMIENTOS!$B$5:$B$400="SALDO INICIAL")*(MOVIMIENTOS!$C$5:$C$400="M")*(MOVIMIENTOS!$D$5:$D$400="jabas")*(MOVIMIENTOS!$A$5:$A$400&lt;&gt;"")*(MOVIMIENTOS!$A$5:$A$400&lt;=$A35)*MOVIMIENTOS!$E$5:$E$400)+SUMPRODUCT((MOVIMIENTOS!$B$5:$B$400="PROCESO")*(MOVIMIENTOS!$C$5:$C$400="M")*(MOVIMIENTOS!$D$5:$D$400="jabas")*(MOVIMIENTOS!$A$5:$A$400&lt;&gt;"")*(MOVIMIENTOS!$A$5:$A$400&lt;=$A35)*MOVIMIENTOS!$E$5:$E$400)-SUMPRODUCT((MOVIMIENTOS!$B$5:$B$400="ENVÍO A SUPESA")*(MOVIMIENTOS!$C$5:$C$400="M")*(MOVIMIENTOS!$D$5:$D$400="jabas")*(MOVIMIENTOS!$A$5:$A$400&lt;&gt;"")*(MOVIMIENTOS!$A$5:$A$400&lt;=$A35)*MOVIMIENTOS!$E$5:$E$400)+SUMPRODUCT((MOVIMIENTOS!$B$5:$B$400="DEVOLUCIÓN")*(MOVIMIENTOS!$C$5:$C$400="M")*(MOVIMIENTOS!$D$5:$D$400="jabas")*(MOVIMIENTOS!$A$5:$A$400&lt;&gt;"")*(MOVIMIENTOS!$A$5:$A$400&lt;=$A35)*MOVIMIENTOS!$E$5:$E$400)-SUMPRODUCT((MOVIMIENTOS!$B$5:$B$400="TRASIEGO")*(MOVIMIENTOS!$C$5:$C$400="M")*(MOVIMIENTOS!$D$5:$D$400="jabas")*(MOVIMIENTOS!$A$5:$A$400&lt;&gt;"")*(MOVIMIENTOS!$A$5:$A$400&lt;=$A35)*MOVIMIENTOS!$E$5:$E$400)-SUMPRODUCT((MOVIMIENTOS!$B$5:$B$400="REGALO")*(MOVIMIENTOS!$C$5:$C$400="M")*(MOVIMIENTOS!$D$5:$D$400="jabas")*(MOVIMIENTOS!$A$5:$A$400&lt;&gt;"")*(MOVIMIENTOS!$A$5:$A$400&lt;=$A35)*MOVIMIENTOS!$E$5:$E$400)-SUMPRODUCT((MOVIMIENTOS!$B$5:$B$400="VENTA")*(MOVIMIENTOS!$C$5:$C$400="M")*(MOVIMIENTOS!$D$5:$D$400="jabas")*(MOVIMIENTOS!$A$5:$A$400&lt;&gt;"")*(MOVIMIENTOS!$A$5:$A$400&lt;=$A35)*MOVIMIENTOS!$E$5:$E$400)+SUMPRODUCT((MOVIMIENTOS!$B$5:$B$400="AJUSTE")*(MOVIMIENTOS!$C$5:$C$400="M")*(MOVIMIENTOS!$D$5:$D$400="jabas")*(MOVIMIENTOS!$A$5:$A$400&lt;&gt;"")*(MOVIMIENTOS!$A$5:$A$400&lt;=$A35)*MOVIMIENTOS!$E$5:$E$400))</f>
        <v/>
      </c>
      <c r="F35" s="46" t="str">
        <f aca="false">IF($A35="","",SUMPRODUCT((MOVIMIENTOS!$B$5:$B$400="SALDO INICIAL")*(MOVIMIENTOS!$C$5:$C$400="Chancho")*(MOVIMIENTOS!$D$5:$D$400="sacos")*(MOVIMIENTOS!$A$5:$A$400&lt;&gt;"")*(MOVIMIENTOS!$A$5:$A$400&lt;=$A35)*MOVIMIENTOS!$E$5:$E$400)+SUMPRODUCT((MOVIMIENTOS!$B$5:$B$400="PROCESO")*(MOVIMIENTOS!$C$5:$C$400="Chancho")*(MOVIMIENTOS!$D$5:$D$400="sacos")*(MOVIMIENTOS!$A$5:$A$400&lt;&gt;"")*(MOVIMIENTOS!$A$5:$A$400&lt;=$A35)*MOVIMIENTOS!$E$5:$E$400)-SUMPRODUCT((MOVIMIENTOS!$B$5:$B$400="VENTA CHANCHO")*(MOVIMIENTOS!$C$5:$C$400="Chancho")*(MOVIMIENTOS!$D$5:$D$400="sacos")*(MOVIMIENTOS!$A$5:$A$400&lt;&gt;"")*(MOVIMIENTOS!$A$5:$A$400&lt;=$A35)*MOVIMIENTOS!$E$5:$E$400)-SUMPRODUCT((MOVIMIENTOS!$B$5:$B$400="REGALO")*(MOVIMIENTOS!$C$5:$C$400="Chancho")*(MOVIMIENTOS!$D$5:$D$400="sacos")*(MOVIMIENTOS!$A$5:$A$400&lt;&gt;"")*(MOVIMIENTOS!$A$5:$A$400&lt;=$A35)*MOVIMIENTOS!$E$5:$E$400)-SUMPRODUCT((MOVIMIENTOS!$B$5:$B$400="VENTA")*(MOVIMIENTOS!$C$5:$C$400="Chancho")*(MOVIMIENTOS!$D$5:$D$400="sacos")*(MOVIMIENTOS!$A$5:$A$400&lt;&gt;"")*(MOVIMIENTOS!$A$5:$A$400&lt;=$A35)*MOVIMIENTOS!$E$5:$E$400)+SUMPRODUCT((MOVIMIENTOS!$B$5:$B$400="AJUSTE")*(MOVIMIENTOS!$C$5:$C$400="Chancho")*(MOVIMIENTOS!$D$5:$D$400="sacos")*(MOVIMIENTOS!$A$5:$A$400&lt;&gt;"")*(MOVIMIENTOS!$A$5:$A$400&lt;=$A35)*MOVIMIENTOS!$E$5:$E$400))</f>
        <v/>
      </c>
      <c r="G35" s="46" t="str">
        <f aca="false">IF($A35="","",SUM(B35:E35))</f>
        <v/>
      </c>
      <c r="H35" s="46" t="str">
        <f aca="false">IF($A35="","",SUMPRODUCT((((MOVIMIENTOS!$B$5:$B$400="SALDO INICIAL")*(MOVIMIENTOS!$C$5:$C$400&lt;&gt;"Chancho"))+(MOVIMIENTOS!$B$5:$B$400="COMPRA")+(MOVIMIENTOS!$B$5:$B$400="REPROCESO")+(MOVIMIENTOS!$B$5:$B$400="DEVOLUCIÓN")+((MOVIMIENTOS!$B$5:$B$400="AJUSTE")*(MOVIMIENTOS!$C$5:$C$400&lt;&gt;"Chancho")))*(MOVIMIENTOS!$A$5:$A$400&lt;&gt;"")*(MOVIMIENTOS!$A$5:$A$400&lt;=$A35)*MOVIMIENTOS!$I$5:$I$400)-SUMPRODUCT(((MOVIMIENTOS!$B$5:$B$400="ENVÍO A SUPESA")+(MOVIMIENTOS!$B$5:$B$400="ENVÍO A TOTTUS")+(MOVIMIENTOS!$B$5:$B$400="ENVIO A TOTTUS")+(MOVIMIENTOS!$B$5:$B$400="MALOGRADO")+(MOVIMIENTOS!$B$5:$B$400="OTRA SALIDA")+((MOVIMIENTOS!$B$5:$B$400="PROCESO")*(MOVIMIENTOS!$C$5:$C$400="Chancho"))+((MOVIMIENTOS!$B$5:$B$400="REGALO")*(MOVIMIENTOS!$C$5:$C$400&lt;&gt;"Chancho"))+((MOVIMIENTOS!$B$5:$B$400="VENTA")*(MOVIMIENTOS!$C$5:$C$400&lt;&gt;"Chancho")))*(MOVIMIENTOS!$A$5:$A$400&lt;&gt;"")*(MOVIMIENTOS!$A$5:$A$400&lt;=$A35)*MOVIMIENTOS!$I$5:$I$400))</f>
        <v/>
      </c>
      <c r="I35" s="44"/>
      <c r="J35" s="44" t="str">
        <f aca="false">IF(AND(MOVIMIENTOS!$A35&lt;&gt;"",COUNTIF(MOVIMIENTOS!$A$5:$A34,MOVIMIENTOS!$A35)=0),COUNT(J$4:J34)+1,"")</f>
        <v/>
      </c>
      <c r="K35" s="47" t="n">
        <f aca="false">MOVIMIENTOS!$A35</f>
        <v>46217</v>
      </c>
      <c r="L35" s="44"/>
      <c r="M35" s="44"/>
      <c r="N35" s="44"/>
    </row>
    <row r="36" customFormat="false" ht="15" hidden="false" customHeight="true" outlineLevel="0" collapsed="false">
      <c r="A36" s="45" t="str">
        <f aca="false">IFERROR(INDEX(K$5:K$400,MATCH(ROW()-4,J$5:J$400,0)),"")</f>
        <v/>
      </c>
      <c r="B36" s="46" t="str">
        <f aca="false">IF($A36="","",SUMPRODUCT((MOVIMIENTOS!$B$5:$B$400="SALDO INICIAL")*(MOVIMIENTOS!$C$5:$C$400="A")*(MOVIMIENTOS!$D$5:$D$400="jabas")*(MOVIMIENTOS!$A$5:$A$400&lt;&gt;"")*(MOVIMIENTOS!$A$5:$A$400&lt;=$A36)*MOVIMIENTOS!$E$5:$E$400)+SUMPRODUCT((MOVIMIENTOS!$B$5:$B$400="PROCESO")*(MOVIMIENTOS!$C$5:$C$400="A")*(MOVIMIENTOS!$D$5:$D$400="jabas")*(MOVIMIENTOS!$A$5:$A$400&lt;&gt;"")*(MOVIMIENTOS!$A$5:$A$400&lt;=$A36)*MOVIMIENTOS!$E$5:$E$400)-SUMPRODUCT((MOVIMIENTOS!$B$5:$B$400="ENVÍO A SUPESA")*(MOVIMIENTOS!$C$5:$C$400="A")*(MOVIMIENTOS!$D$5:$D$400="jabas")*(MOVIMIENTOS!$A$5:$A$400&lt;&gt;"")*(MOVIMIENTOS!$A$5:$A$400&lt;=$A36)*MOVIMIENTOS!$E$5:$E$400)+SUMPRODUCT((MOVIMIENTOS!$B$5:$B$400="DEVOLUCIÓN")*(MOVIMIENTOS!$C$5:$C$400="A")*(MOVIMIENTOS!$D$5:$D$400="jabas")*(MOVIMIENTOS!$A$5:$A$400&lt;&gt;"")*(MOVIMIENTOS!$A$5:$A$400&lt;=$A36)*MOVIMIENTOS!$E$5:$E$400)-SUMPRODUCT((MOVIMIENTOS!$B$5:$B$400="TRASIEGO")*(MOVIMIENTOS!$C$5:$C$400="A")*(MOVIMIENTOS!$D$5:$D$400="jabas")*(MOVIMIENTOS!$A$5:$A$400&lt;&gt;"")*(MOVIMIENTOS!$A$5:$A$400&lt;=$A36)*MOVIMIENTOS!$E$5:$E$400)-SUMPRODUCT((MOVIMIENTOS!$B$5:$B$400="REGALO")*(MOVIMIENTOS!$C$5:$C$400="A")*(MOVIMIENTOS!$D$5:$D$400="jabas")*(MOVIMIENTOS!$A$5:$A$400&lt;&gt;"")*(MOVIMIENTOS!$A$5:$A$400&lt;=$A36)*MOVIMIENTOS!$E$5:$E$400)-SUMPRODUCT((MOVIMIENTOS!$B$5:$B$400="VENTA")*(MOVIMIENTOS!$C$5:$C$400="A")*(MOVIMIENTOS!$D$5:$D$400="jabas")*(MOVIMIENTOS!$A$5:$A$400&lt;&gt;"")*(MOVIMIENTOS!$A$5:$A$400&lt;=$A36)*MOVIMIENTOS!$E$5:$E$400)+SUMPRODUCT((MOVIMIENTOS!$B$5:$B$400="AJUSTE")*(MOVIMIENTOS!$C$5:$C$400="A")*(MOVIMIENTOS!$D$5:$D$400="jabas")*(MOVIMIENTOS!$A$5:$A$400&lt;&gt;"")*(MOVIMIENTOS!$A$5:$A$400&lt;=$A36)*MOVIMIENTOS!$E$5:$E$400))</f>
        <v/>
      </c>
      <c r="C36" s="46" t="str">
        <f aca="false">IF($A36="","",SUMPRODUCT((MOVIMIENTOS!$B$5:$B$400="SALDO INICIAL")*(MOVIMIENTOS!$C$5:$C$400="P")*(MOVIMIENTOS!$D$5:$D$400="jabas")*(MOVIMIENTOS!$A$5:$A$400&lt;&gt;"")*(MOVIMIENTOS!$A$5:$A$400&lt;=$A36)*MOVIMIENTOS!$E$5:$E$400)+SUMPRODUCT((MOVIMIENTOS!$B$5:$B$400="PROCESO")*(MOVIMIENTOS!$C$5:$C$400="P")*(MOVIMIENTOS!$D$5:$D$400="jabas")*(MOVIMIENTOS!$A$5:$A$400&lt;&gt;"")*(MOVIMIENTOS!$A$5:$A$400&lt;=$A36)*MOVIMIENTOS!$E$5:$E$400)-SUMPRODUCT((MOVIMIENTOS!$B$5:$B$400="ENVÍO A SUPESA")*(MOVIMIENTOS!$C$5:$C$400="P")*(MOVIMIENTOS!$D$5:$D$400="jabas")*(MOVIMIENTOS!$A$5:$A$400&lt;&gt;"")*(MOVIMIENTOS!$A$5:$A$400&lt;=$A36)*MOVIMIENTOS!$E$5:$E$400)+SUMPRODUCT((MOVIMIENTOS!$B$5:$B$400="DEVOLUCIÓN")*(MOVIMIENTOS!$C$5:$C$400="P")*(MOVIMIENTOS!$D$5:$D$400="jabas")*(MOVIMIENTOS!$A$5:$A$400&lt;&gt;"")*(MOVIMIENTOS!$A$5:$A$400&lt;=$A36)*MOVIMIENTOS!$E$5:$E$400)-SUMPRODUCT((MOVIMIENTOS!$B$5:$B$400="TRASIEGO")*(MOVIMIENTOS!$C$5:$C$400="P")*(MOVIMIENTOS!$D$5:$D$400="jabas")*(MOVIMIENTOS!$A$5:$A$400&lt;&gt;"")*(MOVIMIENTOS!$A$5:$A$400&lt;=$A36)*MOVIMIENTOS!$E$5:$E$400)-SUMPRODUCT((MOVIMIENTOS!$B$5:$B$400="REGALO")*(MOVIMIENTOS!$C$5:$C$400="P")*(MOVIMIENTOS!$D$5:$D$400="jabas")*(MOVIMIENTOS!$A$5:$A$400&lt;&gt;"")*(MOVIMIENTOS!$A$5:$A$400&lt;=$A36)*MOVIMIENTOS!$E$5:$E$400)-SUMPRODUCT((MOVIMIENTOS!$B$5:$B$400="VENTA")*(MOVIMIENTOS!$C$5:$C$400="P")*(MOVIMIENTOS!$D$5:$D$400="jabas")*(MOVIMIENTOS!$A$5:$A$400&lt;&gt;"")*(MOVIMIENTOS!$A$5:$A$400&lt;=$A36)*MOVIMIENTOS!$E$5:$E$400)+SUMPRODUCT((MOVIMIENTOS!$B$5:$B$400="AJUSTE")*(MOVIMIENTOS!$C$5:$C$400="P")*(MOVIMIENTOS!$D$5:$D$400="jabas")*(MOVIMIENTOS!$A$5:$A$400&lt;&gt;"")*(MOVIMIENTOS!$A$5:$A$400&lt;=$A36)*MOVIMIENTOS!$E$5:$E$400))</f>
        <v/>
      </c>
      <c r="D36" s="46" t="str">
        <f aca="false">IF($A36="","",SUMPRODUCT((MOVIMIENTOS!$B$5:$B$400="SALDO INICIAL")*(MOVIMIENTOS!$C$5:$C$400="C")*(MOVIMIENTOS!$D$5:$D$400="jabas")*(MOVIMIENTOS!$A$5:$A$400&lt;&gt;"")*(MOVIMIENTOS!$A$5:$A$400&lt;=$A36)*MOVIMIENTOS!$E$5:$E$400)+SUMPRODUCT((MOVIMIENTOS!$B$5:$B$400="PROCESO")*(MOVIMIENTOS!$C$5:$C$400="C")*(MOVIMIENTOS!$D$5:$D$400="jabas")*(MOVIMIENTOS!$A$5:$A$400&lt;&gt;"")*(MOVIMIENTOS!$A$5:$A$400&lt;=$A36)*MOVIMIENTOS!$E$5:$E$400)-SUMPRODUCT((MOVIMIENTOS!$B$5:$B$400="ENVÍO A SUPESA")*(MOVIMIENTOS!$C$5:$C$400="C")*(MOVIMIENTOS!$D$5:$D$400="jabas")*(MOVIMIENTOS!$A$5:$A$400&lt;&gt;"")*(MOVIMIENTOS!$A$5:$A$400&lt;=$A36)*MOVIMIENTOS!$E$5:$E$400)+SUMPRODUCT((MOVIMIENTOS!$B$5:$B$400="DEVOLUCIÓN")*(MOVIMIENTOS!$C$5:$C$400="C")*(MOVIMIENTOS!$D$5:$D$400="jabas")*(MOVIMIENTOS!$A$5:$A$400&lt;&gt;"")*(MOVIMIENTOS!$A$5:$A$400&lt;=$A36)*MOVIMIENTOS!$E$5:$E$400)-SUMPRODUCT((MOVIMIENTOS!$B$5:$B$400="TRASIEGO")*(MOVIMIENTOS!$C$5:$C$400="C")*(MOVIMIENTOS!$D$5:$D$400="jabas")*(MOVIMIENTOS!$A$5:$A$400&lt;&gt;"")*(MOVIMIENTOS!$A$5:$A$400&lt;=$A36)*MOVIMIENTOS!$E$5:$E$400)-SUMPRODUCT((MOVIMIENTOS!$B$5:$B$400="REGALO")*(MOVIMIENTOS!$C$5:$C$400="C")*(MOVIMIENTOS!$D$5:$D$400="jabas")*(MOVIMIENTOS!$A$5:$A$400&lt;&gt;"")*(MOVIMIENTOS!$A$5:$A$400&lt;=$A36)*MOVIMIENTOS!$E$5:$E$400)-SUMPRODUCT((MOVIMIENTOS!$B$5:$B$400="VENTA")*(MOVIMIENTOS!$C$5:$C$400="C")*(MOVIMIENTOS!$D$5:$D$400="jabas")*(MOVIMIENTOS!$A$5:$A$400&lt;&gt;"")*(MOVIMIENTOS!$A$5:$A$400&lt;=$A36)*MOVIMIENTOS!$E$5:$E$400)+SUMPRODUCT((MOVIMIENTOS!$B$5:$B$400="AJUSTE")*(MOVIMIENTOS!$C$5:$C$400="C")*(MOVIMIENTOS!$D$5:$D$400="jabas")*(MOVIMIENTOS!$A$5:$A$400&lt;&gt;"")*(MOVIMIENTOS!$A$5:$A$400&lt;=$A36)*MOVIMIENTOS!$E$5:$E$400))</f>
        <v/>
      </c>
      <c r="E36" s="46" t="str">
        <f aca="false">IF($A36="","",SUMPRODUCT((MOVIMIENTOS!$B$5:$B$400="SALDO INICIAL")*(MOVIMIENTOS!$C$5:$C$400="M")*(MOVIMIENTOS!$D$5:$D$400="jabas")*(MOVIMIENTOS!$A$5:$A$400&lt;&gt;"")*(MOVIMIENTOS!$A$5:$A$400&lt;=$A36)*MOVIMIENTOS!$E$5:$E$400)+SUMPRODUCT((MOVIMIENTOS!$B$5:$B$400="PROCESO")*(MOVIMIENTOS!$C$5:$C$400="M")*(MOVIMIENTOS!$D$5:$D$400="jabas")*(MOVIMIENTOS!$A$5:$A$400&lt;&gt;"")*(MOVIMIENTOS!$A$5:$A$400&lt;=$A36)*MOVIMIENTOS!$E$5:$E$400)-SUMPRODUCT((MOVIMIENTOS!$B$5:$B$400="ENVÍO A SUPESA")*(MOVIMIENTOS!$C$5:$C$400="M")*(MOVIMIENTOS!$D$5:$D$400="jabas")*(MOVIMIENTOS!$A$5:$A$400&lt;&gt;"")*(MOVIMIENTOS!$A$5:$A$400&lt;=$A36)*MOVIMIENTOS!$E$5:$E$400)+SUMPRODUCT((MOVIMIENTOS!$B$5:$B$400="DEVOLUCIÓN")*(MOVIMIENTOS!$C$5:$C$400="M")*(MOVIMIENTOS!$D$5:$D$400="jabas")*(MOVIMIENTOS!$A$5:$A$400&lt;&gt;"")*(MOVIMIENTOS!$A$5:$A$400&lt;=$A36)*MOVIMIENTOS!$E$5:$E$400)-SUMPRODUCT((MOVIMIENTOS!$B$5:$B$400="TRASIEGO")*(MOVIMIENTOS!$C$5:$C$400="M")*(MOVIMIENTOS!$D$5:$D$400="jabas")*(MOVIMIENTOS!$A$5:$A$400&lt;&gt;"")*(MOVIMIENTOS!$A$5:$A$400&lt;=$A36)*MOVIMIENTOS!$E$5:$E$400)-SUMPRODUCT((MOVIMIENTOS!$B$5:$B$400="REGALO")*(MOVIMIENTOS!$C$5:$C$400="M")*(MOVIMIENTOS!$D$5:$D$400="jabas")*(MOVIMIENTOS!$A$5:$A$400&lt;&gt;"")*(MOVIMIENTOS!$A$5:$A$400&lt;=$A36)*MOVIMIENTOS!$E$5:$E$400)-SUMPRODUCT((MOVIMIENTOS!$B$5:$B$400="VENTA")*(MOVIMIENTOS!$C$5:$C$400="M")*(MOVIMIENTOS!$D$5:$D$400="jabas")*(MOVIMIENTOS!$A$5:$A$400&lt;&gt;"")*(MOVIMIENTOS!$A$5:$A$400&lt;=$A36)*MOVIMIENTOS!$E$5:$E$400)+SUMPRODUCT((MOVIMIENTOS!$B$5:$B$400="AJUSTE")*(MOVIMIENTOS!$C$5:$C$400="M")*(MOVIMIENTOS!$D$5:$D$400="jabas")*(MOVIMIENTOS!$A$5:$A$400&lt;&gt;"")*(MOVIMIENTOS!$A$5:$A$400&lt;=$A36)*MOVIMIENTOS!$E$5:$E$400))</f>
        <v/>
      </c>
      <c r="F36" s="46" t="str">
        <f aca="false">IF($A36="","",SUMPRODUCT((MOVIMIENTOS!$B$5:$B$400="SALDO INICIAL")*(MOVIMIENTOS!$C$5:$C$400="Chancho")*(MOVIMIENTOS!$D$5:$D$400="sacos")*(MOVIMIENTOS!$A$5:$A$400&lt;&gt;"")*(MOVIMIENTOS!$A$5:$A$400&lt;=$A36)*MOVIMIENTOS!$E$5:$E$400)+SUMPRODUCT((MOVIMIENTOS!$B$5:$B$400="PROCESO")*(MOVIMIENTOS!$C$5:$C$400="Chancho")*(MOVIMIENTOS!$D$5:$D$400="sacos")*(MOVIMIENTOS!$A$5:$A$400&lt;&gt;"")*(MOVIMIENTOS!$A$5:$A$400&lt;=$A36)*MOVIMIENTOS!$E$5:$E$400)-SUMPRODUCT((MOVIMIENTOS!$B$5:$B$400="VENTA CHANCHO")*(MOVIMIENTOS!$C$5:$C$400="Chancho")*(MOVIMIENTOS!$D$5:$D$400="sacos")*(MOVIMIENTOS!$A$5:$A$400&lt;&gt;"")*(MOVIMIENTOS!$A$5:$A$400&lt;=$A36)*MOVIMIENTOS!$E$5:$E$400)-SUMPRODUCT((MOVIMIENTOS!$B$5:$B$400="REGALO")*(MOVIMIENTOS!$C$5:$C$400="Chancho")*(MOVIMIENTOS!$D$5:$D$400="sacos")*(MOVIMIENTOS!$A$5:$A$400&lt;&gt;"")*(MOVIMIENTOS!$A$5:$A$400&lt;=$A36)*MOVIMIENTOS!$E$5:$E$400)-SUMPRODUCT((MOVIMIENTOS!$B$5:$B$400="VENTA")*(MOVIMIENTOS!$C$5:$C$400="Chancho")*(MOVIMIENTOS!$D$5:$D$400="sacos")*(MOVIMIENTOS!$A$5:$A$400&lt;&gt;"")*(MOVIMIENTOS!$A$5:$A$400&lt;=$A36)*MOVIMIENTOS!$E$5:$E$400)+SUMPRODUCT((MOVIMIENTOS!$B$5:$B$400="AJUSTE")*(MOVIMIENTOS!$C$5:$C$400="Chancho")*(MOVIMIENTOS!$D$5:$D$400="sacos")*(MOVIMIENTOS!$A$5:$A$400&lt;&gt;"")*(MOVIMIENTOS!$A$5:$A$400&lt;=$A36)*MOVIMIENTOS!$E$5:$E$400))</f>
        <v/>
      </c>
      <c r="G36" s="46" t="str">
        <f aca="false">IF($A36="","",SUM(B36:E36))</f>
        <v/>
      </c>
      <c r="H36" s="46" t="str">
        <f aca="false">IF($A36="","",SUMPRODUCT((((MOVIMIENTOS!$B$5:$B$400="SALDO INICIAL")*(MOVIMIENTOS!$C$5:$C$400&lt;&gt;"Chancho"))+(MOVIMIENTOS!$B$5:$B$400="COMPRA")+(MOVIMIENTOS!$B$5:$B$400="REPROCESO")+(MOVIMIENTOS!$B$5:$B$400="DEVOLUCIÓN")+((MOVIMIENTOS!$B$5:$B$400="AJUSTE")*(MOVIMIENTOS!$C$5:$C$400&lt;&gt;"Chancho")))*(MOVIMIENTOS!$A$5:$A$400&lt;&gt;"")*(MOVIMIENTOS!$A$5:$A$400&lt;=$A36)*MOVIMIENTOS!$I$5:$I$400)-SUMPRODUCT(((MOVIMIENTOS!$B$5:$B$400="ENVÍO A SUPESA")+(MOVIMIENTOS!$B$5:$B$400="ENVÍO A TOTTUS")+(MOVIMIENTOS!$B$5:$B$400="ENVIO A TOTTUS")+(MOVIMIENTOS!$B$5:$B$400="MALOGRADO")+(MOVIMIENTOS!$B$5:$B$400="OTRA SALIDA")+((MOVIMIENTOS!$B$5:$B$400="PROCESO")*(MOVIMIENTOS!$C$5:$C$400="Chancho"))+((MOVIMIENTOS!$B$5:$B$400="REGALO")*(MOVIMIENTOS!$C$5:$C$400&lt;&gt;"Chancho"))+((MOVIMIENTOS!$B$5:$B$400="VENTA")*(MOVIMIENTOS!$C$5:$C$400&lt;&gt;"Chancho")))*(MOVIMIENTOS!$A$5:$A$400&lt;&gt;"")*(MOVIMIENTOS!$A$5:$A$400&lt;=$A36)*MOVIMIENTOS!$I$5:$I$400))</f>
        <v/>
      </c>
      <c r="I36" s="44"/>
      <c r="J36" s="44" t="str">
        <f aca="false">IF(AND(MOVIMIENTOS!$A36&lt;&gt;"",COUNTIF(MOVIMIENTOS!$A$5:$A35,MOVIMIENTOS!$A36)=0),COUNT(J$4:J35)+1,"")</f>
        <v/>
      </c>
      <c r="K36" s="47" t="n">
        <f aca="false">MOVIMIENTOS!$A36</f>
        <v>46217</v>
      </c>
      <c r="L36" s="44"/>
      <c r="M36" s="44"/>
      <c r="N36" s="44"/>
    </row>
    <row r="37" customFormat="false" ht="15" hidden="false" customHeight="true" outlineLevel="0" collapsed="false">
      <c r="A37" s="45" t="str">
        <f aca="false">IFERROR(INDEX(K$5:K$400,MATCH(ROW()-4,J$5:J$400,0)),"")</f>
        <v/>
      </c>
      <c r="B37" s="46" t="str">
        <f aca="false">IF($A37="","",SUMPRODUCT((MOVIMIENTOS!$B$5:$B$400="SALDO INICIAL")*(MOVIMIENTOS!$C$5:$C$400="A")*(MOVIMIENTOS!$D$5:$D$400="jabas")*(MOVIMIENTOS!$A$5:$A$400&lt;&gt;"")*(MOVIMIENTOS!$A$5:$A$400&lt;=$A37)*MOVIMIENTOS!$E$5:$E$400)+SUMPRODUCT((MOVIMIENTOS!$B$5:$B$400="PROCESO")*(MOVIMIENTOS!$C$5:$C$400="A")*(MOVIMIENTOS!$D$5:$D$400="jabas")*(MOVIMIENTOS!$A$5:$A$400&lt;&gt;"")*(MOVIMIENTOS!$A$5:$A$400&lt;=$A37)*MOVIMIENTOS!$E$5:$E$400)-SUMPRODUCT((MOVIMIENTOS!$B$5:$B$400="ENVÍO A SUPESA")*(MOVIMIENTOS!$C$5:$C$400="A")*(MOVIMIENTOS!$D$5:$D$400="jabas")*(MOVIMIENTOS!$A$5:$A$400&lt;&gt;"")*(MOVIMIENTOS!$A$5:$A$400&lt;=$A37)*MOVIMIENTOS!$E$5:$E$400)+SUMPRODUCT((MOVIMIENTOS!$B$5:$B$400="DEVOLUCIÓN")*(MOVIMIENTOS!$C$5:$C$400="A")*(MOVIMIENTOS!$D$5:$D$400="jabas")*(MOVIMIENTOS!$A$5:$A$400&lt;&gt;"")*(MOVIMIENTOS!$A$5:$A$400&lt;=$A37)*MOVIMIENTOS!$E$5:$E$400)-SUMPRODUCT((MOVIMIENTOS!$B$5:$B$400="TRASIEGO")*(MOVIMIENTOS!$C$5:$C$400="A")*(MOVIMIENTOS!$D$5:$D$400="jabas")*(MOVIMIENTOS!$A$5:$A$400&lt;&gt;"")*(MOVIMIENTOS!$A$5:$A$400&lt;=$A37)*MOVIMIENTOS!$E$5:$E$400)-SUMPRODUCT((MOVIMIENTOS!$B$5:$B$400="REGALO")*(MOVIMIENTOS!$C$5:$C$400="A")*(MOVIMIENTOS!$D$5:$D$400="jabas")*(MOVIMIENTOS!$A$5:$A$400&lt;&gt;"")*(MOVIMIENTOS!$A$5:$A$400&lt;=$A37)*MOVIMIENTOS!$E$5:$E$400)-SUMPRODUCT((MOVIMIENTOS!$B$5:$B$400="VENTA")*(MOVIMIENTOS!$C$5:$C$400="A")*(MOVIMIENTOS!$D$5:$D$400="jabas")*(MOVIMIENTOS!$A$5:$A$400&lt;&gt;"")*(MOVIMIENTOS!$A$5:$A$400&lt;=$A37)*MOVIMIENTOS!$E$5:$E$400)+SUMPRODUCT((MOVIMIENTOS!$B$5:$B$400="AJUSTE")*(MOVIMIENTOS!$C$5:$C$400="A")*(MOVIMIENTOS!$D$5:$D$400="jabas")*(MOVIMIENTOS!$A$5:$A$400&lt;&gt;"")*(MOVIMIENTOS!$A$5:$A$400&lt;=$A37)*MOVIMIENTOS!$E$5:$E$400))</f>
        <v/>
      </c>
      <c r="C37" s="46" t="str">
        <f aca="false">IF($A37="","",SUMPRODUCT((MOVIMIENTOS!$B$5:$B$400="SALDO INICIAL")*(MOVIMIENTOS!$C$5:$C$400="P")*(MOVIMIENTOS!$D$5:$D$400="jabas")*(MOVIMIENTOS!$A$5:$A$400&lt;&gt;"")*(MOVIMIENTOS!$A$5:$A$400&lt;=$A37)*MOVIMIENTOS!$E$5:$E$400)+SUMPRODUCT((MOVIMIENTOS!$B$5:$B$400="PROCESO")*(MOVIMIENTOS!$C$5:$C$400="P")*(MOVIMIENTOS!$D$5:$D$400="jabas")*(MOVIMIENTOS!$A$5:$A$400&lt;&gt;"")*(MOVIMIENTOS!$A$5:$A$400&lt;=$A37)*MOVIMIENTOS!$E$5:$E$400)-SUMPRODUCT((MOVIMIENTOS!$B$5:$B$400="ENVÍO A SUPESA")*(MOVIMIENTOS!$C$5:$C$400="P")*(MOVIMIENTOS!$D$5:$D$400="jabas")*(MOVIMIENTOS!$A$5:$A$400&lt;&gt;"")*(MOVIMIENTOS!$A$5:$A$400&lt;=$A37)*MOVIMIENTOS!$E$5:$E$400)+SUMPRODUCT((MOVIMIENTOS!$B$5:$B$400="DEVOLUCIÓN")*(MOVIMIENTOS!$C$5:$C$400="P")*(MOVIMIENTOS!$D$5:$D$400="jabas")*(MOVIMIENTOS!$A$5:$A$400&lt;&gt;"")*(MOVIMIENTOS!$A$5:$A$400&lt;=$A37)*MOVIMIENTOS!$E$5:$E$400)-SUMPRODUCT((MOVIMIENTOS!$B$5:$B$400="TRASIEGO")*(MOVIMIENTOS!$C$5:$C$400="P")*(MOVIMIENTOS!$D$5:$D$400="jabas")*(MOVIMIENTOS!$A$5:$A$400&lt;&gt;"")*(MOVIMIENTOS!$A$5:$A$400&lt;=$A37)*MOVIMIENTOS!$E$5:$E$400)-SUMPRODUCT((MOVIMIENTOS!$B$5:$B$400="REGALO")*(MOVIMIENTOS!$C$5:$C$400="P")*(MOVIMIENTOS!$D$5:$D$400="jabas")*(MOVIMIENTOS!$A$5:$A$400&lt;&gt;"")*(MOVIMIENTOS!$A$5:$A$400&lt;=$A37)*MOVIMIENTOS!$E$5:$E$400)-SUMPRODUCT((MOVIMIENTOS!$B$5:$B$400="VENTA")*(MOVIMIENTOS!$C$5:$C$400="P")*(MOVIMIENTOS!$D$5:$D$400="jabas")*(MOVIMIENTOS!$A$5:$A$400&lt;&gt;"")*(MOVIMIENTOS!$A$5:$A$400&lt;=$A37)*MOVIMIENTOS!$E$5:$E$400)+SUMPRODUCT((MOVIMIENTOS!$B$5:$B$400="AJUSTE")*(MOVIMIENTOS!$C$5:$C$400="P")*(MOVIMIENTOS!$D$5:$D$400="jabas")*(MOVIMIENTOS!$A$5:$A$400&lt;&gt;"")*(MOVIMIENTOS!$A$5:$A$400&lt;=$A37)*MOVIMIENTOS!$E$5:$E$400))</f>
        <v/>
      </c>
      <c r="D37" s="46" t="str">
        <f aca="false">IF($A37="","",SUMPRODUCT((MOVIMIENTOS!$B$5:$B$400="SALDO INICIAL")*(MOVIMIENTOS!$C$5:$C$400="C")*(MOVIMIENTOS!$D$5:$D$400="jabas")*(MOVIMIENTOS!$A$5:$A$400&lt;&gt;"")*(MOVIMIENTOS!$A$5:$A$400&lt;=$A37)*MOVIMIENTOS!$E$5:$E$400)+SUMPRODUCT((MOVIMIENTOS!$B$5:$B$400="PROCESO")*(MOVIMIENTOS!$C$5:$C$400="C")*(MOVIMIENTOS!$D$5:$D$400="jabas")*(MOVIMIENTOS!$A$5:$A$400&lt;&gt;"")*(MOVIMIENTOS!$A$5:$A$400&lt;=$A37)*MOVIMIENTOS!$E$5:$E$400)-SUMPRODUCT((MOVIMIENTOS!$B$5:$B$400="ENVÍO A SUPESA")*(MOVIMIENTOS!$C$5:$C$400="C")*(MOVIMIENTOS!$D$5:$D$400="jabas")*(MOVIMIENTOS!$A$5:$A$400&lt;&gt;"")*(MOVIMIENTOS!$A$5:$A$400&lt;=$A37)*MOVIMIENTOS!$E$5:$E$400)+SUMPRODUCT((MOVIMIENTOS!$B$5:$B$400="DEVOLUCIÓN")*(MOVIMIENTOS!$C$5:$C$400="C")*(MOVIMIENTOS!$D$5:$D$400="jabas")*(MOVIMIENTOS!$A$5:$A$400&lt;&gt;"")*(MOVIMIENTOS!$A$5:$A$400&lt;=$A37)*MOVIMIENTOS!$E$5:$E$400)-SUMPRODUCT((MOVIMIENTOS!$B$5:$B$400="TRASIEGO")*(MOVIMIENTOS!$C$5:$C$400="C")*(MOVIMIENTOS!$D$5:$D$400="jabas")*(MOVIMIENTOS!$A$5:$A$400&lt;&gt;"")*(MOVIMIENTOS!$A$5:$A$400&lt;=$A37)*MOVIMIENTOS!$E$5:$E$400)-SUMPRODUCT((MOVIMIENTOS!$B$5:$B$400="REGALO")*(MOVIMIENTOS!$C$5:$C$400="C")*(MOVIMIENTOS!$D$5:$D$400="jabas")*(MOVIMIENTOS!$A$5:$A$400&lt;&gt;"")*(MOVIMIENTOS!$A$5:$A$400&lt;=$A37)*MOVIMIENTOS!$E$5:$E$400)-SUMPRODUCT((MOVIMIENTOS!$B$5:$B$400="VENTA")*(MOVIMIENTOS!$C$5:$C$400="C")*(MOVIMIENTOS!$D$5:$D$400="jabas")*(MOVIMIENTOS!$A$5:$A$400&lt;&gt;"")*(MOVIMIENTOS!$A$5:$A$400&lt;=$A37)*MOVIMIENTOS!$E$5:$E$400)+SUMPRODUCT((MOVIMIENTOS!$B$5:$B$400="AJUSTE")*(MOVIMIENTOS!$C$5:$C$400="C")*(MOVIMIENTOS!$D$5:$D$400="jabas")*(MOVIMIENTOS!$A$5:$A$400&lt;&gt;"")*(MOVIMIENTOS!$A$5:$A$400&lt;=$A37)*MOVIMIENTOS!$E$5:$E$400))</f>
        <v/>
      </c>
      <c r="E37" s="46" t="str">
        <f aca="false">IF($A37="","",SUMPRODUCT((MOVIMIENTOS!$B$5:$B$400="SALDO INICIAL")*(MOVIMIENTOS!$C$5:$C$400="M")*(MOVIMIENTOS!$D$5:$D$400="jabas")*(MOVIMIENTOS!$A$5:$A$400&lt;&gt;"")*(MOVIMIENTOS!$A$5:$A$400&lt;=$A37)*MOVIMIENTOS!$E$5:$E$400)+SUMPRODUCT((MOVIMIENTOS!$B$5:$B$400="PROCESO")*(MOVIMIENTOS!$C$5:$C$400="M")*(MOVIMIENTOS!$D$5:$D$400="jabas")*(MOVIMIENTOS!$A$5:$A$400&lt;&gt;"")*(MOVIMIENTOS!$A$5:$A$400&lt;=$A37)*MOVIMIENTOS!$E$5:$E$400)-SUMPRODUCT((MOVIMIENTOS!$B$5:$B$400="ENVÍO A SUPESA")*(MOVIMIENTOS!$C$5:$C$400="M")*(MOVIMIENTOS!$D$5:$D$400="jabas")*(MOVIMIENTOS!$A$5:$A$400&lt;&gt;"")*(MOVIMIENTOS!$A$5:$A$400&lt;=$A37)*MOVIMIENTOS!$E$5:$E$400)+SUMPRODUCT((MOVIMIENTOS!$B$5:$B$400="DEVOLUCIÓN")*(MOVIMIENTOS!$C$5:$C$400="M")*(MOVIMIENTOS!$D$5:$D$400="jabas")*(MOVIMIENTOS!$A$5:$A$400&lt;&gt;"")*(MOVIMIENTOS!$A$5:$A$400&lt;=$A37)*MOVIMIENTOS!$E$5:$E$400)-SUMPRODUCT((MOVIMIENTOS!$B$5:$B$400="TRASIEGO")*(MOVIMIENTOS!$C$5:$C$400="M")*(MOVIMIENTOS!$D$5:$D$400="jabas")*(MOVIMIENTOS!$A$5:$A$400&lt;&gt;"")*(MOVIMIENTOS!$A$5:$A$400&lt;=$A37)*MOVIMIENTOS!$E$5:$E$400)-SUMPRODUCT((MOVIMIENTOS!$B$5:$B$400="REGALO")*(MOVIMIENTOS!$C$5:$C$400="M")*(MOVIMIENTOS!$D$5:$D$400="jabas")*(MOVIMIENTOS!$A$5:$A$400&lt;&gt;"")*(MOVIMIENTOS!$A$5:$A$400&lt;=$A37)*MOVIMIENTOS!$E$5:$E$400)-SUMPRODUCT((MOVIMIENTOS!$B$5:$B$400="VENTA")*(MOVIMIENTOS!$C$5:$C$400="M")*(MOVIMIENTOS!$D$5:$D$400="jabas")*(MOVIMIENTOS!$A$5:$A$400&lt;&gt;"")*(MOVIMIENTOS!$A$5:$A$400&lt;=$A37)*MOVIMIENTOS!$E$5:$E$400)+SUMPRODUCT((MOVIMIENTOS!$B$5:$B$400="AJUSTE")*(MOVIMIENTOS!$C$5:$C$400="M")*(MOVIMIENTOS!$D$5:$D$400="jabas")*(MOVIMIENTOS!$A$5:$A$400&lt;&gt;"")*(MOVIMIENTOS!$A$5:$A$400&lt;=$A37)*MOVIMIENTOS!$E$5:$E$400))</f>
        <v/>
      </c>
      <c r="F37" s="46" t="str">
        <f aca="false">IF($A37="","",SUMPRODUCT((MOVIMIENTOS!$B$5:$B$400="SALDO INICIAL")*(MOVIMIENTOS!$C$5:$C$400="Chancho")*(MOVIMIENTOS!$D$5:$D$400="sacos")*(MOVIMIENTOS!$A$5:$A$400&lt;&gt;"")*(MOVIMIENTOS!$A$5:$A$400&lt;=$A37)*MOVIMIENTOS!$E$5:$E$400)+SUMPRODUCT((MOVIMIENTOS!$B$5:$B$400="PROCESO")*(MOVIMIENTOS!$C$5:$C$400="Chancho")*(MOVIMIENTOS!$D$5:$D$400="sacos")*(MOVIMIENTOS!$A$5:$A$400&lt;&gt;"")*(MOVIMIENTOS!$A$5:$A$400&lt;=$A37)*MOVIMIENTOS!$E$5:$E$400)-SUMPRODUCT((MOVIMIENTOS!$B$5:$B$400="VENTA CHANCHO")*(MOVIMIENTOS!$C$5:$C$400="Chancho")*(MOVIMIENTOS!$D$5:$D$400="sacos")*(MOVIMIENTOS!$A$5:$A$400&lt;&gt;"")*(MOVIMIENTOS!$A$5:$A$400&lt;=$A37)*MOVIMIENTOS!$E$5:$E$400)-SUMPRODUCT((MOVIMIENTOS!$B$5:$B$400="REGALO")*(MOVIMIENTOS!$C$5:$C$400="Chancho")*(MOVIMIENTOS!$D$5:$D$400="sacos")*(MOVIMIENTOS!$A$5:$A$400&lt;&gt;"")*(MOVIMIENTOS!$A$5:$A$400&lt;=$A37)*MOVIMIENTOS!$E$5:$E$400)-SUMPRODUCT((MOVIMIENTOS!$B$5:$B$400="VENTA")*(MOVIMIENTOS!$C$5:$C$400="Chancho")*(MOVIMIENTOS!$D$5:$D$400="sacos")*(MOVIMIENTOS!$A$5:$A$400&lt;&gt;"")*(MOVIMIENTOS!$A$5:$A$400&lt;=$A37)*MOVIMIENTOS!$E$5:$E$400)+SUMPRODUCT((MOVIMIENTOS!$B$5:$B$400="AJUSTE")*(MOVIMIENTOS!$C$5:$C$400="Chancho")*(MOVIMIENTOS!$D$5:$D$400="sacos")*(MOVIMIENTOS!$A$5:$A$400&lt;&gt;"")*(MOVIMIENTOS!$A$5:$A$400&lt;=$A37)*MOVIMIENTOS!$E$5:$E$400))</f>
        <v/>
      </c>
      <c r="G37" s="46" t="str">
        <f aca="false">IF($A37="","",SUM(B37:E37))</f>
        <v/>
      </c>
      <c r="H37" s="46" t="str">
        <f aca="false">IF($A37="","",SUMPRODUCT((((MOVIMIENTOS!$B$5:$B$400="SALDO INICIAL")*(MOVIMIENTOS!$C$5:$C$400&lt;&gt;"Chancho"))+(MOVIMIENTOS!$B$5:$B$400="COMPRA")+(MOVIMIENTOS!$B$5:$B$400="REPROCESO")+(MOVIMIENTOS!$B$5:$B$400="DEVOLUCIÓN")+((MOVIMIENTOS!$B$5:$B$400="AJUSTE")*(MOVIMIENTOS!$C$5:$C$400&lt;&gt;"Chancho")))*(MOVIMIENTOS!$A$5:$A$400&lt;&gt;"")*(MOVIMIENTOS!$A$5:$A$400&lt;=$A37)*MOVIMIENTOS!$I$5:$I$400)-SUMPRODUCT(((MOVIMIENTOS!$B$5:$B$400="ENVÍO A SUPESA")+(MOVIMIENTOS!$B$5:$B$400="ENVÍO A TOTTUS")+(MOVIMIENTOS!$B$5:$B$400="ENVIO A TOTTUS")+(MOVIMIENTOS!$B$5:$B$400="MALOGRADO")+(MOVIMIENTOS!$B$5:$B$400="OTRA SALIDA")+((MOVIMIENTOS!$B$5:$B$400="PROCESO")*(MOVIMIENTOS!$C$5:$C$400="Chancho"))+((MOVIMIENTOS!$B$5:$B$400="REGALO")*(MOVIMIENTOS!$C$5:$C$400&lt;&gt;"Chancho"))+((MOVIMIENTOS!$B$5:$B$400="VENTA")*(MOVIMIENTOS!$C$5:$C$400&lt;&gt;"Chancho")))*(MOVIMIENTOS!$A$5:$A$400&lt;&gt;"")*(MOVIMIENTOS!$A$5:$A$400&lt;=$A37)*MOVIMIENTOS!$I$5:$I$400))</f>
        <v/>
      </c>
      <c r="I37" s="44"/>
      <c r="J37" s="44" t="str">
        <f aca="false">IF(AND(MOVIMIENTOS!$A37&lt;&gt;"",COUNTIF(MOVIMIENTOS!$A$5:$A36,MOVIMIENTOS!$A37)=0),COUNT(J$4:J36)+1,"")</f>
        <v/>
      </c>
      <c r="K37" s="47" t="n">
        <f aca="false">MOVIMIENTOS!$A37</f>
        <v>46217</v>
      </c>
      <c r="L37" s="44"/>
      <c r="M37" s="44"/>
      <c r="N37" s="44"/>
    </row>
    <row r="38" customFormat="false" ht="15" hidden="false" customHeight="true" outlineLevel="0" collapsed="false">
      <c r="A38" s="45" t="str">
        <f aca="false">IFERROR(INDEX(K$5:K$400,MATCH(ROW()-4,J$5:J$400,0)),"")</f>
        <v/>
      </c>
      <c r="B38" s="46" t="str">
        <f aca="false">IF($A38="","",SUMPRODUCT((MOVIMIENTOS!$B$5:$B$400="SALDO INICIAL")*(MOVIMIENTOS!$C$5:$C$400="A")*(MOVIMIENTOS!$D$5:$D$400="jabas")*(MOVIMIENTOS!$A$5:$A$400&lt;&gt;"")*(MOVIMIENTOS!$A$5:$A$400&lt;=$A38)*MOVIMIENTOS!$E$5:$E$400)+SUMPRODUCT((MOVIMIENTOS!$B$5:$B$400="PROCESO")*(MOVIMIENTOS!$C$5:$C$400="A")*(MOVIMIENTOS!$D$5:$D$400="jabas")*(MOVIMIENTOS!$A$5:$A$400&lt;&gt;"")*(MOVIMIENTOS!$A$5:$A$400&lt;=$A38)*MOVIMIENTOS!$E$5:$E$400)-SUMPRODUCT((MOVIMIENTOS!$B$5:$B$400="ENVÍO A SUPESA")*(MOVIMIENTOS!$C$5:$C$400="A")*(MOVIMIENTOS!$D$5:$D$400="jabas")*(MOVIMIENTOS!$A$5:$A$400&lt;&gt;"")*(MOVIMIENTOS!$A$5:$A$400&lt;=$A38)*MOVIMIENTOS!$E$5:$E$400)+SUMPRODUCT((MOVIMIENTOS!$B$5:$B$400="DEVOLUCIÓN")*(MOVIMIENTOS!$C$5:$C$400="A")*(MOVIMIENTOS!$D$5:$D$400="jabas")*(MOVIMIENTOS!$A$5:$A$400&lt;&gt;"")*(MOVIMIENTOS!$A$5:$A$400&lt;=$A38)*MOVIMIENTOS!$E$5:$E$400)-SUMPRODUCT((MOVIMIENTOS!$B$5:$B$400="TRASIEGO")*(MOVIMIENTOS!$C$5:$C$400="A")*(MOVIMIENTOS!$D$5:$D$400="jabas")*(MOVIMIENTOS!$A$5:$A$400&lt;&gt;"")*(MOVIMIENTOS!$A$5:$A$400&lt;=$A38)*MOVIMIENTOS!$E$5:$E$400)-SUMPRODUCT((MOVIMIENTOS!$B$5:$B$400="REGALO")*(MOVIMIENTOS!$C$5:$C$400="A")*(MOVIMIENTOS!$D$5:$D$400="jabas")*(MOVIMIENTOS!$A$5:$A$400&lt;&gt;"")*(MOVIMIENTOS!$A$5:$A$400&lt;=$A38)*MOVIMIENTOS!$E$5:$E$400)-SUMPRODUCT((MOVIMIENTOS!$B$5:$B$400="VENTA")*(MOVIMIENTOS!$C$5:$C$400="A")*(MOVIMIENTOS!$D$5:$D$400="jabas")*(MOVIMIENTOS!$A$5:$A$400&lt;&gt;"")*(MOVIMIENTOS!$A$5:$A$400&lt;=$A38)*MOVIMIENTOS!$E$5:$E$400)+SUMPRODUCT((MOVIMIENTOS!$B$5:$B$400="AJUSTE")*(MOVIMIENTOS!$C$5:$C$400="A")*(MOVIMIENTOS!$D$5:$D$400="jabas")*(MOVIMIENTOS!$A$5:$A$400&lt;&gt;"")*(MOVIMIENTOS!$A$5:$A$400&lt;=$A38)*MOVIMIENTOS!$E$5:$E$400))</f>
        <v/>
      </c>
      <c r="C38" s="46" t="str">
        <f aca="false">IF($A38="","",SUMPRODUCT((MOVIMIENTOS!$B$5:$B$400="SALDO INICIAL")*(MOVIMIENTOS!$C$5:$C$400="P")*(MOVIMIENTOS!$D$5:$D$400="jabas")*(MOVIMIENTOS!$A$5:$A$400&lt;&gt;"")*(MOVIMIENTOS!$A$5:$A$400&lt;=$A38)*MOVIMIENTOS!$E$5:$E$400)+SUMPRODUCT((MOVIMIENTOS!$B$5:$B$400="PROCESO")*(MOVIMIENTOS!$C$5:$C$400="P")*(MOVIMIENTOS!$D$5:$D$400="jabas")*(MOVIMIENTOS!$A$5:$A$400&lt;&gt;"")*(MOVIMIENTOS!$A$5:$A$400&lt;=$A38)*MOVIMIENTOS!$E$5:$E$400)-SUMPRODUCT((MOVIMIENTOS!$B$5:$B$400="ENVÍO A SUPESA")*(MOVIMIENTOS!$C$5:$C$400="P")*(MOVIMIENTOS!$D$5:$D$400="jabas")*(MOVIMIENTOS!$A$5:$A$400&lt;&gt;"")*(MOVIMIENTOS!$A$5:$A$400&lt;=$A38)*MOVIMIENTOS!$E$5:$E$400)+SUMPRODUCT((MOVIMIENTOS!$B$5:$B$400="DEVOLUCIÓN")*(MOVIMIENTOS!$C$5:$C$400="P")*(MOVIMIENTOS!$D$5:$D$400="jabas")*(MOVIMIENTOS!$A$5:$A$400&lt;&gt;"")*(MOVIMIENTOS!$A$5:$A$400&lt;=$A38)*MOVIMIENTOS!$E$5:$E$400)-SUMPRODUCT((MOVIMIENTOS!$B$5:$B$400="TRASIEGO")*(MOVIMIENTOS!$C$5:$C$400="P")*(MOVIMIENTOS!$D$5:$D$400="jabas")*(MOVIMIENTOS!$A$5:$A$400&lt;&gt;"")*(MOVIMIENTOS!$A$5:$A$400&lt;=$A38)*MOVIMIENTOS!$E$5:$E$400)-SUMPRODUCT((MOVIMIENTOS!$B$5:$B$400="REGALO")*(MOVIMIENTOS!$C$5:$C$400="P")*(MOVIMIENTOS!$D$5:$D$400="jabas")*(MOVIMIENTOS!$A$5:$A$400&lt;&gt;"")*(MOVIMIENTOS!$A$5:$A$400&lt;=$A38)*MOVIMIENTOS!$E$5:$E$400)-SUMPRODUCT((MOVIMIENTOS!$B$5:$B$400="VENTA")*(MOVIMIENTOS!$C$5:$C$400="P")*(MOVIMIENTOS!$D$5:$D$400="jabas")*(MOVIMIENTOS!$A$5:$A$400&lt;&gt;"")*(MOVIMIENTOS!$A$5:$A$400&lt;=$A38)*MOVIMIENTOS!$E$5:$E$400)+SUMPRODUCT((MOVIMIENTOS!$B$5:$B$400="AJUSTE")*(MOVIMIENTOS!$C$5:$C$400="P")*(MOVIMIENTOS!$D$5:$D$400="jabas")*(MOVIMIENTOS!$A$5:$A$400&lt;&gt;"")*(MOVIMIENTOS!$A$5:$A$400&lt;=$A38)*MOVIMIENTOS!$E$5:$E$400))</f>
        <v/>
      </c>
      <c r="D38" s="46" t="str">
        <f aca="false">IF($A38="","",SUMPRODUCT((MOVIMIENTOS!$B$5:$B$400="SALDO INICIAL")*(MOVIMIENTOS!$C$5:$C$400="C")*(MOVIMIENTOS!$D$5:$D$400="jabas")*(MOVIMIENTOS!$A$5:$A$400&lt;&gt;"")*(MOVIMIENTOS!$A$5:$A$400&lt;=$A38)*MOVIMIENTOS!$E$5:$E$400)+SUMPRODUCT((MOVIMIENTOS!$B$5:$B$400="PROCESO")*(MOVIMIENTOS!$C$5:$C$400="C")*(MOVIMIENTOS!$D$5:$D$400="jabas")*(MOVIMIENTOS!$A$5:$A$400&lt;&gt;"")*(MOVIMIENTOS!$A$5:$A$400&lt;=$A38)*MOVIMIENTOS!$E$5:$E$400)-SUMPRODUCT((MOVIMIENTOS!$B$5:$B$400="ENVÍO A SUPESA")*(MOVIMIENTOS!$C$5:$C$400="C")*(MOVIMIENTOS!$D$5:$D$400="jabas")*(MOVIMIENTOS!$A$5:$A$400&lt;&gt;"")*(MOVIMIENTOS!$A$5:$A$400&lt;=$A38)*MOVIMIENTOS!$E$5:$E$400)+SUMPRODUCT((MOVIMIENTOS!$B$5:$B$400="DEVOLUCIÓN")*(MOVIMIENTOS!$C$5:$C$400="C")*(MOVIMIENTOS!$D$5:$D$400="jabas")*(MOVIMIENTOS!$A$5:$A$400&lt;&gt;"")*(MOVIMIENTOS!$A$5:$A$400&lt;=$A38)*MOVIMIENTOS!$E$5:$E$400)-SUMPRODUCT((MOVIMIENTOS!$B$5:$B$400="TRASIEGO")*(MOVIMIENTOS!$C$5:$C$400="C")*(MOVIMIENTOS!$D$5:$D$400="jabas")*(MOVIMIENTOS!$A$5:$A$400&lt;&gt;"")*(MOVIMIENTOS!$A$5:$A$400&lt;=$A38)*MOVIMIENTOS!$E$5:$E$400)-SUMPRODUCT((MOVIMIENTOS!$B$5:$B$400="REGALO")*(MOVIMIENTOS!$C$5:$C$400="C")*(MOVIMIENTOS!$D$5:$D$400="jabas")*(MOVIMIENTOS!$A$5:$A$400&lt;&gt;"")*(MOVIMIENTOS!$A$5:$A$400&lt;=$A38)*MOVIMIENTOS!$E$5:$E$400)-SUMPRODUCT((MOVIMIENTOS!$B$5:$B$400="VENTA")*(MOVIMIENTOS!$C$5:$C$400="C")*(MOVIMIENTOS!$D$5:$D$400="jabas")*(MOVIMIENTOS!$A$5:$A$400&lt;&gt;"")*(MOVIMIENTOS!$A$5:$A$400&lt;=$A38)*MOVIMIENTOS!$E$5:$E$400)+SUMPRODUCT((MOVIMIENTOS!$B$5:$B$400="AJUSTE")*(MOVIMIENTOS!$C$5:$C$400="C")*(MOVIMIENTOS!$D$5:$D$400="jabas")*(MOVIMIENTOS!$A$5:$A$400&lt;&gt;"")*(MOVIMIENTOS!$A$5:$A$400&lt;=$A38)*MOVIMIENTOS!$E$5:$E$400))</f>
        <v/>
      </c>
      <c r="E38" s="46" t="str">
        <f aca="false">IF($A38="","",SUMPRODUCT((MOVIMIENTOS!$B$5:$B$400="SALDO INICIAL")*(MOVIMIENTOS!$C$5:$C$400="M")*(MOVIMIENTOS!$D$5:$D$400="jabas")*(MOVIMIENTOS!$A$5:$A$400&lt;&gt;"")*(MOVIMIENTOS!$A$5:$A$400&lt;=$A38)*MOVIMIENTOS!$E$5:$E$400)+SUMPRODUCT((MOVIMIENTOS!$B$5:$B$400="PROCESO")*(MOVIMIENTOS!$C$5:$C$400="M")*(MOVIMIENTOS!$D$5:$D$400="jabas")*(MOVIMIENTOS!$A$5:$A$400&lt;&gt;"")*(MOVIMIENTOS!$A$5:$A$400&lt;=$A38)*MOVIMIENTOS!$E$5:$E$400)-SUMPRODUCT((MOVIMIENTOS!$B$5:$B$400="ENVÍO A SUPESA")*(MOVIMIENTOS!$C$5:$C$400="M")*(MOVIMIENTOS!$D$5:$D$400="jabas")*(MOVIMIENTOS!$A$5:$A$400&lt;&gt;"")*(MOVIMIENTOS!$A$5:$A$400&lt;=$A38)*MOVIMIENTOS!$E$5:$E$400)+SUMPRODUCT((MOVIMIENTOS!$B$5:$B$400="DEVOLUCIÓN")*(MOVIMIENTOS!$C$5:$C$400="M")*(MOVIMIENTOS!$D$5:$D$400="jabas")*(MOVIMIENTOS!$A$5:$A$400&lt;&gt;"")*(MOVIMIENTOS!$A$5:$A$400&lt;=$A38)*MOVIMIENTOS!$E$5:$E$400)-SUMPRODUCT((MOVIMIENTOS!$B$5:$B$400="TRASIEGO")*(MOVIMIENTOS!$C$5:$C$400="M")*(MOVIMIENTOS!$D$5:$D$400="jabas")*(MOVIMIENTOS!$A$5:$A$400&lt;&gt;"")*(MOVIMIENTOS!$A$5:$A$400&lt;=$A38)*MOVIMIENTOS!$E$5:$E$400)-SUMPRODUCT((MOVIMIENTOS!$B$5:$B$400="REGALO")*(MOVIMIENTOS!$C$5:$C$400="M")*(MOVIMIENTOS!$D$5:$D$400="jabas")*(MOVIMIENTOS!$A$5:$A$400&lt;&gt;"")*(MOVIMIENTOS!$A$5:$A$400&lt;=$A38)*MOVIMIENTOS!$E$5:$E$400)-SUMPRODUCT((MOVIMIENTOS!$B$5:$B$400="VENTA")*(MOVIMIENTOS!$C$5:$C$400="M")*(MOVIMIENTOS!$D$5:$D$400="jabas")*(MOVIMIENTOS!$A$5:$A$400&lt;&gt;"")*(MOVIMIENTOS!$A$5:$A$400&lt;=$A38)*MOVIMIENTOS!$E$5:$E$400)+SUMPRODUCT((MOVIMIENTOS!$B$5:$B$400="AJUSTE")*(MOVIMIENTOS!$C$5:$C$400="M")*(MOVIMIENTOS!$D$5:$D$400="jabas")*(MOVIMIENTOS!$A$5:$A$400&lt;&gt;"")*(MOVIMIENTOS!$A$5:$A$400&lt;=$A38)*MOVIMIENTOS!$E$5:$E$400))</f>
        <v/>
      </c>
      <c r="F38" s="46" t="str">
        <f aca="false">IF($A38="","",SUMPRODUCT((MOVIMIENTOS!$B$5:$B$400="SALDO INICIAL")*(MOVIMIENTOS!$C$5:$C$400="Chancho")*(MOVIMIENTOS!$D$5:$D$400="sacos")*(MOVIMIENTOS!$A$5:$A$400&lt;&gt;"")*(MOVIMIENTOS!$A$5:$A$400&lt;=$A38)*MOVIMIENTOS!$E$5:$E$400)+SUMPRODUCT((MOVIMIENTOS!$B$5:$B$400="PROCESO")*(MOVIMIENTOS!$C$5:$C$400="Chancho")*(MOVIMIENTOS!$D$5:$D$400="sacos")*(MOVIMIENTOS!$A$5:$A$400&lt;&gt;"")*(MOVIMIENTOS!$A$5:$A$400&lt;=$A38)*MOVIMIENTOS!$E$5:$E$400)-SUMPRODUCT((MOVIMIENTOS!$B$5:$B$400="VENTA CHANCHO")*(MOVIMIENTOS!$C$5:$C$400="Chancho")*(MOVIMIENTOS!$D$5:$D$400="sacos")*(MOVIMIENTOS!$A$5:$A$400&lt;&gt;"")*(MOVIMIENTOS!$A$5:$A$400&lt;=$A38)*MOVIMIENTOS!$E$5:$E$400)-SUMPRODUCT((MOVIMIENTOS!$B$5:$B$400="REGALO")*(MOVIMIENTOS!$C$5:$C$400="Chancho")*(MOVIMIENTOS!$D$5:$D$400="sacos")*(MOVIMIENTOS!$A$5:$A$400&lt;&gt;"")*(MOVIMIENTOS!$A$5:$A$400&lt;=$A38)*MOVIMIENTOS!$E$5:$E$400)-SUMPRODUCT((MOVIMIENTOS!$B$5:$B$400="VENTA")*(MOVIMIENTOS!$C$5:$C$400="Chancho")*(MOVIMIENTOS!$D$5:$D$400="sacos")*(MOVIMIENTOS!$A$5:$A$400&lt;&gt;"")*(MOVIMIENTOS!$A$5:$A$400&lt;=$A38)*MOVIMIENTOS!$E$5:$E$400)+SUMPRODUCT((MOVIMIENTOS!$B$5:$B$400="AJUSTE")*(MOVIMIENTOS!$C$5:$C$400="Chancho")*(MOVIMIENTOS!$D$5:$D$400="sacos")*(MOVIMIENTOS!$A$5:$A$400&lt;&gt;"")*(MOVIMIENTOS!$A$5:$A$400&lt;=$A38)*MOVIMIENTOS!$E$5:$E$400))</f>
        <v/>
      </c>
      <c r="G38" s="46" t="str">
        <f aca="false">IF($A38="","",SUM(B38:E38))</f>
        <v/>
      </c>
      <c r="H38" s="46" t="str">
        <f aca="false">IF($A38="","",SUMPRODUCT((((MOVIMIENTOS!$B$5:$B$400="SALDO INICIAL")*(MOVIMIENTOS!$C$5:$C$400&lt;&gt;"Chancho"))+(MOVIMIENTOS!$B$5:$B$400="COMPRA")+(MOVIMIENTOS!$B$5:$B$400="REPROCESO")+(MOVIMIENTOS!$B$5:$B$400="DEVOLUCIÓN")+((MOVIMIENTOS!$B$5:$B$400="AJUSTE")*(MOVIMIENTOS!$C$5:$C$400&lt;&gt;"Chancho")))*(MOVIMIENTOS!$A$5:$A$400&lt;&gt;"")*(MOVIMIENTOS!$A$5:$A$400&lt;=$A38)*MOVIMIENTOS!$I$5:$I$400)-SUMPRODUCT(((MOVIMIENTOS!$B$5:$B$400="ENVÍO A SUPESA")+(MOVIMIENTOS!$B$5:$B$400="ENVÍO A TOTTUS")+(MOVIMIENTOS!$B$5:$B$400="ENVIO A TOTTUS")+(MOVIMIENTOS!$B$5:$B$400="MALOGRADO")+(MOVIMIENTOS!$B$5:$B$400="OTRA SALIDA")+((MOVIMIENTOS!$B$5:$B$400="PROCESO")*(MOVIMIENTOS!$C$5:$C$400="Chancho"))+((MOVIMIENTOS!$B$5:$B$400="REGALO")*(MOVIMIENTOS!$C$5:$C$400&lt;&gt;"Chancho"))+((MOVIMIENTOS!$B$5:$B$400="VENTA")*(MOVIMIENTOS!$C$5:$C$400&lt;&gt;"Chancho")))*(MOVIMIENTOS!$A$5:$A$400&lt;&gt;"")*(MOVIMIENTOS!$A$5:$A$400&lt;=$A38)*MOVIMIENTOS!$I$5:$I$400))</f>
        <v/>
      </c>
      <c r="I38" s="44"/>
      <c r="J38" s="44" t="str">
        <f aca="false">IF(AND(MOVIMIENTOS!$A38&lt;&gt;"",COUNTIF(MOVIMIENTOS!$A$5:$A37,MOVIMIENTOS!$A38)=0),COUNT(J$4:J37)+1,"")</f>
        <v/>
      </c>
      <c r="K38" s="47" t="n">
        <f aca="false">MOVIMIENTOS!$A38</f>
        <v>46217</v>
      </c>
      <c r="L38" s="44"/>
      <c r="M38" s="44"/>
      <c r="N38" s="44"/>
    </row>
    <row r="39" customFormat="false" ht="15" hidden="false" customHeight="true" outlineLevel="0" collapsed="false">
      <c r="A39" s="45" t="str">
        <f aca="false">IFERROR(INDEX(K$5:K$400,MATCH(ROW()-4,J$5:J$400,0)),"")</f>
        <v/>
      </c>
      <c r="B39" s="46" t="str">
        <f aca="false">IF($A39="","",SUMPRODUCT((MOVIMIENTOS!$B$5:$B$400="SALDO INICIAL")*(MOVIMIENTOS!$C$5:$C$400="A")*(MOVIMIENTOS!$D$5:$D$400="jabas")*(MOVIMIENTOS!$A$5:$A$400&lt;&gt;"")*(MOVIMIENTOS!$A$5:$A$400&lt;=$A39)*MOVIMIENTOS!$E$5:$E$400)+SUMPRODUCT((MOVIMIENTOS!$B$5:$B$400="PROCESO")*(MOVIMIENTOS!$C$5:$C$400="A")*(MOVIMIENTOS!$D$5:$D$400="jabas")*(MOVIMIENTOS!$A$5:$A$400&lt;&gt;"")*(MOVIMIENTOS!$A$5:$A$400&lt;=$A39)*MOVIMIENTOS!$E$5:$E$400)-SUMPRODUCT((MOVIMIENTOS!$B$5:$B$400="ENVÍO A SUPESA")*(MOVIMIENTOS!$C$5:$C$400="A")*(MOVIMIENTOS!$D$5:$D$400="jabas")*(MOVIMIENTOS!$A$5:$A$400&lt;&gt;"")*(MOVIMIENTOS!$A$5:$A$400&lt;=$A39)*MOVIMIENTOS!$E$5:$E$400)+SUMPRODUCT((MOVIMIENTOS!$B$5:$B$400="DEVOLUCIÓN")*(MOVIMIENTOS!$C$5:$C$400="A")*(MOVIMIENTOS!$D$5:$D$400="jabas")*(MOVIMIENTOS!$A$5:$A$400&lt;&gt;"")*(MOVIMIENTOS!$A$5:$A$400&lt;=$A39)*MOVIMIENTOS!$E$5:$E$400)-SUMPRODUCT((MOVIMIENTOS!$B$5:$B$400="TRASIEGO")*(MOVIMIENTOS!$C$5:$C$400="A")*(MOVIMIENTOS!$D$5:$D$400="jabas")*(MOVIMIENTOS!$A$5:$A$400&lt;&gt;"")*(MOVIMIENTOS!$A$5:$A$400&lt;=$A39)*MOVIMIENTOS!$E$5:$E$400)-SUMPRODUCT((MOVIMIENTOS!$B$5:$B$400="REGALO")*(MOVIMIENTOS!$C$5:$C$400="A")*(MOVIMIENTOS!$D$5:$D$400="jabas")*(MOVIMIENTOS!$A$5:$A$400&lt;&gt;"")*(MOVIMIENTOS!$A$5:$A$400&lt;=$A39)*MOVIMIENTOS!$E$5:$E$400)-SUMPRODUCT((MOVIMIENTOS!$B$5:$B$400="VENTA")*(MOVIMIENTOS!$C$5:$C$400="A")*(MOVIMIENTOS!$D$5:$D$400="jabas")*(MOVIMIENTOS!$A$5:$A$400&lt;&gt;"")*(MOVIMIENTOS!$A$5:$A$400&lt;=$A39)*MOVIMIENTOS!$E$5:$E$400)+SUMPRODUCT((MOVIMIENTOS!$B$5:$B$400="AJUSTE")*(MOVIMIENTOS!$C$5:$C$400="A")*(MOVIMIENTOS!$D$5:$D$400="jabas")*(MOVIMIENTOS!$A$5:$A$400&lt;&gt;"")*(MOVIMIENTOS!$A$5:$A$400&lt;=$A39)*MOVIMIENTOS!$E$5:$E$400))</f>
        <v/>
      </c>
      <c r="C39" s="46" t="str">
        <f aca="false">IF($A39="","",SUMPRODUCT((MOVIMIENTOS!$B$5:$B$400="SALDO INICIAL")*(MOVIMIENTOS!$C$5:$C$400="P")*(MOVIMIENTOS!$D$5:$D$400="jabas")*(MOVIMIENTOS!$A$5:$A$400&lt;&gt;"")*(MOVIMIENTOS!$A$5:$A$400&lt;=$A39)*MOVIMIENTOS!$E$5:$E$400)+SUMPRODUCT((MOVIMIENTOS!$B$5:$B$400="PROCESO")*(MOVIMIENTOS!$C$5:$C$400="P")*(MOVIMIENTOS!$D$5:$D$400="jabas")*(MOVIMIENTOS!$A$5:$A$400&lt;&gt;"")*(MOVIMIENTOS!$A$5:$A$400&lt;=$A39)*MOVIMIENTOS!$E$5:$E$400)-SUMPRODUCT((MOVIMIENTOS!$B$5:$B$400="ENVÍO A SUPESA")*(MOVIMIENTOS!$C$5:$C$400="P")*(MOVIMIENTOS!$D$5:$D$400="jabas")*(MOVIMIENTOS!$A$5:$A$400&lt;&gt;"")*(MOVIMIENTOS!$A$5:$A$400&lt;=$A39)*MOVIMIENTOS!$E$5:$E$400)+SUMPRODUCT((MOVIMIENTOS!$B$5:$B$400="DEVOLUCIÓN")*(MOVIMIENTOS!$C$5:$C$400="P")*(MOVIMIENTOS!$D$5:$D$400="jabas")*(MOVIMIENTOS!$A$5:$A$400&lt;&gt;"")*(MOVIMIENTOS!$A$5:$A$400&lt;=$A39)*MOVIMIENTOS!$E$5:$E$400)-SUMPRODUCT((MOVIMIENTOS!$B$5:$B$400="TRASIEGO")*(MOVIMIENTOS!$C$5:$C$400="P")*(MOVIMIENTOS!$D$5:$D$400="jabas")*(MOVIMIENTOS!$A$5:$A$400&lt;&gt;"")*(MOVIMIENTOS!$A$5:$A$400&lt;=$A39)*MOVIMIENTOS!$E$5:$E$400)-SUMPRODUCT((MOVIMIENTOS!$B$5:$B$400="REGALO")*(MOVIMIENTOS!$C$5:$C$400="P")*(MOVIMIENTOS!$D$5:$D$400="jabas")*(MOVIMIENTOS!$A$5:$A$400&lt;&gt;"")*(MOVIMIENTOS!$A$5:$A$400&lt;=$A39)*MOVIMIENTOS!$E$5:$E$400)-SUMPRODUCT((MOVIMIENTOS!$B$5:$B$400="VENTA")*(MOVIMIENTOS!$C$5:$C$400="P")*(MOVIMIENTOS!$D$5:$D$400="jabas")*(MOVIMIENTOS!$A$5:$A$400&lt;&gt;"")*(MOVIMIENTOS!$A$5:$A$400&lt;=$A39)*MOVIMIENTOS!$E$5:$E$400)+SUMPRODUCT((MOVIMIENTOS!$B$5:$B$400="AJUSTE")*(MOVIMIENTOS!$C$5:$C$400="P")*(MOVIMIENTOS!$D$5:$D$400="jabas")*(MOVIMIENTOS!$A$5:$A$400&lt;&gt;"")*(MOVIMIENTOS!$A$5:$A$400&lt;=$A39)*MOVIMIENTOS!$E$5:$E$400))</f>
        <v/>
      </c>
      <c r="D39" s="46" t="str">
        <f aca="false">IF($A39="","",SUMPRODUCT((MOVIMIENTOS!$B$5:$B$400="SALDO INICIAL")*(MOVIMIENTOS!$C$5:$C$400="C")*(MOVIMIENTOS!$D$5:$D$400="jabas")*(MOVIMIENTOS!$A$5:$A$400&lt;&gt;"")*(MOVIMIENTOS!$A$5:$A$400&lt;=$A39)*MOVIMIENTOS!$E$5:$E$400)+SUMPRODUCT((MOVIMIENTOS!$B$5:$B$400="PROCESO")*(MOVIMIENTOS!$C$5:$C$400="C")*(MOVIMIENTOS!$D$5:$D$400="jabas")*(MOVIMIENTOS!$A$5:$A$400&lt;&gt;"")*(MOVIMIENTOS!$A$5:$A$400&lt;=$A39)*MOVIMIENTOS!$E$5:$E$400)-SUMPRODUCT((MOVIMIENTOS!$B$5:$B$400="ENVÍO A SUPESA")*(MOVIMIENTOS!$C$5:$C$400="C")*(MOVIMIENTOS!$D$5:$D$400="jabas")*(MOVIMIENTOS!$A$5:$A$400&lt;&gt;"")*(MOVIMIENTOS!$A$5:$A$400&lt;=$A39)*MOVIMIENTOS!$E$5:$E$400)+SUMPRODUCT((MOVIMIENTOS!$B$5:$B$400="DEVOLUCIÓN")*(MOVIMIENTOS!$C$5:$C$400="C")*(MOVIMIENTOS!$D$5:$D$400="jabas")*(MOVIMIENTOS!$A$5:$A$400&lt;&gt;"")*(MOVIMIENTOS!$A$5:$A$400&lt;=$A39)*MOVIMIENTOS!$E$5:$E$400)-SUMPRODUCT((MOVIMIENTOS!$B$5:$B$400="TRASIEGO")*(MOVIMIENTOS!$C$5:$C$400="C")*(MOVIMIENTOS!$D$5:$D$400="jabas")*(MOVIMIENTOS!$A$5:$A$400&lt;&gt;"")*(MOVIMIENTOS!$A$5:$A$400&lt;=$A39)*MOVIMIENTOS!$E$5:$E$400)-SUMPRODUCT((MOVIMIENTOS!$B$5:$B$400="REGALO")*(MOVIMIENTOS!$C$5:$C$400="C")*(MOVIMIENTOS!$D$5:$D$400="jabas")*(MOVIMIENTOS!$A$5:$A$400&lt;&gt;"")*(MOVIMIENTOS!$A$5:$A$400&lt;=$A39)*MOVIMIENTOS!$E$5:$E$400)-SUMPRODUCT((MOVIMIENTOS!$B$5:$B$400="VENTA")*(MOVIMIENTOS!$C$5:$C$400="C")*(MOVIMIENTOS!$D$5:$D$400="jabas")*(MOVIMIENTOS!$A$5:$A$400&lt;&gt;"")*(MOVIMIENTOS!$A$5:$A$400&lt;=$A39)*MOVIMIENTOS!$E$5:$E$400)+SUMPRODUCT((MOVIMIENTOS!$B$5:$B$400="AJUSTE")*(MOVIMIENTOS!$C$5:$C$400="C")*(MOVIMIENTOS!$D$5:$D$400="jabas")*(MOVIMIENTOS!$A$5:$A$400&lt;&gt;"")*(MOVIMIENTOS!$A$5:$A$400&lt;=$A39)*MOVIMIENTOS!$E$5:$E$400))</f>
        <v/>
      </c>
      <c r="E39" s="46" t="str">
        <f aca="false">IF($A39="","",SUMPRODUCT((MOVIMIENTOS!$B$5:$B$400="SALDO INICIAL")*(MOVIMIENTOS!$C$5:$C$400="M")*(MOVIMIENTOS!$D$5:$D$400="jabas")*(MOVIMIENTOS!$A$5:$A$400&lt;&gt;"")*(MOVIMIENTOS!$A$5:$A$400&lt;=$A39)*MOVIMIENTOS!$E$5:$E$400)+SUMPRODUCT((MOVIMIENTOS!$B$5:$B$400="PROCESO")*(MOVIMIENTOS!$C$5:$C$400="M")*(MOVIMIENTOS!$D$5:$D$400="jabas")*(MOVIMIENTOS!$A$5:$A$400&lt;&gt;"")*(MOVIMIENTOS!$A$5:$A$400&lt;=$A39)*MOVIMIENTOS!$E$5:$E$400)-SUMPRODUCT((MOVIMIENTOS!$B$5:$B$400="ENVÍO A SUPESA")*(MOVIMIENTOS!$C$5:$C$400="M")*(MOVIMIENTOS!$D$5:$D$400="jabas")*(MOVIMIENTOS!$A$5:$A$400&lt;&gt;"")*(MOVIMIENTOS!$A$5:$A$400&lt;=$A39)*MOVIMIENTOS!$E$5:$E$400)+SUMPRODUCT((MOVIMIENTOS!$B$5:$B$400="DEVOLUCIÓN")*(MOVIMIENTOS!$C$5:$C$400="M")*(MOVIMIENTOS!$D$5:$D$400="jabas")*(MOVIMIENTOS!$A$5:$A$400&lt;&gt;"")*(MOVIMIENTOS!$A$5:$A$400&lt;=$A39)*MOVIMIENTOS!$E$5:$E$400)-SUMPRODUCT((MOVIMIENTOS!$B$5:$B$400="TRASIEGO")*(MOVIMIENTOS!$C$5:$C$400="M")*(MOVIMIENTOS!$D$5:$D$400="jabas")*(MOVIMIENTOS!$A$5:$A$400&lt;&gt;"")*(MOVIMIENTOS!$A$5:$A$400&lt;=$A39)*MOVIMIENTOS!$E$5:$E$400)-SUMPRODUCT((MOVIMIENTOS!$B$5:$B$400="REGALO")*(MOVIMIENTOS!$C$5:$C$400="M")*(MOVIMIENTOS!$D$5:$D$400="jabas")*(MOVIMIENTOS!$A$5:$A$400&lt;&gt;"")*(MOVIMIENTOS!$A$5:$A$400&lt;=$A39)*MOVIMIENTOS!$E$5:$E$400)-SUMPRODUCT((MOVIMIENTOS!$B$5:$B$400="VENTA")*(MOVIMIENTOS!$C$5:$C$400="M")*(MOVIMIENTOS!$D$5:$D$400="jabas")*(MOVIMIENTOS!$A$5:$A$400&lt;&gt;"")*(MOVIMIENTOS!$A$5:$A$400&lt;=$A39)*MOVIMIENTOS!$E$5:$E$400)+SUMPRODUCT((MOVIMIENTOS!$B$5:$B$400="AJUSTE")*(MOVIMIENTOS!$C$5:$C$400="M")*(MOVIMIENTOS!$D$5:$D$400="jabas")*(MOVIMIENTOS!$A$5:$A$400&lt;&gt;"")*(MOVIMIENTOS!$A$5:$A$400&lt;=$A39)*MOVIMIENTOS!$E$5:$E$400))</f>
        <v/>
      </c>
      <c r="F39" s="46" t="str">
        <f aca="false">IF($A39="","",SUMPRODUCT((MOVIMIENTOS!$B$5:$B$400="SALDO INICIAL")*(MOVIMIENTOS!$C$5:$C$400="Chancho")*(MOVIMIENTOS!$D$5:$D$400="sacos")*(MOVIMIENTOS!$A$5:$A$400&lt;&gt;"")*(MOVIMIENTOS!$A$5:$A$400&lt;=$A39)*MOVIMIENTOS!$E$5:$E$400)+SUMPRODUCT((MOVIMIENTOS!$B$5:$B$400="PROCESO")*(MOVIMIENTOS!$C$5:$C$400="Chancho")*(MOVIMIENTOS!$D$5:$D$400="sacos")*(MOVIMIENTOS!$A$5:$A$400&lt;&gt;"")*(MOVIMIENTOS!$A$5:$A$400&lt;=$A39)*MOVIMIENTOS!$E$5:$E$400)-SUMPRODUCT((MOVIMIENTOS!$B$5:$B$400="VENTA CHANCHO")*(MOVIMIENTOS!$C$5:$C$400="Chancho")*(MOVIMIENTOS!$D$5:$D$400="sacos")*(MOVIMIENTOS!$A$5:$A$400&lt;&gt;"")*(MOVIMIENTOS!$A$5:$A$400&lt;=$A39)*MOVIMIENTOS!$E$5:$E$400)-SUMPRODUCT((MOVIMIENTOS!$B$5:$B$400="REGALO")*(MOVIMIENTOS!$C$5:$C$400="Chancho")*(MOVIMIENTOS!$D$5:$D$400="sacos")*(MOVIMIENTOS!$A$5:$A$400&lt;&gt;"")*(MOVIMIENTOS!$A$5:$A$400&lt;=$A39)*MOVIMIENTOS!$E$5:$E$400)-SUMPRODUCT((MOVIMIENTOS!$B$5:$B$400="VENTA")*(MOVIMIENTOS!$C$5:$C$400="Chancho")*(MOVIMIENTOS!$D$5:$D$400="sacos")*(MOVIMIENTOS!$A$5:$A$400&lt;&gt;"")*(MOVIMIENTOS!$A$5:$A$400&lt;=$A39)*MOVIMIENTOS!$E$5:$E$400)+SUMPRODUCT((MOVIMIENTOS!$B$5:$B$400="AJUSTE")*(MOVIMIENTOS!$C$5:$C$400="Chancho")*(MOVIMIENTOS!$D$5:$D$400="sacos")*(MOVIMIENTOS!$A$5:$A$400&lt;&gt;"")*(MOVIMIENTOS!$A$5:$A$400&lt;=$A39)*MOVIMIENTOS!$E$5:$E$400))</f>
        <v/>
      </c>
      <c r="G39" s="46" t="str">
        <f aca="false">IF($A39="","",SUM(B39:E39))</f>
        <v/>
      </c>
      <c r="H39" s="46" t="str">
        <f aca="false">IF($A39="","",SUMPRODUCT((((MOVIMIENTOS!$B$5:$B$400="SALDO INICIAL")*(MOVIMIENTOS!$C$5:$C$400&lt;&gt;"Chancho"))+(MOVIMIENTOS!$B$5:$B$400="COMPRA")+(MOVIMIENTOS!$B$5:$B$400="REPROCESO")+(MOVIMIENTOS!$B$5:$B$400="DEVOLUCIÓN")+((MOVIMIENTOS!$B$5:$B$400="AJUSTE")*(MOVIMIENTOS!$C$5:$C$400&lt;&gt;"Chancho")))*(MOVIMIENTOS!$A$5:$A$400&lt;&gt;"")*(MOVIMIENTOS!$A$5:$A$400&lt;=$A39)*MOVIMIENTOS!$I$5:$I$400)-SUMPRODUCT(((MOVIMIENTOS!$B$5:$B$400="ENVÍO A SUPESA")+(MOVIMIENTOS!$B$5:$B$400="ENVÍO A TOTTUS")+(MOVIMIENTOS!$B$5:$B$400="ENVIO A TOTTUS")+(MOVIMIENTOS!$B$5:$B$400="MALOGRADO")+(MOVIMIENTOS!$B$5:$B$400="OTRA SALIDA")+((MOVIMIENTOS!$B$5:$B$400="PROCESO")*(MOVIMIENTOS!$C$5:$C$400="Chancho"))+((MOVIMIENTOS!$B$5:$B$400="REGALO")*(MOVIMIENTOS!$C$5:$C$400&lt;&gt;"Chancho"))+((MOVIMIENTOS!$B$5:$B$400="VENTA")*(MOVIMIENTOS!$C$5:$C$400&lt;&gt;"Chancho")))*(MOVIMIENTOS!$A$5:$A$400&lt;&gt;"")*(MOVIMIENTOS!$A$5:$A$400&lt;=$A39)*MOVIMIENTOS!$I$5:$I$400))</f>
        <v/>
      </c>
      <c r="I39" s="44"/>
      <c r="J39" s="44" t="n">
        <f aca="false">IF(AND(MOVIMIENTOS!$A39&lt;&gt;"",COUNTIF(MOVIMIENTOS!$A$5:$A38,MOVIMIENTOS!$A39)=0),COUNT(J$4:J38)+1,"")</f>
        <v>5</v>
      </c>
      <c r="K39" s="47" t="n">
        <f aca="false">MOVIMIENTOS!$A39</f>
        <v>46218</v>
      </c>
      <c r="L39" s="44"/>
      <c r="M39" s="44"/>
      <c r="N39" s="44"/>
    </row>
    <row r="40" customFormat="false" ht="15" hidden="false" customHeight="true" outlineLevel="0" collapsed="false">
      <c r="A40" s="45" t="str">
        <f aca="false">IFERROR(INDEX(K$5:K$400,MATCH(ROW()-4,J$5:J$400,0)),"")</f>
        <v/>
      </c>
      <c r="B40" s="46" t="str">
        <f aca="false">IF($A40="","",SUMPRODUCT((MOVIMIENTOS!$B$5:$B$400="SALDO INICIAL")*(MOVIMIENTOS!$C$5:$C$400="A")*(MOVIMIENTOS!$D$5:$D$400="jabas")*(MOVIMIENTOS!$A$5:$A$400&lt;&gt;"")*(MOVIMIENTOS!$A$5:$A$400&lt;=$A40)*MOVIMIENTOS!$E$5:$E$400)+SUMPRODUCT((MOVIMIENTOS!$B$5:$B$400="PROCESO")*(MOVIMIENTOS!$C$5:$C$400="A")*(MOVIMIENTOS!$D$5:$D$400="jabas")*(MOVIMIENTOS!$A$5:$A$400&lt;&gt;"")*(MOVIMIENTOS!$A$5:$A$400&lt;=$A40)*MOVIMIENTOS!$E$5:$E$400)-SUMPRODUCT((MOVIMIENTOS!$B$5:$B$400="ENVÍO A SUPESA")*(MOVIMIENTOS!$C$5:$C$400="A")*(MOVIMIENTOS!$D$5:$D$400="jabas")*(MOVIMIENTOS!$A$5:$A$400&lt;&gt;"")*(MOVIMIENTOS!$A$5:$A$400&lt;=$A40)*MOVIMIENTOS!$E$5:$E$400)+SUMPRODUCT((MOVIMIENTOS!$B$5:$B$400="DEVOLUCIÓN")*(MOVIMIENTOS!$C$5:$C$400="A")*(MOVIMIENTOS!$D$5:$D$400="jabas")*(MOVIMIENTOS!$A$5:$A$400&lt;&gt;"")*(MOVIMIENTOS!$A$5:$A$400&lt;=$A40)*MOVIMIENTOS!$E$5:$E$400)-SUMPRODUCT((MOVIMIENTOS!$B$5:$B$400="TRASIEGO")*(MOVIMIENTOS!$C$5:$C$400="A")*(MOVIMIENTOS!$D$5:$D$400="jabas")*(MOVIMIENTOS!$A$5:$A$400&lt;&gt;"")*(MOVIMIENTOS!$A$5:$A$400&lt;=$A40)*MOVIMIENTOS!$E$5:$E$400)-SUMPRODUCT((MOVIMIENTOS!$B$5:$B$400="REGALO")*(MOVIMIENTOS!$C$5:$C$400="A")*(MOVIMIENTOS!$D$5:$D$400="jabas")*(MOVIMIENTOS!$A$5:$A$400&lt;&gt;"")*(MOVIMIENTOS!$A$5:$A$400&lt;=$A40)*MOVIMIENTOS!$E$5:$E$400)-SUMPRODUCT((MOVIMIENTOS!$B$5:$B$400="VENTA")*(MOVIMIENTOS!$C$5:$C$400="A")*(MOVIMIENTOS!$D$5:$D$400="jabas")*(MOVIMIENTOS!$A$5:$A$400&lt;&gt;"")*(MOVIMIENTOS!$A$5:$A$400&lt;=$A40)*MOVIMIENTOS!$E$5:$E$400)+SUMPRODUCT((MOVIMIENTOS!$B$5:$B$400="AJUSTE")*(MOVIMIENTOS!$C$5:$C$400="A")*(MOVIMIENTOS!$D$5:$D$400="jabas")*(MOVIMIENTOS!$A$5:$A$400&lt;&gt;"")*(MOVIMIENTOS!$A$5:$A$400&lt;=$A40)*MOVIMIENTOS!$E$5:$E$400))</f>
        <v/>
      </c>
      <c r="C40" s="46" t="str">
        <f aca="false">IF($A40="","",SUMPRODUCT((MOVIMIENTOS!$B$5:$B$400="SALDO INICIAL")*(MOVIMIENTOS!$C$5:$C$400="P")*(MOVIMIENTOS!$D$5:$D$400="jabas")*(MOVIMIENTOS!$A$5:$A$400&lt;&gt;"")*(MOVIMIENTOS!$A$5:$A$400&lt;=$A40)*MOVIMIENTOS!$E$5:$E$400)+SUMPRODUCT((MOVIMIENTOS!$B$5:$B$400="PROCESO")*(MOVIMIENTOS!$C$5:$C$400="P")*(MOVIMIENTOS!$D$5:$D$400="jabas")*(MOVIMIENTOS!$A$5:$A$400&lt;&gt;"")*(MOVIMIENTOS!$A$5:$A$400&lt;=$A40)*MOVIMIENTOS!$E$5:$E$400)-SUMPRODUCT((MOVIMIENTOS!$B$5:$B$400="ENVÍO A SUPESA")*(MOVIMIENTOS!$C$5:$C$400="P")*(MOVIMIENTOS!$D$5:$D$400="jabas")*(MOVIMIENTOS!$A$5:$A$400&lt;&gt;"")*(MOVIMIENTOS!$A$5:$A$400&lt;=$A40)*MOVIMIENTOS!$E$5:$E$400)+SUMPRODUCT((MOVIMIENTOS!$B$5:$B$400="DEVOLUCIÓN")*(MOVIMIENTOS!$C$5:$C$400="P")*(MOVIMIENTOS!$D$5:$D$400="jabas")*(MOVIMIENTOS!$A$5:$A$400&lt;&gt;"")*(MOVIMIENTOS!$A$5:$A$400&lt;=$A40)*MOVIMIENTOS!$E$5:$E$400)-SUMPRODUCT((MOVIMIENTOS!$B$5:$B$400="TRASIEGO")*(MOVIMIENTOS!$C$5:$C$400="P")*(MOVIMIENTOS!$D$5:$D$400="jabas")*(MOVIMIENTOS!$A$5:$A$400&lt;&gt;"")*(MOVIMIENTOS!$A$5:$A$400&lt;=$A40)*MOVIMIENTOS!$E$5:$E$400)-SUMPRODUCT((MOVIMIENTOS!$B$5:$B$400="REGALO")*(MOVIMIENTOS!$C$5:$C$400="P")*(MOVIMIENTOS!$D$5:$D$400="jabas")*(MOVIMIENTOS!$A$5:$A$400&lt;&gt;"")*(MOVIMIENTOS!$A$5:$A$400&lt;=$A40)*MOVIMIENTOS!$E$5:$E$400)-SUMPRODUCT((MOVIMIENTOS!$B$5:$B$400="VENTA")*(MOVIMIENTOS!$C$5:$C$400="P")*(MOVIMIENTOS!$D$5:$D$400="jabas")*(MOVIMIENTOS!$A$5:$A$400&lt;&gt;"")*(MOVIMIENTOS!$A$5:$A$400&lt;=$A40)*MOVIMIENTOS!$E$5:$E$400)+SUMPRODUCT((MOVIMIENTOS!$B$5:$B$400="AJUSTE")*(MOVIMIENTOS!$C$5:$C$400="P")*(MOVIMIENTOS!$D$5:$D$400="jabas")*(MOVIMIENTOS!$A$5:$A$400&lt;&gt;"")*(MOVIMIENTOS!$A$5:$A$400&lt;=$A40)*MOVIMIENTOS!$E$5:$E$400))</f>
        <v/>
      </c>
      <c r="D40" s="46" t="str">
        <f aca="false">IF($A40="","",SUMPRODUCT((MOVIMIENTOS!$B$5:$B$400="SALDO INICIAL")*(MOVIMIENTOS!$C$5:$C$400="C")*(MOVIMIENTOS!$D$5:$D$400="jabas")*(MOVIMIENTOS!$A$5:$A$400&lt;&gt;"")*(MOVIMIENTOS!$A$5:$A$400&lt;=$A40)*MOVIMIENTOS!$E$5:$E$400)+SUMPRODUCT((MOVIMIENTOS!$B$5:$B$400="PROCESO")*(MOVIMIENTOS!$C$5:$C$400="C")*(MOVIMIENTOS!$D$5:$D$400="jabas")*(MOVIMIENTOS!$A$5:$A$400&lt;&gt;"")*(MOVIMIENTOS!$A$5:$A$400&lt;=$A40)*MOVIMIENTOS!$E$5:$E$400)-SUMPRODUCT((MOVIMIENTOS!$B$5:$B$400="ENVÍO A SUPESA")*(MOVIMIENTOS!$C$5:$C$400="C")*(MOVIMIENTOS!$D$5:$D$400="jabas")*(MOVIMIENTOS!$A$5:$A$400&lt;&gt;"")*(MOVIMIENTOS!$A$5:$A$400&lt;=$A40)*MOVIMIENTOS!$E$5:$E$400)+SUMPRODUCT((MOVIMIENTOS!$B$5:$B$400="DEVOLUCIÓN")*(MOVIMIENTOS!$C$5:$C$400="C")*(MOVIMIENTOS!$D$5:$D$400="jabas")*(MOVIMIENTOS!$A$5:$A$400&lt;&gt;"")*(MOVIMIENTOS!$A$5:$A$400&lt;=$A40)*MOVIMIENTOS!$E$5:$E$400)-SUMPRODUCT((MOVIMIENTOS!$B$5:$B$400="TRASIEGO")*(MOVIMIENTOS!$C$5:$C$400="C")*(MOVIMIENTOS!$D$5:$D$400="jabas")*(MOVIMIENTOS!$A$5:$A$400&lt;&gt;"")*(MOVIMIENTOS!$A$5:$A$400&lt;=$A40)*MOVIMIENTOS!$E$5:$E$400)-SUMPRODUCT((MOVIMIENTOS!$B$5:$B$400="REGALO")*(MOVIMIENTOS!$C$5:$C$400="C")*(MOVIMIENTOS!$D$5:$D$400="jabas")*(MOVIMIENTOS!$A$5:$A$400&lt;&gt;"")*(MOVIMIENTOS!$A$5:$A$400&lt;=$A40)*MOVIMIENTOS!$E$5:$E$400)-SUMPRODUCT((MOVIMIENTOS!$B$5:$B$400="VENTA")*(MOVIMIENTOS!$C$5:$C$400="C")*(MOVIMIENTOS!$D$5:$D$400="jabas")*(MOVIMIENTOS!$A$5:$A$400&lt;&gt;"")*(MOVIMIENTOS!$A$5:$A$400&lt;=$A40)*MOVIMIENTOS!$E$5:$E$400)+SUMPRODUCT((MOVIMIENTOS!$B$5:$B$400="AJUSTE")*(MOVIMIENTOS!$C$5:$C$400="C")*(MOVIMIENTOS!$D$5:$D$400="jabas")*(MOVIMIENTOS!$A$5:$A$400&lt;&gt;"")*(MOVIMIENTOS!$A$5:$A$400&lt;=$A40)*MOVIMIENTOS!$E$5:$E$400))</f>
        <v/>
      </c>
      <c r="E40" s="46" t="str">
        <f aca="false">IF($A40="","",SUMPRODUCT((MOVIMIENTOS!$B$5:$B$400="SALDO INICIAL")*(MOVIMIENTOS!$C$5:$C$400="M")*(MOVIMIENTOS!$D$5:$D$400="jabas")*(MOVIMIENTOS!$A$5:$A$400&lt;&gt;"")*(MOVIMIENTOS!$A$5:$A$400&lt;=$A40)*MOVIMIENTOS!$E$5:$E$400)+SUMPRODUCT((MOVIMIENTOS!$B$5:$B$400="PROCESO")*(MOVIMIENTOS!$C$5:$C$400="M")*(MOVIMIENTOS!$D$5:$D$400="jabas")*(MOVIMIENTOS!$A$5:$A$400&lt;&gt;"")*(MOVIMIENTOS!$A$5:$A$400&lt;=$A40)*MOVIMIENTOS!$E$5:$E$400)-SUMPRODUCT((MOVIMIENTOS!$B$5:$B$400="ENVÍO A SUPESA")*(MOVIMIENTOS!$C$5:$C$400="M")*(MOVIMIENTOS!$D$5:$D$400="jabas")*(MOVIMIENTOS!$A$5:$A$400&lt;&gt;"")*(MOVIMIENTOS!$A$5:$A$400&lt;=$A40)*MOVIMIENTOS!$E$5:$E$400)+SUMPRODUCT((MOVIMIENTOS!$B$5:$B$400="DEVOLUCIÓN")*(MOVIMIENTOS!$C$5:$C$400="M")*(MOVIMIENTOS!$D$5:$D$400="jabas")*(MOVIMIENTOS!$A$5:$A$400&lt;&gt;"")*(MOVIMIENTOS!$A$5:$A$400&lt;=$A40)*MOVIMIENTOS!$E$5:$E$400)-SUMPRODUCT((MOVIMIENTOS!$B$5:$B$400="TRASIEGO")*(MOVIMIENTOS!$C$5:$C$400="M")*(MOVIMIENTOS!$D$5:$D$400="jabas")*(MOVIMIENTOS!$A$5:$A$400&lt;&gt;"")*(MOVIMIENTOS!$A$5:$A$400&lt;=$A40)*MOVIMIENTOS!$E$5:$E$400)-SUMPRODUCT((MOVIMIENTOS!$B$5:$B$400="REGALO")*(MOVIMIENTOS!$C$5:$C$400="M")*(MOVIMIENTOS!$D$5:$D$400="jabas")*(MOVIMIENTOS!$A$5:$A$400&lt;&gt;"")*(MOVIMIENTOS!$A$5:$A$400&lt;=$A40)*MOVIMIENTOS!$E$5:$E$400)-SUMPRODUCT((MOVIMIENTOS!$B$5:$B$400="VENTA")*(MOVIMIENTOS!$C$5:$C$400="M")*(MOVIMIENTOS!$D$5:$D$400="jabas")*(MOVIMIENTOS!$A$5:$A$400&lt;&gt;"")*(MOVIMIENTOS!$A$5:$A$400&lt;=$A40)*MOVIMIENTOS!$E$5:$E$400)+SUMPRODUCT((MOVIMIENTOS!$B$5:$B$400="AJUSTE")*(MOVIMIENTOS!$C$5:$C$400="M")*(MOVIMIENTOS!$D$5:$D$400="jabas")*(MOVIMIENTOS!$A$5:$A$400&lt;&gt;"")*(MOVIMIENTOS!$A$5:$A$400&lt;=$A40)*MOVIMIENTOS!$E$5:$E$400))</f>
        <v/>
      </c>
      <c r="F40" s="46" t="str">
        <f aca="false">IF($A40="","",SUMPRODUCT((MOVIMIENTOS!$B$5:$B$400="SALDO INICIAL")*(MOVIMIENTOS!$C$5:$C$400="Chancho")*(MOVIMIENTOS!$D$5:$D$400="sacos")*(MOVIMIENTOS!$A$5:$A$400&lt;&gt;"")*(MOVIMIENTOS!$A$5:$A$400&lt;=$A40)*MOVIMIENTOS!$E$5:$E$400)+SUMPRODUCT((MOVIMIENTOS!$B$5:$B$400="PROCESO")*(MOVIMIENTOS!$C$5:$C$400="Chancho")*(MOVIMIENTOS!$D$5:$D$400="sacos")*(MOVIMIENTOS!$A$5:$A$400&lt;&gt;"")*(MOVIMIENTOS!$A$5:$A$400&lt;=$A40)*MOVIMIENTOS!$E$5:$E$400)-SUMPRODUCT((MOVIMIENTOS!$B$5:$B$400="VENTA CHANCHO")*(MOVIMIENTOS!$C$5:$C$400="Chancho")*(MOVIMIENTOS!$D$5:$D$400="sacos")*(MOVIMIENTOS!$A$5:$A$400&lt;&gt;"")*(MOVIMIENTOS!$A$5:$A$400&lt;=$A40)*MOVIMIENTOS!$E$5:$E$400)-SUMPRODUCT((MOVIMIENTOS!$B$5:$B$400="REGALO")*(MOVIMIENTOS!$C$5:$C$400="Chancho")*(MOVIMIENTOS!$D$5:$D$400="sacos")*(MOVIMIENTOS!$A$5:$A$400&lt;&gt;"")*(MOVIMIENTOS!$A$5:$A$400&lt;=$A40)*MOVIMIENTOS!$E$5:$E$400)-SUMPRODUCT((MOVIMIENTOS!$B$5:$B$400="VENTA")*(MOVIMIENTOS!$C$5:$C$400="Chancho")*(MOVIMIENTOS!$D$5:$D$400="sacos")*(MOVIMIENTOS!$A$5:$A$400&lt;&gt;"")*(MOVIMIENTOS!$A$5:$A$400&lt;=$A40)*MOVIMIENTOS!$E$5:$E$400)+SUMPRODUCT((MOVIMIENTOS!$B$5:$B$400="AJUSTE")*(MOVIMIENTOS!$C$5:$C$400="Chancho")*(MOVIMIENTOS!$D$5:$D$400="sacos")*(MOVIMIENTOS!$A$5:$A$400&lt;&gt;"")*(MOVIMIENTOS!$A$5:$A$400&lt;=$A40)*MOVIMIENTOS!$E$5:$E$400))</f>
        <v/>
      </c>
      <c r="G40" s="46" t="str">
        <f aca="false">IF($A40="","",SUM(B40:E40))</f>
        <v/>
      </c>
      <c r="H40" s="46" t="str">
        <f aca="false">IF($A40="","",SUMPRODUCT((((MOVIMIENTOS!$B$5:$B$400="SALDO INICIAL")*(MOVIMIENTOS!$C$5:$C$400&lt;&gt;"Chancho"))+(MOVIMIENTOS!$B$5:$B$400="COMPRA")+(MOVIMIENTOS!$B$5:$B$400="REPROCESO")+(MOVIMIENTOS!$B$5:$B$400="DEVOLUCIÓN")+((MOVIMIENTOS!$B$5:$B$400="AJUSTE")*(MOVIMIENTOS!$C$5:$C$400&lt;&gt;"Chancho")))*(MOVIMIENTOS!$A$5:$A$400&lt;&gt;"")*(MOVIMIENTOS!$A$5:$A$400&lt;=$A40)*MOVIMIENTOS!$I$5:$I$400)-SUMPRODUCT(((MOVIMIENTOS!$B$5:$B$400="ENVÍO A SUPESA")+(MOVIMIENTOS!$B$5:$B$400="ENVÍO A TOTTUS")+(MOVIMIENTOS!$B$5:$B$400="ENVIO A TOTTUS")+(MOVIMIENTOS!$B$5:$B$400="MALOGRADO")+(MOVIMIENTOS!$B$5:$B$400="OTRA SALIDA")+((MOVIMIENTOS!$B$5:$B$400="PROCESO")*(MOVIMIENTOS!$C$5:$C$400="Chancho"))+((MOVIMIENTOS!$B$5:$B$400="REGALO")*(MOVIMIENTOS!$C$5:$C$400&lt;&gt;"Chancho"))+((MOVIMIENTOS!$B$5:$B$400="VENTA")*(MOVIMIENTOS!$C$5:$C$400&lt;&gt;"Chancho")))*(MOVIMIENTOS!$A$5:$A$400&lt;&gt;"")*(MOVIMIENTOS!$A$5:$A$400&lt;=$A40)*MOVIMIENTOS!$I$5:$I$400))</f>
        <v/>
      </c>
      <c r="I40" s="44"/>
      <c r="J40" s="44" t="str">
        <f aca="false">IF(AND(MOVIMIENTOS!$A40&lt;&gt;"",COUNTIF(MOVIMIENTOS!$A$5:$A39,MOVIMIENTOS!$A40)=0),COUNT(J$4:J39)+1,"")</f>
        <v/>
      </c>
      <c r="K40" s="47" t="n">
        <f aca="false">MOVIMIENTOS!$A40</f>
        <v>46218</v>
      </c>
      <c r="L40" s="44"/>
      <c r="M40" s="44"/>
      <c r="N40" s="44"/>
    </row>
    <row r="41" customFormat="false" ht="15" hidden="false" customHeight="true" outlineLevel="0" collapsed="false">
      <c r="A41" s="45" t="str">
        <f aca="false">IFERROR(INDEX(K$5:K$400,MATCH(ROW()-4,J$5:J$400,0)),"")</f>
        <v/>
      </c>
      <c r="B41" s="46" t="str">
        <f aca="false">IF($A41="","",SUMPRODUCT((MOVIMIENTOS!$B$5:$B$400="SALDO INICIAL")*(MOVIMIENTOS!$C$5:$C$400="A")*(MOVIMIENTOS!$D$5:$D$400="jabas")*(MOVIMIENTOS!$A$5:$A$400&lt;&gt;"")*(MOVIMIENTOS!$A$5:$A$400&lt;=$A41)*MOVIMIENTOS!$E$5:$E$400)+SUMPRODUCT((MOVIMIENTOS!$B$5:$B$400="PROCESO")*(MOVIMIENTOS!$C$5:$C$400="A")*(MOVIMIENTOS!$D$5:$D$400="jabas")*(MOVIMIENTOS!$A$5:$A$400&lt;&gt;"")*(MOVIMIENTOS!$A$5:$A$400&lt;=$A41)*MOVIMIENTOS!$E$5:$E$400)-SUMPRODUCT((MOVIMIENTOS!$B$5:$B$400="ENVÍO A SUPESA")*(MOVIMIENTOS!$C$5:$C$400="A")*(MOVIMIENTOS!$D$5:$D$400="jabas")*(MOVIMIENTOS!$A$5:$A$400&lt;&gt;"")*(MOVIMIENTOS!$A$5:$A$400&lt;=$A41)*MOVIMIENTOS!$E$5:$E$400)+SUMPRODUCT((MOVIMIENTOS!$B$5:$B$400="DEVOLUCIÓN")*(MOVIMIENTOS!$C$5:$C$400="A")*(MOVIMIENTOS!$D$5:$D$400="jabas")*(MOVIMIENTOS!$A$5:$A$400&lt;&gt;"")*(MOVIMIENTOS!$A$5:$A$400&lt;=$A41)*MOVIMIENTOS!$E$5:$E$400)-SUMPRODUCT((MOVIMIENTOS!$B$5:$B$400="TRASIEGO")*(MOVIMIENTOS!$C$5:$C$400="A")*(MOVIMIENTOS!$D$5:$D$400="jabas")*(MOVIMIENTOS!$A$5:$A$400&lt;&gt;"")*(MOVIMIENTOS!$A$5:$A$400&lt;=$A41)*MOVIMIENTOS!$E$5:$E$400)-SUMPRODUCT((MOVIMIENTOS!$B$5:$B$400="REGALO")*(MOVIMIENTOS!$C$5:$C$400="A")*(MOVIMIENTOS!$D$5:$D$400="jabas")*(MOVIMIENTOS!$A$5:$A$400&lt;&gt;"")*(MOVIMIENTOS!$A$5:$A$400&lt;=$A41)*MOVIMIENTOS!$E$5:$E$400)-SUMPRODUCT((MOVIMIENTOS!$B$5:$B$400="VENTA")*(MOVIMIENTOS!$C$5:$C$400="A")*(MOVIMIENTOS!$D$5:$D$400="jabas")*(MOVIMIENTOS!$A$5:$A$400&lt;&gt;"")*(MOVIMIENTOS!$A$5:$A$400&lt;=$A41)*MOVIMIENTOS!$E$5:$E$400)+SUMPRODUCT((MOVIMIENTOS!$B$5:$B$400="AJUSTE")*(MOVIMIENTOS!$C$5:$C$400="A")*(MOVIMIENTOS!$D$5:$D$400="jabas")*(MOVIMIENTOS!$A$5:$A$400&lt;&gt;"")*(MOVIMIENTOS!$A$5:$A$400&lt;=$A41)*MOVIMIENTOS!$E$5:$E$400))</f>
        <v/>
      </c>
      <c r="C41" s="46" t="str">
        <f aca="false">IF($A41="","",SUMPRODUCT((MOVIMIENTOS!$B$5:$B$400="SALDO INICIAL")*(MOVIMIENTOS!$C$5:$C$400="P")*(MOVIMIENTOS!$D$5:$D$400="jabas")*(MOVIMIENTOS!$A$5:$A$400&lt;&gt;"")*(MOVIMIENTOS!$A$5:$A$400&lt;=$A41)*MOVIMIENTOS!$E$5:$E$400)+SUMPRODUCT((MOVIMIENTOS!$B$5:$B$400="PROCESO")*(MOVIMIENTOS!$C$5:$C$400="P")*(MOVIMIENTOS!$D$5:$D$400="jabas")*(MOVIMIENTOS!$A$5:$A$400&lt;&gt;"")*(MOVIMIENTOS!$A$5:$A$400&lt;=$A41)*MOVIMIENTOS!$E$5:$E$400)-SUMPRODUCT((MOVIMIENTOS!$B$5:$B$400="ENVÍO A SUPESA")*(MOVIMIENTOS!$C$5:$C$400="P")*(MOVIMIENTOS!$D$5:$D$400="jabas")*(MOVIMIENTOS!$A$5:$A$400&lt;&gt;"")*(MOVIMIENTOS!$A$5:$A$400&lt;=$A41)*MOVIMIENTOS!$E$5:$E$400)+SUMPRODUCT((MOVIMIENTOS!$B$5:$B$400="DEVOLUCIÓN")*(MOVIMIENTOS!$C$5:$C$400="P")*(MOVIMIENTOS!$D$5:$D$400="jabas")*(MOVIMIENTOS!$A$5:$A$400&lt;&gt;"")*(MOVIMIENTOS!$A$5:$A$400&lt;=$A41)*MOVIMIENTOS!$E$5:$E$400)-SUMPRODUCT((MOVIMIENTOS!$B$5:$B$400="TRASIEGO")*(MOVIMIENTOS!$C$5:$C$400="P")*(MOVIMIENTOS!$D$5:$D$400="jabas")*(MOVIMIENTOS!$A$5:$A$400&lt;&gt;"")*(MOVIMIENTOS!$A$5:$A$400&lt;=$A41)*MOVIMIENTOS!$E$5:$E$400)-SUMPRODUCT((MOVIMIENTOS!$B$5:$B$400="REGALO")*(MOVIMIENTOS!$C$5:$C$400="P")*(MOVIMIENTOS!$D$5:$D$400="jabas")*(MOVIMIENTOS!$A$5:$A$400&lt;&gt;"")*(MOVIMIENTOS!$A$5:$A$400&lt;=$A41)*MOVIMIENTOS!$E$5:$E$400)-SUMPRODUCT((MOVIMIENTOS!$B$5:$B$400="VENTA")*(MOVIMIENTOS!$C$5:$C$400="P")*(MOVIMIENTOS!$D$5:$D$400="jabas")*(MOVIMIENTOS!$A$5:$A$400&lt;&gt;"")*(MOVIMIENTOS!$A$5:$A$400&lt;=$A41)*MOVIMIENTOS!$E$5:$E$400)+SUMPRODUCT((MOVIMIENTOS!$B$5:$B$400="AJUSTE")*(MOVIMIENTOS!$C$5:$C$400="P")*(MOVIMIENTOS!$D$5:$D$400="jabas")*(MOVIMIENTOS!$A$5:$A$400&lt;&gt;"")*(MOVIMIENTOS!$A$5:$A$400&lt;=$A41)*MOVIMIENTOS!$E$5:$E$400))</f>
        <v/>
      </c>
      <c r="D41" s="46" t="str">
        <f aca="false">IF($A41="","",SUMPRODUCT((MOVIMIENTOS!$B$5:$B$400="SALDO INICIAL")*(MOVIMIENTOS!$C$5:$C$400="C")*(MOVIMIENTOS!$D$5:$D$400="jabas")*(MOVIMIENTOS!$A$5:$A$400&lt;&gt;"")*(MOVIMIENTOS!$A$5:$A$400&lt;=$A41)*MOVIMIENTOS!$E$5:$E$400)+SUMPRODUCT((MOVIMIENTOS!$B$5:$B$400="PROCESO")*(MOVIMIENTOS!$C$5:$C$400="C")*(MOVIMIENTOS!$D$5:$D$400="jabas")*(MOVIMIENTOS!$A$5:$A$400&lt;&gt;"")*(MOVIMIENTOS!$A$5:$A$400&lt;=$A41)*MOVIMIENTOS!$E$5:$E$400)-SUMPRODUCT((MOVIMIENTOS!$B$5:$B$400="ENVÍO A SUPESA")*(MOVIMIENTOS!$C$5:$C$400="C")*(MOVIMIENTOS!$D$5:$D$400="jabas")*(MOVIMIENTOS!$A$5:$A$400&lt;&gt;"")*(MOVIMIENTOS!$A$5:$A$400&lt;=$A41)*MOVIMIENTOS!$E$5:$E$400)+SUMPRODUCT((MOVIMIENTOS!$B$5:$B$400="DEVOLUCIÓN")*(MOVIMIENTOS!$C$5:$C$400="C")*(MOVIMIENTOS!$D$5:$D$400="jabas")*(MOVIMIENTOS!$A$5:$A$400&lt;&gt;"")*(MOVIMIENTOS!$A$5:$A$400&lt;=$A41)*MOVIMIENTOS!$E$5:$E$400)-SUMPRODUCT((MOVIMIENTOS!$B$5:$B$400="TRASIEGO")*(MOVIMIENTOS!$C$5:$C$400="C")*(MOVIMIENTOS!$D$5:$D$400="jabas")*(MOVIMIENTOS!$A$5:$A$400&lt;&gt;"")*(MOVIMIENTOS!$A$5:$A$400&lt;=$A41)*MOVIMIENTOS!$E$5:$E$400)-SUMPRODUCT((MOVIMIENTOS!$B$5:$B$400="REGALO")*(MOVIMIENTOS!$C$5:$C$400="C")*(MOVIMIENTOS!$D$5:$D$400="jabas")*(MOVIMIENTOS!$A$5:$A$400&lt;&gt;"")*(MOVIMIENTOS!$A$5:$A$400&lt;=$A41)*MOVIMIENTOS!$E$5:$E$400)-SUMPRODUCT((MOVIMIENTOS!$B$5:$B$400="VENTA")*(MOVIMIENTOS!$C$5:$C$400="C")*(MOVIMIENTOS!$D$5:$D$400="jabas")*(MOVIMIENTOS!$A$5:$A$400&lt;&gt;"")*(MOVIMIENTOS!$A$5:$A$400&lt;=$A41)*MOVIMIENTOS!$E$5:$E$400)+SUMPRODUCT((MOVIMIENTOS!$B$5:$B$400="AJUSTE")*(MOVIMIENTOS!$C$5:$C$400="C")*(MOVIMIENTOS!$D$5:$D$400="jabas")*(MOVIMIENTOS!$A$5:$A$400&lt;&gt;"")*(MOVIMIENTOS!$A$5:$A$400&lt;=$A41)*MOVIMIENTOS!$E$5:$E$400))</f>
        <v/>
      </c>
      <c r="E41" s="46" t="str">
        <f aca="false">IF($A41="","",SUMPRODUCT((MOVIMIENTOS!$B$5:$B$400="SALDO INICIAL")*(MOVIMIENTOS!$C$5:$C$400="M")*(MOVIMIENTOS!$D$5:$D$400="jabas")*(MOVIMIENTOS!$A$5:$A$400&lt;&gt;"")*(MOVIMIENTOS!$A$5:$A$400&lt;=$A41)*MOVIMIENTOS!$E$5:$E$400)+SUMPRODUCT((MOVIMIENTOS!$B$5:$B$400="PROCESO")*(MOVIMIENTOS!$C$5:$C$400="M")*(MOVIMIENTOS!$D$5:$D$400="jabas")*(MOVIMIENTOS!$A$5:$A$400&lt;&gt;"")*(MOVIMIENTOS!$A$5:$A$400&lt;=$A41)*MOVIMIENTOS!$E$5:$E$400)-SUMPRODUCT((MOVIMIENTOS!$B$5:$B$400="ENVÍO A SUPESA")*(MOVIMIENTOS!$C$5:$C$400="M")*(MOVIMIENTOS!$D$5:$D$400="jabas")*(MOVIMIENTOS!$A$5:$A$400&lt;&gt;"")*(MOVIMIENTOS!$A$5:$A$400&lt;=$A41)*MOVIMIENTOS!$E$5:$E$400)+SUMPRODUCT((MOVIMIENTOS!$B$5:$B$400="DEVOLUCIÓN")*(MOVIMIENTOS!$C$5:$C$400="M")*(MOVIMIENTOS!$D$5:$D$400="jabas")*(MOVIMIENTOS!$A$5:$A$400&lt;&gt;"")*(MOVIMIENTOS!$A$5:$A$400&lt;=$A41)*MOVIMIENTOS!$E$5:$E$400)-SUMPRODUCT((MOVIMIENTOS!$B$5:$B$400="TRASIEGO")*(MOVIMIENTOS!$C$5:$C$400="M")*(MOVIMIENTOS!$D$5:$D$400="jabas")*(MOVIMIENTOS!$A$5:$A$400&lt;&gt;"")*(MOVIMIENTOS!$A$5:$A$400&lt;=$A41)*MOVIMIENTOS!$E$5:$E$400)-SUMPRODUCT((MOVIMIENTOS!$B$5:$B$400="REGALO")*(MOVIMIENTOS!$C$5:$C$400="M")*(MOVIMIENTOS!$D$5:$D$400="jabas")*(MOVIMIENTOS!$A$5:$A$400&lt;&gt;"")*(MOVIMIENTOS!$A$5:$A$400&lt;=$A41)*MOVIMIENTOS!$E$5:$E$400)-SUMPRODUCT((MOVIMIENTOS!$B$5:$B$400="VENTA")*(MOVIMIENTOS!$C$5:$C$400="M")*(MOVIMIENTOS!$D$5:$D$400="jabas")*(MOVIMIENTOS!$A$5:$A$400&lt;&gt;"")*(MOVIMIENTOS!$A$5:$A$400&lt;=$A41)*MOVIMIENTOS!$E$5:$E$400)+SUMPRODUCT((MOVIMIENTOS!$B$5:$B$400="AJUSTE")*(MOVIMIENTOS!$C$5:$C$400="M")*(MOVIMIENTOS!$D$5:$D$400="jabas")*(MOVIMIENTOS!$A$5:$A$400&lt;&gt;"")*(MOVIMIENTOS!$A$5:$A$400&lt;=$A41)*MOVIMIENTOS!$E$5:$E$400))</f>
        <v/>
      </c>
      <c r="F41" s="46" t="str">
        <f aca="false">IF($A41="","",SUMPRODUCT((MOVIMIENTOS!$B$5:$B$400="SALDO INICIAL")*(MOVIMIENTOS!$C$5:$C$400="Chancho")*(MOVIMIENTOS!$D$5:$D$400="sacos")*(MOVIMIENTOS!$A$5:$A$400&lt;&gt;"")*(MOVIMIENTOS!$A$5:$A$400&lt;=$A41)*MOVIMIENTOS!$E$5:$E$400)+SUMPRODUCT((MOVIMIENTOS!$B$5:$B$400="PROCESO")*(MOVIMIENTOS!$C$5:$C$400="Chancho")*(MOVIMIENTOS!$D$5:$D$400="sacos")*(MOVIMIENTOS!$A$5:$A$400&lt;&gt;"")*(MOVIMIENTOS!$A$5:$A$400&lt;=$A41)*MOVIMIENTOS!$E$5:$E$400)-SUMPRODUCT((MOVIMIENTOS!$B$5:$B$400="VENTA CHANCHO")*(MOVIMIENTOS!$C$5:$C$400="Chancho")*(MOVIMIENTOS!$D$5:$D$400="sacos")*(MOVIMIENTOS!$A$5:$A$400&lt;&gt;"")*(MOVIMIENTOS!$A$5:$A$400&lt;=$A41)*MOVIMIENTOS!$E$5:$E$400)-SUMPRODUCT((MOVIMIENTOS!$B$5:$B$400="REGALO")*(MOVIMIENTOS!$C$5:$C$400="Chancho")*(MOVIMIENTOS!$D$5:$D$400="sacos")*(MOVIMIENTOS!$A$5:$A$400&lt;&gt;"")*(MOVIMIENTOS!$A$5:$A$400&lt;=$A41)*MOVIMIENTOS!$E$5:$E$400)-SUMPRODUCT((MOVIMIENTOS!$B$5:$B$400="VENTA")*(MOVIMIENTOS!$C$5:$C$400="Chancho")*(MOVIMIENTOS!$D$5:$D$400="sacos")*(MOVIMIENTOS!$A$5:$A$400&lt;&gt;"")*(MOVIMIENTOS!$A$5:$A$400&lt;=$A41)*MOVIMIENTOS!$E$5:$E$400)+SUMPRODUCT((MOVIMIENTOS!$B$5:$B$400="AJUSTE")*(MOVIMIENTOS!$C$5:$C$400="Chancho")*(MOVIMIENTOS!$D$5:$D$400="sacos")*(MOVIMIENTOS!$A$5:$A$400&lt;&gt;"")*(MOVIMIENTOS!$A$5:$A$400&lt;=$A41)*MOVIMIENTOS!$E$5:$E$400))</f>
        <v/>
      </c>
      <c r="G41" s="46" t="str">
        <f aca="false">IF($A41="","",SUM(B41:E41))</f>
        <v/>
      </c>
      <c r="H41" s="46" t="str">
        <f aca="false">IF($A41="","",SUMPRODUCT((((MOVIMIENTOS!$B$5:$B$400="SALDO INICIAL")*(MOVIMIENTOS!$C$5:$C$400&lt;&gt;"Chancho"))+(MOVIMIENTOS!$B$5:$B$400="COMPRA")+(MOVIMIENTOS!$B$5:$B$400="REPROCESO")+(MOVIMIENTOS!$B$5:$B$400="DEVOLUCIÓN")+((MOVIMIENTOS!$B$5:$B$400="AJUSTE")*(MOVIMIENTOS!$C$5:$C$400&lt;&gt;"Chancho")))*(MOVIMIENTOS!$A$5:$A$400&lt;&gt;"")*(MOVIMIENTOS!$A$5:$A$400&lt;=$A41)*MOVIMIENTOS!$I$5:$I$400)-SUMPRODUCT(((MOVIMIENTOS!$B$5:$B$400="ENVÍO A SUPESA")+(MOVIMIENTOS!$B$5:$B$400="ENVÍO A TOTTUS")+(MOVIMIENTOS!$B$5:$B$400="ENVIO A TOTTUS")+(MOVIMIENTOS!$B$5:$B$400="MALOGRADO")+(MOVIMIENTOS!$B$5:$B$400="OTRA SALIDA")+((MOVIMIENTOS!$B$5:$B$400="PROCESO")*(MOVIMIENTOS!$C$5:$C$400="Chancho"))+((MOVIMIENTOS!$B$5:$B$400="REGALO")*(MOVIMIENTOS!$C$5:$C$400&lt;&gt;"Chancho"))+((MOVIMIENTOS!$B$5:$B$400="VENTA")*(MOVIMIENTOS!$C$5:$C$400&lt;&gt;"Chancho")))*(MOVIMIENTOS!$A$5:$A$400&lt;&gt;"")*(MOVIMIENTOS!$A$5:$A$400&lt;=$A41)*MOVIMIENTOS!$I$5:$I$400))</f>
        <v/>
      </c>
      <c r="I41" s="44"/>
      <c r="J41" s="44" t="str">
        <f aca="false">IF(AND(MOVIMIENTOS!$A41&lt;&gt;"",COUNTIF(MOVIMIENTOS!$A$5:$A40,MOVIMIENTOS!$A41)=0),COUNT(J$4:J40)+1,"")</f>
        <v/>
      </c>
      <c r="K41" s="47" t="n">
        <f aca="false">MOVIMIENTOS!$A41</f>
        <v>46218</v>
      </c>
      <c r="L41" s="44"/>
      <c r="M41" s="44"/>
      <c r="N41" s="44"/>
    </row>
    <row r="42" customFormat="false" ht="15" hidden="false" customHeight="true" outlineLevel="0" collapsed="false">
      <c r="A42" s="45" t="str">
        <f aca="false">IFERROR(INDEX(K$5:K$400,MATCH(ROW()-4,J$5:J$400,0)),"")</f>
        <v/>
      </c>
      <c r="B42" s="46" t="str">
        <f aca="false">IF($A42="","",SUMPRODUCT((MOVIMIENTOS!$B$5:$B$400="SALDO INICIAL")*(MOVIMIENTOS!$C$5:$C$400="A")*(MOVIMIENTOS!$D$5:$D$400="jabas")*(MOVIMIENTOS!$A$5:$A$400&lt;&gt;"")*(MOVIMIENTOS!$A$5:$A$400&lt;=$A42)*MOVIMIENTOS!$E$5:$E$400)+SUMPRODUCT((MOVIMIENTOS!$B$5:$B$400="PROCESO")*(MOVIMIENTOS!$C$5:$C$400="A")*(MOVIMIENTOS!$D$5:$D$400="jabas")*(MOVIMIENTOS!$A$5:$A$400&lt;&gt;"")*(MOVIMIENTOS!$A$5:$A$400&lt;=$A42)*MOVIMIENTOS!$E$5:$E$400)-SUMPRODUCT((MOVIMIENTOS!$B$5:$B$400="ENVÍO A SUPESA")*(MOVIMIENTOS!$C$5:$C$400="A")*(MOVIMIENTOS!$D$5:$D$400="jabas")*(MOVIMIENTOS!$A$5:$A$400&lt;&gt;"")*(MOVIMIENTOS!$A$5:$A$400&lt;=$A42)*MOVIMIENTOS!$E$5:$E$400)+SUMPRODUCT((MOVIMIENTOS!$B$5:$B$400="DEVOLUCIÓN")*(MOVIMIENTOS!$C$5:$C$400="A")*(MOVIMIENTOS!$D$5:$D$400="jabas")*(MOVIMIENTOS!$A$5:$A$400&lt;&gt;"")*(MOVIMIENTOS!$A$5:$A$400&lt;=$A42)*MOVIMIENTOS!$E$5:$E$400)-SUMPRODUCT((MOVIMIENTOS!$B$5:$B$400="TRASIEGO")*(MOVIMIENTOS!$C$5:$C$400="A")*(MOVIMIENTOS!$D$5:$D$400="jabas")*(MOVIMIENTOS!$A$5:$A$400&lt;&gt;"")*(MOVIMIENTOS!$A$5:$A$400&lt;=$A42)*MOVIMIENTOS!$E$5:$E$400)-SUMPRODUCT((MOVIMIENTOS!$B$5:$B$400="REGALO")*(MOVIMIENTOS!$C$5:$C$400="A")*(MOVIMIENTOS!$D$5:$D$400="jabas")*(MOVIMIENTOS!$A$5:$A$400&lt;&gt;"")*(MOVIMIENTOS!$A$5:$A$400&lt;=$A42)*MOVIMIENTOS!$E$5:$E$400)-SUMPRODUCT((MOVIMIENTOS!$B$5:$B$400="VENTA")*(MOVIMIENTOS!$C$5:$C$400="A")*(MOVIMIENTOS!$D$5:$D$400="jabas")*(MOVIMIENTOS!$A$5:$A$400&lt;&gt;"")*(MOVIMIENTOS!$A$5:$A$400&lt;=$A42)*MOVIMIENTOS!$E$5:$E$400)+SUMPRODUCT((MOVIMIENTOS!$B$5:$B$400="AJUSTE")*(MOVIMIENTOS!$C$5:$C$400="A")*(MOVIMIENTOS!$D$5:$D$400="jabas")*(MOVIMIENTOS!$A$5:$A$400&lt;&gt;"")*(MOVIMIENTOS!$A$5:$A$400&lt;=$A42)*MOVIMIENTOS!$E$5:$E$400))</f>
        <v/>
      </c>
      <c r="C42" s="46" t="str">
        <f aca="false">IF($A42="","",SUMPRODUCT((MOVIMIENTOS!$B$5:$B$400="SALDO INICIAL")*(MOVIMIENTOS!$C$5:$C$400="P")*(MOVIMIENTOS!$D$5:$D$400="jabas")*(MOVIMIENTOS!$A$5:$A$400&lt;&gt;"")*(MOVIMIENTOS!$A$5:$A$400&lt;=$A42)*MOVIMIENTOS!$E$5:$E$400)+SUMPRODUCT((MOVIMIENTOS!$B$5:$B$400="PROCESO")*(MOVIMIENTOS!$C$5:$C$400="P")*(MOVIMIENTOS!$D$5:$D$400="jabas")*(MOVIMIENTOS!$A$5:$A$400&lt;&gt;"")*(MOVIMIENTOS!$A$5:$A$400&lt;=$A42)*MOVIMIENTOS!$E$5:$E$400)-SUMPRODUCT((MOVIMIENTOS!$B$5:$B$400="ENVÍO A SUPESA")*(MOVIMIENTOS!$C$5:$C$400="P")*(MOVIMIENTOS!$D$5:$D$400="jabas")*(MOVIMIENTOS!$A$5:$A$400&lt;&gt;"")*(MOVIMIENTOS!$A$5:$A$400&lt;=$A42)*MOVIMIENTOS!$E$5:$E$400)+SUMPRODUCT((MOVIMIENTOS!$B$5:$B$400="DEVOLUCIÓN")*(MOVIMIENTOS!$C$5:$C$400="P")*(MOVIMIENTOS!$D$5:$D$400="jabas")*(MOVIMIENTOS!$A$5:$A$400&lt;&gt;"")*(MOVIMIENTOS!$A$5:$A$400&lt;=$A42)*MOVIMIENTOS!$E$5:$E$400)-SUMPRODUCT((MOVIMIENTOS!$B$5:$B$400="TRASIEGO")*(MOVIMIENTOS!$C$5:$C$400="P")*(MOVIMIENTOS!$D$5:$D$400="jabas")*(MOVIMIENTOS!$A$5:$A$400&lt;&gt;"")*(MOVIMIENTOS!$A$5:$A$400&lt;=$A42)*MOVIMIENTOS!$E$5:$E$400)-SUMPRODUCT((MOVIMIENTOS!$B$5:$B$400="REGALO")*(MOVIMIENTOS!$C$5:$C$400="P")*(MOVIMIENTOS!$D$5:$D$400="jabas")*(MOVIMIENTOS!$A$5:$A$400&lt;&gt;"")*(MOVIMIENTOS!$A$5:$A$400&lt;=$A42)*MOVIMIENTOS!$E$5:$E$400)-SUMPRODUCT((MOVIMIENTOS!$B$5:$B$400="VENTA")*(MOVIMIENTOS!$C$5:$C$400="P")*(MOVIMIENTOS!$D$5:$D$400="jabas")*(MOVIMIENTOS!$A$5:$A$400&lt;&gt;"")*(MOVIMIENTOS!$A$5:$A$400&lt;=$A42)*MOVIMIENTOS!$E$5:$E$400)+SUMPRODUCT((MOVIMIENTOS!$B$5:$B$400="AJUSTE")*(MOVIMIENTOS!$C$5:$C$400="P")*(MOVIMIENTOS!$D$5:$D$400="jabas")*(MOVIMIENTOS!$A$5:$A$400&lt;&gt;"")*(MOVIMIENTOS!$A$5:$A$400&lt;=$A42)*MOVIMIENTOS!$E$5:$E$400))</f>
        <v/>
      </c>
      <c r="D42" s="46" t="str">
        <f aca="false">IF($A42="","",SUMPRODUCT((MOVIMIENTOS!$B$5:$B$400="SALDO INICIAL")*(MOVIMIENTOS!$C$5:$C$400="C")*(MOVIMIENTOS!$D$5:$D$400="jabas")*(MOVIMIENTOS!$A$5:$A$400&lt;&gt;"")*(MOVIMIENTOS!$A$5:$A$400&lt;=$A42)*MOVIMIENTOS!$E$5:$E$400)+SUMPRODUCT((MOVIMIENTOS!$B$5:$B$400="PROCESO")*(MOVIMIENTOS!$C$5:$C$400="C")*(MOVIMIENTOS!$D$5:$D$400="jabas")*(MOVIMIENTOS!$A$5:$A$400&lt;&gt;"")*(MOVIMIENTOS!$A$5:$A$400&lt;=$A42)*MOVIMIENTOS!$E$5:$E$400)-SUMPRODUCT((MOVIMIENTOS!$B$5:$B$400="ENVÍO A SUPESA")*(MOVIMIENTOS!$C$5:$C$400="C")*(MOVIMIENTOS!$D$5:$D$400="jabas")*(MOVIMIENTOS!$A$5:$A$400&lt;&gt;"")*(MOVIMIENTOS!$A$5:$A$400&lt;=$A42)*MOVIMIENTOS!$E$5:$E$400)+SUMPRODUCT((MOVIMIENTOS!$B$5:$B$400="DEVOLUCIÓN")*(MOVIMIENTOS!$C$5:$C$400="C")*(MOVIMIENTOS!$D$5:$D$400="jabas")*(MOVIMIENTOS!$A$5:$A$400&lt;&gt;"")*(MOVIMIENTOS!$A$5:$A$400&lt;=$A42)*MOVIMIENTOS!$E$5:$E$400)-SUMPRODUCT((MOVIMIENTOS!$B$5:$B$400="TRASIEGO")*(MOVIMIENTOS!$C$5:$C$400="C")*(MOVIMIENTOS!$D$5:$D$400="jabas")*(MOVIMIENTOS!$A$5:$A$400&lt;&gt;"")*(MOVIMIENTOS!$A$5:$A$400&lt;=$A42)*MOVIMIENTOS!$E$5:$E$400)-SUMPRODUCT((MOVIMIENTOS!$B$5:$B$400="REGALO")*(MOVIMIENTOS!$C$5:$C$400="C")*(MOVIMIENTOS!$D$5:$D$400="jabas")*(MOVIMIENTOS!$A$5:$A$400&lt;&gt;"")*(MOVIMIENTOS!$A$5:$A$400&lt;=$A42)*MOVIMIENTOS!$E$5:$E$400)-SUMPRODUCT((MOVIMIENTOS!$B$5:$B$400="VENTA")*(MOVIMIENTOS!$C$5:$C$400="C")*(MOVIMIENTOS!$D$5:$D$400="jabas")*(MOVIMIENTOS!$A$5:$A$400&lt;&gt;"")*(MOVIMIENTOS!$A$5:$A$400&lt;=$A42)*MOVIMIENTOS!$E$5:$E$400)+SUMPRODUCT((MOVIMIENTOS!$B$5:$B$400="AJUSTE")*(MOVIMIENTOS!$C$5:$C$400="C")*(MOVIMIENTOS!$D$5:$D$400="jabas")*(MOVIMIENTOS!$A$5:$A$400&lt;&gt;"")*(MOVIMIENTOS!$A$5:$A$400&lt;=$A42)*MOVIMIENTOS!$E$5:$E$400))</f>
        <v/>
      </c>
      <c r="E42" s="46" t="str">
        <f aca="false">IF($A42="","",SUMPRODUCT((MOVIMIENTOS!$B$5:$B$400="SALDO INICIAL")*(MOVIMIENTOS!$C$5:$C$400="M")*(MOVIMIENTOS!$D$5:$D$400="jabas")*(MOVIMIENTOS!$A$5:$A$400&lt;&gt;"")*(MOVIMIENTOS!$A$5:$A$400&lt;=$A42)*MOVIMIENTOS!$E$5:$E$400)+SUMPRODUCT((MOVIMIENTOS!$B$5:$B$400="PROCESO")*(MOVIMIENTOS!$C$5:$C$400="M")*(MOVIMIENTOS!$D$5:$D$400="jabas")*(MOVIMIENTOS!$A$5:$A$400&lt;&gt;"")*(MOVIMIENTOS!$A$5:$A$400&lt;=$A42)*MOVIMIENTOS!$E$5:$E$400)-SUMPRODUCT((MOVIMIENTOS!$B$5:$B$400="ENVÍO A SUPESA")*(MOVIMIENTOS!$C$5:$C$400="M")*(MOVIMIENTOS!$D$5:$D$400="jabas")*(MOVIMIENTOS!$A$5:$A$400&lt;&gt;"")*(MOVIMIENTOS!$A$5:$A$400&lt;=$A42)*MOVIMIENTOS!$E$5:$E$400)+SUMPRODUCT((MOVIMIENTOS!$B$5:$B$400="DEVOLUCIÓN")*(MOVIMIENTOS!$C$5:$C$400="M")*(MOVIMIENTOS!$D$5:$D$400="jabas")*(MOVIMIENTOS!$A$5:$A$400&lt;&gt;"")*(MOVIMIENTOS!$A$5:$A$400&lt;=$A42)*MOVIMIENTOS!$E$5:$E$400)-SUMPRODUCT((MOVIMIENTOS!$B$5:$B$400="TRASIEGO")*(MOVIMIENTOS!$C$5:$C$400="M")*(MOVIMIENTOS!$D$5:$D$400="jabas")*(MOVIMIENTOS!$A$5:$A$400&lt;&gt;"")*(MOVIMIENTOS!$A$5:$A$400&lt;=$A42)*MOVIMIENTOS!$E$5:$E$400)-SUMPRODUCT((MOVIMIENTOS!$B$5:$B$400="REGALO")*(MOVIMIENTOS!$C$5:$C$400="M")*(MOVIMIENTOS!$D$5:$D$400="jabas")*(MOVIMIENTOS!$A$5:$A$400&lt;&gt;"")*(MOVIMIENTOS!$A$5:$A$400&lt;=$A42)*MOVIMIENTOS!$E$5:$E$400)-SUMPRODUCT((MOVIMIENTOS!$B$5:$B$400="VENTA")*(MOVIMIENTOS!$C$5:$C$400="M")*(MOVIMIENTOS!$D$5:$D$400="jabas")*(MOVIMIENTOS!$A$5:$A$400&lt;&gt;"")*(MOVIMIENTOS!$A$5:$A$400&lt;=$A42)*MOVIMIENTOS!$E$5:$E$400)+SUMPRODUCT((MOVIMIENTOS!$B$5:$B$400="AJUSTE")*(MOVIMIENTOS!$C$5:$C$400="M")*(MOVIMIENTOS!$D$5:$D$400="jabas")*(MOVIMIENTOS!$A$5:$A$400&lt;&gt;"")*(MOVIMIENTOS!$A$5:$A$400&lt;=$A42)*MOVIMIENTOS!$E$5:$E$400))</f>
        <v/>
      </c>
      <c r="F42" s="46" t="str">
        <f aca="false">IF($A42="","",SUMPRODUCT((MOVIMIENTOS!$B$5:$B$400="SALDO INICIAL")*(MOVIMIENTOS!$C$5:$C$400="Chancho")*(MOVIMIENTOS!$D$5:$D$400="sacos")*(MOVIMIENTOS!$A$5:$A$400&lt;&gt;"")*(MOVIMIENTOS!$A$5:$A$400&lt;=$A42)*MOVIMIENTOS!$E$5:$E$400)+SUMPRODUCT((MOVIMIENTOS!$B$5:$B$400="PROCESO")*(MOVIMIENTOS!$C$5:$C$400="Chancho")*(MOVIMIENTOS!$D$5:$D$400="sacos")*(MOVIMIENTOS!$A$5:$A$400&lt;&gt;"")*(MOVIMIENTOS!$A$5:$A$400&lt;=$A42)*MOVIMIENTOS!$E$5:$E$400)-SUMPRODUCT((MOVIMIENTOS!$B$5:$B$400="VENTA CHANCHO")*(MOVIMIENTOS!$C$5:$C$400="Chancho")*(MOVIMIENTOS!$D$5:$D$400="sacos")*(MOVIMIENTOS!$A$5:$A$400&lt;&gt;"")*(MOVIMIENTOS!$A$5:$A$400&lt;=$A42)*MOVIMIENTOS!$E$5:$E$400)-SUMPRODUCT((MOVIMIENTOS!$B$5:$B$400="REGALO")*(MOVIMIENTOS!$C$5:$C$400="Chancho")*(MOVIMIENTOS!$D$5:$D$400="sacos")*(MOVIMIENTOS!$A$5:$A$400&lt;&gt;"")*(MOVIMIENTOS!$A$5:$A$400&lt;=$A42)*MOVIMIENTOS!$E$5:$E$400)-SUMPRODUCT((MOVIMIENTOS!$B$5:$B$400="VENTA")*(MOVIMIENTOS!$C$5:$C$400="Chancho")*(MOVIMIENTOS!$D$5:$D$400="sacos")*(MOVIMIENTOS!$A$5:$A$400&lt;&gt;"")*(MOVIMIENTOS!$A$5:$A$400&lt;=$A42)*MOVIMIENTOS!$E$5:$E$400)+SUMPRODUCT((MOVIMIENTOS!$B$5:$B$400="AJUSTE")*(MOVIMIENTOS!$C$5:$C$400="Chancho")*(MOVIMIENTOS!$D$5:$D$400="sacos")*(MOVIMIENTOS!$A$5:$A$400&lt;&gt;"")*(MOVIMIENTOS!$A$5:$A$400&lt;=$A42)*MOVIMIENTOS!$E$5:$E$400))</f>
        <v/>
      </c>
      <c r="G42" s="46" t="str">
        <f aca="false">IF($A42="","",SUM(B42:E42))</f>
        <v/>
      </c>
      <c r="H42" s="46" t="str">
        <f aca="false">IF($A42="","",SUMPRODUCT((((MOVIMIENTOS!$B$5:$B$400="SALDO INICIAL")*(MOVIMIENTOS!$C$5:$C$400&lt;&gt;"Chancho"))+(MOVIMIENTOS!$B$5:$B$400="COMPRA")+(MOVIMIENTOS!$B$5:$B$400="REPROCESO")+(MOVIMIENTOS!$B$5:$B$400="DEVOLUCIÓN")+((MOVIMIENTOS!$B$5:$B$400="AJUSTE")*(MOVIMIENTOS!$C$5:$C$400&lt;&gt;"Chancho")))*(MOVIMIENTOS!$A$5:$A$400&lt;&gt;"")*(MOVIMIENTOS!$A$5:$A$400&lt;=$A42)*MOVIMIENTOS!$I$5:$I$400)-SUMPRODUCT(((MOVIMIENTOS!$B$5:$B$400="ENVÍO A SUPESA")+(MOVIMIENTOS!$B$5:$B$400="ENVÍO A TOTTUS")+(MOVIMIENTOS!$B$5:$B$400="ENVIO A TOTTUS")+(MOVIMIENTOS!$B$5:$B$400="MALOGRADO")+(MOVIMIENTOS!$B$5:$B$400="OTRA SALIDA")+((MOVIMIENTOS!$B$5:$B$400="PROCESO")*(MOVIMIENTOS!$C$5:$C$400="Chancho"))+((MOVIMIENTOS!$B$5:$B$400="REGALO")*(MOVIMIENTOS!$C$5:$C$400&lt;&gt;"Chancho"))+((MOVIMIENTOS!$B$5:$B$400="VENTA")*(MOVIMIENTOS!$C$5:$C$400&lt;&gt;"Chancho")))*(MOVIMIENTOS!$A$5:$A$400&lt;&gt;"")*(MOVIMIENTOS!$A$5:$A$400&lt;=$A42)*MOVIMIENTOS!$I$5:$I$400))</f>
        <v/>
      </c>
      <c r="I42" s="44"/>
      <c r="J42" s="44" t="str">
        <f aca="false">IF(AND(MOVIMIENTOS!$A42&lt;&gt;"",COUNTIF(MOVIMIENTOS!$A$5:$A41,MOVIMIENTOS!$A42)=0),COUNT(J$4:J41)+1,"")</f>
        <v/>
      </c>
      <c r="K42" s="47" t="n">
        <f aca="false">MOVIMIENTOS!$A42</f>
        <v>46218</v>
      </c>
      <c r="L42" s="44"/>
      <c r="M42" s="44"/>
      <c r="N42" s="44"/>
    </row>
    <row r="43" customFormat="false" ht="15" hidden="false" customHeight="true" outlineLevel="0" collapsed="false">
      <c r="A43" s="45" t="str">
        <f aca="false">IFERROR(INDEX(K$5:K$400,MATCH(ROW()-4,J$5:J$400,0)),"")</f>
        <v/>
      </c>
      <c r="B43" s="46" t="str">
        <f aca="false">IF($A43="","",SUMPRODUCT((MOVIMIENTOS!$B$5:$B$400="SALDO INICIAL")*(MOVIMIENTOS!$C$5:$C$400="A")*(MOVIMIENTOS!$D$5:$D$400="jabas")*(MOVIMIENTOS!$A$5:$A$400&lt;&gt;"")*(MOVIMIENTOS!$A$5:$A$400&lt;=$A43)*MOVIMIENTOS!$E$5:$E$400)+SUMPRODUCT((MOVIMIENTOS!$B$5:$B$400="PROCESO")*(MOVIMIENTOS!$C$5:$C$400="A")*(MOVIMIENTOS!$D$5:$D$400="jabas")*(MOVIMIENTOS!$A$5:$A$400&lt;&gt;"")*(MOVIMIENTOS!$A$5:$A$400&lt;=$A43)*MOVIMIENTOS!$E$5:$E$400)-SUMPRODUCT((MOVIMIENTOS!$B$5:$B$400="ENVÍO A SUPESA")*(MOVIMIENTOS!$C$5:$C$400="A")*(MOVIMIENTOS!$D$5:$D$400="jabas")*(MOVIMIENTOS!$A$5:$A$400&lt;&gt;"")*(MOVIMIENTOS!$A$5:$A$400&lt;=$A43)*MOVIMIENTOS!$E$5:$E$400)+SUMPRODUCT((MOVIMIENTOS!$B$5:$B$400="DEVOLUCIÓN")*(MOVIMIENTOS!$C$5:$C$400="A")*(MOVIMIENTOS!$D$5:$D$400="jabas")*(MOVIMIENTOS!$A$5:$A$400&lt;&gt;"")*(MOVIMIENTOS!$A$5:$A$400&lt;=$A43)*MOVIMIENTOS!$E$5:$E$400)-SUMPRODUCT((MOVIMIENTOS!$B$5:$B$400="TRASIEGO")*(MOVIMIENTOS!$C$5:$C$400="A")*(MOVIMIENTOS!$D$5:$D$400="jabas")*(MOVIMIENTOS!$A$5:$A$400&lt;&gt;"")*(MOVIMIENTOS!$A$5:$A$400&lt;=$A43)*MOVIMIENTOS!$E$5:$E$400)-SUMPRODUCT((MOVIMIENTOS!$B$5:$B$400="REGALO")*(MOVIMIENTOS!$C$5:$C$400="A")*(MOVIMIENTOS!$D$5:$D$400="jabas")*(MOVIMIENTOS!$A$5:$A$400&lt;&gt;"")*(MOVIMIENTOS!$A$5:$A$400&lt;=$A43)*MOVIMIENTOS!$E$5:$E$400)-SUMPRODUCT((MOVIMIENTOS!$B$5:$B$400="VENTA")*(MOVIMIENTOS!$C$5:$C$400="A")*(MOVIMIENTOS!$D$5:$D$400="jabas")*(MOVIMIENTOS!$A$5:$A$400&lt;&gt;"")*(MOVIMIENTOS!$A$5:$A$400&lt;=$A43)*MOVIMIENTOS!$E$5:$E$400)+SUMPRODUCT((MOVIMIENTOS!$B$5:$B$400="AJUSTE")*(MOVIMIENTOS!$C$5:$C$400="A")*(MOVIMIENTOS!$D$5:$D$400="jabas")*(MOVIMIENTOS!$A$5:$A$400&lt;&gt;"")*(MOVIMIENTOS!$A$5:$A$400&lt;=$A43)*MOVIMIENTOS!$E$5:$E$400))</f>
        <v/>
      </c>
      <c r="C43" s="46" t="str">
        <f aca="false">IF($A43="","",SUMPRODUCT((MOVIMIENTOS!$B$5:$B$400="SALDO INICIAL")*(MOVIMIENTOS!$C$5:$C$400="P")*(MOVIMIENTOS!$D$5:$D$400="jabas")*(MOVIMIENTOS!$A$5:$A$400&lt;&gt;"")*(MOVIMIENTOS!$A$5:$A$400&lt;=$A43)*MOVIMIENTOS!$E$5:$E$400)+SUMPRODUCT((MOVIMIENTOS!$B$5:$B$400="PROCESO")*(MOVIMIENTOS!$C$5:$C$400="P")*(MOVIMIENTOS!$D$5:$D$400="jabas")*(MOVIMIENTOS!$A$5:$A$400&lt;&gt;"")*(MOVIMIENTOS!$A$5:$A$400&lt;=$A43)*MOVIMIENTOS!$E$5:$E$400)-SUMPRODUCT((MOVIMIENTOS!$B$5:$B$400="ENVÍO A SUPESA")*(MOVIMIENTOS!$C$5:$C$400="P")*(MOVIMIENTOS!$D$5:$D$400="jabas")*(MOVIMIENTOS!$A$5:$A$400&lt;&gt;"")*(MOVIMIENTOS!$A$5:$A$400&lt;=$A43)*MOVIMIENTOS!$E$5:$E$400)+SUMPRODUCT((MOVIMIENTOS!$B$5:$B$400="DEVOLUCIÓN")*(MOVIMIENTOS!$C$5:$C$400="P")*(MOVIMIENTOS!$D$5:$D$400="jabas")*(MOVIMIENTOS!$A$5:$A$400&lt;&gt;"")*(MOVIMIENTOS!$A$5:$A$400&lt;=$A43)*MOVIMIENTOS!$E$5:$E$400)-SUMPRODUCT((MOVIMIENTOS!$B$5:$B$400="TRASIEGO")*(MOVIMIENTOS!$C$5:$C$400="P")*(MOVIMIENTOS!$D$5:$D$400="jabas")*(MOVIMIENTOS!$A$5:$A$400&lt;&gt;"")*(MOVIMIENTOS!$A$5:$A$400&lt;=$A43)*MOVIMIENTOS!$E$5:$E$400)-SUMPRODUCT((MOVIMIENTOS!$B$5:$B$400="REGALO")*(MOVIMIENTOS!$C$5:$C$400="P")*(MOVIMIENTOS!$D$5:$D$400="jabas")*(MOVIMIENTOS!$A$5:$A$400&lt;&gt;"")*(MOVIMIENTOS!$A$5:$A$400&lt;=$A43)*MOVIMIENTOS!$E$5:$E$400)-SUMPRODUCT((MOVIMIENTOS!$B$5:$B$400="VENTA")*(MOVIMIENTOS!$C$5:$C$400="P")*(MOVIMIENTOS!$D$5:$D$400="jabas")*(MOVIMIENTOS!$A$5:$A$400&lt;&gt;"")*(MOVIMIENTOS!$A$5:$A$400&lt;=$A43)*MOVIMIENTOS!$E$5:$E$400)+SUMPRODUCT((MOVIMIENTOS!$B$5:$B$400="AJUSTE")*(MOVIMIENTOS!$C$5:$C$400="P")*(MOVIMIENTOS!$D$5:$D$400="jabas")*(MOVIMIENTOS!$A$5:$A$400&lt;&gt;"")*(MOVIMIENTOS!$A$5:$A$400&lt;=$A43)*MOVIMIENTOS!$E$5:$E$400))</f>
        <v/>
      </c>
      <c r="D43" s="46" t="str">
        <f aca="false">IF($A43="","",SUMPRODUCT((MOVIMIENTOS!$B$5:$B$400="SALDO INICIAL")*(MOVIMIENTOS!$C$5:$C$400="C")*(MOVIMIENTOS!$D$5:$D$400="jabas")*(MOVIMIENTOS!$A$5:$A$400&lt;&gt;"")*(MOVIMIENTOS!$A$5:$A$400&lt;=$A43)*MOVIMIENTOS!$E$5:$E$400)+SUMPRODUCT((MOVIMIENTOS!$B$5:$B$400="PROCESO")*(MOVIMIENTOS!$C$5:$C$400="C")*(MOVIMIENTOS!$D$5:$D$400="jabas")*(MOVIMIENTOS!$A$5:$A$400&lt;&gt;"")*(MOVIMIENTOS!$A$5:$A$400&lt;=$A43)*MOVIMIENTOS!$E$5:$E$400)-SUMPRODUCT((MOVIMIENTOS!$B$5:$B$400="ENVÍO A SUPESA")*(MOVIMIENTOS!$C$5:$C$400="C")*(MOVIMIENTOS!$D$5:$D$400="jabas")*(MOVIMIENTOS!$A$5:$A$400&lt;&gt;"")*(MOVIMIENTOS!$A$5:$A$400&lt;=$A43)*MOVIMIENTOS!$E$5:$E$400)+SUMPRODUCT((MOVIMIENTOS!$B$5:$B$400="DEVOLUCIÓN")*(MOVIMIENTOS!$C$5:$C$400="C")*(MOVIMIENTOS!$D$5:$D$400="jabas")*(MOVIMIENTOS!$A$5:$A$400&lt;&gt;"")*(MOVIMIENTOS!$A$5:$A$400&lt;=$A43)*MOVIMIENTOS!$E$5:$E$400)-SUMPRODUCT((MOVIMIENTOS!$B$5:$B$400="TRASIEGO")*(MOVIMIENTOS!$C$5:$C$400="C")*(MOVIMIENTOS!$D$5:$D$400="jabas")*(MOVIMIENTOS!$A$5:$A$400&lt;&gt;"")*(MOVIMIENTOS!$A$5:$A$400&lt;=$A43)*MOVIMIENTOS!$E$5:$E$400)-SUMPRODUCT((MOVIMIENTOS!$B$5:$B$400="REGALO")*(MOVIMIENTOS!$C$5:$C$400="C")*(MOVIMIENTOS!$D$5:$D$400="jabas")*(MOVIMIENTOS!$A$5:$A$400&lt;&gt;"")*(MOVIMIENTOS!$A$5:$A$400&lt;=$A43)*MOVIMIENTOS!$E$5:$E$400)-SUMPRODUCT((MOVIMIENTOS!$B$5:$B$400="VENTA")*(MOVIMIENTOS!$C$5:$C$400="C")*(MOVIMIENTOS!$D$5:$D$400="jabas")*(MOVIMIENTOS!$A$5:$A$400&lt;&gt;"")*(MOVIMIENTOS!$A$5:$A$400&lt;=$A43)*MOVIMIENTOS!$E$5:$E$400)+SUMPRODUCT((MOVIMIENTOS!$B$5:$B$400="AJUSTE")*(MOVIMIENTOS!$C$5:$C$400="C")*(MOVIMIENTOS!$D$5:$D$400="jabas")*(MOVIMIENTOS!$A$5:$A$400&lt;&gt;"")*(MOVIMIENTOS!$A$5:$A$400&lt;=$A43)*MOVIMIENTOS!$E$5:$E$400))</f>
        <v/>
      </c>
      <c r="E43" s="46" t="str">
        <f aca="false">IF($A43="","",SUMPRODUCT((MOVIMIENTOS!$B$5:$B$400="SALDO INICIAL")*(MOVIMIENTOS!$C$5:$C$400="M")*(MOVIMIENTOS!$D$5:$D$400="jabas")*(MOVIMIENTOS!$A$5:$A$400&lt;&gt;"")*(MOVIMIENTOS!$A$5:$A$400&lt;=$A43)*MOVIMIENTOS!$E$5:$E$400)+SUMPRODUCT((MOVIMIENTOS!$B$5:$B$400="PROCESO")*(MOVIMIENTOS!$C$5:$C$400="M")*(MOVIMIENTOS!$D$5:$D$400="jabas")*(MOVIMIENTOS!$A$5:$A$400&lt;&gt;"")*(MOVIMIENTOS!$A$5:$A$400&lt;=$A43)*MOVIMIENTOS!$E$5:$E$400)-SUMPRODUCT((MOVIMIENTOS!$B$5:$B$400="ENVÍO A SUPESA")*(MOVIMIENTOS!$C$5:$C$400="M")*(MOVIMIENTOS!$D$5:$D$400="jabas")*(MOVIMIENTOS!$A$5:$A$400&lt;&gt;"")*(MOVIMIENTOS!$A$5:$A$400&lt;=$A43)*MOVIMIENTOS!$E$5:$E$400)+SUMPRODUCT((MOVIMIENTOS!$B$5:$B$400="DEVOLUCIÓN")*(MOVIMIENTOS!$C$5:$C$400="M")*(MOVIMIENTOS!$D$5:$D$400="jabas")*(MOVIMIENTOS!$A$5:$A$400&lt;&gt;"")*(MOVIMIENTOS!$A$5:$A$400&lt;=$A43)*MOVIMIENTOS!$E$5:$E$400)-SUMPRODUCT((MOVIMIENTOS!$B$5:$B$400="TRASIEGO")*(MOVIMIENTOS!$C$5:$C$400="M")*(MOVIMIENTOS!$D$5:$D$400="jabas")*(MOVIMIENTOS!$A$5:$A$400&lt;&gt;"")*(MOVIMIENTOS!$A$5:$A$400&lt;=$A43)*MOVIMIENTOS!$E$5:$E$400)-SUMPRODUCT((MOVIMIENTOS!$B$5:$B$400="REGALO")*(MOVIMIENTOS!$C$5:$C$400="M")*(MOVIMIENTOS!$D$5:$D$400="jabas")*(MOVIMIENTOS!$A$5:$A$400&lt;&gt;"")*(MOVIMIENTOS!$A$5:$A$400&lt;=$A43)*MOVIMIENTOS!$E$5:$E$400)-SUMPRODUCT((MOVIMIENTOS!$B$5:$B$400="VENTA")*(MOVIMIENTOS!$C$5:$C$400="M")*(MOVIMIENTOS!$D$5:$D$400="jabas")*(MOVIMIENTOS!$A$5:$A$400&lt;&gt;"")*(MOVIMIENTOS!$A$5:$A$400&lt;=$A43)*MOVIMIENTOS!$E$5:$E$400)+SUMPRODUCT((MOVIMIENTOS!$B$5:$B$400="AJUSTE")*(MOVIMIENTOS!$C$5:$C$400="M")*(MOVIMIENTOS!$D$5:$D$400="jabas")*(MOVIMIENTOS!$A$5:$A$400&lt;&gt;"")*(MOVIMIENTOS!$A$5:$A$400&lt;=$A43)*MOVIMIENTOS!$E$5:$E$400))</f>
        <v/>
      </c>
      <c r="F43" s="46" t="str">
        <f aca="false">IF($A43="","",SUMPRODUCT((MOVIMIENTOS!$B$5:$B$400="SALDO INICIAL")*(MOVIMIENTOS!$C$5:$C$400="Chancho")*(MOVIMIENTOS!$D$5:$D$400="sacos")*(MOVIMIENTOS!$A$5:$A$400&lt;&gt;"")*(MOVIMIENTOS!$A$5:$A$400&lt;=$A43)*MOVIMIENTOS!$E$5:$E$400)+SUMPRODUCT((MOVIMIENTOS!$B$5:$B$400="PROCESO")*(MOVIMIENTOS!$C$5:$C$400="Chancho")*(MOVIMIENTOS!$D$5:$D$400="sacos")*(MOVIMIENTOS!$A$5:$A$400&lt;&gt;"")*(MOVIMIENTOS!$A$5:$A$400&lt;=$A43)*MOVIMIENTOS!$E$5:$E$400)-SUMPRODUCT((MOVIMIENTOS!$B$5:$B$400="VENTA CHANCHO")*(MOVIMIENTOS!$C$5:$C$400="Chancho")*(MOVIMIENTOS!$D$5:$D$400="sacos")*(MOVIMIENTOS!$A$5:$A$400&lt;&gt;"")*(MOVIMIENTOS!$A$5:$A$400&lt;=$A43)*MOVIMIENTOS!$E$5:$E$400)-SUMPRODUCT((MOVIMIENTOS!$B$5:$B$400="REGALO")*(MOVIMIENTOS!$C$5:$C$400="Chancho")*(MOVIMIENTOS!$D$5:$D$400="sacos")*(MOVIMIENTOS!$A$5:$A$400&lt;&gt;"")*(MOVIMIENTOS!$A$5:$A$400&lt;=$A43)*MOVIMIENTOS!$E$5:$E$400)-SUMPRODUCT((MOVIMIENTOS!$B$5:$B$400="VENTA")*(MOVIMIENTOS!$C$5:$C$400="Chancho")*(MOVIMIENTOS!$D$5:$D$400="sacos")*(MOVIMIENTOS!$A$5:$A$400&lt;&gt;"")*(MOVIMIENTOS!$A$5:$A$400&lt;=$A43)*MOVIMIENTOS!$E$5:$E$400)+SUMPRODUCT((MOVIMIENTOS!$B$5:$B$400="AJUSTE")*(MOVIMIENTOS!$C$5:$C$400="Chancho")*(MOVIMIENTOS!$D$5:$D$400="sacos")*(MOVIMIENTOS!$A$5:$A$400&lt;&gt;"")*(MOVIMIENTOS!$A$5:$A$400&lt;=$A43)*MOVIMIENTOS!$E$5:$E$400))</f>
        <v/>
      </c>
      <c r="G43" s="46" t="str">
        <f aca="false">IF($A43="","",SUM(B43:E43))</f>
        <v/>
      </c>
      <c r="H43" s="46" t="str">
        <f aca="false">IF($A43="","",SUMPRODUCT((((MOVIMIENTOS!$B$5:$B$400="SALDO INICIAL")*(MOVIMIENTOS!$C$5:$C$400&lt;&gt;"Chancho"))+(MOVIMIENTOS!$B$5:$B$400="COMPRA")+(MOVIMIENTOS!$B$5:$B$400="REPROCESO")+(MOVIMIENTOS!$B$5:$B$400="DEVOLUCIÓN")+((MOVIMIENTOS!$B$5:$B$400="AJUSTE")*(MOVIMIENTOS!$C$5:$C$400&lt;&gt;"Chancho")))*(MOVIMIENTOS!$A$5:$A$400&lt;&gt;"")*(MOVIMIENTOS!$A$5:$A$400&lt;=$A43)*MOVIMIENTOS!$I$5:$I$400)-SUMPRODUCT(((MOVIMIENTOS!$B$5:$B$400="ENVÍO A SUPESA")+(MOVIMIENTOS!$B$5:$B$400="ENVÍO A TOTTUS")+(MOVIMIENTOS!$B$5:$B$400="ENVIO A TOTTUS")+(MOVIMIENTOS!$B$5:$B$400="MALOGRADO")+(MOVIMIENTOS!$B$5:$B$400="OTRA SALIDA")+((MOVIMIENTOS!$B$5:$B$400="PROCESO")*(MOVIMIENTOS!$C$5:$C$400="Chancho"))+((MOVIMIENTOS!$B$5:$B$400="REGALO")*(MOVIMIENTOS!$C$5:$C$400&lt;&gt;"Chancho"))+((MOVIMIENTOS!$B$5:$B$400="VENTA")*(MOVIMIENTOS!$C$5:$C$400&lt;&gt;"Chancho")))*(MOVIMIENTOS!$A$5:$A$400&lt;&gt;"")*(MOVIMIENTOS!$A$5:$A$400&lt;=$A43)*MOVIMIENTOS!$I$5:$I$400))</f>
        <v/>
      </c>
      <c r="I43" s="44"/>
      <c r="J43" s="44" t="str">
        <f aca="false">IF(AND(MOVIMIENTOS!$A43&lt;&gt;"",COUNTIF(MOVIMIENTOS!$A$5:$A42,MOVIMIENTOS!$A43)=0),COUNT(J$4:J42)+1,"")</f>
        <v/>
      </c>
      <c r="K43" s="47" t="n">
        <f aca="false">MOVIMIENTOS!$A43</f>
        <v>46218</v>
      </c>
      <c r="L43" s="44"/>
      <c r="M43" s="44"/>
      <c r="N43" s="44"/>
    </row>
    <row r="44" customFormat="false" ht="15" hidden="false" customHeight="true" outlineLevel="0" collapsed="false">
      <c r="A44" s="45" t="str">
        <f aca="false">IFERROR(INDEX(K$5:K$400,MATCH(ROW()-4,J$5:J$400,0)),"")</f>
        <v/>
      </c>
      <c r="B44" s="46" t="str">
        <f aca="false">IF($A44="","",SUMPRODUCT((MOVIMIENTOS!$B$5:$B$400="SALDO INICIAL")*(MOVIMIENTOS!$C$5:$C$400="A")*(MOVIMIENTOS!$D$5:$D$400="jabas")*(MOVIMIENTOS!$A$5:$A$400&lt;&gt;"")*(MOVIMIENTOS!$A$5:$A$400&lt;=$A44)*MOVIMIENTOS!$E$5:$E$400)+SUMPRODUCT((MOVIMIENTOS!$B$5:$B$400="PROCESO")*(MOVIMIENTOS!$C$5:$C$400="A")*(MOVIMIENTOS!$D$5:$D$400="jabas")*(MOVIMIENTOS!$A$5:$A$400&lt;&gt;"")*(MOVIMIENTOS!$A$5:$A$400&lt;=$A44)*MOVIMIENTOS!$E$5:$E$400)-SUMPRODUCT((MOVIMIENTOS!$B$5:$B$400="ENVÍO A SUPESA")*(MOVIMIENTOS!$C$5:$C$400="A")*(MOVIMIENTOS!$D$5:$D$400="jabas")*(MOVIMIENTOS!$A$5:$A$400&lt;&gt;"")*(MOVIMIENTOS!$A$5:$A$400&lt;=$A44)*MOVIMIENTOS!$E$5:$E$400)+SUMPRODUCT((MOVIMIENTOS!$B$5:$B$400="DEVOLUCIÓN")*(MOVIMIENTOS!$C$5:$C$400="A")*(MOVIMIENTOS!$D$5:$D$400="jabas")*(MOVIMIENTOS!$A$5:$A$400&lt;&gt;"")*(MOVIMIENTOS!$A$5:$A$400&lt;=$A44)*MOVIMIENTOS!$E$5:$E$400)-SUMPRODUCT((MOVIMIENTOS!$B$5:$B$400="TRASIEGO")*(MOVIMIENTOS!$C$5:$C$400="A")*(MOVIMIENTOS!$D$5:$D$400="jabas")*(MOVIMIENTOS!$A$5:$A$400&lt;&gt;"")*(MOVIMIENTOS!$A$5:$A$400&lt;=$A44)*MOVIMIENTOS!$E$5:$E$400)-SUMPRODUCT((MOVIMIENTOS!$B$5:$B$400="REGALO")*(MOVIMIENTOS!$C$5:$C$400="A")*(MOVIMIENTOS!$D$5:$D$400="jabas")*(MOVIMIENTOS!$A$5:$A$400&lt;&gt;"")*(MOVIMIENTOS!$A$5:$A$400&lt;=$A44)*MOVIMIENTOS!$E$5:$E$400)-SUMPRODUCT((MOVIMIENTOS!$B$5:$B$400="VENTA")*(MOVIMIENTOS!$C$5:$C$400="A")*(MOVIMIENTOS!$D$5:$D$400="jabas")*(MOVIMIENTOS!$A$5:$A$400&lt;&gt;"")*(MOVIMIENTOS!$A$5:$A$400&lt;=$A44)*MOVIMIENTOS!$E$5:$E$400)+SUMPRODUCT((MOVIMIENTOS!$B$5:$B$400="AJUSTE")*(MOVIMIENTOS!$C$5:$C$400="A")*(MOVIMIENTOS!$D$5:$D$400="jabas")*(MOVIMIENTOS!$A$5:$A$400&lt;&gt;"")*(MOVIMIENTOS!$A$5:$A$400&lt;=$A44)*MOVIMIENTOS!$E$5:$E$400))</f>
        <v/>
      </c>
      <c r="C44" s="46" t="str">
        <f aca="false">IF($A44="","",SUMPRODUCT((MOVIMIENTOS!$B$5:$B$400="SALDO INICIAL")*(MOVIMIENTOS!$C$5:$C$400="P")*(MOVIMIENTOS!$D$5:$D$400="jabas")*(MOVIMIENTOS!$A$5:$A$400&lt;&gt;"")*(MOVIMIENTOS!$A$5:$A$400&lt;=$A44)*MOVIMIENTOS!$E$5:$E$400)+SUMPRODUCT((MOVIMIENTOS!$B$5:$B$400="PROCESO")*(MOVIMIENTOS!$C$5:$C$400="P")*(MOVIMIENTOS!$D$5:$D$400="jabas")*(MOVIMIENTOS!$A$5:$A$400&lt;&gt;"")*(MOVIMIENTOS!$A$5:$A$400&lt;=$A44)*MOVIMIENTOS!$E$5:$E$400)-SUMPRODUCT((MOVIMIENTOS!$B$5:$B$400="ENVÍO A SUPESA")*(MOVIMIENTOS!$C$5:$C$400="P")*(MOVIMIENTOS!$D$5:$D$400="jabas")*(MOVIMIENTOS!$A$5:$A$400&lt;&gt;"")*(MOVIMIENTOS!$A$5:$A$400&lt;=$A44)*MOVIMIENTOS!$E$5:$E$400)+SUMPRODUCT((MOVIMIENTOS!$B$5:$B$400="DEVOLUCIÓN")*(MOVIMIENTOS!$C$5:$C$400="P")*(MOVIMIENTOS!$D$5:$D$400="jabas")*(MOVIMIENTOS!$A$5:$A$400&lt;&gt;"")*(MOVIMIENTOS!$A$5:$A$400&lt;=$A44)*MOVIMIENTOS!$E$5:$E$400)-SUMPRODUCT((MOVIMIENTOS!$B$5:$B$400="TRASIEGO")*(MOVIMIENTOS!$C$5:$C$400="P")*(MOVIMIENTOS!$D$5:$D$400="jabas")*(MOVIMIENTOS!$A$5:$A$400&lt;&gt;"")*(MOVIMIENTOS!$A$5:$A$400&lt;=$A44)*MOVIMIENTOS!$E$5:$E$400)-SUMPRODUCT((MOVIMIENTOS!$B$5:$B$400="REGALO")*(MOVIMIENTOS!$C$5:$C$400="P")*(MOVIMIENTOS!$D$5:$D$400="jabas")*(MOVIMIENTOS!$A$5:$A$400&lt;&gt;"")*(MOVIMIENTOS!$A$5:$A$400&lt;=$A44)*MOVIMIENTOS!$E$5:$E$400)-SUMPRODUCT((MOVIMIENTOS!$B$5:$B$400="VENTA")*(MOVIMIENTOS!$C$5:$C$400="P")*(MOVIMIENTOS!$D$5:$D$400="jabas")*(MOVIMIENTOS!$A$5:$A$400&lt;&gt;"")*(MOVIMIENTOS!$A$5:$A$400&lt;=$A44)*MOVIMIENTOS!$E$5:$E$400)+SUMPRODUCT((MOVIMIENTOS!$B$5:$B$400="AJUSTE")*(MOVIMIENTOS!$C$5:$C$400="P")*(MOVIMIENTOS!$D$5:$D$400="jabas")*(MOVIMIENTOS!$A$5:$A$400&lt;&gt;"")*(MOVIMIENTOS!$A$5:$A$400&lt;=$A44)*MOVIMIENTOS!$E$5:$E$400))</f>
        <v/>
      </c>
      <c r="D44" s="46" t="str">
        <f aca="false">IF($A44="","",SUMPRODUCT((MOVIMIENTOS!$B$5:$B$400="SALDO INICIAL")*(MOVIMIENTOS!$C$5:$C$400="C")*(MOVIMIENTOS!$D$5:$D$400="jabas")*(MOVIMIENTOS!$A$5:$A$400&lt;&gt;"")*(MOVIMIENTOS!$A$5:$A$400&lt;=$A44)*MOVIMIENTOS!$E$5:$E$400)+SUMPRODUCT((MOVIMIENTOS!$B$5:$B$400="PROCESO")*(MOVIMIENTOS!$C$5:$C$400="C")*(MOVIMIENTOS!$D$5:$D$400="jabas")*(MOVIMIENTOS!$A$5:$A$400&lt;&gt;"")*(MOVIMIENTOS!$A$5:$A$400&lt;=$A44)*MOVIMIENTOS!$E$5:$E$400)-SUMPRODUCT((MOVIMIENTOS!$B$5:$B$400="ENVÍO A SUPESA")*(MOVIMIENTOS!$C$5:$C$400="C")*(MOVIMIENTOS!$D$5:$D$400="jabas")*(MOVIMIENTOS!$A$5:$A$400&lt;&gt;"")*(MOVIMIENTOS!$A$5:$A$400&lt;=$A44)*MOVIMIENTOS!$E$5:$E$400)+SUMPRODUCT((MOVIMIENTOS!$B$5:$B$400="DEVOLUCIÓN")*(MOVIMIENTOS!$C$5:$C$400="C")*(MOVIMIENTOS!$D$5:$D$400="jabas")*(MOVIMIENTOS!$A$5:$A$400&lt;&gt;"")*(MOVIMIENTOS!$A$5:$A$400&lt;=$A44)*MOVIMIENTOS!$E$5:$E$400)-SUMPRODUCT((MOVIMIENTOS!$B$5:$B$400="TRASIEGO")*(MOVIMIENTOS!$C$5:$C$400="C")*(MOVIMIENTOS!$D$5:$D$400="jabas")*(MOVIMIENTOS!$A$5:$A$400&lt;&gt;"")*(MOVIMIENTOS!$A$5:$A$400&lt;=$A44)*MOVIMIENTOS!$E$5:$E$400)-SUMPRODUCT((MOVIMIENTOS!$B$5:$B$400="REGALO")*(MOVIMIENTOS!$C$5:$C$400="C")*(MOVIMIENTOS!$D$5:$D$400="jabas")*(MOVIMIENTOS!$A$5:$A$400&lt;&gt;"")*(MOVIMIENTOS!$A$5:$A$400&lt;=$A44)*MOVIMIENTOS!$E$5:$E$400)-SUMPRODUCT((MOVIMIENTOS!$B$5:$B$400="VENTA")*(MOVIMIENTOS!$C$5:$C$400="C")*(MOVIMIENTOS!$D$5:$D$400="jabas")*(MOVIMIENTOS!$A$5:$A$400&lt;&gt;"")*(MOVIMIENTOS!$A$5:$A$400&lt;=$A44)*MOVIMIENTOS!$E$5:$E$400)+SUMPRODUCT((MOVIMIENTOS!$B$5:$B$400="AJUSTE")*(MOVIMIENTOS!$C$5:$C$400="C")*(MOVIMIENTOS!$D$5:$D$400="jabas")*(MOVIMIENTOS!$A$5:$A$400&lt;&gt;"")*(MOVIMIENTOS!$A$5:$A$400&lt;=$A44)*MOVIMIENTOS!$E$5:$E$400))</f>
        <v/>
      </c>
      <c r="E44" s="46" t="str">
        <f aca="false">IF($A44="","",SUMPRODUCT((MOVIMIENTOS!$B$5:$B$400="SALDO INICIAL")*(MOVIMIENTOS!$C$5:$C$400="M")*(MOVIMIENTOS!$D$5:$D$400="jabas")*(MOVIMIENTOS!$A$5:$A$400&lt;&gt;"")*(MOVIMIENTOS!$A$5:$A$400&lt;=$A44)*MOVIMIENTOS!$E$5:$E$400)+SUMPRODUCT((MOVIMIENTOS!$B$5:$B$400="PROCESO")*(MOVIMIENTOS!$C$5:$C$400="M")*(MOVIMIENTOS!$D$5:$D$400="jabas")*(MOVIMIENTOS!$A$5:$A$400&lt;&gt;"")*(MOVIMIENTOS!$A$5:$A$400&lt;=$A44)*MOVIMIENTOS!$E$5:$E$400)-SUMPRODUCT((MOVIMIENTOS!$B$5:$B$400="ENVÍO A SUPESA")*(MOVIMIENTOS!$C$5:$C$400="M")*(MOVIMIENTOS!$D$5:$D$400="jabas")*(MOVIMIENTOS!$A$5:$A$400&lt;&gt;"")*(MOVIMIENTOS!$A$5:$A$400&lt;=$A44)*MOVIMIENTOS!$E$5:$E$400)+SUMPRODUCT((MOVIMIENTOS!$B$5:$B$400="DEVOLUCIÓN")*(MOVIMIENTOS!$C$5:$C$400="M")*(MOVIMIENTOS!$D$5:$D$400="jabas")*(MOVIMIENTOS!$A$5:$A$400&lt;&gt;"")*(MOVIMIENTOS!$A$5:$A$400&lt;=$A44)*MOVIMIENTOS!$E$5:$E$400)-SUMPRODUCT((MOVIMIENTOS!$B$5:$B$400="TRASIEGO")*(MOVIMIENTOS!$C$5:$C$400="M")*(MOVIMIENTOS!$D$5:$D$400="jabas")*(MOVIMIENTOS!$A$5:$A$400&lt;&gt;"")*(MOVIMIENTOS!$A$5:$A$400&lt;=$A44)*MOVIMIENTOS!$E$5:$E$400)-SUMPRODUCT((MOVIMIENTOS!$B$5:$B$400="REGALO")*(MOVIMIENTOS!$C$5:$C$400="M")*(MOVIMIENTOS!$D$5:$D$400="jabas")*(MOVIMIENTOS!$A$5:$A$400&lt;&gt;"")*(MOVIMIENTOS!$A$5:$A$400&lt;=$A44)*MOVIMIENTOS!$E$5:$E$400)-SUMPRODUCT((MOVIMIENTOS!$B$5:$B$400="VENTA")*(MOVIMIENTOS!$C$5:$C$400="M")*(MOVIMIENTOS!$D$5:$D$400="jabas")*(MOVIMIENTOS!$A$5:$A$400&lt;&gt;"")*(MOVIMIENTOS!$A$5:$A$400&lt;=$A44)*MOVIMIENTOS!$E$5:$E$400)+SUMPRODUCT((MOVIMIENTOS!$B$5:$B$400="AJUSTE")*(MOVIMIENTOS!$C$5:$C$400="M")*(MOVIMIENTOS!$D$5:$D$400="jabas")*(MOVIMIENTOS!$A$5:$A$400&lt;&gt;"")*(MOVIMIENTOS!$A$5:$A$400&lt;=$A44)*MOVIMIENTOS!$E$5:$E$400))</f>
        <v/>
      </c>
      <c r="F44" s="46" t="str">
        <f aca="false">IF($A44="","",SUMPRODUCT((MOVIMIENTOS!$B$5:$B$400="SALDO INICIAL")*(MOVIMIENTOS!$C$5:$C$400="Chancho")*(MOVIMIENTOS!$D$5:$D$400="sacos")*(MOVIMIENTOS!$A$5:$A$400&lt;&gt;"")*(MOVIMIENTOS!$A$5:$A$400&lt;=$A44)*MOVIMIENTOS!$E$5:$E$400)+SUMPRODUCT((MOVIMIENTOS!$B$5:$B$400="PROCESO")*(MOVIMIENTOS!$C$5:$C$400="Chancho")*(MOVIMIENTOS!$D$5:$D$400="sacos")*(MOVIMIENTOS!$A$5:$A$400&lt;&gt;"")*(MOVIMIENTOS!$A$5:$A$400&lt;=$A44)*MOVIMIENTOS!$E$5:$E$400)-SUMPRODUCT((MOVIMIENTOS!$B$5:$B$400="VENTA CHANCHO")*(MOVIMIENTOS!$C$5:$C$400="Chancho")*(MOVIMIENTOS!$D$5:$D$400="sacos")*(MOVIMIENTOS!$A$5:$A$400&lt;&gt;"")*(MOVIMIENTOS!$A$5:$A$400&lt;=$A44)*MOVIMIENTOS!$E$5:$E$400)-SUMPRODUCT((MOVIMIENTOS!$B$5:$B$400="REGALO")*(MOVIMIENTOS!$C$5:$C$400="Chancho")*(MOVIMIENTOS!$D$5:$D$400="sacos")*(MOVIMIENTOS!$A$5:$A$400&lt;&gt;"")*(MOVIMIENTOS!$A$5:$A$400&lt;=$A44)*MOVIMIENTOS!$E$5:$E$400)-SUMPRODUCT((MOVIMIENTOS!$B$5:$B$400="VENTA")*(MOVIMIENTOS!$C$5:$C$400="Chancho")*(MOVIMIENTOS!$D$5:$D$400="sacos")*(MOVIMIENTOS!$A$5:$A$400&lt;&gt;"")*(MOVIMIENTOS!$A$5:$A$400&lt;=$A44)*MOVIMIENTOS!$E$5:$E$400)+SUMPRODUCT((MOVIMIENTOS!$B$5:$B$400="AJUSTE")*(MOVIMIENTOS!$C$5:$C$400="Chancho")*(MOVIMIENTOS!$D$5:$D$400="sacos")*(MOVIMIENTOS!$A$5:$A$400&lt;&gt;"")*(MOVIMIENTOS!$A$5:$A$400&lt;=$A44)*MOVIMIENTOS!$E$5:$E$400))</f>
        <v/>
      </c>
      <c r="G44" s="46" t="str">
        <f aca="false">IF($A44="","",SUM(B44:E44))</f>
        <v/>
      </c>
      <c r="H44" s="46" t="str">
        <f aca="false">IF($A44="","",SUMPRODUCT((((MOVIMIENTOS!$B$5:$B$400="SALDO INICIAL")*(MOVIMIENTOS!$C$5:$C$400&lt;&gt;"Chancho"))+(MOVIMIENTOS!$B$5:$B$400="COMPRA")+(MOVIMIENTOS!$B$5:$B$400="REPROCESO")+(MOVIMIENTOS!$B$5:$B$400="DEVOLUCIÓN")+((MOVIMIENTOS!$B$5:$B$400="AJUSTE")*(MOVIMIENTOS!$C$5:$C$400&lt;&gt;"Chancho")))*(MOVIMIENTOS!$A$5:$A$400&lt;&gt;"")*(MOVIMIENTOS!$A$5:$A$400&lt;=$A44)*MOVIMIENTOS!$I$5:$I$400)-SUMPRODUCT(((MOVIMIENTOS!$B$5:$B$400="ENVÍO A SUPESA")+(MOVIMIENTOS!$B$5:$B$400="ENVÍO A TOTTUS")+(MOVIMIENTOS!$B$5:$B$400="ENVIO A TOTTUS")+(MOVIMIENTOS!$B$5:$B$400="MALOGRADO")+(MOVIMIENTOS!$B$5:$B$400="OTRA SALIDA")+((MOVIMIENTOS!$B$5:$B$400="PROCESO")*(MOVIMIENTOS!$C$5:$C$400="Chancho"))+((MOVIMIENTOS!$B$5:$B$400="REGALO")*(MOVIMIENTOS!$C$5:$C$400&lt;&gt;"Chancho"))+((MOVIMIENTOS!$B$5:$B$400="VENTA")*(MOVIMIENTOS!$C$5:$C$400&lt;&gt;"Chancho")))*(MOVIMIENTOS!$A$5:$A$400&lt;&gt;"")*(MOVIMIENTOS!$A$5:$A$400&lt;=$A44)*MOVIMIENTOS!$I$5:$I$400))</f>
        <v/>
      </c>
      <c r="I44" s="44"/>
      <c r="J44" s="44" t="str">
        <f aca="false">IF(AND(MOVIMIENTOS!$A44&lt;&gt;"",COUNTIF(MOVIMIENTOS!$A$5:$A43,MOVIMIENTOS!$A44)=0),COUNT(J$4:J43)+1,"")</f>
        <v/>
      </c>
      <c r="K44" s="47" t="n">
        <f aca="false">MOVIMIENTOS!$A44</f>
        <v>46218</v>
      </c>
      <c r="L44" s="44"/>
      <c r="M44" s="44"/>
      <c r="N44" s="44"/>
    </row>
    <row r="45" customFormat="false" ht="15" hidden="false" customHeight="true" outlineLevel="0" collapsed="false">
      <c r="A45" s="45" t="str">
        <f aca="false">IFERROR(INDEX(K$5:K$400,MATCH(ROW()-4,J$5:J$400,0)),"")</f>
        <v/>
      </c>
      <c r="B45" s="46" t="str">
        <f aca="false">IF($A45="","",SUMPRODUCT((MOVIMIENTOS!$B$5:$B$400="SALDO INICIAL")*(MOVIMIENTOS!$C$5:$C$400="A")*(MOVIMIENTOS!$D$5:$D$400="jabas")*(MOVIMIENTOS!$A$5:$A$400&lt;&gt;"")*(MOVIMIENTOS!$A$5:$A$400&lt;=$A45)*MOVIMIENTOS!$E$5:$E$400)+SUMPRODUCT((MOVIMIENTOS!$B$5:$B$400="PROCESO")*(MOVIMIENTOS!$C$5:$C$400="A")*(MOVIMIENTOS!$D$5:$D$400="jabas")*(MOVIMIENTOS!$A$5:$A$400&lt;&gt;"")*(MOVIMIENTOS!$A$5:$A$400&lt;=$A45)*MOVIMIENTOS!$E$5:$E$400)-SUMPRODUCT((MOVIMIENTOS!$B$5:$B$400="ENVÍO A SUPESA")*(MOVIMIENTOS!$C$5:$C$400="A")*(MOVIMIENTOS!$D$5:$D$400="jabas")*(MOVIMIENTOS!$A$5:$A$400&lt;&gt;"")*(MOVIMIENTOS!$A$5:$A$400&lt;=$A45)*MOVIMIENTOS!$E$5:$E$400)+SUMPRODUCT((MOVIMIENTOS!$B$5:$B$400="DEVOLUCIÓN")*(MOVIMIENTOS!$C$5:$C$400="A")*(MOVIMIENTOS!$D$5:$D$400="jabas")*(MOVIMIENTOS!$A$5:$A$400&lt;&gt;"")*(MOVIMIENTOS!$A$5:$A$400&lt;=$A45)*MOVIMIENTOS!$E$5:$E$400)-SUMPRODUCT((MOVIMIENTOS!$B$5:$B$400="TRASIEGO")*(MOVIMIENTOS!$C$5:$C$400="A")*(MOVIMIENTOS!$D$5:$D$400="jabas")*(MOVIMIENTOS!$A$5:$A$400&lt;&gt;"")*(MOVIMIENTOS!$A$5:$A$400&lt;=$A45)*MOVIMIENTOS!$E$5:$E$400)-SUMPRODUCT((MOVIMIENTOS!$B$5:$B$400="REGALO")*(MOVIMIENTOS!$C$5:$C$400="A")*(MOVIMIENTOS!$D$5:$D$400="jabas")*(MOVIMIENTOS!$A$5:$A$400&lt;&gt;"")*(MOVIMIENTOS!$A$5:$A$400&lt;=$A45)*MOVIMIENTOS!$E$5:$E$400)-SUMPRODUCT((MOVIMIENTOS!$B$5:$B$400="VENTA")*(MOVIMIENTOS!$C$5:$C$400="A")*(MOVIMIENTOS!$D$5:$D$400="jabas")*(MOVIMIENTOS!$A$5:$A$400&lt;&gt;"")*(MOVIMIENTOS!$A$5:$A$400&lt;=$A45)*MOVIMIENTOS!$E$5:$E$400)+SUMPRODUCT((MOVIMIENTOS!$B$5:$B$400="AJUSTE")*(MOVIMIENTOS!$C$5:$C$400="A")*(MOVIMIENTOS!$D$5:$D$400="jabas")*(MOVIMIENTOS!$A$5:$A$400&lt;&gt;"")*(MOVIMIENTOS!$A$5:$A$400&lt;=$A45)*MOVIMIENTOS!$E$5:$E$400))</f>
        <v/>
      </c>
      <c r="C45" s="46" t="str">
        <f aca="false">IF($A45="","",SUMPRODUCT((MOVIMIENTOS!$B$5:$B$400="SALDO INICIAL")*(MOVIMIENTOS!$C$5:$C$400="P")*(MOVIMIENTOS!$D$5:$D$400="jabas")*(MOVIMIENTOS!$A$5:$A$400&lt;&gt;"")*(MOVIMIENTOS!$A$5:$A$400&lt;=$A45)*MOVIMIENTOS!$E$5:$E$400)+SUMPRODUCT((MOVIMIENTOS!$B$5:$B$400="PROCESO")*(MOVIMIENTOS!$C$5:$C$400="P")*(MOVIMIENTOS!$D$5:$D$400="jabas")*(MOVIMIENTOS!$A$5:$A$400&lt;&gt;"")*(MOVIMIENTOS!$A$5:$A$400&lt;=$A45)*MOVIMIENTOS!$E$5:$E$400)-SUMPRODUCT((MOVIMIENTOS!$B$5:$B$400="ENVÍO A SUPESA")*(MOVIMIENTOS!$C$5:$C$400="P")*(MOVIMIENTOS!$D$5:$D$400="jabas")*(MOVIMIENTOS!$A$5:$A$400&lt;&gt;"")*(MOVIMIENTOS!$A$5:$A$400&lt;=$A45)*MOVIMIENTOS!$E$5:$E$400)+SUMPRODUCT((MOVIMIENTOS!$B$5:$B$400="DEVOLUCIÓN")*(MOVIMIENTOS!$C$5:$C$400="P")*(MOVIMIENTOS!$D$5:$D$400="jabas")*(MOVIMIENTOS!$A$5:$A$400&lt;&gt;"")*(MOVIMIENTOS!$A$5:$A$400&lt;=$A45)*MOVIMIENTOS!$E$5:$E$400)-SUMPRODUCT((MOVIMIENTOS!$B$5:$B$400="TRASIEGO")*(MOVIMIENTOS!$C$5:$C$400="P")*(MOVIMIENTOS!$D$5:$D$400="jabas")*(MOVIMIENTOS!$A$5:$A$400&lt;&gt;"")*(MOVIMIENTOS!$A$5:$A$400&lt;=$A45)*MOVIMIENTOS!$E$5:$E$400)-SUMPRODUCT((MOVIMIENTOS!$B$5:$B$400="REGALO")*(MOVIMIENTOS!$C$5:$C$400="P")*(MOVIMIENTOS!$D$5:$D$400="jabas")*(MOVIMIENTOS!$A$5:$A$400&lt;&gt;"")*(MOVIMIENTOS!$A$5:$A$400&lt;=$A45)*MOVIMIENTOS!$E$5:$E$400)-SUMPRODUCT((MOVIMIENTOS!$B$5:$B$400="VENTA")*(MOVIMIENTOS!$C$5:$C$400="P")*(MOVIMIENTOS!$D$5:$D$400="jabas")*(MOVIMIENTOS!$A$5:$A$400&lt;&gt;"")*(MOVIMIENTOS!$A$5:$A$400&lt;=$A45)*MOVIMIENTOS!$E$5:$E$400)+SUMPRODUCT((MOVIMIENTOS!$B$5:$B$400="AJUSTE")*(MOVIMIENTOS!$C$5:$C$400="P")*(MOVIMIENTOS!$D$5:$D$400="jabas")*(MOVIMIENTOS!$A$5:$A$400&lt;&gt;"")*(MOVIMIENTOS!$A$5:$A$400&lt;=$A45)*MOVIMIENTOS!$E$5:$E$400))</f>
        <v/>
      </c>
      <c r="D45" s="46" t="str">
        <f aca="false">IF($A45="","",SUMPRODUCT((MOVIMIENTOS!$B$5:$B$400="SALDO INICIAL")*(MOVIMIENTOS!$C$5:$C$400="C")*(MOVIMIENTOS!$D$5:$D$400="jabas")*(MOVIMIENTOS!$A$5:$A$400&lt;&gt;"")*(MOVIMIENTOS!$A$5:$A$400&lt;=$A45)*MOVIMIENTOS!$E$5:$E$400)+SUMPRODUCT((MOVIMIENTOS!$B$5:$B$400="PROCESO")*(MOVIMIENTOS!$C$5:$C$400="C")*(MOVIMIENTOS!$D$5:$D$400="jabas")*(MOVIMIENTOS!$A$5:$A$400&lt;&gt;"")*(MOVIMIENTOS!$A$5:$A$400&lt;=$A45)*MOVIMIENTOS!$E$5:$E$400)-SUMPRODUCT((MOVIMIENTOS!$B$5:$B$400="ENVÍO A SUPESA")*(MOVIMIENTOS!$C$5:$C$400="C")*(MOVIMIENTOS!$D$5:$D$400="jabas")*(MOVIMIENTOS!$A$5:$A$400&lt;&gt;"")*(MOVIMIENTOS!$A$5:$A$400&lt;=$A45)*MOVIMIENTOS!$E$5:$E$400)+SUMPRODUCT((MOVIMIENTOS!$B$5:$B$400="DEVOLUCIÓN")*(MOVIMIENTOS!$C$5:$C$400="C")*(MOVIMIENTOS!$D$5:$D$400="jabas")*(MOVIMIENTOS!$A$5:$A$400&lt;&gt;"")*(MOVIMIENTOS!$A$5:$A$400&lt;=$A45)*MOVIMIENTOS!$E$5:$E$400)-SUMPRODUCT((MOVIMIENTOS!$B$5:$B$400="TRASIEGO")*(MOVIMIENTOS!$C$5:$C$400="C")*(MOVIMIENTOS!$D$5:$D$400="jabas")*(MOVIMIENTOS!$A$5:$A$400&lt;&gt;"")*(MOVIMIENTOS!$A$5:$A$400&lt;=$A45)*MOVIMIENTOS!$E$5:$E$400)-SUMPRODUCT((MOVIMIENTOS!$B$5:$B$400="REGALO")*(MOVIMIENTOS!$C$5:$C$400="C")*(MOVIMIENTOS!$D$5:$D$400="jabas")*(MOVIMIENTOS!$A$5:$A$400&lt;&gt;"")*(MOVIMIENTOS!$A$5:$A$400&lt;=$A45)*MOVIMIENTOS!$E$5:$E$400)-SUMPRODUCT((MOVIMIENTOS!$B$5:$B$400="VENTA")*(MOVIMIENTOS!$C$5:$C$400="C")*(MOVIMIENTOS!$D$5:$D$400="jabas")*(MOVIMIENTOS!$A$5:$A$400&lt;&gt;"")*(MOVIMIENTOS!$A$5:$A$400&lt;=$A45)*MOVIMIENTOS!$E$5:$E$400)+SUMPRODUCT((MOVIMIENTOS!$B$5:$B$400="AJUSTE")*(MOVIMIENTOS!$C$5:$C$400="C")*(MOVIMIENTOS!$D$5:$D$400="jabas")*(MOVIMIENTOS!$A$5:$A$400&lt;&gt;"")*(MOVIMIENTOS!$A$5:$A$400&lt;=$A45)*MOVIMIENTOS!$E$5:$E$400))</f>
        <v/>
      </c>
      <c r="E45" s="46" t="str">
        <f aca="false">IF($A45="","",SUMPRODUCT((MOVIMIENTOS!$B$5:$B$400="SALDO INICIAL")*(MOVIMIENTOS!$C$5:$C$400="M")*(MOVIMIENTOS!$D$5:$D$400="jabas")*(MOVIMIENTOS!$A$5:$A$400&lt;&gt;"")*(MOVIMIENTOS!$A$5:$A$400&lt;=$A45)*MOVIMIENTOS!$E$5:$E$400)+SUMPRODUCT((MOVIMIENTOS!$B$5:$B$400="PROCESO")*(MOVIMIENTOS!$C$5:$C$400="M")*(MOVIMIENTOS!$D$5:$D$400="jabas")*(MOVIMIENTOS!$A$5:$A$400&lt;&gt;"")*(MOVIMIENTOS!$A$5:$A$400&lt;=$A45)*MOVIMIENTOS!$E$5:$E$400)-SUMPRODUCT((MOVIMIENTOS!$B$5:$B$400="ENVÍO A SUPESA")*(MOVIMIENTOS!$C$5:$C$400="M")*(MOVIMIENTOS!$D$5:$D$400="jabas")*(MOVIMIENTOS!$A$5:$A$400&lt;&gt;"")*(MOVIMIENTOS!$A$5:$A$400&lt;=$A45)*MOVIMIENTOS!$E$5:$E$400)+SUMPRODUCT((MOVIMIENTOS!$B$5:$B$400="DEVOLUCIÓN")*(MOVIMIENTOS!$C$5:$C$400="M")*(MOVIMIENTOS!$D$5:$D$400="jabas")*(MOVIMIENTOS!$A$5:$A$400&lt;&gt;"")*(MOVIMIENTOS!$A$5:$A$400&lt;=$A45)*MOVIMIENTOS!$E$5:$E$400)-SUMPRODUCT((MOVIMIENTOS!$B$5:$B$400="TRASIEGO")*(MOVIMIENTOS!$C$5:$C$400="M")*(MOVIMIENTOS!$D$5:$D$400="jabas")*(MOVIMIENTOS!$A$5:$A$400&lt;&gt;"")*(MOVIMIENTOS!$A$5:$A$400&lt;=$A45)*MOVIMIENTOS!$E$5:$E$400)-SUMPRODUCT((MOVIMIENTOS!$B$5:$B$400="REGALO")*(MOVIMIENTOS!$C$5:$C$400="M")*(MOVIMIENTOS!$D$5:$D$400="jabas")*(MOVIMIENTOS!$A$5:$A$400&lt;&gt;"")*(MOVIMIENTOS!$A$5:$A$400&lt;=$A45)*MOVIMIENTOS!$E$5:$E$400)-SUMPRODUCT((MOVIMIENTOS!$B$5:$B$400="VENTA")*(MOVIMIENTOS!$C$5:$C$400="M")*(MOVIMIENTOS!$D$5:$D$400="jabas")*(MOVIMIENTOS!$A$5:$A$400&lt;&gt;"")*(MOVIMIENTOS!$A$5:$A$400&lt;=$A45)*MOVIMIENTOS!$E$5:$E$400)+SUMPRODUCT((MOVIMIENTOS!$B$5:$B$400="AJUSTE")*(MOVIMIENTOS!$C$5:$C$400="M")*(MOVIMIENTOS!$D$5:$D$400="jabas")*(MOVIMIENTOS!$A$5:$A$400&lt;&gt;"")*(MOVIMIENTOS!$A$5:$A$400&lt;=$A45)*MOVIMIENTOS!$E$5:$E$400))</f>
        <v/>
      </c>
      <c r="F45" s="46" t="str">
        <f aca="false">IF($A45="","",SUMPRODUCT((MOVIMIENTOS!$B$5:$B$400="SALDO INICIAL")*(MOVIMIENTOS!$C$5:$C$400="Chancho")*(MOVIMIENTOS!$D$5:$D$400="sacos")*(MOVIMIENTOS!$A$5:$A$400&lt;&gt;"")*(MOVIMIENTOS!$A$5:$A$400&lt;=$A45)*MOVIMIENTOS!$E$5:$E$400)+SUMPRODUCT((MOVIMIENTOS!$B$5:$B$400="PROCESO")*(MOVIMIENTOS!$C$5:$C$400="Chancho")*(MOVIMIENTOS!$D$5:$D$400="sacos")*(MOVIMIENTOS!$A$5:$A$400&lt;&gt;"")*(MOVIMIENTOS!$A$5:$A$400&lt;=$A45)*MOVIMIENTOS!$E$5:$E$400)-SUMPRODUCT((MOVIMIENTOS!$B$5:$B$400="VENTA CHANCHO")*(MOVIMIENTOS!$C$5:$C$400="Chancho")*(MOVIMIENTOS!$D$5:$D$400="sacos")*(MOVIMIENTOS!$A$5:$A$400&lt;&gt;"")*(MOVIMIENTOS!$A$5:$A$400&lt;=$A45)*MOVIMIENTOS!$E$5:$E$400)-SUMPRODUCT((MOVIMIENTOS!$B$5:$B$400="REGALO")*(MOVIMIENTOS!$C$5:$C$400="Chancho")*(MOVIMIENTOS!$D$5:$D$400="sacos")*(MOVIMIENTOS!$A$5:$A$400&lt;&gt;"")*(MOVIMIENTOS!$A$5:$A$400&lt;=$A45)*MOVIMIENTOS!$E$5:$E$400)-SUMPRODUCT((MOVIMIENTOS!$B$5:$B$400="VENTA")*(MOVIMIENTOS!$C$5:$C$400="Chancho")*(MOVIMIENTOS!$D$5:$D$400="sacos")*(MOVIMIENTOS!$A$5:$A$400&lt;&gt;"")*(MOVIMIENTOS!$A$5:$A$400&lt;=$A45)*MOVIMIENTOS!$E$5:$E$400)+SUMPRODUCT((MOVIMIENTOS!$B$5:$B$400="AJUSTE")*(MOVIMIENTOS!$C$5:$C$400="Chancho")*(MOVIMIENTOS!$D$5:$D$400="sacos")*(MOVIMIENTOS!$A$5:$A$400&lt;&gt;"")*(MOVIMIENTOS!$A$5:$A$400&lt;=$A45)*MOVIMIENTOS!$E$5:$E$400))</f>
        <v/>
      </c>
      <c r="G45" s="46" t="str">
        <f aca="false">IF($A45="","",SUM(B45:E45))</f>
        <v/>
      </c>
      <c r="H45" s="46" t="str">
        <f aca="false">IF($A45="","",SUMPRODUCT((((MOVIMIENTOS!$B$5:$B$400="SALDO INICIAL")*(MOVIMIENTOS!$C$5:$C$400&lt;&gt;"Chancho"))+(MOVIMIENTOS!$B$5:$B$400="COMPRA")+(MOVIMIENTOS!$B$5:$B$400="REPROCESO")+(MOVIMIENTOS!$B$5:$B$400="DEVOLUCIÓN")+((MOVIMIENTOS!$B$5:$B$400="AJUSTE")*(MOVIMIENTOS!$C$5:$C$400&lt;&gt;"Chancho")))*(MOVIMIENTOS!$A$5:$A$400&lt;&gt;"")*(MOVIMIENTOS!$A$5:$A$400&lt;=$A45)*MOVIMIENTOS!$I$5:$I$400)-SUMPRODUCT(((MOVIMIENTOS!$B$5:$B$400="ENVÍO A SUPESA")+(MOVIMIENTOS!$B$5:$B$400="ENVÍO A TOTTUS")+(MOVIMIENTOS!$B$5:$B$400="ENVIO A TOTTUS")+(MOVIMIENTOS!$B$5:$B$400="MALOGRADO")+(MOVIMIENTOS!$B$5:$B$400="OTRA SALIDA")+((MOVIMIENTOS!$B$5:$B$400="PROCESO")*(MOVIMIENTOS!$C$5:$C$400="Chancho"))+((MOVIMIENTOS!$B$5:$B$400="REGALO")*(MOVIMIENTOS!$C$5:$C$400&lt;&gt;"Chancho"))+((MOVIMIENTOS!$B$5:$B$400="VENTA")*(MOVIMIENTOS!$C$5:$C$400&lt;&gt;"Chancho")))*(MOVIMIENTOS!$A$5:$A$400&lt;&gt;"")*(MOVIMIENTOS!$A$5:$A$400&lt;=$A45)*MOVIMIENTOS!$I$5:$I$400))</f>
        <v/>
      </c>
      <c r="I45" s="44"/>
      <c r="J45" s="44" t="str">
        <f aca="false">IF(AND(MOVIMIENTOS!$A45&lt;&gt;"",COUNTIF(MOVIMIENTOS!$A$5:$A44,MOVIMIENTOS!$A45)=0),COUNT(J$4:J44)+1,"")</f>
        <v/>
      </c>
      <c r="K45" s="47" t="n">
        <f aca="false">MOVIMIENTOS!$A45</f>
        <v>46218</v>
      </c>
      <c r="L45" s="44"/>
      <c r="M45" s="44"/>
      <c r="N45" s="44"/>
    </row>
    <row r="46" customFormat="false" ht="15" hidden="false" customHeight="true" outlineLevel="0" collapsed="false">
      <c r="A46" s="45" t="str">
        <f aca="false">IFERROR(INDEX(K$5:K$400,MATCH(ROW()-4,J$5:J$400,0)),"")</f>
        <v/>
      </c>
      <c r="B46" s="46" t="str">
        <f aca="false">IF($A46="","",SUMPRODUCT((MOVIMIENTOS!$B$5:$B$400="SALDO INICIAL")*(MOVIMIENTOS!$C$5:$C$400="A")*(MOVIMIENTOS!$D$5:$D$400="jabas")*(MOVIMIENTOS!$A$5:$A$400&lt;&gt;"")*(MOVIMIENTOS!$A$5:$A$400&lt;=$A46)*MOVIMIENTOS!$E$5:$E$400)+SUMPRODUCT((MOVIMIENTOS!$B$5:$B$400="PROCESO")*(MOVIMIENTOS!$C$5:$C$400="A")*(MOVIMIENTOS!$D$5:$D$400="jabas")*(MOVIMIENTOS!$A$5:$A$400&lt;&gt;"")*(MOVIMIENTOS!$A$5:$A$400&lt;=$A46)*MOVIMIENTOS!$E$5:$E$400)-SUMPRODUCT((MOVIMIENTOS!$B$5:$B$400="ENVÍO A SUPESA")*(MOVIMIENTOS!$C$5:$C$400="A")*(MOVIMIENTOS!$D$5:$D$400="jabas")*(MOVIMIENTOS!$A$5:$A$400&lt;&gt;"")*(MOVIMIENTOS!$A$5:$A$400&lt;=$A46)*MOVIMIENTOS!$E$5:$E$400)+SUMPRODUCT((MOVIMIENTOS!$B$5:$B$400="DEVOLUCIÓN")*(MOVIMIENTOS!$C$5:$C$400="A")*(MOVIMIENTOS!$D$5:$D$400="jabas")*(MOVIMIENTOS!$A$5:$A$400&lt;&gt;"")*(MOVIMIENTOS!$A$5:$A$400&lt;=$A46)*MOVIMIENTOS!$E$5:$E$400)-SUMPRODUCT((MOVIMIENTOS!$B$5:$B$400="TRASIEGO")*(MOVIMIENTOS!$C$5:$C$400="A")*(MOVIMIENTOS!$D$5:$D$400="jabas")*(MOVIMIENTOS!$A$5:$A$400&lt;&gt;"")*(MOVIMIENTOS!$A$5:$A$400&lt;=$A46)*MOVIMIENTOS!$E$5:$E$400)-SUMPRODUCT((MOVIMIENTOS!$B$5:$B$400="REGALO")*(MOVIMIENTOS!$C$5:$C$400="A")*(MOVIMIENTOS!$D$5:$D$400="jabas")*(MOVIMIENTOS!$A$5:$A$400&lt;&gt;"")*(MOVIMIENTOS!$A$5:$A$400&lt;=$A46)*MOVIMIENTOS!$E$5:$E$400)-SUMPRODUCT((MOVIMIENTOS!$B$5:$B$400="VENTA")*(MOVIMIENTOS!$C$5:$C$400="A")*(MOVIMIENTOS!$D$5:$D$400="jabas")*(MOVIMIENTOS!$A$5:$A$400&lt;&gt;"")*(MOVIMIENTOS!$A$5:$A$400&lt;=$A46)*MOVIMIENTOS!$E$5:$E$400)+SUMPRODUCT((MOVIMIENTOS!$B$5:$B$400="AJUSTE")*(MOVIMIENTOS!$C$5:$C$400="A")*(MOVIMIENTOS!$D$5:$D$400="jabas")*(MOVIMIENTOS!$A$5:$A$400&lt;&gt;"")*(MOVIMIENTOS!$A$5:$A$400&lt;=$A46)*MOVIMIENTOS!$E$5:$E$400))</f>
        <v/>
      </c>
      <c r="C46" s="46" t="str">
        <f aca="false">IF($A46="","",SUMPRODUCT((MOVIMIENTOS!$B$5:$B$400="SALDO INICIAL")*(MOVIMIENTOS!$C$5:$C$400="P")*(MOVIMIENTOS!$D$5:$D$400="jabas")*(MOVIMIENTOS!$A$5:$A$400&lt;&gt;"")*(MOVIMIENTOS!$A$5:$A$400&lt;=$A46)*MOVIMIENTOS!$E$5:$E$400)+SUMPRODUCT((MOVIMIENTOS!$B$5:$B$400="PROCESO")*(MOVIMIENTOS!$C$5:$C$400="P")*(MOVIMIENTOS!$D$5:$D$400="jabas")*(MOVIMIENTOS!$A$5:$A$400&lt;&gt;"")*(MOVIMIENTOS!$A$5:$A$400&lt;=$A46)*MOVIMIENTOS!$E$5:$E$400)-SUMPRODUCT((MOVIMIENTOS!$B$5:$B$400="ENVÍO A SUPESA")*(MOVIMIENTOS!$C$5:$C$400="P")*(MOVIMIENTOS!$D$5:$D$400="jabas")*(MOVIMIENTOS!$A$5:$A$400&lt;&gt;"")*(MOVIMIENTOS!$A$5:$A$400&lt;=$A46)*MOVIMIENTOS!$E$5:$E$400)+SUMPRODUCT((MOVIMIENTOS!$B$5:$B$400="DEVOLUCIÓN")*(MOVIMIENTOS!$C$5:$C$400="P")*(MOVIMIENTOS!$D$5:$D$400="jabas")*(MOVIMIENTOS!$A$5:$A$400&lt;&gt;"")*(MOVIMIENTOS!$A$5:$A$400&lt;=$A46)*MOVIMIENTOS!$E$5:$E$400)-SUMPRODUCT((MOVIMIENTOS!$B$5:$B$400="TRASIEGO")*(MOVIMIENTOS!$C$5:$C$400="P")*(MOVIMIENTOS!$D$5:$D$400="jabas")*(MOVIMIENTOS!$A$5:$A$400&lt;&gt;"")*(MOVIMIENTOS!$A$5:$A$400&lt;=$A46)*MOVIMIENTOS!$E$5:$E$400)-SUMPRODUCT((MOVIMIENTOS!$B$5:$B$400="REGALO")*(MOVIMIENTOS!$C$5:$C$400="P")*(MOVIMIENTOS!$D$5:$D$400="jabas")*(MOVIMIENTOS!$A$5:$A$400&lt;&gt;"")*(MOVIMIENTOS!$A$5:$A$400&lt;=$A46)*MOVIMIENTOS!$E$5:$E$400)-SUMPRODUCT((MOVIMIENTOS!$B$5:$B$400="VENTA")*(MOVIMIENTOS!$C$5:$C$400="P")*(MOVIMIENTOS!$D$5:$D$400="jabas")*(MOVIMIENTOS!$A$5:$A$400&lt;&gt;"")*(MOVIMIENTOS!$A$5:$A$400&lt;=$A46)*MOVIMIENTOS!$E$5:$E$400)+SUMPRODUCT((MOVIMIENTOS!$B$5:$B$400="AJUSTE")*(MOVIMIENTOS!$C$5:$C$400="P")*(MOVIMIENTOS!$D$5:$D$400="jabas")*(MOVIMIENTOS!$A$5:$A$400&lt;&gt;"")*(MOVIMIENTOS!$A$5:$A$400&lt;=$A46)*MOVIMIENTOS!$E$5:$E$400))</f>
        <v/>
      </c>
      <c r="D46" s="46" t="str">
        <f aca="false">IF($A46="","",SUMPRODUCT((MOVIMIENTOS!$B$5:$B$400="SALDO INICIAL")*(MOVIMIENTOS!$C$5:$C$400="C")*(MOVIMIENTOS!$D$5:$D$400="jabas")*(MOVIMIENTOS!$A$5:$A$400&lt;&gt;"")*(MOVIMIENTOS!$A$5:$A$400&lt;=$A46)*MOVIMIENTOS!$E$5:$E$400)+SUMPRODUCT((MOVIMIENTOS!$B$5:$B$400="PROCESO")*(MOVIMIENTOS!$C$5:$C$400="C")*(MOVIMIENTOS!$D$5:$D$400="jabas")*(MOVIMIENTOS!$A$5:$A$400&lt;&gt;"")*(MOVIMIENTOS!$A$5:$A$400&lt;=$A46)*MOVIMIENTOS!$E$5:$E$400)-SUMPRODUCT((MOVIMIENTOS!$B$5:$B$400="ENVÍO A SUPESA")*(MOVIMIENTOS!$C$5:$C$400="C")*(MOVIMIENTOS!$D$5:$D$400="jabas")*(MOVIMIENTOS!$A$5:$A$400&lt;&gt;"")*(MOVIMIENTOS!$A$5:$A$400&lt;=$A46)*MOVIMIENTOS!$E$5:$E$400)+SUMPRODUCT((MOVIMIENTOS!$B$5:$B$400="DEVOLUCIÓN")*(MOVIMIENTOS!$C$5:$C$400="C")*(MOVIMIENTOS!$D$5:$D$400="jabas")*(MOVIMIENTOS!$A$5:$A$400&lt;&gt;"")*(MOVIMIENTOS!$A$5:$A$400&lt;=$A46)*MOVIMIENTOS!$E$5:$E$400)-SUMPRODUCT((MOVIMIENTOS!$B$5:$B$400="TRASIEGO")*(MOVIMIENTOS!$C$5:$C$400="C")*(MOVIMIENTOS!$D$5:$D$400="jabas")*(MOVIMIENTOS!$A$5:$A$400&lt;&gt;"")*(MOVIMIENTOS!$A$5:$A$400&lt;=$A46)*MOVIMIENTOS!$E$5:$E$400)-SUMPRODUCT((MOVIMIENTOS!$B$5:$B$400="REGALO")*(MOVIMIENTOS!$C$5:$C$400="C")*(MOVIMIENTOS!$D$5:$D$400="jabas")*(MOVIMIENTOS!$A$5:$A$400&lt;&gt;"")*(MOVIMIENTOS!$A$5:$A$400&lt;=$A46)*MOVIMIENTOS!$E$5:$E$400)-SUMPRODUCT((MOVIMIENTOS!$B$5:$B$400="VENTA")*(MOVIMIENTOS!$C$5:$C$400="C")*(MOVIMIENTOS!$D$5:$D$400="jabas")*(MOVIMIENTOS!$A$5:$A$400&lt;&gt;"")*(MOVIMIENTOS!$A$5:$A$400&lt;=$A46)*MOVIMIENTOS!$E$5:$E$400)+SUMPRODUCT((MOVIMIENTOS!$B$5:$B$400="AJUSTE")*(MOVIMIENTOS!$C$5:$C$400="C")*(MOVIMIENTOS!$D$5:$D$400="jabas")*(MOVIMIENTOS!$A$5:$A$400&lt;&gt;"")*(MOVIMIENTOS!$A$5:$A$400&lt;=$A46)*MOVIMIENTOS!$E$5:$E$400))</f>
        <v/>
      </c>
      <c r="E46" s="46" t="str">
        <f aca="false">IF($A46="","",SUMPRODUCT((MOVIMIENTOS!$B$5:$B$400="SALDO INICIAL")*(MOVIMIENTOS!$C$5:$C$400="M")*(MOVIMIENTOS!$D$5:$D$400="jabas")*(MOVIMIENTOS!$A$5:$A$400&lt;&gt;"")*(MOVIMIENTOS!$A$5:$A$400&lt;=$A46)*MOVIMIENTOS!$E$5:$E$400)+SUMPRODUCT((MOVIMIENTOS!$B$5:$B$400="PROCESO")*(MOVIMIENTOS!$C$5:$C$400="M")*(MOVIMIENTOS!$D$5:$D$400="jabas")*(MOVIMIENTOS!$A$5:$A$400&lt;&gt;"")*(MOVIMIENTOS!$A$5:$A$400&lt;=$A46)*MOVIMIENTOS!$E$5:$E$400)-SUMPRODUCT((MOVIMIENTOS!$B$5:$B$400="ENVÍO A SUPESA")*(MOVIMIENTOS!$C$5:$C$400="M")*(MOVIMIENTOS!$D$5:$D$400="jabas")*(MOVIMIENTOS!$A$5:$A$400&lt;&gt;"")*(MOVIMIENTOS!$A$5:$A$400&lt;=$A46)*MOVIMIENTOS!$E$5:$E$400)+SUMPRODUCT((MOVIMIENTOS!$B$5:$B$400="DEVOLUCIÓN")*(MOVIMIENTOS!$C$5:$C$400="M")*(MOVIMIENTOS!$D$5:$D$400="jabas")*(MOVIMIENTOS!$A$5:$A$400&lt;&gt;"")*(MOVIMIENTOS!$A$5:$A$400&lt;=$A46)*MOVIMIENTOS!$E$5:$E$400)-SUMPRODUCT((MOVIMIENTOS!$B$5:$B$400="TRASIEGO")*(MOVIMIENTOS!$C$5:$C$400="M")*(MOVIMIENTOS!$D$5:$D$400="jabas")*(MOVIMIENTOS!$A$5:$A$400&lt;&gt;"")*(MOVIMIENTOS!$A$5:$A$400&lt;=$A46)*MOVIMIENTOS!$E$5:$E$400)-SUMPRODUCT((MOVIMIENTOS!$B$5:$B$400="REGALO")*(MOVIMIENTOS!$C$5:$C$400="M")*(MOVIMIENTOS!$D$5:$D$400="jabas")*(MOVIMIENTOS!$A$5:$A$400&lt;&gt;"")*(MOVIMIENTOS!$A$5:$A$400&lt;=$A46)*MOVIMIENTOS!$E$5:$E$400)-SUMPRODUCT((MOVIMIENTOS!$B$5:$B$400="VENTA")*(MOVIMIENTOS!$C$5:$C$400="M")*(MOVIMIENTOS!$D$5:$D$400="jabas")*(MOVIMIENTOS!$A$5:$A$400&lt;&gt;"")*(MOVIMIENTOS!$A$5:$A$400&lt;=$A46)*MOVIMIENTOS!$E$5:$E$400)+SUMPRODUCT((MOVIMIENTOS!$B$5:$B$400="AJUSTE")*(MOVIMIENTOS!$C$5:$C$400="M")*(MOVIMIENTOS!$D$5:$D$400="jabas")*(MOVIMIENTOS!$A$5:$A$400&lt;&gt;"")*(MOVIMIENTOS!$A$5:$A$400&lt;=$A46)*MOVIMIENTOS!$E$5:$E$400))</f>
        <v/>
      </c>
      <c r="F46" s="46" t="str">
        <f aca="false">IF($A46="","",SUMPRODUCT((MOVIMIENTOS!$B$5:$B$400="SALDO INICIAL")*(MOVIMIENTOS!$C$5:$C$400="Chancho")*(MOVIMIENTOS!$D$5:$D$400="sacos")*(MOVIMIENTOS!$A$5:$A$400&lt;&gt;"")*(MOVIMIENTOS!$A$5:$A$400&lt;=$A46)*MOVIMIENTOS!$E$5:$E$400)+SUMPRODUCT((MOVIMIENTOS!$B$5:$B$400="PROCESO")*(MOVIMIENTOS!$C$5:$C$400="Chancho")*(MOVIMIENTOS!$D$5:$D$400="sacos")*(MOVIMIENTOS!$A$5:$A$400&lt;&gt;"")*(MOVIMIENTOS!$A$5:$A$400&lt;=$A46)*MOVIMIENTOS!$E$5:$E$400)-SUMPRODUCT((MOVIMIENTOS!$B$5:$B$400="VENTA CHANCHO")*(MOVIMIENTOS!$C$5:$C$400="Chancho")*(MOVIMIENTOS!$D$5:$D$400="sacos")*(MOVIMIENTOS!$A$5:$A$400&lt;&gt;"")*(MOVIMIENTOS!$A$5:$A$400&lt;=$A46)*MOVIMIENTOS!$E$5:$E$400)-SUMPRODUCT((MOVIMIENTOS!$B$5:$B$400="REGALO")*(MOVIMIENTOS!$C$5:$C$400="Chancho")*(MOVIMIENTOS!$D$5:$D$400="sacos")*(MOVIMIENTOS!$A$5:$A$400&lt;&gt;"")*(MOVIMIENTOS!$A$5:$A$400&lt;=$A46)*MOVIMIENTOS!$E$5:$E$400)-SUMPRODUCT((MOVIMIENTOS!$B$5:$B$400="VENTA")*(MOVIMIENTOS!$C$5:$C$400="Chancho")*(MOVIMIENTOS!$D$5:$D$400="sacos")*(MOVIMIENTOS!$A$5:$A$400&lt;&gt;"")*(MOVIMIENTOS!$A$5:$A$400&lt;=$A46)*MOVIMIENTOS!$E$5:$E$400)+SUMPRODUCT((MOVIMIENTOS!$B$5:$B$400="AJUSTE")*(MOVIMIENTOS!$C$5:$C$400="Chancho")*(MOVIMIENTOS!$D$5:$D$400="sacos")*(MOVIMIENTOS!$A$5:$A$400&lt;&gt;"")*(MOVIMIENTOS!$A$5:$A$400&lt;=$A46)*MOVIMIENTOS!$E$5:$E$400))</f>
        <v/>
      </c>
      <c r="G46" s="46" t="str">
        <f aca="false">IF($A46="","",SUM(B46:E46))</f>
        <v/>
      </c>
      <c r="H46" s="46" t="str">
        <f aca="false">IF($A46="","",SUMPRODUCT((((MOVIMIENTOS!$B$5:$B$400="SALDO INICIAL")*(MOVIMIENTOS!$C$5:$C$400&lt;&gt;"Chancho"))+(MOVIMIENTOS!$B$5:$B$400="COMPRA")+(MOVIMIENTOS!$B$5:$B$400="REPROCESO")+(MOVIMIENTOS!$B$5:$B$400="DEVOLUCIÓN")+((MOVIMIENTOS!$B$5:$B$400="AJUSTE")*(MOVIMIENTOS!$C$5:$C$400&lt;&gt;"Chancho")))*(MOVIMIENTOS!$A$5:$A$400&lt;&gt;"")*(MOVIMIENTOS!$A$5:$A$400&lt;=$A46)*MOVIMIENTOS!$I$5:$I$400)-SUMPRODUCT(((MOVIMIENTOS!$B$5:$B$400="ENVÍO A SUPESA")+(MOVIMIENTOS!$B$5:$B$400="ENVÍO A TOTTUS")+(MOVIMIENTOS!$B$5:$B$400="ENVIO A TOTTUS")+(MOVIMIENTOS!$B$5:$B$400="MALOGRADO")+(MOVIMIENTOS!$B$5:$B$400="OTRA SALIDA")+((MOVIMIENTOS!$B$5:$B$400="PROCESO")*(MOVIMIENTOS!$C$5:$C$400="Chancho"))+((MOVIMIENTOS!$B$5:$B$400="REGALO")*(MOVIMIENTOS!$C$5:$C$400&lt;&gt;"Chancho"))+((MOVIMIENTOS!$B$5:$B$400="VENTA")*(MOVIMIENTOS!$C$5:$C$400&lt;&gt;"Chancho")))*(MOVIMIENTOS!$A$5:$A$400&lt;&gt;"")*(MOVIMIENTOS!$A$5:$A$400&lt;=$A46)*MOVIMIENTOS!$I$5:$I$400))</f>
        <v/>
      </c>
      <c r="I46" s="44"/>
      <c r="J46" s="44" t="str">
        <f aca="false">IF(AND(MOVIMIENTOS!$A46&lt;&gt;"",COUNTIF(MOVIMIENTOS!$A$5:$A45,MOVIMIENTOS!$A46)=0),COUNT(J$4:J45)+1,"")</f>
        <v/>
      </c>
      <c r="K46" s="47" t="n">
        <f aca="false">MOVIMIENTOS!$A46</f>
        <v>46218</v>
      </c>
      <c r="L46" s="44"/>
      <c r="M46" s="44"/>
      <c r="N46" s="44"/>
    </row>
    <row r="47" customFormat="false" ht="15" hidden="false" customHeight="true" outlineLevel="0" collapsed="false">
      <c r="A47" s="45" t="str">
        <f aca="false">IFERROR(INDEX(K$5:K$400,MATCH(ROW()-4,J$5:J$400,0)),"")</f>
        <v/>
      </c>
      <c r="B47" s="46" t="str">
        <f aca="false">IF($A47="","",SUMPRODUCT((MOVIMIENTOS!$B$5:$B$400="SALDO INICIAL")*(MOVIMIENTOS!$C$5:$C$400="A")*(MOVIMIENTOS!$D$5:$D$400="jabas")*(MOVIMIENTOS!$A$5:$A$400&lt;&gt;"")*(MOVIMIENTOS!$A$5:$A$400&lt;=$A47)*MOVIMIENTOS!$E$5:$E$400)+SUMPRODUCT((MOVIMIENTOS!$B$5:$B$400="PROCESO")*(MOVIMIENTOS!$C$5:$C$400="A")*(MOVIMIENTOS!$D$5:$D$400="jabas")*(MOVIMIENTOS!$A$5:$A$400&lt;&gt;"")*(MOVIMIENTOS!$A$5:$A$400&lt;=$A47)*MOVIMIENTOS!$E$5:$E$400)-SUMPRODUCT((MOVIMIENTOS!$B$5:$B$400="ENVÍO A SUPESA")*(MOVIMIENTOS!$C$5:$C$400="A")*(MOVIMIENTOS!$D$5:$D$400="jabas")*(MOVIMIENTOS!$A$5:$A$400&lt;&gt;"")*(MOVIMIENTOS!$A$5:$A$400&lt;=$A47)*MOVIMIENTOS!$E$5:$E$400)+SUMPRODUCT((MOVIMIENTOS!$B$5:$B$400="DEVOLUCIÓN")*(MOVIMIENTOS!$C$5:$C$400="A")*(MOVIMIENTOS!$D$5:$D$400="jabas")*(MOVIMIENTOS!$A$5:$A$400&lt;&gt;"")*(MOVIMIENTOS!$A$5:$A$400&lt;=$A47)*MOVIMIENTOS!$E$5:$E$400)-SUMPRODUCT((MOVIMIENTOS!$B$5:$B$400="TRASIEGO")*(MOVIMIENTOS!$C$5:$C$400="A")*(MOVIMIENTOS!$D$5:$D$400="jabas")*(MOVIMIENTOS!$A$5:$A$400&lt;&gt;"")*(MOVIMIENTOS!$A$5:$A$400&lt;=$A47)*MOVIMIENTOS!$E$5:$E$400)-SUMPRODUCT((MOVIMIENTOS!$B$5:$B$400="REGALO")*(MOVIMIENTOS!$C$5:$C$400="A")*(MOVIMIENTOS!$D$5:$D$400="jabas")*(MOVIMIENTOS!$A$5:$A$400&lt;&gt;"")*(MOVIMIENTOS!$A$5:$A$400&lt;=$A47)*MOVIMIENTOS!$E$5:$E$400)-SUMPRODUCT((MOVIMIENTOS!$B$5:$B$400="VENTA")*(MOVIMIENTOS!$C$5:$C$400="A")*(MOVIMIENTOS!$D$5:$D$400="jabas")*(MOVIMIENTOS!$A$5:$A$400&lt;&gt;"")*(MOVIMIENTOS!$A$5:$A$400&lt;=$A47)*MOVIMIENTOS!$E$5:$E$400)+SUMPRODUCT((MOVIMIENTOS!$B$5:$B$400="AJUSTE")*(MOVIMIENTOS!$C$5:$C$400="A")*(MOVIMIENTOS!$D$5:$D$400="jabas")*(MOVIMIENTOS!$A$5:$A$400&lt;&gt;"")*(MOVIMIENTOS!$A$5:$A$400&lt;=$A47)*MOVIMIENTOS!$E$5:$E$400))</f>
        <v/>
      </c>
      <c r="C47" s="46" t="str">
        <f aca="false">IF($A47="","",SUMPRODUCT((MOVIMIENTOS!$B$5:$B$400="SALDO INICIAL")*(MOVIMIENTOS!$C$5:$C$400="P")*(MOVIMIENTOS!$D$5:$D$400="jabas")*(MOVIMIENTOS!$A$5:$A$400&lt;&gt;"")*(MOVIMIENTOS!$A$5:$A$400&lt;=$A47)*MOVIMIENTOS!$E$5:$E$400)+SUMPRODUCT((MOVIMIENTOS!$B$5:$B$400="PROCESO")*(MOVIMIENTOS!$C$5:$C$400="P")*(MOVIMIENTOS!$D$5:$D$400="jabas")*(MOVIMIENTOS!$A$5:$A$400&lt;&gt;"")*(MOVIMIENTOS!$A$5:$A$400&lt;=$A47)*MOVIMIENTOS!$E$5:$E$400)-SUMPRODUCT((MOVIMIENTOS!$B$5:$B$400="ENVÍO A SUPESA")*(MOVIMIENTOS!$C$5:$C$400="P")*(MOVIMIENTOS!$D$5:$D$400="jabas")*(MOVIMIENTOS!$A$5:$A$400&lt;&gt;"")*(MOVIMIENTOS!$A$5:$A$400&lt;=$A47)*MOVIMIENTOS!$E$5:$E$400)+SUMPRODUCT((MOVIMIENTOS!$B$5:$B$400="DEVOLUCIÓN")*(MOVIMIENTOS!$C$5:$C$400="P")*(MOVIMIENTOS!$D$5:$D$400="jabas")*(MOVIMIENTOS!$A$5:$A$400&lt;&gt;"")*(MOVIMIENTOS!$A$5:$A$400&lt;=$A47)*MOVIMIENTOS!$E$5:$E$400)-SUMPRODUCT((MOVIMIENTOS!$B$5:$B$400="TRASIEGO")*(MOVIMIENTOS!$C$5:$C$400="P")*(MOVIMIENTOS!$D$5:$D$400="jabas")*(MOVIMIENTOS!$A$5:$A$400&lt;&gt;"")*(MOVIMIENTOS!$A$5:$A$400&lt;=$A47)*MOVIMIENTOS!$E$5:$E$400)-SUMPRODUCT((MOVIMIENTOS!$B$5:$B$400="REGALO")*(MOVIMIENTOS!$C$5:$C$400="P")*(MOVIMIENTOS!$D$5:$D$400="jabas")*(MOVIMIENTOS!$A$5:$A$400&lt;&gt;"")*(MOVIMIENTOS!$A$5:$A$400&lt;=$A47)*MOVIMIENTOS!$E$5:$E$400)-SUMPRODUCT((MOVIMIENTOS!$B$5:$B$400="VENTA")*(MOVIMIENTOS!$C$5:$C$400="P")*(MOVIMIENTOS!$D$5:$D$400="jabas")*(MOVIMIENTOS!$A$5:$A$400&lt;&gt;"")*(MOVIMIENTOS!$A$5:$A$400&lt;=$A47)*MOVIMIENTOS!$E$5:$E$400)+SUMPRODUCT((MOVIMIENTOS!$B$5:$B$400="AJUSTE")*(MOVIMIENTOS!$C$5:$C$400="P")*(MOVIMIENTOS!$D$5:$D$400="jabas")*(MOVIMIENTOS!$A$5:$A$400&lt;&gt;"")*(MOVIMIENTOS!$A$5:$A$400&lt;=$A47)*MOVIMIENTOS!$E$5:$E$400))</f>
        <v/>
      </c>
      <c r="D47" s="46" t="str">
        <f aca="false">IF($A47="","",SUMPRODUCT((MOVIMIENTOS!$B$5:$B$400="SALDO INICIAL")*(MOVIMIENTOS!$C$5:$C$400="C")*(MOVIMIENTOS!$D$5:$D$400="jabas")*(MOVIMIENTOS!$A$5:$A$400&lt;&gt;"")*(MOVIMIENTOS!$A$5:$A$400&lt;=$A47)*MOVIMIENTOS!$E$5:$E$400)+SUMPRODUCT((MOVIMIENTOS!$B$5:$B$400="PROCESO")*(MOVIMIENTOS!$C$5:$C$400="C")*(MOVIMIENTOS!$D$5:$D$400="jabas")*(MOVIMIENTOS!$A$5:$A$400&lt;&gt;"")*(MOVIMIENTOS!$A$5:$A$400&lt;=$A47)*MOVIMIENTOS!$E$5:$E$400)-SUMPRODUCT((MOVIMIENTOS!$B$5:$B$400="ENVÍO A SUPESA")*(MOVIMIENTOS!$C$5:$C$400="C")*(MOVIMIENTOS!$D$5:$D$400="jabas")*(MOVIMIENTOS!$A$5:$A$400&lt;&gt;"")*(MOVIMIENTOS!$A$5:$A$400&lt;=$A47)*MOVIMIENTOS!$E$5:$E$400)+SUMPRODUCT((MOVIMIENTOS!$B$5:$B$400="DEVOLUCIÓN")*(MOVIMIENTOS!$C$5:$C$400="C")*(MOVIMIENTOS!$D$5:$D$400="jabas")*(MOVIMIENTOS!$A$5:$A$400&lt;&gt;"")*(MOVIMIENTOS!$A$5:$A$400&lt;=$A47)*MOVIMIENTOS!$E$5:$E$400)-SUMPRODUCT((MOVIMIENTOS!$B$5:$B$400="TRASIEGO")*(MOVIMIENTOS!$C$5:$C$400="C")*(MOVIMIENTOS!$D$5:$D$400="jabas")*(MOVIMIENTOS!$A$5:$A$400&lt;&gt;"")*(MOVIMIENTOS!$A$5:$A$400&lt;=$A47)*MOVIMIENTOS!$E$5:$E$400)-SUMPRODUCT((MOVIMIENTOS!$B$5:$B$400="REGALO")*(MOVIMIENTOS!$C$5:$C$400="C")*(MOVIMIENTOS!$D$5:$D$400="jabas")*(MOVIMIENTOS!$A$5:$A$400&lt;&gt;"")*(MOVIMIENTOS!$A$5:$A$400&lt;=$A47)*MOVIMIENTOS!$E$5:$E$400)-SUMPRODUCT((MOVIMIENTOS!$B$5:$B$400="VENTA")*(MOVIMIENTOS!$C$5:$C$400="C")*(MOVIMIENTOS!$D$5:$D$400="jabas")*(MOVIMIENTOS!$A$5:$A$400&lt;&gt;"")*(MOVIMIENTOS!$A$5:$A$400&lt;=$A47)*MOVIMIENTOS!$E$5:$E$400)+SUMPRODUCT((MOVIMIENTOS!$B$5:$B$400="AJUSTE")*(MOVIMIENTOS!$C$5:$C$400="C")*(MOVIMIENTOS!$D$5:$D$400="jabas")*(MOVIMIENTOS!$A$5:$A$400&lt;&gt;"")*(MOVIMIENTOS!$A$5:$A$400&lt;=$A47)*MOVIMIENTOS!$E$5:$E$400))</f>
        <v/>
      </c>
      <c r="E47" s="46" t="str">
        <f aca="false">IF($A47="","",SUMPRODUCT((MOVIMIENTOS!$B$5:$B$400="SALDO INICIAL")*(MOVIMIENTOS!$C$5:$C$400="M")*(MOVIMIENTOS!$D$5:$D$400="jabas")*(MOVIMIENTOS!$A$5:$A$400&lt;&gt;"")*(MOVIMIENTOS!$A$5:$A$400&lt;=$A47)*MOVIMIENTOS!$E$5:$E$400)+SUMPRODUCT((MOVIMIENTOS!$B$5:$B$400="PROCESO")*(MOVIMIENTOS!$C$5:$C$400="M")*(MOVIMIENTOS!$D$5:$D$400="jabas")*(MOVIMIENTOS!$A$5:$A$400&lt;&gt;"")*(MOVIMIENTOS!$A$5:$A$400&lt;=$A47)*MOVIMIENTOS!$E$5:$E$400)-SUMPRODUCT((MOVIMIENTOS!$B$5:$B$400="ENVÍO A SUPESA")*(MOVIMIENTOS!$C$5:$C$400="M")*(MOVIMIENTOS!$D$5:$D$400="jabas")*(MOVIMIENTOS!$A$5:$A$400&lt;&gt;"")*(MOVIMIENTOS!$A$5:$A$400&lt;=$A47)*MOVIMIENTOS!$E$5:$E$400)+SUMPRODUCT((MOVIMIENTOS!$B$5:$B$400="DEVOLUCIÓN")*(MOVIMIENTOS!$C$5:$C$400="M")*(MOVIMIENTOS!$D$5:$D$400="jabas")*(MOVIMIENTOS!$A$5:$A$400&lt;&gt;"")*(MOVIMIENTOS!$A$5:$A$400&lt;=$A47)*MOVIMIENTOS!$E$5:$E$400)-SUMPRODUCT((MOVIMIENTOS!$B$5:$B$400="TRASIEGO")*(MOVIMIENTOS!$C$5:$C$400="M")*(MOVIMIENTOS!$D$5:$D$400="jabas")*(MOVIMIENTOS!$A$5:$A$400&lt;&gt;"")*(MOVIMIENTOS!$A$5:$A$400&lt;=$A47)*MOVIMIENTOS!$E$5:$E$400)-SUMPRODUCT((MOVIMIENTOS!$B$5:$B$400="REGALO")*(MOVIMIENTOS!$C$5:$C$400="M")*(MOVIMIENTOS!$D$5:$D$400="jabas")*(MOVIMIENTOS!$A$5:$A$400&lt;&gt;"")*(MOVIMIENTOS!$A$5:$A$400&lt;=$A47)*MOVIMIENTOS!$E$5:$E$400)-SUMPRODUCT((MOVIMIENTOS!$B$5:$B$400="VENTA")*(MOVIMIENTOS!$C$5:$C$400="M")*(MOVIMIENTOS!$D$5:$D$400="jabas")*(MOVIMIENTOS!$A$5:$A$400&lt;&gt;"")*(MOVIMIENTOS!$A$5:$A$400&lt;=$A47)*MOVIMIENTOS!$E$5:$E$400)+SUMPRODUCT((MOVIMIENTOS!$B$5:$B$400="AJUSTE")*(MOVIMIENTOS!$C$5:$C$400="M")*(MOVIMIENTOS!$D$5:$D$400="jabas")*(MOVIMIENTOS!$A$5:$A$400&lt;&gt;"")*(MOVIMIENTOS!$A$5:$A$400&lt;=$A47)*MOVIMIENTOS!$E$5:$E$400))</f>
        <v/>
      </c>
      <c r="F47" s="46" t="str">
        <f aca="false">IF($A47="","",SUMPRODUCT((MOVIMIENTOS!$B$5:$B$400="SALDO INICIAL")*(MOVIMIENTOS!$C$5:$C$400="Chancho")*(MOVIMIENTOS!$D$5:$D$400="sacos")*(MOVIMIENTOS!$A$5:$A$400&lt;&gt;"")*(MOVIMIENTOS!$A$5:$A$400&lt;=$A47)*MOVIMIENTOS!$E$5:$E$400)+SUMPRODUCT((MOVIMIENTOS!$B$5:$B$400="PROCESO")*(MOVIMIENTOS!$C$5:$C$400="Chancho")*(MOVIMIENTOS!$D$5:$D$400="sacos")*(MOVIMIENTOS!$A$5:$A$400&lt;&gt;"")*(MOVIMIENTOS!$A$5:$A$400&lt;=$A47)*MOVIMIENTOS!$E$5:$E$400)-SUMPRODUCT((MOVIMIENTOS!$B$5:$B$400="VENTA CHANCHO")*(MOVIMIENTOS!$C$5:$C$400="Chancho")*(MOVIMIENTOS!$D$5:$D$400="sacos")*(MOVIMIENTOS!$A$5:$A$400&lt;&gt;"")*(MOVIMIENTOS!$A$5:$A$400&lt;=$A47)*MOVIMIENTOS!$E$5:$E$400)-SUMPRODUCT((MOVIMIENTOS!$B$5:$B$400="REGALO")*(MOVIMIENTOS!$C$5:$C$400="Chancho")*(MOVIMIENTOS!$D$5:$D$400="sacos")*(MOVIMIENTOS!$A$5:$A$400&lt;&gt;"")*(MOVIMIENTOS!$A$5:$A$400&lt;=$A47)*MOVIMIENTOS!$E$5:$E$400)-SUMPRODUCT((MOVIMIENTOS!$B$5:$B$400="VENTA")*(MOVIMIENTOS!$C$5:$C$400="Chancho")*(MOVIMIENTOS!$D$5:$D$400="sacos")*(MOVIMIENTOS!$A$5:$A$400&lt;&gt;"")*(MOVIMIENTOS!$A$5:$A$400&lt;=$A47)*MOVIMIENTOS!$E$5:$E$400)+SUMPRODUCT((MOVIMIENTOS!$B$5:$B$400="AJUSTE")*(MOVIMIENTOS!$C$5:$C$400="Chancho")*(MOVIMIENTOS!$D$5:$D$400="sacos")*(MOVIMIENTOS!$A$5:$A$400&lt;&gt;"")*(MOVIMIENTOS!$A$5:$A$400&lt;=$A47)*MOVIMIENTOS!$E$5:$E$400))</f>
        <v/>
      </c>
      <c r="G47" s="46" t="str">
        <f aca="false">IF($A47="","",SUM(B47:E47))</f>
        <v/>
      </c>
      <c r="H47" s="46" t="str">
        <f aca="false">IF($A47="","",SUMPRODUCT((((MOVIMIENTOS!$B$5:$B$400="SALDO INICIAL")*(MOVIMIENTOS!$C$5:$C$400&lt;&gt;"Chancho"))+(MOVIMIENTOS!$B$5:$B$400="COMPRA")+(MOVIMIENTOS!$B$5:$B$400="REPROCESO")+(MOVIMIENTOS!$B$5:$B$400="DEVOLUCIÓN")+((MOVIMIENTOS!$B$5:$B$400="AJUSTE")*(MOVIMIENTOS!$C$5:$C$400&lt;&gt;"Chancho")))*(MOVIMIENTOS!$A$5:$A$400&lt;&gt;"")*(MOVIMIENTOS!$A$5:$A$400&lt;=$A47)*MOVIMIENTOS!$I$5:$I$400)-SUMPRODUCT(((MOVIMIENTOS!$B$5:$B$400="ENVÍO A SUPESA")+(MOVIMIENTOS!$B$5:$B$400="ENVÍO A TOTTUS")+(MOVIMIENTOS!$B$5:$B$400="ENVIO A TOTTUS")+(MOVIMIENTOS!$B$5:$B$400="MALOGRADO")+(MOVIMIENTOS!$B$5:$B$400="OTRA SALIDA")+((MOVIMIENTOS!$B$5:$B$400="PROCESO")*(MOVIMIENTOS!$C$5:$C$400="Chancho"))+((MOVIMIENTOS!$B$5:$B$400="REGALO")*(MOVIMIENTOS!$C$5:$C$400&lt;&gt;"Chancho"))+((MOVIMIENTOS!$B$5:$B$400="VENTA")*(MOVIMIENTOS!$C$5:$C$400&lt;&gt;"Chancho")))*(MOVIMIENTOS!$A$5:$A$400&lt;&gt;"")*(MOVIMIENTOS!$A$5:$A$400&lt;=$A47)*MOVIMIENTOS!$I$5:$I$400))</f>
        <v/>
      </c>
      <c r="I47" s="44"/>
      <c r="J47" s="44" t="str">
        <f aca="false">IF(AND(MOVIMIENTOS!$A47&lt;&gt;"",COUNTIF(MOVIMIENTOS!$A$5:$A46,MOVIMIENTOS!$A47)=0),COUNT(J$4:J46)+1,"")</f>
        <v/>
      </c>
      <c r="K47" s="47" t="n">
        <f aca="false">MOVIMIENTOS!$A47</f>
        <v>46218</v>
      </c>
      <c r="L47" s="44"/>
      <c r="M47" s="44"/>
      <c r="N47" s="44"/>
    </row>
    <row r="48" customFormat="false" ht="15" hidden="false" customHeight="true" outlineLevel="0" collapsed="false">
      <c r="A48" s="45" t="str">
        <f aca="false">IFERROR(INDEX(K$5:K$400,MATCH(ROW()-4,J$5:J$400,0)),"")</f>
        <v/>
      </c>
      <c r="B48" s="46" t="str">
        <f aca="false">IF($A48="","",SUMPRODUCT((MOVIMIENTOS!$B$5:$B$400="SALDO INICIAL")*(MOVIMIENTOS!$C$5:$C$400="A")*(MOVIMIENTOS!$D$5:$D$400="jabas")*(MOVIMIENTOS!$A$5:$A$400&lt;&gt;"")*(MOVIMIENTOS!$A$5:$A$400&lt;=$A48)*MOVIMIENTOS!$E$5:$E$400)+SUMPRODUCT((MOVIMIENTOS!$B$5:$B$400="PROCESO")*(MOVIMIENTOS!$C$5:$C$400="A")*(MOVIMIENTOS!$D$5:$D$400="jabas")*(MOVIMIENTOS!$A$5:$A$400&lt;&gt;"")*(MOVIMIENTOS!$A$5:$A$400&lt;=$A48)*MOVIMIENTOS!$E$5:$E$400)-SUMPRODUCT((MOVIMIENTOS!$B$5:$B$400="ENVÍO A SUPESA")*(MOVIMIENTOS!$C$5:$C$400="A")*(MOVIMIENTOS!$D$5:$D$400="jabas")*(MOVIMIENTOS!$A$5:$A$400&lt;&gt;"")*(MOVIMIENTOS!$A$5:$A$400&lt;=$A48)*MOVIMIENTOS!$E$5:$E$400)+SUMPRODUCT((MOVIMIENTOS!$B$5:$B$400="DEVOLUCIÓN")*(MOVIMIENTOS!$C$5:$C$400="A")*(MOVIMIENTOS!$D$5:$D$400="jabas")*(MOVIMIENTOS!$A$5:$A$400&lt;&gt;"")*(MOVIMIENTOS!$A$5:$A$400&lt;=$A48)*MOVIMIENTOS!$E$5:$E$400)-SUMPRODUCT((MOVIMIENTOS!$B$5:$B$400="TRASIEGO")*(MOVIMIENTOS!$C$5:$C$400="A")*(MOVIMIENTOS!$D$5:$D$400="jabas")*(MOVIMIENTOS!$A$5:$A$400&lt;&gt;"")*(MOVIMIENTOS!$A$5:$A$400&lt;=$A48)*MOVIMIENTOS!$E$5:$E$400)-SUMPRODUCT((MOVIMIENTOS!$B$5:$B$400="REGALO")*(MOVIMIENTOS!$C$5:$C$400="A")*(MOVIMIENTOS!$D$5:$D$400="jabas")*(MOVIMIENTOS!$A$5:$A$400&lt;&gt;"")*(MOVIMIENTOS!$A$5:$A$400&lt;=$A48)*MOVIMIENTOS!$E$5:$E$400)-SUMPRODUCT((MOVIMIENTOS!$B$5:$B$400="VENTA")*(MOVIMIENTOS!$C$5:$C$400="A")*(MOVIMIENTOS!$D$5:$D$400="jabas")*(MOVIMIENTOS!$A$5:$A$400&lt;&gt;"")*(MOVIMIENTOS!$A$5:$A$400&lt;=$A48)*MOVIMIENTOS!$E$5:$E$400)+SUMPRODUCT((MOVIMIENTOS!$B$5:$B$400="AJUSTE")*(MOVIMIENTOS!$C$5:$C$400="A")*(MOVIMIENTOS!$D$5:$D$400="jabas")*(MOVIMIENTOS!$A$5:$A$400&lt;&gt;"")*(MOVIMIENTOS!$A$5:$A$400&lt;=$A48)*MOVIMIENTOS!$E$5:$E$400))</f>
        <v/>
      </c>
      <c r="C48" s="46" t="str">
        <f aca="false">IF($A48="","",SUMPRODUCT((MOVIMIENTOS!$B$5:$B$400="SALDO INICIAL")*(MOVIMIENTOS!$C$5:$C$400="P")*(MOVIMIENTOS!$D$5:$D$400="jabas")*(MOVIMIENTOS!$A$5:$A$400&lt;&gt;"")*(MOVIMIENTOS!$A$5:$A$400&lt;=$A48)*MOVIMIENTOS!$E$5:$E$400)+SUMPRODUCT((MOVIMIENTOS!$B$5:$B$400="PROCESO")*(MOVIMIENTOS!$C$5:$C$400="P")*(MOVIMIENTOS!$D$5:$D$400="jabas")*(MOVIMIENTOS!$A$5:$A$400&lt;&gt;"")*(MOVIMIENTOS!$A$5:$A$400&lt;=$A48)*MOVIMIENTOS!$E$5:$E$400)-SUMPRODUCT((MOVIMIENTOS!$B$5:$B$400="ENVÍO A SUPESA")*(MOVIMIENTOS!$C$5:$C$400="P")*(MOVIMIENTOS!$D$5:$D$400="jabas")*(MOVIMIENTOS!$A$5:$A$400&lt;&gt;"")*(MOVIMIENTOS!$A$5:$A$400&lt;=$A48)*MOVIMIENTOS!$E$5:$E$400)+SUMPRODUCT((MOVIMIENTOS!$B$5:$B$400="DEVOLUCIÓN")*(MOVIMIENTOS!$C$5:$C$400="P")*(MOVIMIENTOS!$D$5:$D$400="jabas")*(MOVIMIENTOS!$A$5:$A$400&lt;&gt;"")*(MOVIMIENTOS!$A$5:$A$400&lt;=$A48)*MOVIMIENTOS!$E$5:$E$400)-SUMPRODUCT((MOVIMIENTOS!$B$5:$B$400="TRASIEGO")*(MOVIMIENTOS!$C$5:$C$400="P")*(MOVIMIENTOS!$D$5:$D$400="jabas")*(MOVIMIENTOS!$A$5:$A$400&lt;&gt;"")*(MOVIMIENTOS!$A$5:$A$400&lt;=$A48)*MOVIMIENTOS!$E$5:$E$400)-SUMPRODUCT((MOVIMIENTOS!$B$5:$B$400="REGALO")*(MOVIMIENTOS!$C$5:$C$400="P")*(MOVIMIENTOS!$D$5:$D$400="jabas")*(MOVIMIENTOS!$A$5:$A$400&lt;&gt;"")*(MOVIMIENTOS!$A$5:$A$400&lt;=$A48)*MOVIMIENTOS!$E$5:$E$400)-SUMPRODUCT((MOVIMIENTOS!$B$5:$B$400="VENTA")*(MOVIMIENTOS!$C$5:$C$400="P")*(MOVIMIENTOS!$D$5:$D$400="jabas")*(MOVIMIENTOS!$A$5:$A$400&lt;&gt;"")*(MOVIMIENTOS!$A$5:$A$400&lt;=$A48)*MOVIMIENTOS!$E$5:$E$400)+SUMPRODUCT((MOVIMIENTOS!$B$5:$B$400="AJUSTE")*(MOVIMIENTOS!$C$5:$C$400="P")*(MOVIMIENTOS!$D$5:$D$400="jabas")*(MOVIMIENTOS!$A$5:$A$400&lt;&gt;"")*(MOVIMIENTOS!$A$5:$A$400&lt;=$A48)*MOVIMIENTOS!$E$5:$E$400))</f>
        <v/>
      </c>
      <c r="D48" s="46" t="str">
        <f aca="false">IF($A48="","",SUMPRODUCT((MOVIMIENTOS!$B$5:$B$400="SALDO INICIAL")*(MOVIMIENTOS!$C$5:$C$400="C")*(MOVIMIENTOS!$D$5:$D$400="jabas")*(MOVIMIENTOS!$A$5:$A$400&lt;&gt;"")*(MOVIMIENTOS!$A$5:$A$400&lt;=$A48)*MOVIMIENTOS!$E$5:$E$400)+SUMPRODUCT((MOVIMIENTOS!$B$5:$B$400="PROCESO")*(MOVIMIENTOS!$C$5:$C$400="C")*(MOVIMIENTOS!$D$5:$D$400="jabas")*(MOVIMIENTOS!$A$5:$A$400&lt;&gt;"")*(MOVIMIENTOS!$A$5:$A$400&lt;=$A48)*MOVIMIENTOS!$E$5:$E$400)-SUMPRODUCT((MOVIMIENTOS!$B$5:$B$400="ENVÍO A SUPESA")*(MOVIMIENTOS!$C$5:$C$400="C")*(MOVIMIENTOS!$D$5:$D$400="jabas")*(MOVIMIENTOS!$A$5:$A$400&lt;&gt;"")*(MOVIMIENTOS!$A$5:$A$400&lt;=$A48)*MOVIMIENTOS!$E$5:$E$400)+SUMPRODUCT((MOVIMIENTOS!$B$5:$B$400="DEVOLUCIÓN")*(MOVIMIENTOS!$C$5:$C$400="C")*(MOVIMIENTOS!$D$5:$D$400="jabas")*(MOVIMIENTOS!$A$5:$A$400&lt;&gt;"")*(MOVIMIENTOS!$A$5:$A$400&lt;=$A48)*MOVIMIENTOS!$E$5:$E$400)-SUMPRODUCT((MOVIMIENTOS!$B$5:$B$400="TRASIEGO")*(MOVIMIENTOS!$C$5:$C$400="C")*(MOVIMIENTOS!$D$5:$D$400="jabas")*(MOVIMIENTOS!$A$5:$A$400&lt;&gt;"")*(MOVIMIENTOS!$A$5:$A$400&lt;=$A48)*MOVIMIENTOS!$E$5:$E$400)-SUMPRODUCT((MOVIMIENTOS!$B$5:$B$400="REGALO")*(MOVIMIENTOS!$C$5:$C$400="C")*(MOVIMIENTOS!$D$5:$D$400="jabas")*(MOVIMIENTOS!$A$5:$A$400&lt;&gt;"")*(MOVIMIENTOS!$A$5:$A$400&lt;=$A48)*MOVIMIENTOS!$E$5:$E$400)-SUMPRODUCT((MOVIMIENTOS!$B$5:$B$400="VENTA")*(MOVIMIENTOS!$C$5:$C$400="C")*(MOVIMIENTOS!$D$5:$D$400="jabas")*(MOVIMIENTOS!$A$5:$A$400&lt;&gt;"")*(MOVIMIENTOS!$A$5:$A$400&lt;=$A48)*MOVIMIENTOS!$E$5:$E$400)+SUMPRODUCT((MOVIMIENTOS!$B$5:$B$400="AJUSTE")*(MOVIMIENTOS!$C$5:$C$400="C")*(MOVIMIENTOS!$D$5:$D$400="jabas")*(MOVIMIENTOS!$A$5:$A$400&lt;&gt;"")*(MOVIMIENTOS!$A$5:$A$400&lt;=$A48)*MOVIMIENTOS!$E$5:$E$400))</f>
        <v/>
      </c>
      <c r="E48" s="46" t="str">
        <f aca="false">IF($A48="","",SUMPRODUCT((MOVIMIENTOS!$B$5:$B$400="SALDO INICIAL")*(MOVIMIENTOS!$C$5:$C$400="M")*(MOVIMIENTOS!$D$5:$D$400="jabas")*(MOVIMIENTOS!$A$5:$A$400&lt;&gt;"")*(MOVIMIENTOS!$A$5:$A$400&lt;=$A48)*MOVIMIENTOS!$E$5:$E$400)+SUMPRODUCT((MOVIMIENTOS!$B$5:$B$400="PROCESO")*(MOVIMIENTOS!$C$5:$C$400="M")*(MOVIMIENTOS!$D$5:$D$400="jabas")*(MOVIMIENTOS!$A$5:$A$400&lt;&gt;"")*(MOVIMIENTOS!$A$5:$A$400&lt;=$A48)*MOVIMIENTOS!$E$5:$E$400)-SUMPRODUCT((MOVIMIENTOS!$B$5:$B$400="ENVÍO A SUPESA")*(MOVIMIENTOS!$C$5:$C$400="M")*(MOVIMIENTOS!$D$5:$D$400="jabas")*(MOVIMIENTOS!$A$5:$A$400&lt;&gt;"")*(MOVIMIENTOS!$A$5:$A$400&lt;=$A48)*MOVIMIENTOS!$E$5:$E$400)+SUMPRODUCT((MOVIMIENTOS!$B$5:$B$400="DEVOLUCIÓN")*(MOVIMIENTOS!$C$5:$C$400="M")*(MOVIMIENTOS!$D$5:$D$400="jabas")*(MOVIMIENTOS!$A$5:$A$400&lt;&gt;"")*(MOVIMIENTOS!$A$5:$A$400&lt;=$A48)*MOVIMIENTOS!$E$5:$E$400)-SUMPRODUCT((MOVIMIENTOS!$B$5:$B$400="TRASIEGO")*(MOVIMIENTOS!$C$5:$C$400="M")*(MOVIMIENTOS!$D$5:$D$400="jabas")*(MOVIMIENTOS!$A$5:$A$400&lt;&gt;"")*(MOVIMIENTOS!$A$5:$A$400&lt;=$A48)*MOVIMIENTOS!$E$5:$E$400)-SUMPRODUCT((MOVIMIENTOS!$B$5:$B$400="REGALO")*(MOVIMIENTOS!$C$5:$C$400="M")*(MOVIMIENTOS!$D$5:$D$400="jabas")*(MOVIMIENTOS!$A$5:$A$400&lt;&gt;"")*(MOVIMIENTOS!$A$5:$A$400&lt;=$A48)*MOVIMIENTOS!$E$5:$E$400)-SUMPRODUCT((MOVIMIENTOS!$B$5:$B$400="VENTA")*(MOVIMIENTOS!$C$5:$C$400="M")*(MOVIMIENTOS!$D$5:$D$400="jabas")*(MOVIMIENTOS!$A$5:$A$400&lt;&gt;"")*(MOVIMIENTOS!$A$5:$A$400&lt;=$A48)*MOVIMIENTOS!$E$5:$E$400)+SUMPRODUCT((MOVIMIENTOS!$B$5:$B$400="AJUSTE")*(MOVIMIENTOS!$C$5:$C$400="M")*(MOVIMIENTOS!$D$5:$D$400="jabas")*(MOVIMIENTOS!$A$5:$A$400&lt;&gt;"")*(MOVIMIENTOS!$A$5:$A$400&lt;=$A48)*MOVIMIENTOS!$E$5:$E$400))</f>
        <v/>
      </c>
      <c r="F48" s="46" t="str">
        <f aca="false">IF($A48="","",SUMPRODUCT((MOVIMIENTOS!$B$5:$B$400="SALDO INICIAL")*(MOVIMIENTOS!$C$5:$C$400="Chancho")*(MOVIMIENTOS!$D$5:$D$400="sacos")*(MOVIMIENTOS!$A$5:$A$400&lt;&gt;"")*(MOVIMIENTOS!$A$5:$A$400&lt;=$A48)*MOVIMIENTOS!$E$5:$E$400)+SUMPRODUCT((MOVIMIENTOS!$B$5:$B$400="PROCESO")*(MOVIMIENTOS!$C$5:$C$400="Chancho")*(MOVIMIENTOS!$D$5:$D$400="sacos")*(MOVIMIENTOS!$A$5:$A$400&lt;&gt;"")*(MOVIMIENTOS!$A$5:$A$400&lt;=$A48)*MOVIMIENTOS!$E$5:$E$400)-SUMPRODUCT((MOVIMIENTOS!$B$5:$B$400="VENTA CHANCHO")*(MOVIMIENTOS!$C$5:$C$400="Chancho")*(MOVIMIENTOS!$D$5:$D$400="sacos")*(MOVIMIENTOS!$A$5:$A$400&lt;&gt;"")*(MOVIMIENTOS!$A$5:$A$400&lt;=$A48)*MOVIMIENTOS!$E$5:$E$400)-SUMPRODUCT((MOVIMIENTOS!$B$5:$B$400="REGALO")*(MOVIMIENTOS!$C$5:$C$400="Chancho")*(MOVIMIENTOS!$D$5:$D$400="sacos")*(MOVIMIENTOS!$A$5:$A$400&lt;&gt;"")*(MOVIMIENTOS!$A$5:$A$400&lt;=$A48)*MOVIMIENTOS!$E$5:$E$400)-SUMPRODUCT((MOVIMIENTOS!$B$5:$B$400="VENTA")*(MOVIMIENTOS!$C$5:$C$400="Chancho")*(MOVIMIENTOS!$D$5:$D$400="sacos")*(MOVIMIENTOS!$A$5:$A$400&lt;&gt;"")*(MOVIMIENTOS!$A$5:$A$400&lt;=$A48)*MOVIMIENTOS!$E$5:$E$400)+SUMPRODUCT((MOVIMIENTOS!$B$5:$B$400="AJUSTE")*(MOVIMIENTOS!$C$5:$C$400="Chancho")*(MOVIMIENTOS!$D$5:$D$400="sacos")*(MOVIMIENTOS!$A$5:$A$400&lt;&gt;"")*(MOVIMIENTOS!$A$5:$A$400&lt;=$A48)*MOVIMIENTOS!$E$5:$E$400))</f>
        <v/>
      </c>
      <c r="G48" s="46" t="str">
        <f aca="false">IF($A48="","",SUM(B48:E48))</f>
        <v/>
      </c>
      <c r="H48" s="46" t="str">
        <f aca="false">IF($A48="","",SUMPRODUCT((((MOVIMIENTOS!$B$5:$B$400="SALDO INICIAL")*(MOVIMIENTOS!$C$5:$C$400&lt;&gt;"Chancho"))+(MOVIMIENTOS!$B$5:$B$400="COMPRA")+(MOVIMIENTOS!$B$5:$B$400="REPROCESO")+(MOVIMIENTOS!$B$5:$B$400="DEVOLUCIÓN")+((MOVIMIENTOS!$B$5:$B$400="AJUSTE")*(MOVIMIENTOS!$C$5:$C$400&lt;&gt;"Chancho")))*(MOVIMIENTOS!$A$5:$A$400&lt;&gt;"")*(MOVIMIENTOS!$A$5:$A$400&lt;=$A48)*MOVIMIENTOS!$I$5:$I$400)-SUMPRODUCT(((MOVIMIENTOS!$B$5:$B$400="ENVÍO A SUPESA")+(MOVIMIENTOS!$B$5:$B$400="ENVÍO A TOTTUS")+(MOVIMIENTOS!$B$5:$B$400="ENVIO A TOTTUS")+(MOVIMIENTOS!$B$5:$B$400="MALOGRADO")+(MOVIMIENTOS!$B$5:$B$400="OTRA SALIDA")+((MOVIMIENTOS!$B$5:$B$400="PROCESO")*(MOVIMIENTOS!$C$5:$C$400="Chancho"))+((MOVIMIENTOS!$B$5:$B$400="REGALO")*(MOVIMIENTOS!$C$5:$C$400&lt;&gt;"Chancho"))+((MOVIMIENTOS!$B$5:$B$400="VENTA")*(MOVIMIENTOS!$C$5:$C$400&lt;&gt;"Chancho")))*(MOVIMIENTOS!$A$5:$A$400&lt;&gt;"")*(MOVIMIENTOS!$A$5:$A$400&lt;=$A48)*MOVIMIENTOS!$I$5:$I$400))</f>
        <v/>
      </c>
      <c r="I48" s="44"/>
      <c r="J48" s="44" t="str">
        <f aca="false">IF(AND(MOVIMIENTOS!$A48&lt;&gt;"",COUNTIF(MOVIMIENTOS!$A$5:$A47,MOVIMIENTOS!$A48)=0),COUNT(J$4:J47)+1,"")</f>
        <v/>
      </c>
      <c r="K48" s="47" t="n">
        <f aca="false">MOVIMIENTOS!$A48</f>
        <v>46218</v>
      </c>
      <c r="L48" s="44"/>
      <c r="M48" s="44"/>
      <c r="N48" s="44"/>
    </row>
    <row r="49" customFormat="false" ht="15" hidden="false" customHeight="true" outlineLevel="0" collapsed="false">
      <c r="A49" s="45" t="str">
        <f aca="false">IFERROR(INDEX(K$5:K$400,MATCH(ROW()-4,J$5:J$400,0)),"")</f>
        <v/>
      </c>
      <c r="B49" s="46" t="str">
        <f aca="false">IF($A49="","",SUMPRODUCT((MOVIMIENTOS!$B$5:$B$400="SALDO INICIAL")*(MOVIMIENTOS!$C$5:$C$400="A")*(MOVIMIENTOS!$D$5:$D$400="jabas")*(MOVIMIENTOS!$A$5:$A$400&lt;&gt;"")*(MOVIMIENTOS!$A$5:$A$400&lt;=$A49)*MOVIMIENTOS!$E$5:$E$400)+SUMPRODUCT((MOVIMIENTOS!$B$5:$B$400="PROCESO")*(MOVIMIENTOS!$C$5:$C$400="A")*(MOVIMIENTOS!$D$5:$D$400="jabas")*(MOVIMIENTOS!$A$5:$A$400&lt;&gt;"")*(MOVIMIENTOS!$A$5:$A$400&lt;=$A49)*MOVIMIENTOS!$E$5:$E$400)-SUMPRODUCT((MOVIMIENTOS!$B$5:$B$400="ENVÍO A SUPESA")*(MOVIMIENTOS!$C$5:$C$400="A")*(MOVIMIENTOS!$D$5:$D$400="jabas")*(MOVIMIENTOS!$A$5:$A$400&lt;&gt;"")*(MOVIMIENTOS!$A$5:$A$400&lt;=$A49)*MOVIMIENTOS!$E$5:$E$400)+SUMPRODUCT((MOVIMIENTOS!$B$5:$B$400="DEVOLUCIÓN")*(MOVIMIENTOS!$C$5:$C$400="A")*(MOVIMIENTOS!$D$5:$D$400="jabas")*(MOVIMIENTOS!$A$5:$A$400&lt;&gt;"")*(MOVIMIENTOS!$A$5:$A$400&lt;=$A49)*MOVIMIENTOS!$E$5:$E$400)-SUMPRODUCT((MOVIMIENTOS!$B$5:$B$400="TRASIEGO")*(MOVIMIENTOS!$C$5:$C$400="A")*(MOVIMIENTOS!$D$5:$D$400="jabas")*(MOVIMIENTOS!$A$5:$A$400&lt;&gt;"")*(MOVIMIENTOS!$A$5:$A$400&lt;=$A49)*MOVIMIENTOS!$E$5:$E$400)-SUMPRODUCT((MOVIMIENTOS!$B$5:$B$400="REGALO")*(MOVIMIENTOS!$C$5:$C$400="A")*(MOVIMIENTOS!$D$5:$D$400="jabas")*(MOVIMIENTOS!$A$5:$A$400&lt;&gt;"")*(MOVIMIENTOS!$A$5:$A$400&lt;=$A49)*MOVIMIENTOS!$E$5:$E$400)-SUMPRODUCT((MOVIMIENTOS!$B$5:$B$400="VENTA")*(MOVIMIENTOS!$C$5:$C$400="A")*(MOVIMIENTOS!$D$5:$D$400="jabas")*(MOVIMIENTOS!$A$5:$A$400&lt;&gt;"")*(MOVIMIENTOS!$A$5:$A$400&lt;=$A49)*MOVIMIENTOS!$E$5:$E$400)+SUMPRODUCT((MOVIMIENTOS!$B$5:$B$400="AJUSTE")*(MOVIMIENTOS!$C$5:$C$400="A")*(MOVIMIENTOS!$D$5:$D$400="jabas")*(MOVIMIENTOS!$A$5:$A$400&lt;&gt;"")*(MOVIMIENTOS!$A$5:$A$400&lt;=$A49)*MOVIMIENTOS!$E$5:$E$400))</f>
        <v/>
      </c>
      <c r="C49" s="46" t="str">
        <f aca="false">IF($A49="","",SUMPRODUCT((MOVIMIENTOS!$B$5:$B$400="SALDO INICIAL")*(MOVIMIENTOS!$C$5:$C$400="P")*(MOVIMIENTOS!$D$5:$D$400="jabas")*(MOVIMIENTOS!$A$5:$A$400&lt;&gt;"")*(MOVIMIENTOS!$A$5:$A$400&lt;=$A49)*MOVIMIENTOS!$E$5:$E$400)+SUMPRODUCT((MOVIMIENTOS!$B$5:$B$400="PROCESO")*(MOVIMIENTOS!$C$5:$C$400="P")*(MOVIMIENTOS!$D$5:$D$400="jabas")*(MOVIMIENTOS!$A$5:$A$400&lt;&gt;"")*(MOVIMIENTOS!$A$5:$A$400&lt;=$A49)*MOVIMIENTOS!$E$5:$E$400)-SUMPRODUCT((MOVIMIENTOS!$B$5:$B$400="ENVÍO A SUPESA")*(MOVIMIENTOS!$C$5:$C$400="P")*(MOVIMIENTOS!$D$5:$D$400="jabas")*(MOVIMIENTOS!$A$5:$A$400&lt;&gt;"")*(MOVIMIENTOS!$A$5:$A$400&lt;=$A49)*MOVIMIENTOS!$E$5:$E$400)+SUMPRODUCT((MOVIMIENTOS!$B$5:$B$400="DEVOLUCIÓN")*(MOVIMIENTOS!$C$5:$C$400="P")*(MOVIMIENTOS!$D$5:$D$400="jabas")*(MOVIMIENTOS!$A$5:$A$400&lt;&gt;"")*(MOVIMIENTOS!$A$5:$A$400&lt;=$A49)*MOVIMIENTOS!$E$5:$E$400)-SUMPRODUCT((MOVIMIENTOS!$B$5:$B$400="TRASIEGO")*(MOVIMIENTOS!$C$5:$C$400="P")*(MOVIMIENTOS!$D$5:$D$400="jabas")*(MOVIMIENTOS!$A$5:$A$400&lt;&gt;"")*(MOVIMIENTOS!$A$5:$A$400&lt;=$A49)*MOVIMIENTOS!$E$5:$E$400)-SUMPRODUCT((MOVIMIENTOS!$B$5:$B$400="REGALO")*(MOVIMIENTOS!$C$5:$C$400="P")*(MOVIMIENTOS!$D$5:$D$400="jabas")*(MOVIMIENTOS!$A$5:$A$400&lt;&gt;"")*(MOVIMIENTOS!$A$5:$A$400&lt;=$A49)*MOVIMIENTOS!$E$5:$E$400)-SUMPRODUCT((MOVIMIENTOS!$B$5:$B$400="VENTA")*(MOVIMIENTOS!$C$5:$C$400="P")*(MOVIMIENTOS!$D$5:$D$400="jabas")*(MOVIMIENTOS!$A$5:$A$400&lt;&gt;"")*(MOVIMIENTOS!$A$5:$A$400&lt;=$A49)*MOVIMIENTOS!$E$5:$E$400)+SUMPRODUCT((MOVIMIENTOS!$B$5:$B$400="AJUSTE")*(MOVIMIENTOS!$C$5:$C$400="P")*(MOVIMIENTOS!$D$5:$D$400="jabas")*(MOVIMIENTOS!$A$5:$A$400&lt;&gt;"")*(MOVIMIENTOS!$A$5:$A$400&lt;=$A49)*MOVIMIENTOS!$E$5:$E$400))</f>
        <v/>
      </c>
      <c r="D49" s="46" t="str">
        <f aca="false">IF($A49="","",SUMPRODUCT((MOVIMIENTOS!$B$5:$B$400="SALDO INICIAL")*(MOVIMIENTOS!$C$5:$C$400="C")*(MOVIMIENTOS!$D$5:$D$400="jabas")*(MOVIMIENTOS!$A$5:$A$400&lt;&gt;"")*(MOVIMIENTOS!$A$5:$A$400&lt;=$A49)*MOVIMIENTOS!$E$5:$E$400)+SUMPRODUCT((MOVIMIENTOS!$B$5:$B$400="PROCESO")*(MOVIMIENTOS!$C$5:$C$400="C")*(MOVIMIENTOS!$D$5:$D$400="jabas")*(MOVIMIENTOS!$A$5:$A$400&lt;&gt;"")*(MOVIMIENTOS!$A$5:$A$400&lt;=$A49)*MOVIMIENTOS!$E$5:$E$400)-SUMPRODUCT((MOVIMIENTOS!$B$5:$B$400="ENVÍO A SUPESA")*(MOVIMIENTOS!$C$5:$C$400="C")*(MOVIMIENTOS!$D$5:$D$400="jabas")*(MOVIMIENTOS!$A$5:$A$400&lt;&gt;"")*(MOVIMIENTOS!$A$5:$A$400&lt;=$A49)*MOVIMIENTOS!$E$5:$E$400)+SUMPRODUCT((MOVIMIENTOS!$B$5:$B$400="DEVOLUCIÓN")*(MOVIMIENTOS!$C$5:$C$400="C")*(MOVIMIENTOS!$D$5:$D$400="jabas")*(MOVIMIENTOS!$A$5:$A$400&lt;&gt;"")*(MOVIMIENTOS!$A$5:$A$400&lt;=$A49)*MOVIMIENTOS!$E$5:$E$400)-SUMPRODUCT((MOVIMIENTOS!$B$5:$B$400="TRASIEGO")*(MOVIMIENTOS!$C$5:$C$400="C")*(MOVIMIENTOS!$D$5:$D$400="jabas")*(MOVIMIENTOS!$A$5:$A$400&lt;&gt;"")*(MOVIMIENTOS!$A$5:$A$400&lt;=$A49)*MOVIMIENTOS!$E$5:$E$400)-SUMPRODUCT((MOVIMIENTOS!$B$5:$B$400="REGALO")*(MOVIMIENTOS!$C$5:$C$400="C")*(MOVIMIENTOS!$D$5:$D$400="jabas")*(MOVIMIENTOS!$A$5:$A$400&lt;&gt;"")*(MOVIMIENTOS!$A$5:$A$400&lt;=$A49)*MOVIMIENTOS!$E$5:$E$400)-SUMPRODUCT((MOVIMIENTOS!$B$5:$B$400="VENTA")*(MOVIMIENTOS!$C$5:$C$400="C")*(MOVIMIENTOS!$D$5:$D$400="jabas")*(MOVIMIENTOS!$A$5:$A$400&lt;&gt;"")*(MOVIMIENTOS!$A$5:$A$400&lt;=$A49)*MOVIMIENTOS!$E$5:$E$400)+SUMPRODUCT((MOVIMIENTOS!$B$5:$B$400="AJUSTE")*(MOVIMIENTOS!$C$5:$C$400="C")*(MOVIMIENTOS!$D$5:$D$400="jabas")*(MOVIMIENTOS!$A$5:$A$400&lt;&gt;"")*(MOVIMIENTOS!$A$5:$A$400&lt;=$A49)*MOVIMIENTOS!$E$5:$E$400))</f>
        <v/>
      </c>
      <c r="E49" s="46" t="str">
        <f aca="false">IF($A49="","",SUMPRODUCT((MOVIMIENTOS!$B$5:$B$400="SALDO INICIAL")*(MOVIMIENTOS!$C$5:$C$400="M")*(MOVIMIENTOS!$D$5:$D$400="jabas")*(MOVIMIENTOS!$A$5:$A$400&lt;&gt;"")*(MOVIMIENTOS!$A$5:$A$400&lt;=$A49)*MOVIMIENTOS!$E$5:$E$400)+SUMPRODUCT((MOVIMIENTOS!$B$5:$B$400="PROCESO")*(MOVIMIENTOS!$C$5:$C$400="M")*(MOVIMIENTOS!$D$5:$D$400="jabas")*(MOVIMIENTOS!$A$5:$A$400&lt;&gt;"")*(MOVIMIENTOS!$A$5:$A$400&lt;=$A49)*MOVIMIENTOS!$E$5:$E$400)-SUMPRODUCT((MOVIMIENTOS!$B$5:$B$400="ENVÍO A SUPESA")*(MOVIMIENTOS!$C$5:$C$400="M")*(MOVIMIENTOS!$D$5:$D$400="jabas")*(MOVIMIENTOS!$A$5:$A$400&lt;&gt;"")*(MOVIMIENTOS!$A$5:$A$400&lt;=$A49)*MOVIMIENTOS!$E$5:$E$400)+SUMPRODUCT((MOVIMIENTOS!$B$5:$B$400="DEVOLUCIÓN")*(MOVIMIENTOS!$C$5:$C$400="M")*(MOVIMIENTOS!$D$5:$D$400="jabas")*(MOVIMIENTOS!$A$5:$A$400&lt;&gt;"")*(MOVIMIENTOS!$A$5:$A$400&lt;=$A49)*MOVIMIENTOS!$E$5:$E$400)-SUMPRODUCT((MOVIMIENTOS!$B$5:$B$400="TRASIEGO")*(MOVIMIENTOS!$C$5:$C$400="M")*(MOVIMIENTOS!$D$5:$D$400="jabas")*(MOVIMIENTOS!$A$5:$A$400&lt;&gt;"")*(MOVIMIENTOS!$A$5:$A$400&lt;=$A49)*MOVIMIENTOS!$E$5:$E$400)-SUMPRODUCT((MOVIMIENTOS!$B$5:$B$400="REGALO")*(MOVIMIENTOS!$C$5:$C$400="M")*(MOVIMIENTOS!$D$5:$D$400="jabas")*(MOVIMIENTOS!$A$5:$A$400&lt;&gt;"")*(MOVIMIENTOS!$A$5:$A$400&lt;=$A49)*MOVIMIENTOS!$E$5:$E$400)-SUMPRODUCT((MOVIMIENTOS!$B$5:$B$400="VENTA")*(MOVIMIENTOS!$C$5:$C$400="M")*(MOVIMIENTOS!$D$5:$D$400="jabas")*(MOVIMIENTOS!$A$5:$A$400&lt;&gt;"")*(MOVIMIENTOS!$A$5:$A$400&lt;=$A49)*MOVIMIENTOS!$E$5:$E$400)+SUMPRODUCT((MOVIMIENTOS!$B$5:$B$400="AJUSTE")*(MOVIMIENTOS!$C$5:$C$400="M")*(MOVIMIENTOS!$D$5:$D$400="jabas")*(MOVIMIENTOS!$A$5:$A$400&lt;&gt;"")*(MOVIMIENTOS!$A$5:$A$400&lt;=$A49)*MOVIMIENTOS!$E$5:$E$400))</f>
        <v/>
      </c>
      <c r="F49" s="46" t="str">
        <f aca="false">IF($A49="","",SUMPRODUCT((MOVIMIENTOS!$B$5:$B$400="SALDO INICIAL")*(MOVIMIENTOS!$C$5:$C$400="Chancho")*(MOVIMIENTOS!$D$5:$D$400="sacos")*(MOVIMIENTOS!$A$5:$A$400&lt;&gt;"")*(MOVIMIENTOS!$A$5:$A$400&lt;=$A49)*MOVIMIENTOS!$E$5:$E$400)+SUMPRODUCT((MOVIMIENTOS!$B$5:$B$400="PROCESO")*(MOVIMIENTOS!$C$5:$C$400="Chancho")*(MOVIMIENTOS!$D$5:$D$400="sacos")*(MOVIMIENTOS!$A$5:$A$400&lt;&gt;"")*(MOVIMIENTOS!$A$5:$A$400&lt;=$A49)*MOVIMIENTOS!$E$5:$E$400)-SUMPRODUCT((MOVIMIENTOS!$B$5:$B$400="VENTA CHANCHO")*(MOVIMIENTOS!$C$5:$C$400="Chancho")*(MOVIMIENTOS!$D$5:$D$400="sacos")*(MOVIMIENTOS!$A$5:$A$400&lt;&gt;"")*(MOVIMIENTOS!$A$5:$A$400&lt;=$A49)*MOVIMIENTOS!$E$5:$E$400)-SUMPRODUCT((MOVIMIENTOS!$B$5:$B$400="REGALO")*(MOVIMIENTOS!$C$5:$C$400="Chancho")*(MOVIMIENTOS!$D$5:$D$400="sacos")*(MOVIMIENTOS!$A$5:$A$400&lt;&gt;"")*(MOVIMIENTOS!$A$5:$A$400&lt;=$A49)*MOVIMIENTOS!$E$5:$E$400)-SUMPRODUCT((MOVIMIENTOS!$B$5:$B$400="VENTA")*(MOVIMIENTOS!$C$5:$C$400="Chancho")*(MOVIMIENTOS!$D$5:$D$400="sacos")*(MOVIMIENTOS!$A$5:$A$400&lt;&gt;"")*(MOVIMIENTOS!$A$5:$A$400&lt;=$A49)*MOVIMIENTOS!$E$5:$E$400)+SUMPRODUCT((MOVIMIENTOS!$B$5:$B$400="AJUSTE")*(MOVIMIENTOS!$C$5:$C$400="Chancho")*(MOVIMIENTOS!$D$5:$D$400="sacos")*(MOVIMIENTOS!$A$5:$A$400&lt;&gt;"")*(MOVIMIENTOS!$A$5:$A$400&lt;=$A49)*MOVIMIENTOS!$E$5:$E$400))</f>
        <v/>
      </c>
      <c r="G49" s="46" t="str">
        <f aca="false">IF($A49="","",SUM(B49:E49))</f>
        <v/>
      </c>
      <c r="H49" s="46" t="str">
        <f aca="false">IF($A49="","",SUMPRODUCT((((MOVIMIENTOS!$B$5:$B$400="SALDO INICIAL")*(MOVIMIENTOS!$C$5:$C$400&lt;&gt;"Chancho"))+(MOVIMIENTOS!$B$5:$B$400="COMPRA")+(MOVIMIENTOS!$B$5:$B$400="REPROCESO")+(MOVIMIENTOS!$B$5:$B$400="DEVOLUCIÓN")+((MOVIMIENTOS!$B$5:$B$400="AJUSTE")*(MOVIMIENTOS!$C$5:$C$400&lt;&gt;"Chancho")))*(MOVIMIENTOS!$A$5:$A$400&lt;&gt;"")*(MOVIMIENTOS!$A$5:$A$400&lt;=$A49)*MOVIMIENTOS!$I$5:$I$400)-SUMPRODUCT(((MOVIMIENTOS!$B$5:$B$400="ENVÍO A SUPESA")+(MOVIMIENTOS!$B$5:$B$400="ENVÍO A TOTTUS")+(MOVIMIENTOS!$B$5:$B$400="ENVIO A TOTTUS")+(MOVIMIENTOS!$B$5:$B$400="MALOGRADO")+(MOVIMIENTOS!$B$5:$B$400="OTRA SALIDA")+((MOVIMIENTOS!$B$5:$B$400="PROCESO")*(MOVIMIENTOS!$C$5:$C$400="Chancho"))+((MOVIMIENTOS!$B$5:$B$400="REGALO")*(MOVIMIENTOS!$C$5:$C$400&lt;&gt;"Chancho"))+((MOVIMIENTOS!$B$5:$B$400="VENTA")*(MOVIMIENTOS!$C$5:$C$400&lt;&gt;"Chancho")))*(MOVIMIENTOS!$A$5:$A$400&lt;&gt;"")*(MOVIMIENTOS!$A$5:$A$400&lt;=$A49)*MOVIMIENTOS!$I$5:$I$400))</f>
        <v/>
      </c>
      <c r="I49" s="44"/>
      <c r="J49" s="44" t="str">
        <f aca="false">IF(AND(MOVIMIENTOS!$A49&lt;&gt;"",COUNTIF(MOVIMIENTOS!$A$5:$A48,MOVIMIENTOS!$A49)=0),COUNT(J$4:J48)+1,"")</f>
        <v/>
      </c>
      <c r="K49" s="47" t="n">
        <f aca="false">MOVIMIENTOS!$A49</f>
        <v>46218</v>
      </c>
      <c r="L49" s="44"/>
      <c r="M49" s="44"/>
      <c r="N49" s="44"/>
    </row>
    <row r="50" customFormat="false" ht="15" hidden="false" customHeight="true" outlineLevel="0" collapsed="false">
      <c r="A50" s="45" t="str">
        <f aca="false">IFERROR(INDEX(K$5:K$400,MATCH(ROW()-4,J$5:J$400,0)),"")</f>
        <v/>
      </c>
      <c r="B50" s="46" t="str">
        <f aca="false">IF($A50="","",SUMPRODUCT((MOVIMIENTOS!$B$5:$B$400="SALDO INICIAL")*(MOVIMIENTOS!$C$5:$C$400="A")*(MOVIMIENTOS!$D$5:$D$400="jabas")*(MOVIMIENTOS!$A$5:$A$400&lt;&gt;"")*(MOVIMIENTOS!$A$5:$A$400&lt;=$A50)*MOVIMIENTOS!$E$5:$E$400)+SUMPRODUCT((MOVIMIENTOS!$B$5:$B$400="PROCESO")*(MOVIMIENTOS!$C$5:$C$400="A")*(MOVIMIENTOS!$D$5:$D$400="jabas")*(MOVIMIENTOS!$A$5:$A$400&lt;&gt;"")*(MOVIMIENTOS!$A$5:$A$400&lt;=$A50)*MOVIMIENTOS!$E$5:$E$400)-SUMPRODUCT((MOVIMIENTOS!$B$5:$B$400="ENVÍO A SUPESA")*(MOVIMIENTOS!$C$5:$C$400="A")*(MOVIMIENTOS!$D$5:$D$400="jabas")*(MOVIMIENTOS!$A$5:$A$400&lt;&gt;"")*(MOVIMIENTOS!$A$5:$A$400&lt;=$A50)*MOVIMIENTOS!$E$5:$E$400)+SUMPRODUCT((MOVIMIENTOS!$B$5:$B$400="DEVOLUCIÓN")*(MOVIMIENTOS!$C$5:$C$400="A")*(MOVIMIENTOS!$D$5:$D$400="jabas")*(MOVIMIENTOS!$A$5:$A$400&lt;&gt;"")*(MOVIMIENTOS!$A$5:$A$400&lt;=$A50)*MOVIMIENTOS!$E$5:$E$400)-SUMPRODUCT((MOVIMIENTOS!$B$5:$B$400="TRASIEGO")*(MOVIMIENTOS!$C$5:$C$400="A")*(MOVIMIENTOS!$D$5:$D$400="jabas")*(MOVIMIENTOS!$A$5:$A$400&lt;&gt;"")*(MOVIMIENTOS!$A$5:$A$400&lt;=$A50)*MOVIMIENTOS!$E$5:$E$400)-SUMPRODUCT((MOVIMIENTOS!$B$5:$B$400="REGALO")*(MOVIMIENTOS!$C$5:$C$400="A")*(MOVIMIENTOS!$D$5:$D$400="jabas")*(MOVIMIENTOS!$A$5:$A$400&lt;&gt;"")*(MOVIMIENTOS!$A$5:$A$400&lt;=$A50)*MOVIMIENTOS!$E$5:$E$400)-SUMPRODUCT((MOVIMIENTOS!$B$5:$B$400="VENTA")*(MOVIMIENTOS!$C$5:$C$400="A")*(MOVIMIENTOS!$D$5:$D$400="jabas")*(MOVIMIENTOS!$A$5:$A$400&lt;&gt;"")*(MOVIMIENTOS!$A$5:$A$400&lt;=$A50)*MOVIMIENTOS!$E$5:$E$400)+SUMPRODUCT((MOVIMIENTOS!$B$5:$B$400="AJUSTE")*(MOVIMIENTOS!$C$5:$C$400="A")*(MOVIMIENTOS!$D$5:$D$400="jabas")*(MOVIMIENTOS!$A$5:$A$400&lt;&gt;"")*(MOVIMIENTOS!$A$5:$A$400&lt;=$A50)*MOVIMIENTOS!$E$5:$E$400))</f>
        <v/>
      </c>
      <c r="C50" s="46" t="str">
        <f aca="false">IF($A50="","",SUMPRODUCT((MOVIMIENTOS!$B$5:$B$400="SALDO INICIAL")*(MOVIMIENTOS!$C$5:$C$400="P")*(MOVIMIENTOS!$D$5:$D$400="jabas")*(MOVIMIENTOS!$A$5:$A$400&lt;&gt;"")*(MOVIMIENTOS!$A$5:$A$400&lt;=$A50)*MOVIMIENTOS!$E$5:$E$400)+SUMPRODUCT((MOVIMIENTOS!$B$5:$B$400="PROCESO")*(MOVIMIENTOS!$C$5:$C$400="P")*(MOVIMIENTOS!$D$5:$D$400="jabas")*(MOVIMIENTOS!$A$5:$A$400&lt;&gt;"")*(MOVIMIENTOS!$A$5:$A$400&lt;=$A50)*MOVIMIENTOS!$E$5:$E$400)-SUMPRODUCT((MOVIMIENTOS!$B$5:$B$400="ENVÍO A SUPESA")*(MOVIMIENTOS!$C$5:$C$400="P")*(MOVIMIENTOS!$D$5:$D$400="jabas")*(MOVIMIENTOS!$A$5:$A$400&lt;&gt;"")*(MOVIMIENTOS!$A$5:$A$400&lt;=$A50)*MOVIMIENTOS!$E$5:$E$400)+SUMPRODUCT((MOVIMIENTOS!$B$5:$B$400="DEVOLUCIÓN")*(MOVIMIENTOS!$C$5:$C$400="P")*(MOVIMIENTOS!$D$5:$D$400="jabas")*(MOVIMIENTOS!$A$5:$A$400&lt;&gt;"")*(MOVIMIENTOS!$A$5:$A$400&lt;=$A50)*MOVIMIENTOS!$E$5:$E$400)-SUMPRODUCT((MOVIMIENTOS!$B$5:$B$400="TRASIEGO")*(MOVIMIENTOS!$C$5:$C$400="P")*(MOVIMIENTOS!$D$5:$D$400="jabas")*(MOVIMIENTOS!$A$5:$A$400&lt;&gt;"")*(MOVIMIENTOS!$A$5:$A$400&lt;=$A50)*MOVIMIENTOS!$E$5:$E$400)-SUMPRODUCT((MOVIMIENTOS!$B$5:$B$400="REGALO")*(MOVIMIENTOS!$C$5:$C$400="P")*(MOVIMIENTOS!$D$5:$D$400="jabas")*(MOVIMIENTOS!$A$5:$A$400&lt;&gt;"")*(MOVIMIENTOS!$A$5:$A$400&lt;=$A50)*MOVIMIENTOS!$E$5:$E$400)-SUMPRODUCT((MOVIMIENTOS!$B$5:$B$400="VENTA")*(MOVIMIENTOS!$C$5:$C$400="P")*(MOVIMIENTOS!$D$5:$D$400="jabas")*(MOVIMIENTOS!$A$5:$A$400&lt;&gt;"")*(MOVIMIENTOS!$A$5:$A$400&lt;=$A50)*MOVIMIENTOS!$E$5:$E$400)+SUMPRODUCT((MOVIMIENTOS!$B$5:$B$400="AJUSTE")*(MOVIMIENTOS!$C$5:$C$400="P")*(MOVIMIENTOS!$D$5:$D$400="jabas")*(MOVIMIENTOS!$A$5:$A$400&lt;&gt;"")*(MOVIMIENTOS!$A$5:$A$400&lt;=$A50)*MOVIMIENTOS!$E$5:$E$400))</f>
        <v/>
      </c>
      <c r="D50" s="46" t="str">
        <f aca="false">IF($A50="","",SUMPRODUCT((MOVIMIENTOS!$B$5:$B$400="SALDO INICIAL")*(MOVIMIENTOS!$C$5:$C$400="C")*(MOVIMIENTOS!$D$5:$D$400="jabas")*(MOVIMIENTOS!$A$5:$A$400&lt;&gt;"")*(MOVIMIENTOS!$A$5:$A$400&lt;=$A50)*MOVIMIENTOS!$E$5:$E$400)+SUMPRODUCT((MOVIMIENTOS!$B$5:$B$400="PROCESO")*(MOVIMIENTOS!$C$5:$C$400="C")*(MOVIMIENTOS!$D$5:$D$400="jabas")*(MOVIMIENTOS!$A$5:$A$400&lt;&gt;"")*(MOVIMIENTOS!$A$5:$A$400&lt;=$A50)*MOVIMIENTOS!$E$5:$E$400)-SUMPRODUCT((MOVIMIENTOS!$B$5:$B$400="ENVÍO A SUPESA")*(MOVIMIENTOS!$C$5:$C$400="C")*(MOVIMIENTOS!$D$5:$D$400="jabas")*(MOVIMIENTOS!$A$5:$A$400&lt;&gt;"")*(MOVIMIENTOS!$A$5:$A$400&lt;=$A50)*MOVIMIENTOS!$E$5:$E$400)+SUMPRODUCT((MOVIMIENTOS!$B$5:$B$400="DEVOLUCIÓN")*(MOVIMIENTOS!$C$5:$C$400="C")*(MOVIMIENTOS!$D$5:$D$400="jabas")*(MOVIMIENTOS!$A$5:$A$400&lt;&gt;"")*(MOVIMIENTOS!$A$5:$A$400&lt;=$A50)*MOVIMIENTOS!$E$5:$E$400)-SUMPRODUCT((MOVIMIENTOS!$B$5:$B$400="TRASIEGO")*(MOVIMIENTOS!$C$5:$C$400="C")*(MOVIMIENTOS!$D$5:$D$400="jabas")*(MOVIMIENTOS!$A$5:$A$400&lt;&gt;"")*(MOVIMIENTOS!$A$5:$A$400&lt;=$A50)*MOVIMIENTOS!$E$5:$E$400)-SUMPRODUCT((MOVIMIENTOS!$B$5:$B$400="REGALO")*(MOVIMIENTOS!$C$5:$C$400="C")*(MOVIMIENTOS!$D$5:$D$400="jabas")*(MOVIMIENTOS!$A$5:$A$400&lt;&gt;"")*(MOVIMIENTOS!$A$5:$A$400&lt;=$A50)*MOVIMIENTOS!$E$5:$E$400)-SUMPRODUCT((MOVIMIENTOS!$B$5:$B$400="VENTA")*(MOVIMIENTOS!$C$5:$C$400="C")*(MOVIMIENTOS!$D$5:$D$400="jabas")*(MOVIMIENTOS!$A$5:$A$400&lt;&gt;"")*(MOVIMIENTOS!$A$5:$A$400&lt;=$A50)*MOVIMIENTOS!$E$5:$E$400)+SUMPRODUCT((MOVIMIENTOS!$B$5:$B$400="AJUSTE")*(MOVIMIENTOS!$C$5:$C$400="C")*(MOVIMIENTOS!$D$5:$D$400="jabas")*(MOVIMIENTOS!$A$5:$A$400&lt;&gt;"")*(MOVIMIENTOS!$A$5:$A$400&lt;=$A50)*MOVIMIENTOS!$E$5:$E$400))</f>
        <v/>
      </c>
      <c r="E50" s="46" t="str">
        <f aca="false">IF($A50="","",SUMPRODUCT((MOVIMIENTOS!$B$5:$B$400="SALDO INICIAL")*(MOVIMIENTOS!$C$5:$C$400="M")*(MOVIMIENTOS!$D$5:$D$400="jabas")*(MOVIMIENTOS!$A$5:$A$400&lt;&gt;"")*(MOVIMIENTOS!$A$5:$A$400&lt;=$A50)*MOVIMIENTOS!$E$5:$E$400)+SUMPRODUCT((MOVIMIENTOS!$B$5:$B$400="PROCESO")*(MOVIMIENTOS!$C$5:$C$400="M")*(MOVIMIENTOS!$D$5:$D$400="jabas")*(MOVIMIENTOS!$A$5:$A$400&lt;&gt;"")*(MOVIMIENTOS!$A$5:$A$400&lt;=$A50)*MOVIMIENTOS!$E$5:$E$400)-SUMPRODUCT((MOVIMIENTOS!$B$5:$B$400="ENVÍO A SUPESA")*(MOVIMIENTOS!$C$5:$C$400="M")*(MOVIMIENTOS!$D$5:$D$400="jabas")*(MOVIMIENTOS!$A$5:$A$400&lt;&gt;"")*(MOVIMIENTOS!$A$5:$A$400&lt;=$A50)*MOVIMIENTOS!$E$5:$E$400)+SUMPRODUCT((MOVIMIENTOS!$B$5:$B$400="DEVOLUCIÓN")*(MOVIMIENTOS!$C$5:$C$400="M")*(MOVIMIENTOS!$D$5:$D$400="jabas")*(MOVIMIENTOS!$A$5:$A$400&lt;&gt;"")*(MOVIMIENTOS!$A$5:$A$400&lt;=$A50)*MOVIMIENTOS!$E$5:$E$400)-SUMPRODUCT((MOVIMIENTOS!$B$5:$B$400="TRASIEGO")*(MOVIMIENTOS!$C$5:$C$400="M")*(MOVIMIENTOS!$D$5:$D$400="jabas")*(MOVIMIENTOS!$A$5:$A$400&lt;&gt;"")*(MOVIMIENTOS!$A$5:$A$400&lt;=$A50)*MOVIMIENTOS!$E$5:$E$400)-SUMPRODUCT((MOVIMIENTOS!$B$5:$B$400="REGALO")*(MOVIMIENTOS!$C$5:$C$400="M")*(MOVIMIENTOS!$D$5:$D$400="jabas")*(MOVIMIENTOS!$A$5:$A$400&lt;&gt;"")*(MOVIMIENTOS!$A$5:$A$400&lt;=$A50)*MOVIMIENTOS!$E$5:$E$400)-SUMPRODUCT((MOVIMIENTOS!$B$5:$B$400="VENTA")*(MOVIMIENTOS!$C$5:$C$400="M")*(MOVIMIENTOS!$D$5:$D$400="jabas")*(MOVIMIENTOS!$A$5:$A$400&lt;&gt;"")*(MOVIMIENTOS!$A$5:$A$400&lt;=$A50)*MOVIMIENTOS!$E$5:$E$400)+SUMPRODUCT((MOVIMIENTOS!$B$5:$B$400="AJUSTE")*(MOVIMIENTOS!$C$5:$C$400="M")*(MOVIMIENTOS!$D$5:$D$400="jabas")*(MOVIMIENTOS!$A$5:$A$400&lt;&gt;"")*(MOVIMIENTOS!$A$5:$A$400&lt;=$A50)*MOVIMIENTOS!$E$5:$E$400))</f>
        <v/>
      </c>
      <c r="F50" s="46" t="str">
        <f aca="false">IF($A50="","",SUMPRODUCT((MOVIMIENTOS!$B$5:$B$400="SALDO INICIAL")*(MOVIMIENTOS!$C$5:$C$400="Chancho")*(MOVIMIENTOS!$D$5:$D$400="sacos")*(MOVIMIENTOS!$A$5:$A$400&lt;&gt;"")*(MOVIMIENTOS!$A$5:$A$400&lt;=$A50)*MOVIMIENTOS!$E$5:$E$400)+SUMPRODUCT((MOVIMIENTOS!$B$5:$B$400="PROCESO")*(MOVIMIENTOS!$C$5:$C$400="Chancho")*(MOVIMIENTOS!$D$5:$D$400="sacos")*(MOVIMIENTOS!$A$5:$A$400&lt;&gt;"")*(MOVIMIENTOS!$A$5:$A$400&lt;=$A50)*MOVIMIENTOS!$E$5:$E$400)-SUMPRODUCT((MOVIMIENTOS!$B$5:$B$400="VENTA CHANCHO")*(MOVIMIENTOS!$C$5:$C$400="Chancho")*(MOVIMIENTOS!$D$5:$D$400="sacos")*(MOVIMIENTOS!$A$5:$A$400&lt;&gt;"")*(MOVIMIENTOS!$A$5:$A$400&lt;=$A50)*MOVIMIENTOS!$E$5:$E$400)-SUMPRODUCT((MOVIMIENTOS!$B$5:$B$400="REGALO")*(MOVIMIENTOS!$C$5:$C$400="Chancho")*(MOVIMIENTOS!$D$5:$D$400="sacos")*(MOVIMIENTOS!$A$5:$A$400&lt;&gt;"")*(MOVIMIENTOS!$A$5:$A$400&lt;=$A50)*MOVIMIENTOS!$E$5:$E$400)-SUMPRODUCT((MOVIMIENTOS!$B$5:$B$400="VENTA")*(MOVIMIENTOS!$C$5:$C$400="Chancho")*(MOVIMIENTOS!$D$5:$D$400="sacos")*(MOVIMIENTOS!$A$5:$A$400&lt;&gt;"")*(MOVIMIENTOS!$A$5:$A$400&lt;=$A50)*MOVIMIENTOS!$E$5:$E$400)+SUMPRODUCT((MOVIMIENTOS!$B$5:$B$400="AJUSTE")*(MOVIMIENTOS!$C$5:$C$400="Chancho")*(MOVIMIENTOS!$D$5:$D$400="sacos")*(MOVIMIENTOS!$A$5:$A$400&lt;&gt;"")*(MOVIMIENTOS!$A$5:$A$400&lt;=$A50)*MOVIMIENTOS!$E$5:$E$400))</f>
        <v/>
      </c>
      <c r="G50" s="46" t="str">
        <f aca="false">IF($A50="","",SUM(B50:E50))</f>
        <v/>
      </c>
      <c r="H50" s="46" t="str">
        <f aca="false">IF($A50="","",SUMPRODUCT((((MOVIMIENTOS!$B$5:$B$400="SALDO INICIAL")*(MOVIMIENTOS!$C$5:$C$400&lt;&gt;"Chancho"))+(MOVIMIENTOS!$B$5:$B$400="COMPRA")+(MOVIMIENTOS!$B$5:$B$400="REPROCESO")+(MOVIMIENTOS!$B$5:$B$400="DEVOLUCIÓN")+((MOVIMIENTOS!$B$5:$B$400="AJUSTE")*(MOVIMIENTOS!$C$5:$C$400&lt;&gt;"Chancho")))*(MOVIMIENTOS!$A$5:$A$400&lt;&gt;"")*(MOVIMIENTOS!$A$5:$A$400&lt;=$A50)*MOVIMIENTOS!$I$5:$I$400)-SUMPRODUCT(((MOVIMIENTOS!$B$5:$B$400="ENVÍO A SUPESA")+(MOVIMIENTOS!$B$5:$B$400="ENVÍO A TOTTUS")+(MOVIMIENTOS!$B$5:$B$400="ENVIO A TOTTUS")+(MOVIMIENTOS!$B$5:$B$400="MALOGRADO")+(MOVIMIENTOS!$B$5:$B$400="OTRA SALIDA")+((MOVIMIENTOS!$B$5:$B$400="PROCESO")*(MOVIMIENTOS!$C$5:$C$400="Chancho"))+((MOVIMIENTOS!$B$5:$B$400="REGALO")*(MOVIMIENTOS!$C$5:$C$400&lt;&gt;"Chancho"))+((MOVIMIENTOS!$B$5:$B$400="VENTA")*(MOVIMIENTOS!$C$5:$C$400&lt;&gt;"Chancho")))*(MOVIMIENTOS!$A$5:$A$400&lt;&gt;"")*(MOVIMIENTOS!$A$5:$A$400&lt;=$A50)*MOVIMIENTOS!$I$5:$I$400))</f>
        <v/>
      </c>
      <c r="I50" s="44"/>
      <c r="J50" s="44" t="n">
        <f aca="false">IF(AND(MOVIMIENTOS!$A50&lt;&gt;"",COUNTIF(MOVIMIENTOS!$A$5:$A49,MOVIMIENTOS!$A50)=0),COUNT(J$4:J49)+1,"")</f>
        <v>6</v>
      </c>
      <c r="K50" s="47" t="n">
        <f aca="false">MOVIMIENTOS!$A50</f>
        <v>46219</v>
      </c>
      <c r="L50" s="44"/>
      <c r="M50" s="44"/>
      <c r="N50" s="44"/>
    </row>
    <row r="51" customFormat="false" ht="15" hidden="false" customHeight="true" outlineLevel="0" collapsed="false">
      <c r="A51" s="45" t="str">
        <f aca="false">IFERROR(INDEX(K$5:K$400,MATCH(ROW()-4,J$5:J$400,0)),"")</f>
        <v/>
      </c>
      <c r="B51" s="46" t="str">
        <f aca="false">IF($A51="","",SUMPRODUCT((MOVIMIENTOS!$B$5:$B$400="SALDO INICIAL")*(MOVIMIENTOS!$C$5:$C$400="A")*(MOVIMIENTOS!$D$5:$D$400="jabas")*(MOVIMIENTOS!$A$5:$A$400&lt;&gt;"")*(MOVIMIENTOS!$A$5:$A$400&lt;=$A51)*MOVIMIENTOS!$E$5:$E$400)+SUMPRODUCT((MOVIMIENTOS!$B$5:$B$400="PROCESO")*(MOVIMIENTOS!$C$5:$C$400="A")*(MOVIMIENTOS!$D$5:$D$400="jabas")*(MOVIMIENTOS!$A$5:$A$400&lt;&gt;"")*(MOVIMIENTOS!$A$5:$A$400&lt;=$A51)*MOVIMIENTOS!$E$5:$E$400)-SUMPRODUCT((MOVIMIENTOS!$B$5:$B$400="ENVÍO A SUPESA")*(MOVIMIENTOS!$C$5:$C$400="A")*(MOVIMIENTOS!$D$5:$D$400="jabas")*(MOVIMIENTOS!$A$5:$A$400&lt;&gt;"")*(MOVIMIENTOS!$A$5:$A$400&lt;=$A51)*MOVIMIENTOS!$E$5:$E$400)+SUMPRODUCT((MOVIMIENTOS!$B$5:$B$400="DEVOLUCIÓN")*(MOVIMIENTOS!$C$5:$C$400="A")*(MOVIMIENTOS!$D$5:$D$400="jabas")*(MOVIMIENTOS!$A$5:$A$400&lt;&gt;"")*(MOVIMIENTOS!$A$5:$A$400&lt;=$A51)*MOVIMIENTOS!$E$5:$E$400)-SUMPRODUCT((MOVIMIENTOS!$B$5:$B$400="TRASIEGO")*(MOVIMIENTOS!$C$5:$C$400="A")*(MOVIMIENTOS!$D$5:$D$400="jabas")*(MOVIMIENTOS!$A$5:$A$400&lt;&gt;"")*(MOVIMIENTOS!$A$5:$A$400&lt;=$A51)*MOVIMIENTOS!$E$5:$E$400)-SUMPRODUCT((MOVIMIENTOS!$B$5:$B$400="REGALO")*(MOVIMIENTOS!$C$5:$C$400="A")*(MOVIMIENTOS!$D$5:$D$400="jabas")*(MOVIMIENTOS!$A$5:$A$400&lt;&gt;"")*(MOVIMIENTOS!$A$5:$A$400&lt;=$A51)*MOVIMIENTOS!$E$5:$E$400)-SUMPRODUCT((MOVIMIENTOS!$B$5:$B$400="VENTA")*(MOVIMIENTOS!$C$5:$C$400="A")*(MOVIMIENTOS!$D$5:$D$400="jabas")*(MOVIMIENTOS!$A$5:$A$400&lt;&gt;"")*(MOVIMIENTOS!$A$5:$A$400&lt;=$A51)*MOVIMIENTOS!$E$5:$E$400)+SUMPRODUCT((MOVIMIENTOS!$B$5:$B$400="AJUSTE")*(MOVIMIENTOS!$C$5:$C$400="A")*(MOVIMIENTOS!$D$5:$D$400="jabas")*(MOVIMIENTOS!$A$5:$A$400&lt;&gt;"")*(MOVIMIENTOS!$A$5:$A$400&lt;=$A51)*MOVIMIENTOS!$E$5:$E$400))</f>
        <v/>
      </c>
      <c r="C51" s="46" t="str">
        <f aca="false">IF($A51="","",SUMPRODUCT((MOVIMIENTOS!$B$5:$B$400="SALDO INICIAL")*(MOVIMIENTOS!$C$5:$C$400="P")*(MOVIMIENTOS!$D$5:$D$400="jabas")*(MOVIMIENTOS!$A$5:$A$400&lt;&gt;"")*(MOVIMIENTOS!$A$5:$A$400&lt;=$A51)*MOVIMIENTOS!$E$5:$E$400)+SUMPRODUCT((MOVIMIENTOS!$B$5:$B$400="PROCESO")*(MOVIMIENTOS!$C$5:$C$400="P")*(MOVIMIENTOS!$D$5:$D$400="jabas")*(MOVIMIENTOS!$A$5:$A$400&lt;&gt;"")*(MOVIMIENTOS!$A$5:$A$400&lt;=$A51)*MOVIMIENTOS!$E$5:$E$400)-SUMPRODUCT((MOVIMIENTOS!$B$5:$B$400="ENVÍO A SUPESA")*(MOVIMIENTOS!$C$5:$C$400="P")*(MOVIMIENTOS!$D$5:$D$400="jabas")*(MOVIMIENTOS!$A$5:$A$400&lt;&gt;"")*(MOVIMIENTOS!$A$5:$A$400&lt;=$A51)*MOVIMIENTOS!$E$5:$E$400)+SUMPRODUCT((MOVIMIENTOS!$B$5:$B$400="DEVOLUCIÓN")*(MOVIMIENTOS!$C$5:$C$400="P")*(MOVIMIENTOS!$D$5:$D$400="jabas")*(MOVIMIENTOS!$A$5:$A$400&lt;&gt;"")*(MOVIMIENTOS!$A$5:$A$400&lt;=$A51)*MOVIMIENTOS!$E$5:$E$400)-SUMPRODUCT((MOVIMIENTOS!$B$5:$B$400="TRASIEGO")*(MOVIMIENTOS!$C$5:$C$400="P")*(MOVIMIENTOS!$D$5:$D$400="jabas")*(MOVIMIENTOS!$A$5:$A$400&lt;&gt;"")*(MOVIMIENTOS!$A$5:$A$400&lt;=$A51)*MOVIMIENTOS!$E$5:$E$400)-SUMPRODUCT((MOVIMIENTOS!$B$5:$B$400="REGALO")*(MOVIMIENTOS!$C$5:$C$400="P")*(MOVIMIENTOS!$D$5:$D$400="jabas")*(MOVIMIENTOS!$A$5:$A$400&lt;&gt;"")*(MOVIMIENTOS!$A$5:$A$400&lt;=$A51)*MOVIMIENTOS!$E$5:$E$400)-SUMPRODUCT((MOVIMIENTOS!$B$5:$B$400="VENTA")*(MOVIMIENTOS!$C$5:$C$400="P")*(MOVIMIENTOS!$D$5:$D$400="jabas")*(MOVIMIENTOS!$A$5:$A$400&lt;&gt;"")*(MOVIMIENTOS!$A$5:$A$400&lt;=$A51)*MOVIMIENTOS!$E$5:$E$400)+SUMPRODUCT((MOVIMIENTOS!$B$5:$B$400="AJUSTE")*(MOVIMIENTOS!$C$5:$C$400="P")*(MOVIMIENTOS!$D$5:$D$400="jabas")*(MOVIMIENTOS!$A$5:$A$400&lt;&gt;"")*(MOVIMIENTOS!$A$5:$A$400&lt;=$A51)*MOVIMIENTOS!$E$5:$E$400))</f>
        <v/>
      </c>
      <c r="D51" s="46" t="str">
        <f aca="false">IF($A51="","",SUMPRODUCT((MOVIMIENTOS!$B$5:$B$400="SALDO INICIAL")*(MOVIMIENTOS!$C$5:$C$400="C")*(MOVIMIENTOS!$D$5:$D$400="jabas")*(MOVIMIENTOS!$A$5:$A$400&lt;&gt;"")*(MOVIMIENTOS!$A$5:$A$400&lt;=$A51)*MOVIMIENTOS!$E$5:$E$400)+SUMPRODUCT((MOVIMIENTOS!$B$5:$B$400="PROCESO")*(MOVIMIENTOS!$C$5:$C$400="C")*(MOVIMIENTOS!$D$5:$D$400="jabas")*(MOVIMIENTOS!$A$5:$A$400&lt;&gt;"")*(MOVIMIENTOS!$A$5:$A$400&lt;=$A51)*MOVIMIENTOS!$E$5:$E$400)-SUMPRODUCT((MOVIMIENTOS!$B$5:$B$400="ENVÍO A SUPESA")*(MOVIMIENTOS!$C$5:$C$400="C")*(MOVIMIENTOS!$D$5:$D$400="jabas")*(MOVIMIENTOS!$A$5:$A$400&lt;&gt;"")*(MOVIMIENTOS!$A$5:$A$400&lt;=$A51)*MOVIMIENTOS!$E$5:$E$400)+SUMPRODUCT((MOVIMIENTOS!$B$5:$B$400="DEVOLUCIÓN")*(MOVIMIENTOS!$C$5:$C$400="C")*(MOVIMIENTOS!$D$5:$D$400="jabas")*(MOVIMIENTOS!$A$5:$A$400&lt;&gt;"")*(MOVIMIENTOS!$A$5:$A$400&lt;=$A51)*MOVIMIENTOS!$E$5:$E$400)-SUMPRODUCT((MOVIMIENTOS!$B$5:$B$400="TRASIEGO")*(MOVIMIENTOS!$C$5:$C$400="C")*(MOVIMIENTOS!$D$5:$D$400="jabas")*(MOVIMIENTOS!$A$5:$A$400&lt;&gt;"")*(MOVIMIENTOS!$A$5:$A$400&lt;=$A51)*MOVIMIENTOS!$E$5:$E$400)-SUMPRODUCT((MOVIMIENTOS!$B$5:$B$400="REGALO")*(MOVIMIENTOS!$C$5:$C$400="C")*(MOVIMIENTOS!$D$5:$D$400="jabas")*(MOVIMIENTOS!$A$5:$A$400&lt;&gt;"")*(MOVIMIENTOS!$A$5:$A$400&lt;=$A51)*MOVIMIENTOS!$E$5:$E$400)-SUMPRODUCT((MOVIMIENTOS!$B$5:$B$400="VENTA")*(MOVIMIENTOS!$C$5:$C$400="C")*(MOVIMIENTOS!$D$5:$D$400="jabas")*(MOVIMIENTOS!$A$5:$A$400&lt;&gt;"")*(MOVIMIENTOS!$A$5:$A$400&lt;=$A51)*MOVIMIENTOS!$E$5:$E$400)+SUMPRODUCT((MOVIMIENTOS!$B$5:$B$400="AJUSTE")*(MOVIMIENTOS!$C$5:$C$400="C")*(MOVIMIENTOS!$D$5:$D$400="jabas")*(MOVIMIENTOS!$A$5:$A$400&lt;&gt;"")*(MOVIMIENTOS!$A$5:$A$400&lt;=$A51)*MOVIMIENTOS!$E$5:$E$400))</f>
        <v/>
      </c>
      <c r="E51" s="46" t="str">
        <f aca="false">IF($A51="","",SUMPRODUCT((MOVIMIENTOS!$B$5:$B$400="SALDO INICIAL")*(MOVIMIENTOS!$C$5:$C$400="M")*(MOVIMIENTOS!$D$5:$D$400="jabas")*(MOVIMIENTOS!$A$5:$A$400&lt;&gt;"")*(MOVIMIENTOS!$A$5:$A$400&lt;=$A51)*MOVIMIENTOS!$E$5:$E$400)+SUMPRODUCT((MOVIMIENTOS!$B$5:$B$400="PROCESO")*(MOVIMIENTOS!$C$5:$C$400="M")*(MOVIMIENTOS!$D$5:$D$400="jabas")*(MOVIMIENTOS!$A$5:$A$400&lt;&gt;"")*(MOVIMIENTOS!$A$5:$A$400&lt;=$A51)*MOVIMIENTOS!$E$5:$E$400)-SUMPRODUCT((MOVIMIENTOS!$B$5:$B$400="ENVÍO A SUPESA")*(MOVIMIENTOS!$C$5:$C$400="M")*(MOVIMIENTOS!$D$5:$D$400="jabas")*(MOVIMIENTOS!$A$5:$A$400&lt;&gt;"")*(MOVIMIENTOS!$A$5:$A$400&lt;=$A51)*MOVIMIENTOS!$E$5:$E$400)+SUMPRODUCT((MOVIMIENTOS!$B$5:$B$400="DEVOLUCIÓN")*(MOVIMIENTOS!$C$5:$C$400="M")*(MOVIMIENTOS!$D$5:$D$400="jabas")*(MOVIMIENTOS!$A$5:$A$400&lt;&gt;"")*(MOVIMIENTOS!$A$5:$A$400&lt;=$A51)*MOVIMIENTOS!$E$5:$E$400)-SUMPRODUCT((MOVIMIENTOS!$B$5:$B$400="TRASIEGO")*(MOVIMIENTOS!$C$5:$C$400="M")*(MOVIMIENTOS!$D$5:$D$400="jabas")*(MOVIMIENTOS!$A$5:$A$400&lt;&gt;"")*(MOVIMIENTOS!$A$5:$A$400&lt;=$A51)*MOVIMIENTOS!$E$5:$E$400)-SUMPRODUCT((MOVIMIENTOS!$B$5:$B$400="REGALO")*(MOVIMIENTOS!$C$5:$C$400="M")*(MOVIMIENTOS!$D$5:$D$400="jabas")*(MOVIMIENTOS!$A$5:$A$400&lt;&gt;"")*(MOVIMIENTOS!$A$5:$A$400&lt;=$A51)*MOVIMIENTOS!$E$5:$E$400)-SUMPRODUCT((MOVIMIENTOS!$B$5:$B$400="VENTA")*(MOVIMIENTOS!$C$5:$C$400="M")*(MOVIMIENTOS!$D$5:$D$400="jabas")*(MOVIMIENTOS!$A$5:$A$400&lt;&gt;"")*(MOVIMIENTOS!$A$5:$A$400&lt;=$A51)*MOVIMIENTOS!$E$5:$E$400)+SUMPRODUCT((MOVIMIENTOS!$B$5:$B$400="AJUSTE")*(MOVIMIENTOS!$C$5:$C$400="M")*(MOVIMIENTOS!$D$5:$D$400="jabas")*(MOVIMIENTOS!$A$5:$A$400&lt;&gt;"")*(MOVIMIENTOS!$A$5:$A$400&lt;=$A51)*MOVIMIENTOS!$E$5:$E$400))</f>
        <v/>
      </c>
      <c r="F51" s="46" t="str">
        <f aca="false">IF($A51="","",SUMPRODUCT((MOVIMIENTOS!$B$5:$B$400="SALDO INICIAL")*(MOVIMIENTOS!$C$5:$C$400="Chancho")*(MOVIMIENTOS!$D$5:$D$400="sacos")*(MOVIMIENTOS!$A$5:$A$400&lt;&gt;"")*(MOVIMIENTOS!$A$5:$A$400&lt;=$A51)*MOVIMIENTOS!$E$5:$E$400)+SUMPRODUCT((MOVIMIENTOS!$B$5:$B$400="PROCESO")*(MOVIMIENTOS!$C$5:$C$400="Chancho")*(MOVIMIENTOS!$D$5:$D$400="sacos")*(MOVIMIENTOS!$A$5:$A$400&lt;&gt;"")*(MOVIMIENTOS!$A$5:$A$400&lt;=$A51)*MOVIMIENTOS!$E$5:$E$400)-SUMPRODUCT((MOVIMIENTOS!$B$5:$B$400="VENTA CHANCHO")*(MOVIMIENTOS!$C$5:$C$400="Chancho")*(MOVIMIENTOS!$D$5:$D$400="sacos")*(MOVIMIENTOS!$A$5:$A$400&lt;&gt;"")*(MOVIMIENTOS!$A$5:$A$400&lt;=$A51)*MOVIMIENTOS!$E$5:$E$400)-SUMPRODUCT((MOVIMIENTOS!$B$5:$B$400="REGALO")*(MOVIMIENTOS!$C$5:$C$400="Chancho")*(MOVIMIENTOS!$D$5:$D$400="sacos")*(MOVIMIENTOS!$A$5:$A$400&lt;&gt;"")*(MOVIMIENTOS!$A$5:$A$400&lt;=$A51)*MOVIMIENTOS!$E$5:$E$400)-SUMPRODUCT((MOVIMIENTOS!$B$5:$B$400="VENTA")*(MOVIMIENTOS!$C$5:$C$400="Chancho")*(MOVIMIENTOS!$D$5:$D$400="sacos")*(MOVIMIENTOS!$A$5:$A$400&lt;&gt;"")*(MOVIMIENTOS!$A$5:$A$400&lt;=$A51)*MOVIMIENTOS!$E$5:$E$400)+SUMPRODUCT((MOVIMIENTOS!$B$5:$B$400="AJUSTE")*(MOVIMIENTOS!$C$5:$C$400="Chancho")*(MOVIMIENTOS!$D$5:$D$400="sacos")*(MOVIMIENTOS!$A$5:$A$400&lt;&gt;"")*(MOVIMIENTOS!$A$5:$A$400&lt;=$A51)*MOVIMIENTOS!$E$5:$E$400))</f>
        <v/>
      </c>
      <c r="G51" s="46" t="str">
        <f aca="false">IF($A51="","",SUM(B51:E51))</f>
        <v/>
      </c>
      <c r="H51" s="46" t="str">
        <f aca="false">IF($A51="","",SUMPRODUCT((((MOVIMIENTOS!$B$5:$B$400="SALDO INICIAL")*(MOVIMIENTOS!$C$5:$C$400&lt;&gt;"Chancho"))+(MOVIMIENTOS!$B$5:$B$400="COMPRA")+(MOVIMIENTOS!$B$5:$B$400="REPROCESO")+(MOVIMIENTOS!$B$5:$B$400="DEVOLUCIÓN")+((MOVIMIENTOS!$B$5:$B$400="AJUSTE")*(MOVIMIENTOS!$C$5:$C$400&lt;&gt;"Chancho")))*(MOVIMIENTOS!$A$5:$A$400&lt;&gt;"")*(MOVIMIENTOS!$A$5:$A$400&lt;=$A51)*MOVIMIENTOS!$I$5:$I$400)-SUMPRODUCT(((MOVIMIENTOS!$B$5:$B$400="ENVÍO A SUPESA")+(MOVIMIENTOS!$B$5:$B$400="ENVÍO A TOTTUS")+(MOVIMIENTOS!$B$5:$B$400="ENVIO A TOTTUS")+(MOVIMIENTOS!$B$5:$B$400="MALOGRADO")+(MOVIMIENTOS!$B$5:$B$400="OTRA SALIDA")+((MOVIMIENTOS!$B$5:$B$400="PROCESO")*(MOVIMIENTOS!$C$5:$C$400="Chancho"))+((MOVIMIENTOS!$B$5:$B$400="REGALO")*(MOVIMIENTOS!$C$5:$C$400&lt;&gt;"Chancho"))+((MOVIMIENTOS!$B$5:$B$400="VENTA")*(MOVIMIENTOS!$C$5:$C$400&lt;&gt;"Chancho")))*(MOVIMIENTOS!$A$5:$A$400&lt;&gt;"")*(MOVIMIENTOS!$A$5:$A$400&lt;=$A51)*MOVIMIENTOS!$I$5:$I$400))</f>
        <v/>
      </c>
      <c r="I51" s="44"/>
      <c r="J51" s="44" t="str">
        <f aca="false">IF(AND(MOVIMIENTOS!$A51&lt;&gt;"",COUNTIF(MOVIMIENTOS!$A$5:$A50,MOVIMIENTOS!$A51)=0),COUNT(J$4:J50)+1,"")</f>
        <v/>
      </c>
      <c r="K51" s="47" t="n">
        <f aca="false">MOVIMIENTOS!$A51</f>
        <v>46219</v>
      </c>
      <c r="L51" s="44"/>
      <c r="M51" s="44"/>
      <c r="N51" s="44"/>
    </row>
    <row r="52" customFormat="false" ht="15" hidden="false" customHeight="true" outlineLevel="0" collapsed="false">
      <c r="A52" s="45" t="str">
        <f aca="false">IFERROR(INDEX(K$5:K$400,MATCH(ROW()-4,J$5:J$400,0)),"")</f>
        <v/>
      </c>
      <c r="B52" s="46" t="str">
        <f aca="false">IF($A52="","",SUMPRODUCT((MOVIMIENTOS!$B$5:$B$400="SALDO INICIAL")*(MOVIMIENTOS!$C$5:$C$400="A")*(MOVIMIENTOS!$D$5:$D$400="jabas")*(MOVIMIENTOS!$A$5:$A$400&lt;&gt;"")*(MOVIMIENTOS!$A$5:$A$400&lt;=$A52)*MOVIMIENTOS!$E$5:$E$400)+SUMPRODUCT((MOVIMIENTOS!$B$5:$B$400="PROCESO")*(MOVIMIENTOS!$C$5:$C$400="A")*(MOVIMIENTOS!$D$5:$D$400="jabas")*(MOVIMIENTOS!$A$5:$A$400&lt;&gt;"")*(MOVIMIENTOS!$A$5:$A$400&lt;=$A52)*MOVIMIENTOS!$E$5:$E$400)-SUMPRODUCT((MOVIMIENTOS!$B$5:$B$400="ENVÍO A SUPESA")*(MOVIMIENTOS!$C$5:$C$400="A")*(MOVIMIENTOS!$D$5:$D$400="jabas")*(MOVIMIENTOS!$A$5:$A$400&lt;&gt;"")*(MOVIMIENTOS!$A$5:$A$400&lt;=$A52)*MOVIMIENTOS!$E$5:$E$400)+SUMPRODUCT((MOVIMIENTOS!$B$5:$B$400="DEVOLUCIÓN")*(MOVIMIENTOS!$C$5:$C$400="A")*(MOVIMIENTOS!$D$5:$D$400="jabas")*(MOVIMIENTOS!$A$5:$A$400&lt;&gt;"")*(MOVIMIENTOS!$A$5:$A$400&lt;=$A52)*MOVIMIENTOS!$E$5:$E$400)-SUMPRODUCT((MOVIMIENTOS!$B$5:$B$400="TRASIEGO")*(MOVIMIENTOS!$C$5:$C$400="A")*(MOVIMIENTOS!$D$5:$D$400="jabas")*(MOVIMIENTOS!$A$5:$A$400&lt;&gt;"")*(MOVIMIENTOS!$A$5:$A$400&lt;=$A52)*MOVIMIENTOS!$E$5:$E$400)-SUMPRODUCT((MOVIMIENTOS!$B$5:$B$400="REGALO")*(MOVIMIENTOS!$C$5:$C$400="A")*(MOVIMIENTOS!$D$5:$D$400="jabas")*(MOVIMIENTOS!$A$5:$A$400&lt;&gt;"")*(MOVIMIENTOS!$A$5:$A$400&lt;=$A52)*MOVIMIENTOS!$E$5:$E$400)-SUMPRODUCT((MOVIMIENTOS!$B$5:$B$400="VENTA")*(MOVIMIENTOS!$C$5:$C$400="A")*(MOVIMIENTOS!$D$5:$D$400="jabas")*(MOVIMIENTOS!$A$5:$A$400&lt;&gt;"")*(MOVIMIENTOS!$A$5:$A$400&lt;=$A52)*MOVIMIENTOS!$E$5:$E$400)+SUMPRODUCT((MOVIMIENTOS!$B$5:$B$400="AJUSTE")*(MOVIMIENTOS!$C$5:$C$400="A")*(MOVIMIENTOS!$D$5:$D$400="jabas")*(MOVIMIENTOS!$A$5:$A$400&lt;&gt;"")*(MOVIMIENTOS!$A$5:$A$400&lt;=$A52)*MOVIMIENTOS!$E$5:$E$400))</f>
        <v/>
      </c>
      <c r="C52" s="46" t="str">
        <f aca="false">IF($A52="","",SUMPRODUCT((MOVIMIENTOS!$B$5:$B$400="SALDO INICIAL")*(MOVIMIENTOS!$C$5:$C$400="P")*(MOVIMIENTOS!$D$5:$D$400="jabas")*(MOVIMIENTOS!$A$5:$A$400&lt;&gt;"")*(MOVIMIENTOS!$A$5:$A$400&lt;=$A52)*MOVIMIENTOS!$E$5:$E$400)+SUMPRODUCT((MOVIMIENTOS!$B$5:$B$400="PROCESO")*(MOVIMIENTOS!$C$5:$C$400="P")*(MOVIMIENTOS!$D$5:$D$400="jabas")*(MOVIMIENTOS!$A$5:$A$400&lt;&gt;"")*(MOVIMIENTOS!$A$5:$A$400&lt;=$A52)*MOVIMIENTOS!$E$5:$E$400)-SUMPRODUCT((MOVIMIENTOS!$B$5:$B$400="ENVÍO A SUPESA")*(MOVIMIENTOS!$C$5:$C$400="P")*(MOVIMIENTOS!$D$5:$D$400="jabas")*(MOVIMIENTOS!$A$5:$A$400&lt;&gt;"")*(MOVIMIENTOS!$A$5:$A$400&lt;=$A52)*MOVIMIENTOS!$E$5:$E$400)+SUMPRODUCT((MOVIMIENTOS!$B$5:$B$400="DEVOLUCIÓN")*(MOVIMIENTOS!$C$5:$C$400="P")*(MOVIMIENTOS!$D$5:$D$400="jabas")*(MOVIMIENTOS!$A$5:$A$400&lt;&gt;"")*(MOVIMIENTOS!$A$5:$A$400&lt;=$A52)*MOVIMIENTOS!$E$5:$E$400)-SUMPRODUCT((MOVIMIENTOS!$B$5:$B$400="TRASIEGO")*(MOVIMIENTOS!$C$5:$C$400="P")*(MOVIMIENTOS!$D$5:$D$400="jabas")*(MOVIMIENTOS!$A$5:$A$400&lt;&gt;"")*(MOVIMIENTOS!$A$5:$A$400&lt;=$A52)*MOVIMIENTOS!$E$5:$E$400)-SUMPRODUCT((MOVIMIENTOS!$B$5:$B$400="REGALO")*(MOVIMIENTOS!$C$5:$C$400="P")*(MOVIMIENTOS!$D$5:$D$400="jabas")*(MOVIMIENTOS!$A$5:$A$400&lt;&gt;"")*(MOVIMIENTOS!$A$5:$A$400&lt;=$A52)*MOVIMIENTOS!$E$5:$E$400)-SUMPRODUCT((MOVIMIENTOS!$B$5:$B$400="VENTA")*(MOVIMIENTOS!$C$5:$C$400="P")*(MOVIMIENTOS!$D$5:$D$400="jabas")*(MOVIMIENTOS!$A$5:$A$400&lt;&gt;"")*(MOVIMIENTOS!$A$5:$A$400&lt;=$A52)*MOVIMIENTOS!$E$5:$E$400)+SUMPRODUCT((MOVIMIENTOS!$B$5:$B$400="AJUSTE")*(MOVIMIENTOS!$C$5:$C$400="P")*(MOVIMIENTOS!$D$5:$D$400="jabas")*(MOVIMIENTOS!$A$5:$A$400&lt;&gt;"")*(MOVIMIENTOS!$A$5:$A$400&lt;=$A52)*MOVIMIENTOS!$E$5:$E$400))</f>
        <v/>
      </c>
      <c r="D52" s="46" t="str">
        <f aca="false">IF($A52="","",SUMPRODUCT((MOVIMIENTOS!$B$5:$B$400="SALDO INICIAL")*(MOVIMIENTOS!$C$5:$C$400="C")*(MOVIMIENTOS!$D$5:$D$400="jabas")*(MOVIMIENTOS!$A$5:$A$400&lt;&gt;"")*(MOVIMIENTOS!$A$5:$A$400&lt;=$A52)*MOVIMIENTOS!$E$5:$E$400)+SUMPRODUCT((MOVIMIENTOS!$B$5:$B$400="PROCESO")*(MOVIMIENTOS!$C$5:$C$400="C")*(MOVIMIENTOS!$D$5:$D$400="jabas")*(MOVIMIENTOS!$A$5:$A$400&lt;&gt;"")*(MOVIMIENTOS!$A$5:$A$400&lt;=$A52)*MOVIMIENTOS!$E$5:$E$400)-SUMPRODUCT((MOVIMIENTOS!$B$5:$B$400="ENVÍO A SUPESA")*(MOVIMIENTOS!$C$5:$C$400="C")*(MOVIMIENTOS!$D$5:$D$400="jabas")*(MOVIMIENTOS!$A$5:$A$400&lt;&gt;"")*(MOVIMIENTOS!$A$5:$A$400&lt;=$A52)*MOVIMIENTOS!$E$5:$E$400)+SUMPRODUCT((MOVIMIENTOS!$B$5:$B$400="DEVOLUCIÓN")*(MOVIMIENTOS!$C$5:$C$400="C")*(MOVIMIENTOS!$D$5:$D$400="jabas")*(MOVIMIENTOS!$A$5:$A$400&lt;&gt;"")*(MOVIMIENTOS!$A$5:$A$400&lt;=$A52)*MOVIMIENTOS!$E$5:$E$400)-SUMPRODUCT((MOVIMIENTOS!$B$5:$B$400="TRASIEGO")*(MOVIMIENTOS!$C$5:$C$400="C")*(MOVIMIENTOS!$D$5:$D$400="jabas")*(MOVIMIENTOS!$A$5:$A$400&lt;&gt;"")*(MOVIMIENTOS!$A$5:$A$400&lt;=$A52)*MOVIMIENTOS!$E$5:$E$400)-SUMPRODUCT((MOVIMIENTOS!$B$5:$B$400="REGALO")*(MOVIMIENTOS!$C$5:$C$400="C")*(MOVIMIENTOS!$D$5:$D$400="jabas")*(MOVIMIENTOS!$A$5:$A$400&lt;&gt;"")*(MOVIMIENTOS!$A$5:$A$400&lt;=$A52)*MOVIMIENTOS!$E$5:$E$400)-SUMPRODUCT((MOVIMIENTOS!$B$5:$B$400="VENTA")*(MOVIMIENTOS!$C$5:$C$400="C")*(MOVIMIENTOS!$D$5:$D$400="jabas")*(MOVIMIENTOS!$A$5:$A$400&lt;&gt;"")*(MOVIMIENTOS!$A$5:$A$400&lt;=$A52)*MOVIMIENTOS!$E$5:$E$400)+SUMPRODUCT((MOVIMIENTOS!$B$5:$B$400="AJUSTE")*(MOVIMIENTOS!$C$5:$C$400="C")*(MOVIMIENTOS!$D$5:$D$400="jabas")*(MOVIMIENTOS!$A$5:$A$400&lt;&gt;"")*(MOVIMIENTOS!$A$5:$A$400&lt;=$A52)*MOVIMIENTOS!$E$5:$E$400))</f>
        <v/>
      </c>
      <c r="E52" s="46" t="str">
        <f aca="false">IF($A52="","",SUMPRODUCT((MOVIMIENTOS!$B$5:$B$400="SALDO INICIAL")*(MOVIMIENTOS!$C$5:$C$400="M")*(MOVIMIENTOS!$D$5:$D$400="jabas")*(MOVIMIENTOS!$A$5:$A$400&lt;&gt;"")*(MOVIMIENTOS!$A$5:$A$400&lt;=$A52)*MOVIMIENTOS!$E$5:$E$400)+SUMPRODUCT((MOVIMIENTOS!$B$5:$B$400="PROCESO")*(MOVIMIENTOS!$C$5:$C$400="M")*(MOVIMIENTOS!$D$5:$D$400="jabas")*(MOVIMIENTOS!$A$5:$A$400&lt;&gt;"")*(MOVIMIENTOS!$A$5:$A$400&lt;=$A52)*MOVIMIENTOS!$E$5:$E$400)-SUMPRODUCT((MOVIMIENTOS!$B$5:$B$400="ENVÍO A SUPESA")*(MOVIMIENTOS!$C$5:$C$400="M")*(MOVIMIENTOS!$D$5:$D$400="jabas")*(MOVIMIENTOS!$A$5:$A$400&lt;&gt;"")*(MOVIMIENTOS!$A$5:$A$400&lt;=$A52)*MOVIMIENTOS!$E$5:$E$400)+SUMPRODUCT((MOVIMIENTOS!$B$5:$B$400="DEVOLUCIÓN")*(MOVIMIENTOS!$C$5:$C$400="M")*(MOVIMIENTOS!$D$5:$D$400="jabas")*(MOVIMIENTOS!$A$5:$A$400&lt;&gt;"")*(MOVIMIENTOS!$A$5:$A$400&lt;=$A52)*MOVIMIENTOS!$E$5:$E$400)-SUMPRODUCT((MOVIMIENTOS!$B$5:$B$400="TRASIEGO")*(MOVIMIENTOS!$C$5:$C$400="M")*(MOVIMIENTOS!$D$5:$D$400="jabas")*(MOVIMIENTOS!$A$5:$A$400&lt;&gt;"")*(MOVIMIENTOS!$A$5:$A$400&lt;=$A52)*MOVIMIENTOS!$E$5:$E$400)-SUMPRODUCT((MOVIMIENTOS!$B$5:$B$400="REGALO")*(MOVIMIENTOS!$C$5:$C$400="M")*(MOVIMIENTOS!$D$5:$D$400="jabas")*(MOVIMIENTOS!$A$5:$A$400&lt;&gt;"")*(MOVIMIENTOS!$A$5:$A$400&lt;=$A52)*MOVIMIENTOS!$E$5:$E$400)-SUMPRODUCT((MOVIMIENTOS!$B$5:$B$400="VENTA")*(MOVIMIENTOS!$C$5:$C$400="M")*(MOVIMIENTOS!$D$5:$D$400="jabas")*(MOVIMIENTOS!$A$5:$A$400&lt;&gt;"")*(MOVIMIENTOS!$A$5:$A$400&lt;=$A52)*MOVIMIENTOS!$E$5:$E$400)+SUMPRODUCT((MOVIMIENTOS!$B$5:$B$400="AJUSTE")*(MOVIMIENTOS!$C$5:$C$400="M")*(MOVIMIENTOS!$D$5:$D$400="jabas")*(MOVIMIENTOS!$A$5:$A$400&lt;&gt;"")*(MOVIMIENTOS!$A$5:$A$400&lt;=$A52)*MOVIMIENTOS!$E$5:$E$400))</f>
        <v/>
      </c>
      <c r="F52" s="46" t="str">
        <f aca="false">IF($A52="","",SUMPRODUCT((MOVIMIENTOS!$B$5:$B$400="SALDO INICIAL")*(MOVIMIENTOS!$C$5:$C$400="Chancho")*(MOVIMIENTOS!$D$5:$D$400="sacos")*(MOVIMIENTOS!$A$5:$A$400&lt;&gt;"")*(MOVIMIENTOS!$A$5:$A$400&lt;=$A52)*MOVIMIENTOS!$E$5:$E$400)+SUMPRODUCT((MOVIMIENTOS!$B$5:$B$400="PROCESO")*(MOVIMIENTOS!$C$5:$C$400="Chancho")*(MOVIMIENTOS!$D$5:$D$400="sacos")*(MOVIMIENTOS!$A$5:$A$400&lt;&gt;"")*(MOVIMIENTOS!$A$5:$A$400&lt;=$A52)*MOVIMIENTOS!$E$5:$E$400)-SUMPRODUCT((MOVIMIENTOS!$B$5:$B$400="VENTA CHANCHO")*(MOVIMIENTOS!$C$5:$C$400="Chancho")*(MOVIMIENTOS!$D$5:$D$400="sacos")*(MOVIMIENTOS!$A$5:$A$400&lt;&gt;"")*(MOVIMIENTOS!$A$5:$A$400&lt;=$A52)*MOVIMIENTOS!$E$5:$E$400)-SUMPRODUCT((MOVIMIENTOS!$B$5:$B$400="REGALO")*(MOVIMIENTOS!$C$5:$C$400="Chancho")*(MOVIMIENTOS!$D$5:$D$400="sacos")*(MOVIMIENTOS!$A$5:$A$400&lt;&gt;"")*(MOVIMIENTOS!$A$5:$A$400&lt;=$A52)*MOVIMIENTOS!$E$5:$E$400)-SUMPRODUCT((MOVIMIENTOS!$B$5:$B$400="VENTA")*(MOVIMIENTOS!$C$5:$C$400="Chancho")*(MOVIMIENTOS!$D$5:$D$400="sacos")*(MOVIMIENTOS!$A$5:$A$400&lt;&gt;"")*(MOVIMIENTOS!$A$5:$A$400&lt;=$A52)*MOVIMIENTOS!$E$5:$E$400)+SUMPRODUCT((MOVIMIENTOS!$B$5:$B$400="AJUSTE")*(MOVIMIENTOS!$C$5:$C$400="Chancho")*(MOVIMIENTOS!$D$5:$D$400="sacos")*(MOVIMIENTOS!$A$5:$A$400&lt;&gt;"")*(MOVIMIENTOS!$A$5:$A$400&lt;=$A52)*MOVIMIENTOS!$E$5:$E$400))</f>
        <v/>
      </c>
      <c r="G52" s="46" t="str">
        <f aca="false">IF($A52="","",SUM(B52:E52))</f>
        <v/>
      </c>
      <c r="H52" s="46" t="str">
        <f aca="false">IF($A52="","",SUMPRODUCT((((MOVIMIENTOS!$B$5:$B$400="SALDO INICIAL")*(MOVIMIENTOS!$C$5:$C$400&lt;&gt;"Chancho"))+(MOVIMIENTOS!$B$5:$B$400="COMPRA")+(MOVIMIENTOS!$B$5:$B$400="REPROCESO")+(MOVIMIENTOS!$B$5:$B$400="DEVOLUCIÓN")+((MOVIMIENTOS!$B$5:$B$400="AJUSTE")*(MOVIMIENTOS!$C$5:$C$400&lt;&gt;"Chancho")))*(MOVIMIENTOS!$A$5:$A$400&lt;&gt;"")*(MOVIMIENTOS!$A$5:$A$400&lt;=$A52)*MOVIMIENTOS!$I$5:$I$400)-SUMPRODUCT(((MOVIMIENTOS!$B$5:$B$400="ENVÍO A SUPESA")+(MOVIMIENTOS!$B$5:$B$400="ENVÍO A TOTTUS")+(MOVIMIENTOS!$B$5:$B$400="ENVIO A TOTTUS")+(MOVIMIENTOS!$B$5:$B$400="MALOGRADO")+(MOVIMIENTOS!$B$5:$B$400="OTRA SALIDA")+((MOVIMIENTOS!$B$5:$B$400="PROCESO")*(MOVIMIENTOS!$C$5:$C$400="Chancho"))+((MOVIMIENTOS!$B$5:$B$400="REGALO")*(MOVIMIENTOS!$C$5:$C$400&lt;&gt;"Chancho"))+((MOVIMIENTOS!$B$5:$B$400="VENTA")*(MOVIMIENTOS!$C$5:$C$400&lt;&gt;"Chancho")))*(MOVIMIENTOS!$A$5:$A$400&lt;&gt;"")*(MOVIMIENTOS!$A$5:$A$400&lt;=$A52)*MOVIMIENTOS!$I$5:$I$400))</f>
        <v/>
      </c>
      <c r="I52" s="44"/>
      <c r="J52" s="44" t="str">
        <f aca="false">IF(AND(MOVIMIENTOS!$A52&lt;&gt;"",COUNTIF(MOVIMIENTOS!$A$5:$A51,MOVIMIENTOS!$A52)=0),COUNT(J$4:J51)+1,"")</f>
        <v/>
      </c>
      <c r="K52" s="47" t="n">
        <f aca="false">MOVIMIENTOS!$A52</f>
        <v>46219</v>
      </c>
      <c r="L52" s="44"/>
      <c r="M52" s="44"/>
      <c r="N52" s="44"/>
    </row>
    <row r="53" customFormat="false" ht="15" hidden="false" customHeight="true" outlineLevel="0" collapsed="false">
      <c r="A53" s="45" t="str">
        <f aca="false">IFERROR(INDEX(K$5:K$400,MATCH(ROW()-4,J$5:J$400,0)),"")</f>
        <v/>
      </c>
      <c r="B53" s="46" t="str">
        <f aca="false">IF($A53="","",SUMPRODUCT((MOVIMIENTOS!$B$5:$B$400="SALDO INICIAL")*(MOVIMIENTOS!$C$5:$C$400="A")*(MOVIMIENTOS!$D$5:$D$400="jabas")*(MOVIMIENTOS!$A$5:$A$400&lt;&gt;"")*(MOVIMIENTOS!$A$5:$A$400&lt;=$A53)*MOVIMIENTOS!$E$5:$E$400)+SUMPRODUCT((MOVIMIENTOS!$B$5:$B$400="PROCESO")*(MOVIMIENTOS!$C$5:$C$400="A")*(MOVIMIENTOS!$D$5:$D$400="jabas")*(MOVIMIENTOS!$A$5:$A$400&lt;&gt;"")*(MOVIMIENTOS!$A$5:$A$400&lt;=$A53)*MOVIMIENTOS!$E$5:$E$400)-SUMPRODUCT((MOVIMIENTOS!$B$5:$B$400="ENVÍO A SUPESA")*(MOVIMIENTOS!$C$5:$C$400="A")*(MOVIMIENTOS!$D$5:$D$400="jabas")*(MOVIMIENTOS!$A$5:$A$400&lt;&gt;"")*(MOVIMIENTOS!$A$5:$A$400&lt;=$A53)*MOVIMIENTOS!$E$5:$E$400)+SUMPRODUCT((MOVIMIENTOS!$B$5:$B$400="DEVOLUCIÓN")*(MOVIMIENTOS!$C$5:$C$400="A")*(MOVIMIENTOS!$D$5:$D$400="jabas")*(MOVIMIENTOS!$A$5:$A$400&lt;&gt;"")*(MOVIMIENTOS!$A$5:$A$400&lt;=$A53)*MOVIMIENTOS!$E$5:$E$400)-SUMPRODUCT((MOVIMIENTOS!$B$5:$B$400="TRASIEGO")*(MOVIMIENTOS!$C$5:$C$400="A")*(MOVIMIENTOS!$D$5:$D$400="jabas")*(MOVIMIENTOS!$A$5:$A$400&lt;&gt;"")*(MOVIMIENTOS!$A$5:$A$400&lt;=$A53)*MOVIMIENTOS!$E$5:$E$400)-SUMPRODUCT((MOVIMIENTOS!$B$5:$B$400="REGALO")*(MOVIMIENTOS!$C$5:$C$400="A")*(MOVIMIENTOS!$D$5:$D$400="jabas")*(MOVIMIENTOS!$A$5:$A$400&lt;&gt;"")*(MOVIMIENTOS!$A$5:$A$400&lt;=$A53)*MOVIMIENTOS!$E$5:$E$400)-SUMPRODUCT((MOVIMIENTOS!$B$5:$B$400="VENTA")*(MOVIMIENTOS!$C$5:$C$400="A")*(MOVIMIENTOS!$D$5:$D$400="jabas")*(MOVIMIENTOS!$A$5:$A$400&lt;&gt;"")*(MOVIMIENTOS!$A$5:$A$400&lt;=$A53)*MOVIMIENTOS!$E$5:$E$400)+SUMPRODUCT((MOVIMIENTOS!$B$5:$B$400="AJUSTE")*(MOVIMIENTOS!$C$5:$C$400="A")*(MOVIMIENTOS!$D$5:$D$400="jabas")*(MOVIMIENTOS!$A$5:$A$400&lt;&gt;"")*(MOVIMIENTOS!$A$5:$A$400&lt;=$A53)*MOVIMIENTOS!$E$5:$E$400))</f>
        <v/>
      </c>
      <c r="C53" s="46" t="str">
        <f aca="false">IF($A53="","",SUMPRODUCT((MOVIMIENTOS!$B$5:$B$400="SALDO INICIAL")*(MOVIMIENTOS!$C$5:$C$400="P")*(MOVIMIENTOS!$D$5:$D$400="jabas")*(MOVIMIENTOS!$A$5:$A$400&lt;&gt;"")*(MOVIMIENTOS!$A$5:$A$400&lt;=$A53)*MOVIMIENTOS!$E$5:$E$400)+SUMPRODUCT((MOVIMIENTOS!$B$5:$B$400="PROCESO")*(MOVIMIENTOS!$C$5:$C$400="P")*(MOVIMIENTOS!$D$5:$D$400="jabas")*(MOVIMIENTOS!$A$5:$A$400&lt;&gt;"")*(MOVIMIENTOS!$A$5:$A$400&lt;=$A53)*MOVIMIENTOS!$E$5:$E$400)-SUMPRODUCT((MOVIMIENTOS!$B$5:$B$400="ENVÍO A SUPESA")*(MOVIMIENTOS!$C$5:$C$400="P")*(MOVIMIENTOS!$D$5:$D$400="jabas")*(MOVIMIENTOS!$A$5:$A$400&lt;&gt;"")*(MOVIMIENTOS!$A$5:$A$400&lt;=$A53)*MOVIMIENTOS!$E$5:$E$400)+SUMPRODUCT((MOVIMIENTOS!$B$5:$B$400="DEVOLUCIÓN")*(MOVIMIENTOS!$C$5:$C$400="P")*(MOVIMIENTOS!$D$5:$D$400="jabas")*(MOVIMIENTOS!$A$5:$A$400&lt;&gt;"")*(MOVIMIENTOS!$A$5:$A$400&lt;=$A53)*MOVIMIENTOS!$E$5:$E$400)-SUMPRODUCT((MOVIMIENTOS!$B$5:$B$400="TRASIEGO")*(MOVIMIENTOS!$C$5:$C$400="P")*(MOVIMIENTOS!$D$5:$D$400="jabas")*(MOVIMIENTOS!$A$5:$A$400&lt;&gt;"")*(MOVIMIENTOS!$A$5:$A$400&lt;=$A53)*MOVIMIENTOS!$E$5:$E$400)-SUMPRODUCT((MOVIMIENTOS!$B$5:$B$400="REGALO")*(MOVIMIENTOS!$C$5:$C$400="P")*(MOVIMIENTOS!$D$5:$D$400="jabas")*(MOVIMIENTOS!$A$5:$A$400&lt;&gt;"")*(MOVIMIENTOS!$A$5:$A$400&lt;=$A53)*MOVIMIENTOS!$E$5:$E$400)-SUMPRODUCT((MOVIMIENTOS!$B$5:$B$400="VENTA")*(MOVIMIENTOS!$C$5:$C$400="P")*(MOVIMIENTOS!$D$5:$D$400="jabas")*(MOVIMIENTOS!$A$5:$A$400&lt;&gt;"")*(MOVIMIENTOS!$A$5:$A$400&lt;=$A53)*MOVIMIENTOS!$E$5:$E$400)+SUMPRODUCT((MOVIMIENTOS!$B$5:$B$400="AJUSTE")*(MOVIMIENTOS!$C$5:$C$400="P")*(MOVIMIENTOS!$D$5:$D$400="jabas")*(MOVIMIENTOS!$A$5:$A$400&lt;&gt;"")*(MOVIMIENTOS!$A$5:$A$400&lt;=$A53)*MOVIMIENTOS!$E$5:$E$400))</f>
        <v/>
      </c>
      <c r="D53" s="46" t="str">
        <f aca="false">IF($A53="","",SUMPRODUCT((MOVIMIENTOS!$B$5:$B$400="SALDO INICIAL")*(MOVIMIENTOS!$C$5:$C$400="C")*(MOVIMIENTOS!$D$5:$D$400="jabas")*(MOVIMIENTOS!$A$5:$A$400&lt;&gt;"")*(MOVIMIENTOS!$A$5:$A$400&lt;=$A53)*MOVIMIENTOS!$E$5:$E$400)+SUMPRODUCT((MOVIMIENTOS!$B$5:$B$400="PROCESO")*(MOVIMIENTOS!$C$5:$C$400="C")*(MOVIMIENTOS!$D$5:$D$400="jabas")*(MOVIMIENTOS!$A$5:$A$400&lt;&gt;"")*(MOVIMIENTOS!$A$5:$A$400&lt;=$A53)*MOVIMIENTOS!$E$5:$E$400)-SUMPRODUCT((MOVIMIENTOS!$B$5:$B$400="ENVÍO A SUPESA")*(MOVIMIENTOS!$C$5:$C$400="C")*(MOVIMIENTOS!$D$5:$D$400="jabas")*(MOVIMIENTOS!$A$5:$A$400&lt;&gt;"")*(MOVIMIENTOS!$A$5:$A$400&lt;=$A53)*MOVIMIENTOS!$E$5:$E$400)+SUMPRODUCT((MOVIMIENTOS!$B$5:$B$400="DEVOLUCIÓN")*(MOVIMIENTOS!$C$5:$C$400="C")*(MOVIMIENTOS!$D$5:$D$400="jabas")*(MOVIMIENTOS!$A$5:$A$400&lt;&gt;"")*(MOVIMIENTOS!$A$5:$A$400&lt;=$A53)*MOVIMIENTOS!$E$5:$E$400)-SUMPRODUCT((MOVIMIENTOS!$B$5:$B$400="TRASIEGO")*(MOVIMIENTOS!$C$5:$C$400="C")*(MOVIMIENTOS!$D$5:$D$400="jabas")*(MOVIMIENTOS!$A$5:$A$400&lt;&gt;"")*(MOVIMIENTOS!$A$5:$A$400&lt;=$A53)*MOVIMIENTOS!$E$5:$E$400)-SUMPRODUCT((MOVIMIENTOS!$B$5:$B$400="REGALO")*(MOVIMIENTOS!$C$5:$C$400="C")*(MOVIMIENTOS!$D$5:$D$400="jabas")*(MOVIMIENTOS!$A$5:$A$400&lt;&gt;"")*(MOVIMIENTOS!$A$5:$A$400&lt;=$A53)*MOVIMIENTOS!$E$5:$E$400)-SUMPRODUCT((MOVIMIENTOS!$B$5:$B$400="VENTA")*(MOVIMIENTOS!$C$5:$C$400="C")*(MOVIMIENTOS!$D$5:$D$400="jabas")*(MOVIMIENTOS!$A$5:$A$400&lt;&gt;"")*(MOVIMIENTOS!$A$5:$A$400&lt;=$A53)*MOVIMIENTOS!$E$5:$E$400)+SUMPRODUCT((MOVIMIENTOS!$B$5:$B$400="AJUSTE")*(MOVIMIENTOS!$C$5:$C$400="C")*(MOVIMIENTOS!$D$5:$D$400="jabas")*(MOVIMIENTOS!$A$5:$A$400&lt;&gt;"")*(MOVIMIENTOS!$A$5:$A$400&lt;=$A53)*MOVIMIENTOS!$E$5:$E$400))</f>
        <v/>
      </c>
      <c r="E53" s="46" t="str">
        <f aca="false">IF($A53="","",SUMPRODUCT((MOVIMIENTOS!$B$5:$B$400="SALDO INICIAL")*(MOVIMIENTOS!$C$5:$C$400="M")*(MOVIMIENTOS!$D$5:$D$400="jabas")*(MOVIMIENTOS!$A$5:$A$400&lt;&gt;"")*(MOVIMIENTOS!$A$5:$A$400&lt;=$A53)*MOVIMIENTOS!$E$5:$E$400)+SUMPRODUCT((MOVIMIENTOS!$B$5:$B$400="PROCESO")*(MOVIMIENTOS!$C$5:$C$400="M")*(MOVIMIENTOS!$D$5:$D$400="jabas")*(MOVIMIENTOS!$A$5:$A$400&lt;&gt;"")*(MOVIMIENTOS!$A$5:$A$400&lt;=$A53)*MOVIMIENTOS!$E$5:$E$400)-SUMPRODUCT((MOVIMIENTOS!$B$5:$B$400="ENVÍO A SUPESA")*(MOVIMIENTOS!$C$5:$C$400="M")*(MOVIMIENTOS!$D$5:$D$400="jabas")*(MOVIMIENTOS!$A$5:$A$400&lt;&gt;"")*(MOVIMIENTOS!$A$5:$A$400&lt;=$A53)*MOVIMIENTOS!$E$5:$E$400)+SUMPRODUCT((MOVIMIENTOS!$B$5:$B$400="DEVOLUCIÓN")*(MOVIMIENTOS!$C$5:$C$400="M")*(MOVIMIENTOS!$D$5:$D$400="jabas")*(MOVIMIENTOS!$A$5:$A$400&lt;&gt;"")*(MOVIMIENTOS!$A$5:$A$400&lt;=$A53)*MOVIMIENTOS!$E$5:$E$400)-SUMPRODUCT((MOVIMIENTOS!$B$5:$B$400="TRASIEGO")*(MOVIMIENTOS!$C$5:$C$400="M")*(MOVIMIENTOS!$D$5:$D$400="jabas")*(MOVIMIENTOS!$A$5:$A$400&lt;&gt;"")*(MOVIMIENTOS!$A$5:$A$400&lt;=$A53)*MOVIMIENTOS!$E$5:$E$400)-SUMPRODUCT((MOVIMIENTOS!$B$5:$B$400="REGALO")*(MOVIMIENTOS!$C$5:$C$400="M")*(MOVIMIENTOS!$D$5:$D$400="jabas")*(MOVIMIENTOS!$A$5:$A$400&lt;&gt;"")*(MOVIMIENTOS!$A$5:$A$400&lt;=$A53)*MOVIMIENTOS!$E$5:$E$400)-SUMPRODUCT((MOVIMIENTOS!$B$5:$B$400="VENTA")*(MOVIMIENTOS!$C$5:$C$400="M")*(MOVIMIENTOS!$D$5:$D$400="jabas")*(MOVIMIENTOS!$A$5:$A$400&lt;&gt;"")*(MOVIMIENTOS!$A$5:$A$400&lt;=$A53)*MOVIMIENTOS!$E$5:$E$400)+SUMPRODUCT((MOVIMIENTOS!$B$5:$B$400="AJUSTE")*(MOVIMIENTOS!$C$5:$C$400="M")*(MOVIMIENTOS!$D$5:$D$400="jabas")*(MOVIMIENTOS!$A$5:$A$400&lt;&gt;"")*(MOVIMIENTOS!$A$5:$A$400&lt;=$A53)*MOVIMIENTOS!$E$5:$E$400))</f>
        <v/>
      </c>
      <c r="F53" s="46" t="str">
        <f aca="false">IF($A53="","",SUMPRODUCT((MOVIMIENTOS!$B$5:$B$400="SALDO INICIAL")*(MOVIMIENTOS!$C$5:$C$400="Chancho")*(MOVIMIENTOS!$D$5:$D$400="sacos")*(MOVIMIENTOS!$A$5:$A$400&lt;&gt;"")*(MOVIMIENTOS!$A$5:$A$400&lt;=$A53)*MOVIMIENTOS!$E$5:$E$400)+SUMPRODUCT((MOVIMIENTOS!$B$5:$B$400="PROCESO")*(MOVIMIENTOS!$C$5:$C$400="Chancho")*(MOVIMIENTOS!$D$5:$D$400="sacos")*(MOVIMIENTOS!$A$5:$A$400&lt;&gt;"")*(MOVIMIENTOS!$A$5:$A$400&lt;=$A53)*MOVIMIENTOS!$E$5:$E$400)-SUMPRODUCT((MOVIMIENTOS!$B$5:$B$400="VENTA CHANCHO")*(MOVIMIENTOS!$C$5:$C$400="Chancho")*(MOVIMIENTOS!$D$5:$D$400="sacos")*(MOVIMIENTOS!$A$5:$A$400&lt;&gt;"")*(MOVIMIENTOS!$A$5:$A$400&lt;=$A53)*MOVIMIENTOS!$E$5:$E$400)-SUMPRODUCT((MOVIMIENTOS!$B$5:$B$400="REGALO")*(MOVIMIENTOS!$C$5:$C$400="Chancho")*(MOVIMIENTOS!$D$5:$D$400="sacos")*(MOVIMIENTOS!$A$5:$A$400&lt;&gt;"")*(MOVIMIENTOS!$A$5:$A$400&lt;=$A53)*MOVIMIENTOS!$E$5:$E$400)-SUMPRODUCT((MOVIMIENTOS!$B$5:$B$400="VENTA")*(MOVIMIENTOS!$C$5:$C$400="Chancho")*(MOVIMIENTOS!$D$5:$D$400="sacos")*(MOVIMIENTOS!$A$5:$A$400&lt;&gt;"")*(MOVIMIENTOS!$A$5:$A$400&lt;=$A53)*MOVIMIENTOS!$E$5:$E$400)+SUMPRODUCT((MOVIMIENTOS!$B$5:$B$400="AJUSTE")*(MOVIMIENTOS!$C$5:$C$400="Chancho")*(MOVIMIENTOS!$D$5:$D$400="sacos")*(MOVIMIENTOS!$A$5:$A$400&lt;&gt;"")*(MOVIMIENTOS!$A$5:$A$400&lt;=$A53)*MOVIMIENTOS!$E$5:$E$400))</f>
        <v/>
      </c>
      <c r="G53" s="46" t="str">
        <f aca="false">IF($A53="","",SUM(B53:E53))</f>
        <v/>
      </c>
      <c r="H53" s="46" t="str">
        <f aca="false">IF($A53="","",SUMPRODUCT((((MOVIMIENTOS!$B$5:$B$400="SALDO INICIAL")*(MOVIMIENTOS!$C$5:$C$400&lt;&gt;"Chancho"))+(MOVIMIENTOS!$B$5:$B$400="COMPRA")+(MOVIMIENTOS!$B$5:$B$400="REPROCESO")+(MOVIMIENTOS!$B$5:$B$400="DEVOLUCIÓN")+((MOVIMIENTOS!$B$5:$B$400="AJUSTE")*(MOVIMIENTOS!$C$5:$C$400&lt;&gt;"Chancho")))*(MOVIMIENTOS!$A$5:$A$400&lt;&gt;"")*(MOVIMIENTOS!$A$5:$A$400&lt;=$A53)*MOVIMIENTOS!$I$5:$I$400)-SUMPRODUCT(((MOVIMIENTOS!$B$5:$B$400="ENVÍO A SUPESA")+(MOVIMIENTOS!$B$5:$B$400="ENVÍO A TOTTUS")+(MOVIMIENTOS!$B$5:$B$400="ENVIO A TOTTUS")+(MOVIMIENTOS!$B$5:$B$400="MALOGRADO")+(MOVIMIENTOS!$B$5:$B$400="OTRA SALIDA")+((MOVIMIENTOS!$B$5:$B$400="PROCESO")*(MOVIMIENTOS!$C$5:$C$400="Chancho"))+((MOVIMIENTOS!$B$5:$B$400="REGALO")*(MOVIMIENTOS!$C$5:$C$400&lt;&gt;"Chancho"))+((MOVIMIENTOS!$B$5:$B$400="VENTA")*(MOVIMIENTOS!$C$5:$C$400&lt;&gt;"Chancho")))*(MOVIMIENTOS!$A$5:$A$400&lt;&gt;"")*(MOVIMIENTOS!$A$5:$A$400&lt;=$A53)*MOVIMIENTOS!$I$5:$I$400))</f>
        <v/>
      </c>
      <c r="I53" s="44"/>
      <c r="J53" s="44" t="str">
        <f aca="false">IF(AND(MOVIMIENTOS!$A53&lt;&gt;"",COUNTIF(MOVIMIENTOS!$A$5:$A52,MOVIMIENTOS!$A53)=0),COUNT(J$4:J52)+1,"")</f>
        <v/>
      </c>
      <c r="K53" s="47" t="n">
        <f aca="false">MOVIMIENTOS!$A53</f>
        <v>46219</v>
      </c>
      <c r="L53" s="44"/>
      <c r="M53" s="44"/>
      <c r="N53" s="44"/>
    </row>
    <row r="54" customFormat="false" ht="15" hidden="false" customHeight="true" outlineLevel="0" collapsed="false">
      <c r="A54" s="45" t="str">
        <f aca="false">IFERROR(INDEX(K$5:K$400,MATCH(ROW()-4,J$5:J$400,0)),"")</f>
        <v/>
      </c>
      <c r="B54" s="46" t="str">
        <f aca="false">IF($A54="","",SUMPRODUCT((MOVIMIENTOS!$B$5:$B$400="SALDO INICIAL")*(MOVIMIENTOS!$C$5:$C$400="A")*(MOVIMIENTOS!$D$5:$D$400="jabas")*(MOVIMIENTOS!$A$5:$A$400&lt;&gt;"")*(MOVIMIENTOS!$A$5:$A$400&lt;=$A54)*MOVIMIENTOS!$E$5:$E$400)+SUMPRODUCT((MOVIMIENTOS!$B$5:$B$400="PROCESO")*(MOVIMIENTOS!$C$5:$C$400="A")*(MOVIMIENTOS!$D$5:$D$400="jabas")*(MOVIMIENTOS!$A$5:$A$400&lt;&gt;"")*(MOVIMIENTOS!$A$5:$A$400&lt;=$A54)*MOVIMIENTOS!$E$5:$E$400)-SUMPRODUCT((MOVIMIENTOS!$B$5:$B$400="ENVÍO A SUPESA")*(MOVIMIENTOS!$C$5:$C$400="A")*(MOVIMIENTOS!$D$5:$D$400="jabas")*(MOVIMIENTOS!$A$5:$A$400&lt;&gt;"")*(MOVIMIENTOS!$A$5:$A$400&lt;=$A54)*MOVIMIENTOS!$E$5:$E$400)+SUMPRODUCT((MOVIMIENTOS!$B$5:$B$400="DEVOLUCIÓN")*(MOVIMIENTOS!$C$5:$C$400="A")*(MOVIMIENTOS!$D$5:$D$400="jabas")*(MOVIMIENTOS!$A$5:$A$400&lt;&gt;"")*(MOVIMIENTOS!$A$5:$A$400&lt;=$A54)*MOVIMIENTOS!$E$5:$E$400)-SUMPRODUCT((MOVIMIENTOS!$B$5:$B$400="TRASIEGO")*(MOVIMIENTOS!$C$5:$C$400="A")*(MOVIMIENTOS!$D$5:$D$400="jabas")*(MOVIMIENTOS!$A$5:$A$400&lt;&gt;"")*(MOVIMIENTOS!$A$5:$A$400&lt;=$A54)*MOVIMIENTOS!$E$5:$E$400)-SUMPRODUCT((MOVIMIENTOS!$B$5:$B$400="REGALO")*(MOVIMIENTOS!$C$5:$C$400="A")*(MOVIMIENTOS!$D$5:$D$400="jabas")*(MOVIMIENTOS!$A$5:$A$400&lt;&gt;"")*(MOVIMIENTOS!$A$5:$A$400&lt;=$A54)*MOVIMIENTOS!$E$5:$E$400)-SUMPRODUCT((MOVIMIENTOS!$B$5:$B$400="VENTA")*(MOVIMIENTOS!$C$5:$C$400="A")*(MOVIMIENTOS!$D$5:$D$400="jabas")*(MOVIMIENTOS!$A$5:$A$400&lt;&gt;"")*(MOVIMIENTOS!$A$5:$A$400&lt;=$A54)*MOVIMIENTOS!$E$5:$E$400)+SUMPRODUCT((MOVIMIENTOS!$B$5:$B$400="AJUSTE")*(MOVIMIENTOS!$C$5:$C$400="A")*(MOVIMIENTOS!$D$5:$D$400="jabas")*(MOVIMIENTOS!$A$5:$A$400&lt;&gt;"")*(MOVIMIENTOS!$A$5:$A$400&lt;=$A54)*MOVIMIENTOS!$E$5:$E$400))</f>
        <v/>
      </c>
      <c r="C54" s="46" t="str">
        <f aca="false">IF($A54="","",SUMPRODUCT((MOVIMIENTOS!$B$5:$B$400="SALDO INICIAL")*(MOVIMIENTOS!$C$5:$C$400="P")*(MOVIMIENTOS!$D$5:$D$400="jabas")*(MOVIMIENTOS!$A$5:$A$400&lt;&gt;"")*(MOVIMIENTOS!$A$5:$A$400&lt;=$A54)*MOVIMIENTOS!$E$5:$E$400)+SUMPRODUCT((MOVIMIENTOS!$B$5:$B$400="PROCESO")*(MOVIMIENTOS!$C$5:$C$400="P")*(MOVIMIENTOS!$D$5:$D$400="jabas")*(MOVIMIENTOS!$A$5:$A$400&lt;&gt;"")*(MOVIMIENTOS!$A$5:$A$400&lt;=$A54)*MOVIMIENTOS!$E$5:$E$400)-SUMPRODUCT((MOVIMIENTOS!$B$5:$B$400="ENVÍO A SUPESA")*(MOVIMIENTOS!$C$5:$C$400="P")*(MOVIMIENTOS!$D$5:$D$400="jabas")*(MOVIMIENTOS!$A$5:$A$400&lt;&gt;"")*(MOVIMIENTOS!$A$5:$A$400&lt;=$A54)*MOVIMIENTOS!$E$5:$E$400)+SUMPRODUCT((MOVIMIENTOS!$B$5:$B$400="DEVOLUCIÓN")*(MOVIMIENTOS!$C$5:$C$400="P")*(MOVIMIENTOS!$D$5:$D$400="jabas")*(MOVIMIENTOS!$A$5:$A$400&lt;&gt;"")*(MOVIMIENTOS!$A$5:$A$400&lt;=$A54)*MOVIMIENTOS!$E$5:$E$400)-SUMPRODUCT((MOVIMIENTOS!$B$5:$B$400="TRASIEGO")*(MOVIMIENTOS!$C$5:$C$400="P")*(MOVIMIENTOS!$D$5:$D$400="jabas")*(MOVIMIENTOS!$A$5:$A$400&lt;&gt;"")*(MOVIMIENTOS!$A$5:$A$400&lt;=$A54)*MOVIMIENTOS!$E$5:$E$400)-SUMPRODUCT((MOVIMIENTOS!$B$5:$B$400="REGALO")*(MOVIMIENTOS!$C$5:$C$400="P")*(MOVIMIENTOS!$D$5:$D$400="jabas")*(MOVIMIENTOS!$A$5:$A$400&lt;&gt;"")*(MOVIMIENTOS!$A$5:$A$400&lt;=$A54)*MOVIMIENTOS!$E$5:$E$400)-SUMPRODUCT((MOVIMIENTOS!$B$5:$B$400="VENTA")*(MOVIMIENTOS!$C$5:$C$400="P")*(MOVIMIENTOS!$D$5:$D$400="jabas")*(MOVIMIENTOS!$A$5:$A$400&lt;&gt;"")*(MOVIMIENTOS!$A$5:$A$400&lt;=$A54)*MOVIMIENTOS!$E$5:$E$400)+SUMPRODUCT((MOVIMIENTOS!$B$5:$B$400="AJUSTE")*(MOVIMIENTOS!$C$5:$C$400="P")*(MOVIMIENTOS!$D$5:$D$400="jabas")*(MOVIMIENTOS!$A$5:$A$400&lt;&gt;"")*(MOVIMIENTOS!$A$5:$A$400&lt;=$A54)*MOVIMIENTOS!$E$5:$E$400))</f>
        <v/>
      </c>
      <c r="D54" s="46" t="str">
        <f aca="false">IF($A54="","",SUMPRODUCT((MOVIMIENTOS!$B$5:$B$400="SALDO INICIAL")*(MOVIMIENTOS!$C$5:$C$400="C")*(MOVIMIENTOS!$D$5:$D$400="jabas")*(MOVIMIENTOS!$A$5:$A$400&lt;&gt;"")*(MOVIMIENTOS!$A$5:$A$400&lt;=$A54)*MOVIMIENTOS!$E$5:$E$400)+SUMPRODUCT((MOVIMIENTOS!$B$5:$B$400="PROCESO")*(MOVIMIENTOS!$C$5:$C$400="C")*(MOVIMIENTOS!$D$5:$D$400="jabas")*(MOVIMIENTOS!$A$5:$A$400&lt;&gt;"")*(MOVIMIENTOS!$A$5:$A$400&lt;=$A54)*MOVIMIENTOS!$E$5:$E$400)-SUMPRODUCT((MOVIMIENTOS!$B$5:$B$400="ENVÍO A SUPESA")*(MOVIMIENTOS!$C$5:$C$400="C")*(MOVIMIENTOS!$D$5:$D$400="jabas")*(MOVIMIENTOS!$A$5:$A$400&lt;&gt;"")*(MOVIMIENTOS!$A$5:$A$400&lt;=$A54)*MOVIMIENTOS!$E$5:$E$400)+SUMPRODUCT((MOVIMIENTOS!$B$5:$B$400="DEVOLUCIÓN")*(MOVIMIENTOS!$C$5:$C$400="C")*(MOVIMIENTOS!$D$5:$D$400="jabas")*(MOVIMIENTOS!$A$5:$A$400&lt;&gt;"")*(MOVIMIENTOS!$A$5:$A$400&lt;=$A54)*MOVIMIENTOS!$E$5:$E$400)-SUMPRODUCT((MOVIMIENTOS!$B$5:$B$400="TRASIEGO")*(MOVIMIENTOS!$C$5:$C$400="C")*(MOVIMIENTOS!$D$5:$D$400="jabas")*(MOVIMIENTOS!$A$5:$A$400&lt;&gt;"")*(MOVIMIENTOS!$A$5:$A$400&lt;=$A54)*MOVIMIENTOS!$E$5:$E$400)-SUMPRODUCT((MOVIMIENTOS!$B$5:$B$400="REGALO")*(MOVIMIENTOS!$C$5:$C$400="C")*(MOVIMIENTOS!$D$5:$D$400="jabas")*(MOVIMIENTOS!$A$5:$A$400&lt;&gt;"")*(MOVIMIENTOS!$A$5:$A$400&lt;=$A54)*MOVIMIENTOS!$E$5:$E$400)-SUMPRODUCT((MOVIMIENTOS!$B$5:$B$400="VENTA")*(MOVIMIENTOS!$C$5:$C$400="C")*(MOVIMIENTOS!$D$5:$D$400="jabas")*(MOVIMIENTOS!$A$5:$A$400&lt;&gt;"")*(MOVIMIENTOS!$A$5:$A$400&lt;=$A54)*MOVIMIENTOS!$E$5:$E$400)+SUMPRODUCT((MOVIMIENTOS!$B$5:$B$400="AJUSTE")*(MOVIMIENTOS!$C$5:$C$400="C")*(MOVIMIENTOS!$D$5:$D$400="jabas")*(MOVIMIENTOS!$A$5:$A$400&lt;&gt;"")*(MOVIMIENTOS!$A$5:$A$400&lt;=$A54)*MOVIMIENTOS!$E$5:$E$400))</f>
        <v/>
      </c>
      <c r="E54" s="46" t="str">
        <f aca="false">IF($A54="","",SUMPRODUCT((MOVIMIENTOS!$B$5:$B$400="SALDO INICIAL")*(MOVIMIENTOS!$C$5:$C$400="M")*(MOVIMIENTOS!$D$5:$D$400="jabas")*(MOVIMIENTOS!$A$5:$A$400&lt;&gt;"")*(MOVIMIENTOS!$A$5:$A$400&lt;=$A54)*MOVIMIENTOS!$E$5:$E$400)+SUMPRODUCT((MOVIMIENTOS!$B$5:$B$400="PROCESO")*(MOVIMIENTOS!$C$5:$C$400="M")*(MOVIMIENTOS!$D$5:$D$400="jabas")*(MOVIMIENTOS!$A$5:$A$400&lt;&gt;"")*(MOVIMIENTOS!$A$5:$A$400&lt;=$A54)*MOVIMIENTOS!$E$5:$E$400)-SUMPRODUCT((MOVIMIENTOS!$B$5:$B$400="ENVÍO A SUPESA")*(MOVIMIENTOS!$C$5:$C$400="M")*(MOVIMIENTOS!$D$5:$D$400="jabas")*(MOVIMIENTOS!$A$5:$A$400&lt;&gt;"")*(MOVIMIENTOS!$A$5:$A$400&lt;=$A54)*MOVIMIENTOS!$E$5:$E$400)+SUMPRODUCT((MOVIMIENTOS!$B$5:$B$400="DEVOLUCIÓN")*(MOVIMIENTOS!$C$5:$C$400="M")*(MOVIMIENTOS!$D$5:$D$400="jabas")*(MOVIMIENTOS!$A$5:$A$400&lt;&gt;"")*(MOVIMIENTOS!$A$5:$A$400&lt;=$A54)*MOVIMIENTOS!$E$5:$E$400)-SUMPRODUCT((MOVIMIENTOS!$B$5:$B$400="TRASIEGO")*(MOVIMIENTOS!$C$5:$C$400="M")*(MOVIMIENTOS!$D$5:$D$400="jabas")*(MOVIMIENTOS!$A$5:$A$400&lt;&gt;"")*(MOVIMIENTOS!$A$5:$A$400&lt;=$A54)*MOVIMIENTOS!$E$5:$E$400)-SUMPRODUCT((MOVIMIENTOS!$B$5:$B$400="REGALO")*(MOVIMIENTOS!$C$5:$C$400="M")*(MOVIMIENTOS!$D$5:$D$400="jabas")*(MOVIMIENTOS!$A$5:$A$400&lt;&gt;"")*(MOVIMIENTOS!$A$5:$A$400&lt;=$A54)*MOVIMIENTOS!$E$5:$E$400)-SUMPRODUCT((MOVIMIENTOS!$B$5:$B$400="VENTA")*(MOVIMIENTOS!$C$5:$C$400="M")*(MOVIMIENTOS!$D$5:$D$400="jabas")*(MOVIMIENTOS!$A$5:$A$400&lt;&gt;"")*(MOVIMIENTOS!$A$5:$A$400&lt;=$A54)*MOVIMIENTOS!$E$5:$E$400)+SUMPRODUCT((MOVIMIENTOS!$B$5:$B$400="AJUSTE")*(MOVIMIENTOS!$C$5:$C$400="M")*(MOVIMIENTOS!$D$5:$D$400="jabas")*(MOVIMIENTOS!$A$5:$A$400&lt;&gt;"")*(MOVIMIENTOS!$A$5:$A$400&lt;=$A54)*MOVIMIENTOS!$E$5:$E$400))</f>
        <v/>
      </c>
      <c r="F54" s="46" t="str">
        <f aca="false">IF($A54="","",SUMPRODUCT((MOVIMIENTOS!$B$5:$B$400="SALDO INICIAL")*(MOVIMIENTOS!$C$5:$C$400="Chancho")*(MOVIMIENTOS!$D$5:$D$400="sacos")*(MOVIMIENTOS!$A$5:$A$400&lt;&gt;"")*(MOVIMIENTOS!$A$5:$A$400&lt;=$A54)*MOVIMIENTOS!$E$5:$E$400)+SUMPRODUCT((MOVIMIENTOS!$B$5:$B$400="PROCESO")*(MOVIMIENTOS!$C$5:$C$400="Chancho")*(MOVIMIENTOS!$D$5:$D$400="sacos")*(MOVIMIENTOS!$A$5:$A$400&lt;&gt;"")*(MOVIMIENTOS!$A$5:$A$400&lt;=$A54)*MOVIMIENTOS!$E$5:$E$400)-SUMPRODUCT((MOVIMIENTOS!$B$5:$B$400="VENTA CHANCHO")*(MOVIMIENTOS!$C$5:$C$400="Chancho")*(MOVIMIENTOS!$D$5:$D$400="sacos")*(MOVIMIENTOS!$A$5:$A$400&lt;&gt;"")*(MOVIMIENTOS!$A$5:$A$400&lt;=$A54)*MOVIMIENTOS!$E$5:$E$400)-SUMPRODUCT((MOVIMIENTOS!$B$5:$B$400="REGALO")*(MOVIMIENTOS!$C$5:$C$400="Chancho")*(MOVIMIENTOS!$D$5:$D$400="sacos")*(MOVIMIENTOS!$A$5:$A$400&lt;&gt;"")*(MOVIMIENTOS!$A$5:$A$400&lt;=$A54)*MOVIMIENTOS!$E$5:$E$400)-SUMPRODUCT((MOVIMIENTOS!$B$5:$B$400="VENTA")*(MOVIMIENTOS!$C$5:$C$400="Chancho")*(MOVIMIENTOS!$D$5:$D$400="sacos")*(MOVIMIENTOS!$A$5:$A$400&lt;&gt;"")*(MOVIMIENTOS!$A$5:$A$400&lt;=$A54)*MOVIMIENTOS!$E$5:$E$400)+SUMPRODUCT((MOVIMIENTOS!$B$5:$B$400="AJUSTE")*(MOVIMIENTOS!$C$5:$C$400="Chancho")*(MOVIMIENTOS!$D$5:$D$400="sacos")*(MOVIMIENTOS!$A$5:$A$400&lt;&gt;"")*(MOVIMIENTOS!$A$5:$A$400&lt;=$A54)*MOVIMIENTOS!$E$5:$E$400))</f>
        <v/>
      </c>
      <c r="G54" s="46" t="str">
        <f aca="false">IF($A54="","",SUM(B54:E54))</f>
        <v/>
      </c>
      <c r="H54" s="46" t="str">
        <f aca="false">IF($A54="","",SUMPRODUCT((((MOVIMIENTOS!$B$5:$B$400="SALDO INICIAL")*(MOVIMIENTOS!$C$5:$C$400&lt;&gt;"Chancho"))+(MOVIMIENTOS!$B$5:$B$400="COMPRA")+(MOVIMIENTOS!$B$5:$B$400="REPROCESO")+(MOVIMIENTOS!$B$5:$B$400="DEVOLUCIÓN")+((MOVIMIENTOS!$B$5:$B$400="AJUSTE")*(MOVIMIENTOS!$C$5:$C$400&lt;&gt;"Chancho")))*(MOVIMIENTOS!$A$5:$A$400&lt;&gt;"")*(MOVIMIENTOS!$A$5:$A$400&lt;=$A54)*MOVIMIENTOS!$I$5:$I$400)-SUMPRODUCT(((MOVIMIENTOS!$B$5:$B$400="ENVÍO A SUPESA")+(MOVIMIENTOS!$B$5:$B$400="ENVÍO A TOTTUS")+(MOVIMIENTOS!$B$5:$B$400="ENVIO A TOTTUS")+(MOVIMIENTOS!$B$5:$B$400="MALOGRADO")+(MOVIMIENTOS!$B$5:$B$400="OTRA SALIDA")+((MOVIMIENTOS!$B$5:$B$400="PROCESO")*(MOVIMIENTOS!$C$5:$C$400="Chancho"))+((MOVIMIENTOS!$B$5:$B$400="REGALO")*(MOVIMIENTOS!$C$5:$C$400&lt;&gt;"Chancho"))+((MOVIMIENTOS!$B$5:$B$400="VENTA")*(MOVIMIENTOS!$C$5:$C$400&lt;&gt;"Chancho")))*(MOVIMIENTOS!$A$5:$A$400&lt;&gt;"")*(MOVIMIENTOS!$A$5:$A$400&lt;=$A54)*MOVIMIENTOS!$I$5:$I$400))</f>
        <v/>
      </c>
      <c r="I54" s="44"/>
      <c r="J54" s="44" t="str">
        <f aca="false">IF(AND(MOVIMIENTOS!$A54&lt;&gt;"",COUNTIF(MOVIMIENTOS!$A$5:$A53,MOVIMIENTOS!$A54)=0),COUNT(J$4:J53)+1,"")</f>
        <v/>
      </c>
      <c r="K54" s="47" t="n">
        <f aca="false">MOVIMIENTOS!$A54</f>
        <v>46219</v>
      </c>
      <c r="L54" s="44"/>
      <c r="M54" s="44"/>
      <c r="N54" s="44"/>
    </row>
    <row r="55" customFormat="false" ht="15" hidden="false" customHeight="true" outlineLevel="0" collapsed="false">
      <c r="A55" s="45" t="str">
        <f aca="false">IFERROR(INDEX(K$5:K$400,MATCH(ROW()-4,J$5:J$400,0)),"")</f>
        <v/>
      </c>
      <c r="B55" s="46" t="str">
        <f aca="false">IF($A55="","",SUMPRODUCT((MOVIMIENTOS!$B$5:$B$400="SALDO INICIAL")*(MOVIMIENTOS!$C$5:$C$400="A")*(MOVIMIENTOS!$D$5:$D$400="jabas")*(MOVIMIENTOS!$A$5:$A$400&lt;&gt;"")*(MOVIMIENTOS!$A$5:$A$400&lt;=$A55)*MOVIMIENTOS!$E$5:$E$400)+SUMPRODUCT((MOVIMIENTOS!$B$5:$B$400="PROCESO")*(MOVIMIENTOS!$C$5:$C$400="A")*(MOVIMIENTOS!$D$5:$D$400="jabas")*(MOVIMIENTOS!$A$5:$A$400&lt;&gt;"")*(MOVIMIENTOS!$A$5:$A$400&lt;=$A55)*MOVIMIENTOS!$E$5:$E$400)-SUMPRODUCT((MOVIMIENTOS!$B$5:$B$400="ENVÍO A SUPESA")*(MOVIMIENTOS!$C$5:$C$400="A")*(MOVIMIENTOS!$D$5:$D$400="jabas")*(MOVIMIENTOS!$A$5:$A$400&lt;&gt;"")*(MOVIMIENTOS!$A$5:$A$400&lt;=$A55)*MOVIMIENTOS!$E$5:$E$400)+SUMPRODUCT((MOVIMIENTOS!$B$5:$B$400="DEVOLUCIÓN")*(MOVIMIENTOS!$C$5:$C$400="A")*(MOVIMIENTOS!$D$5:$D$400="jabas")*(MOVIMIENTOS!$A$5:$A$400&lt;&gt;"")*(MOVIMIENTOS!$A$5:$A$400&lt;=$A55)*MOVIMIENTOS!$E$5:$E$400)-SUMPRODUCT((MOVIMIENTOS!$B$5:$B$400="TRASIEGO")*(MOVIMIENTOS!$C$5:$C$400="A")*(MOVIMIENTOS!$D$5:$D$400="jabas")*(MOVIMIENTOS!$A$5:$A$400&lt;&gt;"")*(MOVIMIENTOS!$A$5:$A$400&lt;=$A55)*MOVIMIENTOS!$E$5:$E$400)-SUMPRODUCT((MOVIMIENTOS!$B$5:$B$400="REGALO")*(MOVIMIENTOS!$C$5:$C$400="A")*(MOVIMIENTOS!$D$5:$D$400="jabas")*(MOVIMIENTOS!$A$5:$A$400&lt;&gt;"")*(MOVIMIENTOS!$A$5:$A$400&lt;=$A55)*MOVIMIENTOS!$E$5:$E$400)-SUMPRODUCT((MOVIMIENTOS!$B$5:$B$400="VENTA")*(MOVIMIENTOS!$C$5:$C$400="A")*(MOVIMIENTOS!$D$5:$D$400="jabas")*(MOVIMIENTOS!$A$5:$A$400&lt;&gt;"")*(MOVIMIENTOS!$A$5:$A$400&lt;=$A55)*MOVIMIENTOS!$E$5:$E$400)+SUMPRODUCT((MOVIMIENTOS!$B$5:$B$400="AJUSTE")*(MOVIMIENTOS!$C$5:$C$400="A")*(MOVIMIENTOS!$D$5:$D$400="jabas")*(MOVIMIENTOS!$A$5:$A$400&lt;&gt;"")*(MOVIMIENTOS!$A$5:$A$400&lt;=$A55)*MOVIMIENTOS!$E$5:$E$400))</f>
        <v/>
      </c>
      <c r="C55" s="46" t="str">
        <f aca="false">IF($A55="","",SUMPRODUCT((MOVIMIENTOS!$B$5:$B$400="SALDO INICIAL")*(MOVIMIENTOS!$C$5:$C$400="P")*(MOVIMIENTOS!$D$5:$D$400="jabas")*(MOVIMIENTOS!$A$5:$A$400&lt;&gt;"")*(MOVIMIENTOS!$A$5:$A$400&lt;=$A55)*MOVIMIENTOS!$E$5:$E$400)+SUMPRODUCT((MOVIMIENTOS!$B$5:$B$400="PROCESO")*(MOVIMIENTOS!$C$5:$C$400="P")*(MOVIMIENTOS!$D$5:$D$400="jabas")*(MOVIMIENTOS!$A$5:$A$400&lt;&gt;"")*(MOVIMIENTOS!$A$5:$A$400&lt;=$A55)*MOVIMIENTOS!$E$5:$E$400)-SUMPRODUCT((MOVIMIENTOS!$B$5:$B$400="ENVÍO A SUPESA")*(MOVIMIENTOS!$C$5:$C$400="P")*(MOVIMIENTOS!$D$5:$D$400="jabas")*(MOVIMIENTOS!$A$5:$A$400&lt;&gt;"")*(MOVIMIENTOS!$A$5:$A$400&lt;=$A55)*MOVIMIENTOS!$E$5:$E$400)+SUMPRODUCT((MOVIMIENTOS!$B$5:$B$400="DEVOLUCIÓN")*(MOVIMIENTOS!$C$5:$C$400="P")*(MOVIMIENTOS!$D$5:$D$400="jabas")*(MOVIMIENTOS!$A$5:$A$400&lt;&gt;"")*(MOVIMIENTOS!$A$5:$A$400&lt;=$A55)*MOVIMIENTOS!$E$5:$E$400)-SUMPRODUCT((MOVIMIENTOS!$B$5:$B$400="TRASIEGO")*(MOVIMIENTOS!$C$5:$C$400="P")*(MOVIMIENTOS!$D$5:$D$400="jabas")*(MOVIMIENTOS!$A$5:$A$400&lt;&gt;"")*(MOVIMIENTOS!$A$5:$A$400&lt;=$A55)*MOVIMIENTOS!$E$5:$E$400)-SUMPRODUCT((MOVIMIENTOS!$B$5:$B$400="REGALO")*(MOVIMIENTOS!$C$5:$C$400="P")*(MOVIMIENTOS!$D$5:$D$400="jabas")*(MOVIMIENTOS!$A$5:$A$400&lt;&gt;"")*(MOVIMIENTOS!$A$5:$A$400&lt;=$A55)*MOVIMIENTOS!$E$5:$E$400)-SUMPRODUCT((MOVIMIENTOS!$B$5:$B$400="VENTA")*(MOVIMIENTOS!$C$5:$C$400="P")*(MOVIMIENTOS!$D$5:$D$400="jabas")*(MOVIMIENTOS!$A$5:$A$400&lt;&gt;"")*(MOVIMIENTOS!$A$5:$A$400&lt;=$A55)*MOVIMIENTOS!$E$5:$E$400)+SUMPRODUCT((MOVIMIENTOS!$B$5:$B$400="AJUSTE")*(MOVIMIENTOS!$C$5:$C$400="P")*(MOVIMIENTOS!$D$5:$D$400="jabas")*(MOVIMIENTOS!$A$5:$A$400&lt;&gt;"")*(MOVIMIENTOS!$A$5:$A$400&lt;=$A55)*MOVIMIENTOS!$E$5:$E$400))</f>
        <v/>
      </c>
      <c r="D55" s="46" t="str">
        <f aca="false">IF($A55="","",SUMPRODUCT((MOVIMIENTOS!$B$5:$B$400="SALDO INICIAL")*(MOVIMIENTOS!$C$5:$C$400="C")*(MOVIMIENTOS!$D$5:$D$400="jabas")*(MOVIMIENTOS!$A$5:$A$400&lt;&gt;"")*(MOVIMIENTOS!$A$5:$A$400&lt;=$A55)*MOVIMIENTOS!$E$5:$E$400)+SUMPRODUCT((MOVIMIENTOS!$B$5:$B$400="PROCESO")*(MOVIMIENTOS!$C$5:$C$400="C")*(MOVIMIENTOS!$D$5:$D$400="jabas")*(MOVIMIENTOS!$A$5:$A$400&lt;&gt;"")*(MOVIMIENTOS!$A$5:$A$400&lt;=$A55)*MOVIMIENTOS!$E$5:$E$400)-SUMPRODUCT((MOVIMIENTOS!$B$5:$B$400="ENVÍO A SUPESA")*(MOVIMIENTOS!$C$5:$C$400="C")*(MOVIMIENTOS!$D$5:$D$400="jabas")*(MOVIMIENTOS!$A$5:$A$400&lt;&gt;"")*(MOVIMIENTOS!$A$5:$A$400&lt;=$A55)*MOVIMIENTOS!$E$5:$E$400)+SUMPRODUCT((MOVIMIENTOS!$B$5:$B$400="DEVOLUCIÓN")*(MOVIMIENTOS!$C$5:$C$400="C")*(MOVIMIENTOS!$D$5:$D$400="jabas")*(MOVIMIENTOS!$A$5:$A$400&lt;&gt;"")*(MOVIMIENTOS!$A$5:$A$400&lt;=$A55)*MOVIMIENTOS!$E$5:$E$400)-SUMPRODUCT((MOVIMIENTOS!$B$5:$B$400="TRASIEGO")*(MOVIMIENTOS!$C$5:$C$400="C")*(MOVIMIENTOS!$D$5:$D$400="jabas")*(MOVIMIENTOS!$A$5:$A$400&lt;&gt;"")*(MOVIMIENTOS!$A$5:$A$400&lt;=$A55)*MOVIMIENTOS!$E$5:$E$400)-SUMPRODUCT((MOVIMIENTOS!$B$5:$B$400="REGALO")*(MOVIMIENTOS!$C$5:$C$400="C")*(MOVIMIENTOS!$D$5:$D$400="jabas")*(MOVIMIENTOS!$A$5:$A$400&lt;&gt;"")*(MOVIMIENTOS!$A$5:$A$400&lt;=$A55)*MOVIMIENTOS!$E$5:$E$400)-SUMPRODUCT((MOVIMIENTOS!$B$5:$B$400="VENTA")*(MOVIMIENTOS!$C$5:$C$400="C")*(MOVIMIENTOS!$D$5:$D$400="jabas")*(MOVIMIENTOS!$A$5:$A$400&lt;&gt;"")*(MOVIMIENTOS!$A$5:$A$400&lt;=$A55)*MOVIMIENTOS!$E$5:$E$400)+SUMPRODUCT((MOVIMIENTOS!$B$5:$B$400="AJUSTE")*(MOVIMIENTOS!$C$5:$C$400="C")*(MOVIMIENTOS!$D$5:$D$400="jabas")*(MOVIMIENTOS!$A$5:$A$400&lt;&gt;"")*(MOVIMIENTOS!$A$5:$A$400&lt;=$A55)*MOVIMIENTOS!$E$5:$E$400))</f>
        <v/>
      </c>
      <c r="E55" s="46" t="str">
        <f aca="false">IF($A55="","",SUMPRODUCT((MOVIMIENTOS!$B$5:$B$400="SALDO INICIAL")*(MOVIMIENTOS!$C$5:$C$400="M")*(MOVIMIENTOS!$D$5:$D$400="jabas")*(MOVIMIENTOS!$A$5:$A$400&lt;&gt;"")*(MOVIMIENTOS!$A$5:$A$400&lt;=$A55)*MOVIMIENTOS!$E$5:$E$400)+SUMPRODUCT((MOVIMIENTOS!$B$5:$B$400="PROCESO")*(MOVIMIENTOS!$C$5:$C$400="M")*(MOVIMIENTOS!$D$5:$D$400="jabas")*(MOVIMIENTOS!$A$5:$A$400&lt;&gt;"")*(MOVIMIENTOS!$A$5:$A$400&lt;=$A55)*MOVIMIENTOS!$E$5:$E$400)-SUMPRODUCT((MOVIMIENTOS!$B$5:$B$400="ENVÍO A SUPESA")*(MOVIMIENTOS!$C$5:$C$400="M")*(MOVIMIENTOS!$D$5:$D$400="jabas")*(MOVIMIENTOS!$A$5:$A$400&lt;&gt;"")*(MOVIMIENTOS!$A$5:$A$400&lt;=$A55)*MOVIMIENTOS!$E$5:$E$400)+SUMPRODUCT((MOVIMIENTOS!$B$5:$B$400="DEVOLUCIÓN")*(MOVIMIENTOS!$C$5:$C$400="M")*(MOVIMIENTOS!$D$5:$D$400="jabas")*(MOVIMIENTOS!$A$5:$A$400&lt;&gt;"")*(MOVIMIENTOS!$A$5:$A$400&lt;=$A55)*MOVIMIENTOS!$E$5:$E$400)-SUMPRODUCT((MOVIMIENTOS!$B$5:$B$400="TRASIEGO")*(MOVIMIENTOS!$C$5:$C$400="M")*(MOVIMIENTOS!$D$5:$D$400="jabas")*(MOVIMIENTOS!$A$5:$A$400&lt;&gt;"")*(MOVIMIENTOS!$A$5:$A$400&lt;=$A55)*MOVIMIENTOS!$E$5:$E$400)-SUMPRODUCT((MOVIMIENTOS!$B$5:$B$400="REGALO")*(MOVIMIENTOS!$C$5:$C$400="M")*(MOVIMIENTOS!$D$5:$D$400="jabas")*(MOVIMIENTOS!$A$5:$A$400&lt;&gt;"")*(MOVIMIENTOS!$A$5:$A$400&lt;=$A55)*MOVIMIENTOS!$E$5:$E$400)-SUMPRODUCT((MOVIMIENTOS!$B$5:$B$400="VENTA")*(MOVIMIENTOS!$C$5:$C$400="M")*(MOVIMIENTOS!$D$5:$D$400="jabas")*(MOVIMIENTOS!$A$5:$A$400&lt;&gt;"")*(MOVIMIENTOS!$A$5:$A$400&lt;=$A55)*MOVIMIENTOS!$E$5:$E$400)+SUMPRODUCT((MOVIMIENTOS!$B$5:$B$400="AJUSTE")*(MOVIMIENTOS!$C$5:$C$400="M")*(MOVIMIENTOS!$D$5:$D$400="jabas")*(MOVIMIENTOS!$A$5:$A$400&lt;&gt;"")*(MOVIMIENTOS!$A$5:$A$400&lt;=$A55)*MOVIMIENTOS!$E$5:$E$400))</f>
        <v/>
      </c>
      <c r="F55" s="46" t="str">
        <f aca="false">IF($A55="","",SUMPRODUCT((MOVIMIENTOS!$B$5:$B$400="SALDO INICIAL")*(MOVIMIENTOS!$C$5:$C$400="Chancho")*(MOVIMIENTOS!$D$5:$D$400="sacos")*(MOVIMIENTOS!$A$5:$A$400&lt;&gt;"")*(MOVIMIENTOS!$A$5:$A$400&lt;=$A55)*MOVIMIENTOS!$E$5:$E$400)+SUMPRODUCT((MOVIMIENTOS!$B$5:$B$400="PROCESO")*(MOVIMIENTOS!$C$5:$C$400="Chancho")*(MOVIMIENTOS!$D$5:$D$400="sacos")*(MOVIMIENTOS!$A$5:$A$400&lt;&gt;"")*(MOVIMIENTOS!$A$5:$A$400&lt;=$A55)*MOVIMIENTOS!$E$5:$E$400)-SUMPRODUCT((MOVIMIENTOS!$B$5:$B$400="VENTA CHANCHO")*(MOVIMIENTOS!$C$5:$C$400="Chancho")*(MOVIMIENTOS!$D$5:$D$400="sacos")*(MOVIMIENTOS!$A$5:$A$400&lt;&gt;"")*(MOVIMIENTOS!$A$5:$A$400&lt;=$A55)*MOVIMIENTOS!$E$5:$E$400)-SUMPRODUCT((MOVIMIENTOS!$B$5:$B$400="REGALO")*(MOVIMIENTOS!$C$5:$C$400="Chancho")*(MOVIMIENTOS!$D$5:$D$400="sacos")*(MOVIMIENTOS!$A$5:$A$400&lt;&gt;"")*(MOVIMIENTOS!$A$5:$A$400&lt;=$A55)*MOVIMIENTOS!$E$5:$E$400)-SUMPRODUCT((MOVIMIENTOS!$B$5:$B$400="VENTA")*(MOVIMIENTOS!$C$5:$C$400="Chancho")*(MOVIMIENTOS!$D$5:$D$400="sacos")*(MOVIMIENTOS!$A$5:$A$400&lt;&gt;"")*(MOVIMIENTOS!$A$5:$A$400&lt;=$A55)*MOVIMIENTOS!$E$5:$E$400)+SUMPRODUCT((MOVIMIENTOS!$B$5:$B$400="AJUSTE")*(MOVIMIENTOS!$C$5:$C$400="Chancho")*(MOVIMIENTOS!$D$5:$D$400="sacos")*(MOVIMIENTOS!$A$5:$A$400&lt;&gt;"")*(MOVIMIENTOS!$A$5:$A$400&lt;=$A55)*MOVIMIENTOS!$E$5:$E$400))</f>
        <v/>
      </c>
      <c r="G55" s="46" t="str">
        <f aca="false">IF($A55="","",SUM(B55:E55))</f>
        <v/>
      </c>
      <c r="H55" s="46" t="str">
        <f aca="false">IF($A55="","",SUMPRODUCT((((MOVIMIENTOS!$B$5:$B$400="SALDO INICIAL")*(MOVIMIENTOS!$C$5:$C$400&lt;&gt;"Chancho"))+(MOVIMIENTOS!$B$5:$B$400="COMPRA")+(MOVIMIENTOS!$B$5:$B$400="REPROCESO")+(MOVIMIENTOS!$B$5:$B$400="DEVOLUCIÓN")+((MOVIMIENTOS!$B$5:$B$400="AJUSTE")*(MOVIMIENTOS!$C$5:$C$400&lt;&gt;"Chancho")))*(MOVIMIENTOS!$A$5:$A$400&lt;&gt;"")*(MOVIMIENTOS!$A$5:$A$400&lt;=$A55)*MOVIMIENTOS!$I$5:$I$400)-SUMPRODUCT(((MOVIMIENTOS!$B$5:$B$400="ENVÍO A SUPESA")+(MOVIMIENTOS!$B$5:$B$400="ENVÍO A TOTTUS")+(MOVIMIENTOS!$B$5:$B$400="ENVIO A TOTTUS")+(MOVIMIENTOS!$B$5:$B$400="MALOGRADO")+(MOVIMIENTOS!$B$5:$B$400="OTRA SALIDA")+((MOVIMIENTOS!$B$5:$B$400="PROCESO")*(MOVIMIENTOS!$C$5:$C$400="Chancho"))+((MOVIMIENTOS!$B$5:$B$400="REGALO")*(MOVIMIENTOS!$C$5:$C$400&lt;&gt;"Chancho"))+((MOVIMIENTOS!$B$5:$B$400="VENTA")*(MOVIMIENTOS!$C$5:$C$400&lt;&gt;"Chancho")))*(MOVIMIENTOS!$A$5:$A$400&lt;&gt;"")*(MOVIMIENTOS!$A$5:$A$400&lt;=$A55)*MOVIMIENTOS!$I$5:$I$400))</f>
        <v/>
      </c>
      <c r="I55" s="44"/>
      <c r="J55" s="44" t="str">
        <f aca="false">IF(AND(MOVIMIENTOS!$A55&lt;&gt;"",COUNTIF(MOVIMIENTOS!$A$5:$A54,MOVIMIENTOS!$A55)=0),COUNT(J$4:J54)+1,"")</f>
        <v/>
      </c>
      <c r="K55" s="47" t="n">
        <f aca="false">MOVIMIENTOS!$A55</f>
        <v>46219</v>
      </c>
      <c r="L55" s="44"/>
      <c r="M55" s="44"/>
      <c r="N55" s="44"/>
    </row>
    <row r="56" customFormat="false" ht="15" hidden="false" customHeight="true" outlineLevel="0" collapsed="false">
      <c r="A56" s="45" t="str">
        <f aca="false">IFERROR(INDEX(K$5:K$400,MATCH(ROW()-4,J$5:J$400,0)),"")</f>
        <v/>
      </c>
      <c r="B56" s="46" t="str">
        <f aca="false">IF($A56="","",SUMPRODUCT((MOVIMIENTOS!$B$5:$B$400="SALDO INICIAL")*(MOVIMIENTOS!$C$5:$C$400="A")*(MOVIMIENTOS!$D$5:$D$400="jabas")*(MOVIMIENTOS!$A$5:$A$400&lt;&gt;"")*(MOVIMIENTOS!$A$5:$A$400&lt;=$A56)*MOVIMIENTOS!$E$5:$E$400)+SUMPRODUCT((MOVIMIENTOS!$B$5:$B$400="PROCESO")*(MOVIMIENTOS!$C$5:$C$400="A")*(MOVIMIENTOS!$D$5:$D$400="jabas")*(MOVIMIENTOS!$A$5:$A$400&lt;&gt;"")*(MOVIMIENTOS!$A$5:$A$400&lt;=$A56)*MOVIMIENTOS!$E$5:$E$400)-SUMPRODUCT((MOVIMIENTOS!$B$5:$B$400="ENVÍO A SUPESA")*(MOVIMIENTOS!$C$5:$C$400="A")*(MOVIMIENTOS!$D$5:$D$400="jabas")*(MOVIMIENTOS!$A$5:$A$400&lt;&gt;"")*(MOVIMIENTOS!$A$5:$A$400&lt;=$A56)*MOVIMIENTOS!$E$5:$E$400)+SUMPRODUCT((MOVIMIENTOS!$B$5:$B$400="DEVOLUCIÓN")*(MOVIMIENTOS!$C$5:$C$400="A")*(MOVIMIENTOS!$D$5:$D$400="jabas")*(MOVIMIENTOS!$A$5:$A$400&lt;&gt;"")*(MOVIMIENTOS!$A$5:$A$400&lt;=$A56)*MOVIMIENTOS!$E$5:$E$400)-SUMPRODUCT((MOVIMIENTOS!$B$5:$B$400="TRASIEGO")*(MOVIMIENTOS!$C$5:$C$400="A")*(MOVIMIENTOS!$D$5:$D$400="jabas")*(MOVIMIENTOS!$A$5:$A$400&lt;&gt;"")*(MOVIMIENTOS!$A$5:$A$400&lt;=$A56)*MOVIMIENTOS!$E$5:$E$400)-SUMPRODUCT((MOVIMIENTOS!$B$5:$B$400="REGALO")*(MOVIMIENTOS!$C$5:$C$400="A")*(MOVIMIENTOS!$D$5:$D$400="jabas")*(MOVIMIENTOS!$A$5:$A$400&lt;&gt;"")*(MOVIMIENTOS!$A$5:$A$400&lt;=$A56)*MOVIMIENTOS!$E$5:$E$400)-SUMPRODUCT((MOVIMIENTOS!$B$5:$B$400="VENTA")*(MOVIMIENTOS!$C$5:$C$400="A")*(MOVIMIENTOS!$D$5:$D$400="jabas")*(MOVIMIENTOS!$A$5:$A$400&lt;&gt;"")*(MOVIMIENTOS!$A$5:$A$400&lt;=$A56)*MOVIMIENTOS!$E$5:$E$400)+SUMPRODUCT((MOVIMIENTOS!$B$5:$B$400="AJUSTE")*(MOVIMIENTOS!$C$5:$C$400="A")*(MOVIMIENTOS!$D$5:$D$400="jabas")*(MOVIMIENTOS!$A$5:$A$400&lt;&gt;"")*(MOVIMIENTOS!$A$5:$A$400&lt;=$A56)*MOVIMIENTOS!$E$5:$E$400))</f>
        <v/>
      </c>
      <c r="C56" s="46" t="str">
        <f aca="false">IF($A56="","",SUMPRODUCT((MOVIMIENTOS!$B$5:$B$400="SALDO INICIAL")*(MOVIMIENTOS!$C$5:$C$400="P")*(MOVIMIENTOS!$D$5:$D$400="jabas")*(MOVIMIENTOS!$A$5:$A$400&lt;&gt;"")*(MOVIMIENTOS!$A$5:$A$400&lt;=$A56)*MOVIMIENTOS!$E$5:$E$400)+SUMPRODUCT((MOVIMIENTOS!$B$5:$B$400="PROCESO")*(MOVIMIENTOS!$C$5:$C$400="P")*(MOVIMIENTOS!$D$5:$D$400="jabas")*(MOVIMIENTOS!$A$5:$A$400&lt;&gt;"")*(MOVIMIENTOS!$A$5:$A$400&lt;=$A56)*MOVIMIENTOS!$E$5:$E$400)-SUMPRODUCT((MOVIMIENTOS!$B$5:$B$400="ENVÍO A SUPESA")*(MOVIMIENTOS!$C$5:$C$400="P")*(MOVIMIENTOS!$D$5:$D$400="jabas")*(MOVIMIENTOS!$A$5:$A$400&lt;&gt;"")*(MOVIMIENTOS!$A$5:$A$400&lt;=$A56)*MOVIMIENTOS!$E$5:$E$400)+SUMPRODUCT((MOVIMIENTOS!$B$5:$B$400="DEVOLUCIÓN")*(MOVIMIENTOS!$C$5:$C$400="P")*(MOVIMIENTOS!$D$5:$D$400="jabas")*(MOVIMIENTOS!$A$5:$A$400&lt;&gt;"")*(MOVIMIENTOS!$A$5:$A$400&lt;=$A56)*MOVIMIENTOS!$E$5:$E$400)-SUMPRODUCT((MOVIMIENTOS!$B$5:$B$400="TRASIEGO")*(MOVIMIENTOS!$C$5:$C$400="P")*(MOVIMIENTOS!$D$5:$D$400="jabas")*(MOVIMIENTOS!$A$5:$A$400&lt;&gt;"")*(MOVIMIENTOS!$A$5:$A$400&lt;=$A56)*MOVIMIENTOS!$E$5:$E$400)-SUMPRODUCT((MOVIMIENTOS!$B$5:$B$400="REGALO")*(MOVIMIENTOS!$C$5:$C$400="P")*(MOVIMIENTOS!$D$5:$D$400="jabas")*(MOVIMIENTOS!$A$5:$A$400&lt;&gt;"")*(MOVIMIENTOS!$A$5:$A$400&lt;=$A56)*MOVIMIENTOS!$E$5:$E$400)-SUMPRODUCT((MOVIMIENTOS!$B$5:$B$400="VENTA")*(MOVIMIENTOS!$C$5:$C$400="P")*(MOVIMIENTOS!$D$5:$D$400="jabas")*(MOVIMIENTOS!$A$5:$A$400&lt;&gt;"")*(MOVIMIENTOS!$A$5:$A$400&lt;=$A56)*MOVIMIENTOS!$E$5:$E$400)+SUMPRODUCT((MOVIMIENTOS!$B$5:$B$400="AJUSTE")*(MOVIMIENTOS!$C$5:$C$400="P")*(MOVIMIENTOS!$D$5:$D$400="jabas")*(MOVIMIENTOS!$A$5:$A$400&lt;&gt;"")*(MOVIMIENTOS!$A$5:$A$400&lt;=$A56)*MOVIMIENTOS!$E$5:$E$400))</f>
        <v/>
      </c>
      <c r="D56" s="46" t="str">
        <f aca="false">IF($A56="","",SUMPRODUCT((MOVIMIENTOS!$B$5:$B$400="SALDO INICIAL")*(MOVIMIENTOS!$C$5:$C$400="C")*(MOVIMIENTOS!$D$5:$D$400="jabas")*(MOVIMIENTOS!$A$5:$A$400&lt;&gt;"")*(MOVIMIENTOS!$A$5:$A$400&lt;=$A56)*MOVIMIENTOS!$E$5:$E$400)+SUMPRODUCT((MOVIMIENTOS!$B$5:$B$400="PROCESO")*(MOVIMIENTOS!$C$5:$C$400="C")*(MOVIMIENTOS!$D$5:$D$400="jabas")*(MOVIMIENTOS!$A$5:$A$400&lt;&gt;"")*(MOVIMIENTOS!$A$5:$A$400&lt;=$A56)*MOVIMIENTOS!$E$5:$E$400)-SUMPRODUCT((MOVIMIENTOS!$B$5:$B$400="ENVÍO A SUPESA")*(MOVIMIENTOS!$C$5:$C$400="C")*(MOVIMIENTOS!$D$5:$D$400="jabas")*(MOVIMIENTOS!$A$5:$A$400&lt;&gt;"")*(MOVIMIENTOS!$A$5:$A$400&lt;=$A56)*MOVIMIENTOS!$E$5:$E$400)+SUMPRODUCT((MOVIMIENTOS!$B$5:$B$400="DEVOLUCIÓN")*(MOVIMIENTOS!$C$5:$C$400="C")*(MOVIMIENTOS!$D$5:$D$400="jabas")*(MOVIMIENTOS!$A$5:$A$400&lt;&gt;"")*(MOVIMIENTOS!$A$5:$A$400&lt;=$A56)*MOVIMIENTOS!$E$5:$E$400)-SUMPRODUCT((MOVIMIENTOS!$B$5:$B$400="TRASIEGO")*(MOVIMIENTOS!$C$5:$C$400="C")*(MOVIMIENTOS!$D$5:$D$400="jabas")*(MOVIMIENTOS!$A$5:$A$400&lt;&gt;"")*(MOVIMIENTOS!$A$5:$A$400&lt;=$A56)*MOVIMIENTOS!$E$5:$E$400)-SUMPRODUCT((MOVIMIENTOS!$B$5:$B$400="REGALO")*(MOVIMIENTOS!$C$5:$C$400="C")*(MOVIMIENTOS!$D$5:$D$400="jabas")*(MOVIMIENTOS!$A$5:$A$400&lt;&gt;"")*(MOVIMIENTOS!$A$5:$A$400&lt;=$A56)*MOVIMIENTOS!$E$5:$E$400)-SUMPRODUCT((MOVIMIENTOS!$B$5:$B$400="VENTA")*(MOVIMIENTOS!$C$5:$C$400="C")*(MOVIMIENTOS!$D$5:$D$400="jabas")*(MOVIMIENTOS!$A$5:$A$400&lt;&gt;"")*(MOVIMIENTOS!$A$5:$A$400&lt;=$A56)*MOVIMIENTOS!$E$5:$E$400)+SUMPRODUCT((MOVIMIENTOS!$B$5:$B$400="AJUSTE")*(MOVIMIENTOS!$C$5:$C$400="C")*(MOVIMIENTOS!$D$5:$D$400="jabas")*(MOVIMIENTOS!$A$5:$A$400&lt;&gt;"")*(MOVIMIENTOS!$A$5:$A$400&lt;=$A56)*MOVIMIENTOS!$E$5:$E$400))</f>
        <v/>
      </c>
      <c r="E56" s="46" t="str">
        <f aca="false">IF($A56="","",SUMPRODUCT((MOVIMIENTOS!$B$5:$B$400="SALDO INICIAL")*(MOVIMIENTOS!$C$5:$C$400="M")*(MOVIMIENTOS!$D$5:$D$400="jabas")*(MOVIMIENTOS!$A$5:$A$400&lt;&gt;"")*(MOVIMIENTOS!$A$5:$A$400&lt;=$A56)*MOVIMIENTOS!$E$5:$E$400)+SUMPRODUCT((MOVIMIENTOS!$B$5:$B$400="PROCESO")*(MOVIMIENTOS!$C$5:$C$400="M")*(MOVIMIENTOS!$D$5:$D$400="jabas")*(MOVIMIENTOS!$A$5:$A$400&lt;&gt;"")*(MOVIMIENTOS!$A$5:$A$400&lt;=$A56)*MOVIMIENTOS!$E$5:$E$400)-SUMPRODUCT((MOVIMIENTOS!$B$5:$B$400="ENVÍO A SUPESA")*(MOVIMIENTOS!$C$5:$C$400="M")*(MOVIMIENTOS!$D$5:$D$400="jabas")*(MOVIMIENTOS!$A$5:$A$400&lt;&gt;"")*(MOVIMIENTOS!$A$5:$A$400&lt;=$A56)*MOVIMIENTOS!$E$5:$E$400)+SUMPRODUCT((MOVIMIENTOS!$B$5:$B$400="DEVOLUCIÓN")*(MOVIMIENTOS!$C$5:$C$400="M")*(MOVIMIENTOS!$D$5:$D$400="jabas")*(MOVIMIENTOS!$A$5:$A$400&lt;&gt;"")*(MOVIMIENTOS!$A$5:$A$400&lt;=$A56)*MOVIMIENTOS!$E$5:$E$400)-SUMPRODUCT((MOVIMIENTOS!$B$5:$B$400="TRASIEGO")*(MOVIMIENTOS!$C$5:$C$400="M")*(MOVIMIENTOS!$D$5:$D$400="jabas")*(MOVIMIENTOS!$A$5:$A$400&lt;&gt;"")*(MOVIMIENTOS!$A$5:$A$400&lt;=$A56)*MOVIMIENTOS!$E$5:$E$400)-SUMPRODUCT((MOVIMIENTOS!$B$5:$B$400="REGALO")*(MOVIMIENTOS!$C$5:$C$400="M")*(MOVIMIENTOS!$D$5:$D$400="jabas")*(MOVIMIENTOS!$A$5:$A$400&lt;&gt;"")*(MOVIMIENTOS!$A$5:$A$400&lt;=$A56)*MOVIMIENTOS!$E$5:$E$400)-SUMPRODUCT((MOVIMIENTOS!$B$5:$B$400="VENTA")*(MOVIMIENTOS!$C$5:$C$400="M")*(MOVIMIENTOS!$D$5:$D$400="jabas")*(MOVIMIENTOS!$A$5:$A$400&lt;&gt;"")*(MOVIMIENTOS!$A$5:$A$400&lt;=$A56)*MOVIMIENTOS!$E$5:$E$400)+SUMPRODUCT((MOVIMIENTOS!$B$5:$B$400="AJUSTE")*(MOVIMIENTOS!$C$5:$C$400="M")*(MOVIMIENTOS!$D$5:$D$400="jabas")*(MOVIMIENTOS!$A$5:$A$400&lt;&gt;"")*(MOVIMIENTOS!$A$5:$A$400&lt;=$A56)*MOVIMIENTOS!$E$5:$E$400))</f>
        <v/>
      </c>
      <c r="F56" s="46" t="str">
        <f aca="false">IF($A56="","",SUMPRODUCT((MOVIMIENTOS!$B$5:$B$400="SALDO INICIAL")*(MOVIMIENTOS!$C$5:$C$400="Chancho")*(MOVIMIENTOS!$D$5:$D$400="sacos")*(MOVIMIENTOS!$A$5:$A$400&lt;&gt;"")*(MOVIMIENTOS!$A$5:$A$400&lt;=$A56)*MOVIMIENTOS!$E$5:$E$400)+SUMPRODUCT((MOVIMIENTOS!$B$5:$B$400="PROCESO")*(MOVIMIENTOS!$C$5:$C$400="Chancho")*(MOVIMIENTOS!$D$5:$D$400="sacos")*(MOVIMIENTOS!$A$5:$A$400&lt;&gt;"")*(MOVIMIENTOS!$A$5:$A$400&lt;=$A56)*MOVIMIENTOS!$E$5:$E$400)-SUMPRODUCT((MOVIMIENTOS!$B$5:$B$400="VENTA CHANCHO")*(MOVIMIENTOS!$C$5:$C$400="Chancho")*(MOVIMIENTOS!$D$5:$D$400="sacos")*(MOVIMIENTOS!$A$5:$A$400&lt;&gt;"")*(MOVIMIENTOS!$A$5:$A$400&lt;=$A56)*MOVIMIENTOS!$E$5:$E$400)-SUMPRODUCT((MOVIMIENTOS!$B$5:$B$400="REGALO")*(MOVIMIENTOS!$C$5:$C$400="Chancho")*(MOVIMIENTOS!$D$5:$D$400="sacos")*(MOVIMIENTOS!$A$5:$A$400&lt;&gt;"")*(MOVIMIENTOS!$A$5:$A$400&lt;=$A56)*MOVIMIENTOS!$E$5:$E$400)-SUMPRODUCT((MOVIMIENTOS!$B$5:$B$400="VENTA")*(MOVIMIENTOS!$C$5:$C$400="Chancho")*(MOVIMIENTOS!$D$5:$D$400="sacos")*(MOVIMIENTOS!$A$5:$A$400&lt;&gt;"")*(MOVIMIENTOS!$A$5:$A$400&lt;=$A56)*MOVIMIENTOS!$E$5:$E$400)+SUMPRODUCT((MOVIMIENTOS!$B$5:$B$400="AJUSTE")*(MOVIMIENTOS!$C$5:$C$400="Chancho")*(MOVIMIENTOS!$D$5:$D$400="sacos")*(MOVIMIENTOS!$A$5:$A$400&lt;&gt;"")*(MOVIMIENTOS!$A$5:$A$400&lt;=$A56)*MOVIMIENTOS!$E$5:$E$400))</f>
        <v/>
      </c>
      <c r="G56" s="46" t="str">
        <f aca="false">IF($A56="","",SUM(B56:E56))</f>
        <v/>
      </c>
      <c r="H56" s="46" t="str">
        <f aca="false">IF($A56="","",SUMPRODUCT((((MOVIMIENTOS!$B$5:$B$400="SALDO INICIAL")*(MOVIMIENTOS!$C$5:$C$400&lt;&gt;"Chancho"))+(MOVIMIENTOS!$B$5:$B$400="COMPRA")+(MOVIMIENTOS!$B$5:$B$400="REPROCESO")+(MOVIMIENTOS!$B$5:$B$400="DEVOLUCIÓN")+((MOVIMIENTOS!$B$5:$B$400="AJUSTE")*(MOVIMIENTOS!$C$5:$C$400&lt;&gt;"Chancho")))*(MOVIMIENTOS!$A$5:$A$400&lt;&gt;"")*(MOVIMIENTOS!$A$5:$A$400&lt;=$A56)*MOVIMIENTOS!$I$5:$I$400)-SUMPRODUCT(((MOVIMIENTOS!$B$5:$B$400="ENVÍO A SUPESA")+(MOVIMIENTOS!$B$5:$B$400="ENVÍO A TOTTUS")+(MOVIMIENTOS!$B$5:$B$400="ENVIO A TOTTUS")+(MOVIMIENTOS!$B$5:$B$400="MALOGRADO")+(MOVIMIENTOS!$B$5:$B$400="OTRA SALIDA")+((MOVIMIENTOS!$B$5:$B$400="PROCESO")*(MOVIMIENTOS!$C$5:$C$400="Chancho"))+((MOVIMIENTOS!$B$5:$B$400="REGALO")*(MOVIMIENTOS!$C$5:$C$400&lt;&gt;"Chancho"))+((MOVIMIENTOS!$B$5:$B$400="VENTA")*(MOVIMIENTOS!$C$5:$C$400&lt;&gt;"Chancho")))*(MOVIMIENTOS!$A$5:$A$400&lt;&gt;"")*(MOVIMIENTOS!$A$5:$A$400&lt;=$A56)*MOVIMIENTOS!$I$5:$I$400))</f>
        <v/>
      </c>
      <c r="I56" s="44"/>
      <c r="J56" s="44" t="str">
        <f aca="false">IF(AND(MOVIMIENTOS!$A56&lt;&gt;"",COUNTIF(MOVIMIENTOS!$A$5:$A55,MOVIMIENTOS!$A56)=0),COUNT(J$4:J55)+1,"")</f>
        <v/>
      </c>
      <c r="K56" s="47" t="n">
        <f aca="false">MOVIMIENTOS!$A56</f>
        <v>46219</v>
      </c>
      <c r="L56" s="44"/>
      <c r="M56" s="44"/>
      <c r="N56" s="44"/>
    </row>
    <row r="57" customFormat="false" ht="15" hidden="false" customHeight="true" outlineLevel="0" collapsed="false">
      <c r="A57" s="45" t="str">
        <f aca="false">IFERROR(INDEX(K$5:K$400,MATCH(ROW()-4,J$5:J$400,0)),"")</f>
        <v/>
      </c>
      <c r="B57" s="46" t="str">
        <f aca="false">IF($A57="","",SUMPRODUCT((MOVIMIENTOS!$B$5:$B$400="SALDO INICIAL")*(MOVIMIENTOS!$C$5:$C$400="A")*(MOVIMIENTOS!$D$5:$D$400="jabas")*(MOVIMIENTOS!$A$5:$A$400&lt;&gt;"")*(MOVIMIENTOS!$A$5:$A$400&lt;=$A57)*MOVIMIENTOS!$E$5:$E$400)+SUMPRODUCT((MOVIMIENTOS!$B$5:$B$400="PROCESO")*(MOVIMIENTOS!$C$5:$C$400="A")*(MOVIMIENTOS!$D$5:$D$400="jabas")*(MOVIMIENTOS!$A$5:$A$400&lt;&gt;"")*(MOVIMIENTOS!$A$5:$A$400&lt;=$A57)*MOVIMIENTOS!$E$5:$E$400)-SUMPRODUCT((MOVIMIENTOS!$B$5:$B$400="ENVÍO A SUPESA")*(MOVIMIENTOS!$C$5:$C$400="A")*(MOVIMIENTOS!$D$5:$D$400="jabas")*(MOVIMIENTOS!$A$5:$A$400&lt;&gt;"")*(MOVIMIENTOS!$A$5:$A$400&lt;=$A57)*MOVIMIENTOS!$E$5:$E$400)+SUMPRODUCT((MOVIMIENTOS!$B$5:$B$400="DEVOLUCIÓN")*(MOVIMIENTOS!$C$5:$C$400="A")*(MOVIMIENTOS!$D$5:$D$400="jabas")*(MOVIMIENTOS!$A$5:$A$400&lt;&gt;"")*(MOVIMIENTOS!$A$5:$A$400&lt;=$A57)*MOVIMIENTOS!$E$5:$E$400)-SUMPRODUCT((MOVIMIENTOS!$B$5:$B$400="TRASIEGO")*(MOVIMIENTOS!$C$5:$C$400="A")*(MOVIMIENTOS!$D$5:$D$400="jabas")*(MOVIMIENTOS!$A$5:$A$400&lt;&gt;"")*(MOVIMIENTOS!$A$5:$A$400&lt;=$A57)*MOVIMIENTOS!$E$5:$E$400)-SUMPRODUCT((MOVIMIENTOS!$B$5:$B$400="REGALO")*(MOVIMIENTOS!$C$5:$C$400="A")*(MOVIMIENTOS!$D$5:$D$400="jabas")*(MOVIMIENTOS!$A$5:$A$400&lt;&gt;"")*(MOVIMIENTOS!$A$5:$A$400&lt;=$A57)*MOVIMIENTOS!$E$5:$E$400)-SUMPRODUCT((MOVIMIENTOS!$B$5:$B$400="VENTA")*(MOVIMIENTOS!$C$5:$C$400="A")*(MOVIMIENTOS!$D$5:$D$400="jabas")*(MOVIMIENTOS!$A$5:$A$400&lt;&gt;"")*(MOVIMIENTOS!$A$5:$A$400&lt;=$A57)*MOVIMIENTOS!$E$5:$E$400)+SUMPRODUCT((MOVIMIENTOS!$B$5:$B$400="AJUSTE")*(MOVIMIENTOS!$C$5:$C$400="A")*(MOVIMIENTOS!$D$5:$D$400="jabas")*(MOVIMIENTOS!$A$5:$A$400&lt;&gt;"")*(MOVIMIENTOS!$A$5:$A$400&lt;=$A57)*MOVIMIENTOS!$E$5:$E$400))</f>
        <v/>
      </c>
      <c r="C57" s="46" t="str">
        <f aca="false">IF($A57="","",SUMPRODUCT((MOVIMIENTOS!$B$5:$B$400="SALDO INICIAL")*(MOVIMIENTOS!$C$5:$C$400="P")*(MOVIMIENTOS!$D$5:$D$400="jabas")*(MOVIMIENTOS!$A$5:$A$400&lt;&gt;"")*(MOVIMIENTOS!$A$5:$A$400&lt;=$A57)*MOVIMIENTOS!$E$5:$E$400)+SUMPRODUCT((MOVIMIENTOS!$B$5:$B$400="PROCESO")*(MOVIMIENTOS!$C$5:$C$400="P")*(MOVIMIENTOS!$D$5:$D$400="jabas")*(MOVIMIENTOS!$A$5:$A$400&lt;&gt;"")*(MOVIMIENTOS!$A$5:$A$400&lt;=$A57)*MOVIMIENTOS!$E$5:$E$400)-SUMPRODUCT((MOVIMIENTOS!$B$5:$B$400="ENVÍO A SUPESA")*(MOVIMIENTOS!$C$5:$C$400="P")*(MOVIMIENTOS!$D$5:$D$400="jabas")*(MOVIMIENTOS!$A$5:$A$400&lt;&gt;"")*(MOVIMIENTOS!$A$5:$A$400&lt;=$A57)*MOVIMIENTOS!$E$5:$E$400)+SUMPRODUCT((MOVIMIENTOS!$B$5:$B$400="DEVOLUCIÓN")*(MOVIMIENTOS!$C$5:$C$400="P")*(MOVIMIENTOS!$D$5:$D$400="jabas")*(MOVIMIENTOS!$A$5:$A$400&lt;&gt;"")*(MOVIMIENTOS!$A$5:$A$400&lt;=$A57)*MOVIMIENTOS!$E$5:$E$400)-SUMPRODUCT((MOVIMIENTOS!$B$5:$B$400="TRASIEGO")*(MOVIMIENTOS!$C$5:$C$400="P")*(MOVIMIENTOS!$D$5:$D$400="jabas")*(MOVIMIENTOS!$A$5:$A$400&lt;&gt;"")*(MOVIMIENTOS!$A$5:$A$400&lt;=$A57)*MOVIMIENTOS!$E$5:$E$400)-SUMPRODUCT((MOVIMIENTOS!$B$5:$B$400="REGALO")*(MOVIMIENTOS!$C$5:$C$400="P")*(MOVIMIENTOS!$D$5:$D$400="jabas")*(MOVIMIENTOS!$A$5:$A$400&lt;&gt;"")*(MOVIMIENTOS!$A$5:$A$400&lt;=$A57)*MOVIMIENTOS!$E$5:$E$400)-SUMPRODUCT((MOVIMIENTOS!$B$5:$B$400="VENTA")*(MOVIMIENTOS!$C$5:$C$400="P")*(MOVIMIENTOS!$D$5:$D$400="jabas")*(MOVIMIENTOS!$A$5:$A$400&lt;&gt;"")*(MOVIMIENTOS!$A$5:$A$400&lt;=$A57)*MOVIMIENTOS!$E$5:$E$400)+SUMPRODUCT((MOVIMIENTOS!$B$5:$B$400="AJUSTE")*(MOVIMIENTOS!$C$5:$C$400="P")*(MOVIMIENTOS!$D$5:$D$400="jabas")*(MOVIMIENTOS!$A$5:$A$400&lt;&gt;"")*(MOVIMIENTOS!$A$5:$A$400&lt;=$A57)*MOVIMIENTOS!$E$5:$E$400))</f>
        <v/>
      </c>
      <c r="D57" s="46" t="str">
        <f aca="false">IF($A57="","",SUMPRODUCT((MOVIMIENTOS!$B$5:$B$400="SALDO INICIAL")*(MOVIMIENTOS!$C$5:$C$400="C")*(MOVIMIENTOS!$D$5:$D$400="jabas")*(MOVIMIENTOS!$A$5:$A$400&lt;&gt;"")*(MOVIMIENTOS!$A$5:$A$400&lt;=$A57)*MOVIMIENTOS!$E$5:$E$400)+SUMPRODUCT((MOVIMIENTOS!$B$5:$B$400="PROCESO")*(MOVIMIENTOS!$C$5:$C$400="C")*(MOVIMIENTOS!$D$5:$D$400="jabas")*(MOVIMIENTOS!$A$5:$A$400&lt;&gt;"")*(MOVIMIENTOS!$A$5:$A$400&lt;=$A57)*MOVIMIENTOS!$E$5:$E$400)-SUMPRODUCT((MOVIMIENTOS!$B$5:$B$400="ENVÍO A SUPESA")*(MOVIMIENTOS!$C$5:$C$400="C")*(MOVIMIENTOS!$D$5:$D$400="jabas")*(MOVIMIENTOS!$A$5:$A$400&lt;&gt;"")*(MOVIMIENTOS!$A$5:$A$400&lt;=$A57)*MOVIMIENTOS!$E$5:$E$400)+SUMPRODUCT((MOVIMIENTOS!$B$5:$B$400="DEVOLUCIÓN")*(MOVIMIENTOS!$C$5:$C$400="C")*(MOVIMIENTOS!$D$5:$D$400="jabas")*(MOVIMIENTOS!$A$5:$A$400&lt;&gt;"")*(MOVIMIENTOS!$A$5:$A$400&lt;=$A57)*MOVIMIENTOS!$E$5:$E$400)-SUMPRODUCT((MOVIMIENTOS!$B$5:$B$400="TRASIEGO")*(MOVIMIENTOS!$C$5:$C$400="C")*(MOVIMIENTOS!$D$5:$D$400="jabas")*(MOVIMIENTOS!$A$5:$A$400&lt;&gt;"")*(MOVIMIENTOS!$A$5:$A$400&lt;=$A57)*MOVIMIENTOS!$E$5:$E$400)-SUMPRODUCT((MOVIMIENTOS!$B$5:$B$400="REGALO")*(MOVIMIENTOS!$C$5:$C$400="C")*(MOVIMIENTOS!$D$5:$D$400="jabas")*(MOVIMIENTOS!$A$5:$A$400&lt;&gt;"")*(MOVIMIENTOS!$A$5:$A$400&lt;=$A57)*MOVIMIENTOS!$E$5:$E$400)-SUMPRODUCT((MOVIMIENTOS!$B$5:$B$400="VENTA")*(MOVIMIENTOS!$C$5:$C$400="C")*(MOVIMIENTOS!$D$5:$D$400="jabas")*(MOVIMIENTOS!$A$5:$A$400&lt;&gt;"")*(MOVIMIENTOS!$A$5:$A$400&lt;=$A57)*MOVIMIENTOS!$E$5:$E$400)+SUMPRODUCT((MOVIMIENTOS!$B$5:$B$400="AJUSTE")*(MOVIMIENTOS!$C$5:$C$400="C")*(MOVIMIENTOS!$D$5:$D$400="jabas")*(MOVIMIENTOS!$A$5:$A$400&lt;&gt;"")*(MOVIMIENTOS!$A$5:$A$400&lt;=$A57)*MOVIMIENTOS!$E$5:$E$400))</f>
        <v/>
      </c>
      <c r="E57" s="46" t="str">
        <f aca="false">IF($A57="","",SUMPRODUCT((MOVIMIENTOS!$B$5:$B$400="SALDO INICIAL")*(MOVIMIENTOS!$C$5:$C$400="M")*(MOVIMIENTOS!$D$5:$D$400="jabas")*(MOVIMIENTOS!$A$5:$A$400&lt;&gt;"")*(MOVIMIENTOS!$A$5:$A$400&lt;=$A57)*MOVIMIENTOS!$E$5:$E$400)+SUMPRODUCT((MOVIMIENTOS!$B$5:$B$400="PROCESO")*(MOVIMIENTOS!$C$5:$C$400="M")*(MOVIMIENTOS!$D$5:$D$400="jabas")*(MOVIMIENTOS!$A$5:$A$400&lt;&gt;"")*(MOVIMIENTOS!$A$5:$A$400&lt;=$A57)*MOVIMIENTOS!$E$5:$E$400)-SUMPRODUCT((MOVIMIENTOS!$B$5:$B$400="ENVÍO A SUPESA")*(MOVIMIENTOS!$C$5:$C$400="M")*(MOVIMIENTOS!$D$5:$D$400="jabas")*(MOVIMIENTOS!$A$5:$A$400&lt;&gt;"")*(MOVIMIENTOS!$A$5:$A$400&lt;=$A57)*MOVIMIENTOS!$E$5:$E$400)+SUMPRODUCT((MOVIMIENTOS!$B$5:$B$400="DEVOLUCIÓN")*(MOVIMIENTOS!$C$5:$C$400="M")*(MOVIMIENTOS!$D$5:$D$400="jabas")*(MOVIMIENTOS!$A$5:$A$400&lt;&gt;"")*(MOVIMIENTOS!$A$5:$A$400&lt;=$A57)*MOVIMIENTOS!$E$5:$E$400)-SUMPRODUCT((MOVIMIENTOS!$B$5:$B$400="TRASIEGO")*(MOVIMIENTOS!$C$5:$C$400="M")*(MOVIMIENTOS!$D$5:$D$400="jabas")*(MOVIMIENTOS!$A$5:$A$400&lt;&gt;"")*(MOVIMIENTOS!$A$5:$A$400&lt;=$A57)*MOVIMIENTOS!$E$5:$E$400)-SUMPRODUCT((MOVIMIENTOS!$B$5:$B$400="REGALO")*(MOVIMIENTOS!$C$5:$C$400="M")*(MOVIMIENTOS!$D$5:$D$400="jabas")*(MOVIMIENTOS!$A$5:$A$400&lt;&gt;"")*(MOVIMIENTOS!$A$5:$A$400&lt;=$A57)*MOVIMIENTOS!$E$5:$E$400)-SUMPRODUCT((MOVIMIENTOS!$B$5:$B$400="VENTA")*(MOVIMIENTOS!$C$5:$C$400="M")*(MOVIMIENTOS!$D$5:$D$400="jabas")*(MOVIMIENTOS!$A$5:$A$400&lt;&gt;"")*(MOVIMIENTOS!$A$5:$A$400&lt;=$A57)*MOVIMIENTOS!$E$5:$E$400)+SUMPRODUCT((MOVIMIENTOS!$B$5:$B$400="AJUSTE")*(MOVIMIENTOS!$C$5:$C$400="M")*(MOVIMIENTOS!$D$5:$D$400="jabas")*(MOVIMIENTOS!$A$5:$A$400&lt;&gt;"")*(MOVIMIENTOS!$A$5:$A$400&lt;=$A57)*MOVIMIENTOS!$E$5:$E$400))</f>
        <v/>
      </c>
      <c r="F57" s="46" t="str">
        <f aca="false">IF($A57="","",SUMPRODUCT((MOVIMIENTOS!$B$5:$B$400="SALDO INICIAL")*(MOVIMIENTOS!$C$5:$C$400="Chancho")*(MOVIMIENTOS!$D$5:$D$400="sacos")*(MOVIMIENTOS!$A$5:$A$400&lt;&gt;"")*(MOVIMIENTOS!$A$5:$A$400&lt;=$A57)*MOVIMIENTOS!$E$5:$E$400)+SUMPRODUCT((MOVIMIENTOS!$B$5:$B$400="PROCESO")*(MOVIMIENTOS!$C$5:$C$400="Chancho")*(MOVIMIENTOS!$D$5:$D$400="sacos")*(MOVIMIENTOS!$A$5:$A$400&lt;&gt;"")*(MOVIMIENTOS!$A$5:$A$400&lt;=$A57)*MOVIMIENTOS!$E$5:$E$400)-SUMPRODUCT((MOVIMIENTOS!$B$5:$B$400="VENTA CHANCHO")*(MOVIMIENTOS!$C$5:$C$400="Chancho")*(MOVIMIENTOS!$D$5:$D$400="sacos")*(MOVIMIENTOS!$A$5:$A$400&lt;&gt;"")*(MOVIMIENTOS!$A$5:$A$400&lt;=$A57)*MOVIMIENTOS!$E$5:$E$400)-SUMPRODUCT((MOVIMIENTOS!$B$5:$B$400="REGALO")*(MOVIMIENTOS!$C$5:$C$400="Chancho")*(MOVIMIENTOS!$D$5:$D$400="sacos")*(MOVIMIENTOS!$A$5:$A$400&lt;&gt;"")*(MOVIMIENTOS!$A$5:$A$400&lt;=$A57)*MOVIMIENTOS!$E$5:$E$400)-SUMPRODUCT((MOVIMIENTOS!$B$5:$B$400="VENTA")*(MOVIMIENTOS!$C$5:$C$400="Chancho")*(MOVIMIENTOS!$D$5:$D$400="sacos")*(MOVIMIENTOS!$A$5:$A$400&lt;&gt;"")*(MOVIMIENTOS!$A$5:$A$400&lt;=$A57)*MOVIMIENTOS!$E$5:$E$400)+SUMPRODUCT((MOVIMIENTOS!$B$5:$B$400="AJUSTE")*(MOVIMIENTOS!$C$5:$C$400="Chancho")*(MOVIMIENTOS!$D$5:$D$400="sacos")*(MOVIMIENTOS!$A$5:$A$400&lt;&gt;"")*(MOVIMIENTOS!$A$5:$A$400&lt;=$A57)*MOVIMIENTOS!$E$5:$E$400))</f>
        <v/>
      </c>
      <c r="G57" s="46" t="str">
        <f aca="false">IF($A57="","",SUM(B57:E57))</f>
        <v/>
      </c>
      <c r="H57" s="46" t="str">
        <f aca="false">IF($A57="","",SUMPRODUCT((((MOVIMIENTOS!$B$5:$B$400="SALDO INICIAL")*(MOVIMIENTOS!$C$5:$C$400&lt;&gt;"Chancho"))+(MOVIMIENTOS!$B$5:$B$400="COMPRA")+(MOVIMIENTOS!$B$5:$B$400="REPROCESO")+(MOVIMIENTOS!$B$5:$B$400="DEVOLUCIÓN")+((MOVIMIENTOS!$B$5:$B$400="AJUSTE")*(MOVIMIENTOS!$C$5:$C$400&lt;&gt;"Chancho")))*(MOVIMIENTOS!$A$5:$A$400&lt;&gt;"")*(MOVIMIENTOS!$A$5:$A$400&lt;=$A57)*MOVIMIENTOS!$I$5:$I$400)-SUMPRODUCT(((MOVIMIENTOS!$B$5:$B$400="ENVÍO A SUPESA")+(MOVIMIENTOS!$B$5:$B$400="ENVÍO A TOTTUS")+(MOVIMIENTOS!$B$5:$B$400="ENVIO A TOTTUS")+(MOVIMIENTOS!$B$5:$B$400="MALOGRADO")+(MOVIMIENTOS!$B$5:$B$400="OTRA SALIDA")+((MOVIMIENTOS!$B$5:$B$400="PROCESO")*(MOVIMIENTOS!$C$5:$C$400="Chancho"))+((MOVIMIENTOS!$B$5:$B$400="REGALO")*(MOVIMIENTOS!$C$5:$C$400&lt;&gt;"Chancho"))+((MOVIMIENTOS!$B$5:$B$400="VENTA")*(MOVIMIENTOS!$C$5:$C$400&lt;&gt;"Chancho")))*(MOVIMIENTOS!$A$5:$A$400&lt;&gt;"")*(MOVIMIENTOS!$A$5:$A$400&lt;=$A57)*MOVIMIENTOS!$I$5:$I$400))</f>
        <v/>
      </c>
      <c r="I57" s="44"/>
      <c r="J57" s="44" t="str">
        <f aca="false">IF(AND(MOVIMIENTOS!$A57&lt;&gt;"",COUNTIF(MOVIMIENTOS!$A$5:$A56,MOVIMIENTOS!$A57)=0),COUNT(J$4:J56)+1,"")</f>
        <v/>
      </c>
      <c r="K57" s="47" t="n">
        <f aca="false">MOVIMIENTOS!$A57</f>
        <v>46219</v>
      </c>
      <c r="L57" s="44"/>
      <c r="M57" s="44"/>
      <c r="N57" s="44"/>
    </row>
    <row r="58" customFormat="false" ht="15" hidden="false" customHeight="true" outlineLevel="0" collapsed="false">
      <c r="A58" s="45" t="str">
        <f aca="false">IFERROR(INDEX(K$5:K$400,MATCH(ROW()-4,J$5:J$400,0)),"")</f>
        <v/>
      </c>
      <c r="B58" s="46" t="str">
        <f aca="false">IF($A58="","",SUMPRODUCT((MOVIMIENTOS!$B$5:$B$400="SALDO INICIAL")*(MOVIMIENTOS!$C$5:$C$400="A")*(MOVIMIENTOS!$D$5:$D$400="jabas")*(MOVIMIENTOS!$A$5:$A$400&lt;&gt;"")*(MOVIMIENTOS!$A$5:$A$400&lt;=$A58)*MOVIMIENTOS!$E$5:$E$400)+SUMPRODUCT((MOVIMIENTOS!$B$5:$B$400="PROCESO")*(MOVIMIENTOS!$C$5:$C$400="A")*(MOVIMIENTOS!$D$5:$D$400="jabas")*(MOVIMIENTOS!$A$5:$A$400&lt;&gt;"")*(MOVIMIENTOS!$A$5:$A$400&lt;=$A58)*MOVIMIENTOS!$E$5:$E$400)-SUMPRODUCT((MOVIMIENTOS!$B$5:$B$400="ENVÍO A SUPESA")*(MOVIMIENTOS!$C$5:$C$400="A")*(MOVIMIENTOS!$D$5:$D$400="jabas")*(MOVIMIENTOS!$A$5:$A$400&lt;&gt;"")*(MOVIMIENTOS!$A$5:$A$400&lt;=$A58)*MOVIMIENTOS!$E$5:$E$400)+SUMPRODUCT((MOVIMIENTOS!$B$5:$B$400="DEVOLUCIÓN")*(MOVIMIENTOS!$C$5:$C$400="A")*(MOVIMIENTOS!$D$5:$D$400="jabas")*(MOVIMIENTOS!$A$5:$A$400&lt;&gt;"")*(MOVIMIENTOS!$A$5:$A$400&lt;=$A58)*MOVIMIENTOS!$E$5:$E$400)-SUMPRODUCT((MOVIMIENTOS!$B$5:$B$400="TRASIEGO")*(MOVIMIENTOS!$C$5:$C$400="A")*(MOVIMIENTOS!$D$5:$D$400="jabas")*(MOVIMIENTOS!$A$5:$A$400&lt;&gt;"")*(MOVIMIENTOS!$A$5:$A$400&lt;=$A58)*MOVIMIENTOS!$E$5:$E$400)-SUMPRODUCT((MOVIMIENTOS!$B$5:$B$400="REGALO")*(MOVIMIENTOS!$C$5:$C$400="A")*(MOVIMIENTOS!$D$5:$D$400="jabas")*(MOVIMIENTOS!$A$5:$A$400&lt;&gt;"")*(MOVIMIENTOS!$A$5:$A$400&lt;=$A58)*MOVIMIENTOS!$E$5:$E$400)-SUMPRODUCT((MOVIMIENTOS!$B$5:$B$400="VENTA")*(MOVIMIENTOS!$C$5:$C$400="A")*(MOVIMIENTOS!$D$5:$D$400="jabas")*(MOVIMIENTOS!$A$5:$A$400&lt;&gt;"")*(MOVIMIENTOS!$A$5:$A$400&lt;=$A58)*MOVIMIENTOS!$E$5:$E$400)+SUMPRODUCT((MOVIMIENTOS!$B$5:$B$400="AJUSTE")*(MOVIMIENTOS!$C$5:$C$400="A")*(MOVIMIENTOS!$D$5:$D$400="jabas")*(MOVIMIENTOS!$A$5:$A$400&lt;&gt;"")*(MOVIMIENTOS!$A$5:$A$400&lt;=$A58)*MOVIMIENTOS!$E$5:$E$400))</f>
        <v/>
      </c>
      <c r="C58" s="46" t="str">
        <f aca="false">IF($A58="","",SUMPRODUCT((MOVIMIENTOS!$B$5:$B$400="SALDO INICIAL")*(MOVIMIENTOS!$C$5:$C$400="P")*(MOVIMIENTOS!$D$5:$D$400="jabas")*(MOVIMIENTOS!$A$5:$A$400&lt;&gt;"")*(MOVIMIENTOS!$A$5:$A$400&lt;=$A58)*MOVIMIENTOS!$E$5:$E$400)+SUMPRODUCT((MOVIMIENTOS!$B$5:$B$400="PROCESO")*(MOVIMIENTOS!$C$5:$C$400="P")*(MOVIMIENTOS!$D$5:$D$400="jabas")*(MOVIMIENTOS!$A$5:$A$400&lt;&gt;"")*(MOVIMIENTOS!$A$5:$A$400&lt;=$A58)*MOVIMIENTOS!$E$5:$E$400)-SUMPRODUCT((MOVIMIENTOS!$B$5:$B$400="ENVÍO A SUPESA")*(MOVIMIENTOS!$C$5:$C$400="P")*(MOVIMIENTOS!$D$5:$D$400="jabas")*(MOVIMIENTOS!$A$5:$A$400&lt;&gt;"")*(MOVIMIENTOS!$A$5:$A$400&lt;=$A58)*MOVIMIENTOS!$E$5:$E$400)+SUMPRODUCT((MOVIMIENTOS!$B$5:$B$400="DEVOLUCIÓN")*(MOVIMIENTOS!$C$5:$C$400="P")*(MOVIMIENTOS!$D$5:$D$400="jabas")*(MOVIMIENTOS!$A$5:$A$400&lt;&gt;"")*(MOVIMIENTOS!$A$5:$A$400&lt;=$A58)*MOVIMIENTOS!$E$5:$E$400)-SUMPRODUCT((MOVIMIENTOS!$B$5:$B$400="TRASIEGO")*(MOVIMIENTOS!$C$5:$C$400="P")*(MOVIMIENTOS!$D$5:$D$400="jabas")*(MOVIMIENTOS!$A$5:$A$400&lt;&gt;"")*(MOVIMIENTOS!$A$5:$A$400&lt;=$A58)*MOVIMIENTOS!$E$5:$E$400)-SUMPRODUCT((MOVIMIENTOS!$B$5:$B$400="REGALO")*(MOVIMIENTOS!$C$5:$C$400="P")*(MOVIMIENTOS!$D$5:$D$400="jabas")*(MOVIMIENTOS!$A$5:$A$400&lt;&gt;"")*(MOVIMIENTOS!$A$5:$A$400&lt;=$A58)*MOVIMIENTOS!$E$5:$E$400)-SUMPRODUCT((MOVIMIENTOS!$B$5:$B$400="VENTA")*(MOVIMIENTOS!$C$5:$C$400="P")*(MOVIMIENTOS!$D$5:$D$400="jabas")*(MOVIMIENTOS!$A$5:$A$400&lt;&gt;"")*(MOVIMIENTOS!$A$5:$A$400&lt;=$A58)*MOVIMIENTOS!$E$5:$E$400)+SUMPRODUCT((MOVIMIENTOS!$B$5:$B$400="AJUSTE")*(MOVIMIENTOS!$C$5:$C$400="P")*(MOVIMIENTOS!$D$5:$D$400="jabas")*(MOVIMIENTOS!$A$5:$A$400&lt;&gt;"")*(MOVIMIENTOS!$A$5:$A$400&lt;=$A58)*MOVIMIENTOS!$E$5:$E$400))</f>
        <v/>
      </c>
      <c r="D58" s="46" t="str">
        <f aca="false">IF($A58="","",SUMPRODUCT((MOVIMIENTOS!$B$5:$B$400="SALDO INICIAL")*(MOVIMIENTOS!$C$5:$C$400="C")*(MOVIMIENTOS!$D$5:$D$400="jabas")*(MOVIMIENTOS!$A$5:$A$400&lt;&gt;"")*(MOVIMIENTOS!$A$5:$A$400&lt;=$A58)*MOVIMIENTOS!$E$5:$E$400)+SUMPRODUCT((MOVIMIENTOS!$B$5:$B$400="PROCESO")*(MOVIMIENTOS!$C$5:$C$400="C")*(MOVIMIENTOS!$D$5:$D$400="jabas")*(MOVIMIENTOS!$A$5:$A$400&lt;&gt;"")*(MOVIMIENTOS!$A$5:$A$400&lt;=$A58)*MOVIMIENTOS!$E$5:$E$400)-SUMPRODUCT((MOVIMIENTOS!$B$5:$B$400="ENVÍO A SUPESA")*(MOVIMIENTOS!$C$5:$C$400="C")*(MOVIMIENTOS!$D$5:$D$400="jabas")*(MOVIMIENTOS!$A$5:$A$400&lt;&gt;"")*(MOVIMIENTOS!$A$5:$A$400&lt;=$A58)*MOVIMIENTOS!$E$5:$E$400)+SUMPRODUCT((MOVIMIENTOS!$B$5:$B$400="DEVOLUCIÓN")*(MOVIMIENTOS!$C$5:$C$400="C")*(MOVIMIENTOS!$D$5:$D$400="jabas")*(MOVIMIENTOS!$A$5:$A$400&lt;&gt;"")*(MOVIMIENTOS!$A$5:$A$400&lt;=$A58)*MOVIMIENTOS!$E$5:$E$400)-SUMPRODUCT((MOVIMIENTOS!$B$5:$B$400="TRASIEGO")*(MOVIMIENTOS!$C$5:$C$400="C")*(MOVIMIENTOS!$D$5:$D$400="jabas")*(MOVIMIENTOS!$A$5:$A$400&lt;&gt;"")*(MOVIMIENTOS!$A$5:$A$400&lt;=$A58)*MOVIMIENTOS!$E$5:$E$400)-SUMPRODUCT((MOVIMIENTOS!$B$5:$B$400="REGALO")*(MOVIMIENTOS!$C$5:$C$400="C")*(MOVIMIENTOS!$D$5:$D$400="jabas")*(MOVIMIENTOS!$A$5:$A$400&lt;&gt;"")*(MOVIMIENTOS!$A$5:$A$400&lt;=$A58)*MOVIMIENTOS!$E$5:$E$400)-SUMPRODUCT((MOVIMIENTOS!$B$5:$B$400="VENTA")*(MOVIMIENTOS!$C$5:$C$400="C")*(MOVIMIENTOS!$D$5:$D$400="jabas")*(MOVIMIENTOS!$A$5:$A$400&lt;&gt;"")*(MOVIMIENTOS!$A$5:$A$400&lt;=$A58)*MOVIMIENTOS!$E$5:$E$400)+SUMPRODUCT((MOVIMIENTOS!$B$5:$B$400="AJUSTE")*(MOVIMIENTOS!$C$5:$C$400="C")*(MOVIMIENTOS!$D$5:$D$400="jabas")*(MOVIMIENTOS!$A$5:$A$400&lt;&gt;"")*(MOVIMIENTOS!$A$5:$A$400&lt;=$A58)*MOVIMIENTOS!$E$5:$E$400))</f>
        <v/>
      </c>
      <c r="E58" s="46" t="str">
        <f aca="false">IF($A58="","",SUMPRODUCT((MOVIMIENTOS!$B$5:$B$400="SALDO INICIAL")*(MOVIMIENTOS!$C$5:$C$400="M")*(MOVIMIENTOS!$D$5:$D$400="jabas")*(MOVIMIENTOS!$A$5:$A$400&lt;&gt;"")*(MOVIMIENTOS!$A$5:$A$400&lt;=$A58)*MOVIMIENTOS!$E$5:$E$400)+SUMPRODUCT((MOVIMIENTOS!$B$5:$B$400="PROCESO")*(MOVIMIENTOS!$C$5:$C$400="M")*(MOVIMIENTOS!$D$5:$D$400="jabas")*(MOVIMIENTOS!$A$5:$A$400&lt;&gt;"")*(MOVIMIENTOS!$A$5:$A$400&lt;=$A58)*MOVIMIENTOS!$E$5:$E$400)-SUMPRODUCT((MOVIMIENTOS!$B$5:$B$400="ENVÍO A SUPESA")*(MOVIMIENTOS!$C$5:$C$400="M")*(MOVIMIENTOS!$D$5:$D$400="jabas")*(MOVIMIENTOS!$A$5:$A$400&lt;&gt;"")*(MOVIMIENTOS!$A$5:$A$400&lt;=$A58)*MOVIMIENTOS!$E$5:$E$400)+SUMPRODUCT((MOVIMIENTOS!$B$5:$B$400="DEVOLUCIÓN")*(MOVIMIENTOS!$C$5:$C$400="M")*(MOVIMIENTOS!$D$5:$D$400="jabas")*(MOVIMIENTOS!$A$5:$A$400&lt;&gt;"")*(MOVIMIENTOS!$A$5:$A$400&lt;=$A58)*MOVIMIENTOS!$E$5:$E$400)-SUMPRODUCT((MOVIMIENTOS!$B$5:$B$400="TRASIEGO")*(MOVIMIENTOS!$C$5:$C$400="M")*(MOVIMIENTOS!$D$5:$D$400="jabas")*(MOVIMIENTOS!$A$5:$A$400&lt;&gt;"")*(MOVIMIENTOS!$A$5:$A$400&lt;=$A58)*MOVIMIENTOS!$E$5:$E$400)-SUMPRODUCT((MOVIMIENTOS!$B$5:$B$400="REGALO")*(MOVIMIENTOS!$C$5:$C$400="M")*(MOVIMIENTOS!$D$5:$D$400="jabas")*(MOVIMIENTOS!$A$5:$A$400&lt;&gt;"")*(MOVIMIENTOS!$A$5:$A$400&lt;=$A58)*MOVIMIENTOS!$E$5:$E$400)-SUMPRODUCT((MOVIMIENTOS!$B$5:$B$400="VENTA")*(MOVIMIENTOS!$C$5:$C$400="M")*(MOVIMIENTOS!$D$5:$D$400="jabas")*(MOVIMIENTOS!$A$5:$A$400&lt;&gt;"")*(MOVIMIENTOS!$A$5:$A$400&lt;=$A58)*MOVIMIENTOS!$E$5:$E$400)+SUMPRODUCT((MOVIMIENTOS!$B$5:$B$400="AJUSTE")*(MOVIMIENTOS!$C$5:$C$400="M")*(MOVIMIENTOS!$D$5:$D$400="jabas")*(MOVIMIENTOS!$A$5:$A$400&lt;&gt;"")*(MOVIMIENTOS!$A$5:$A$400&lt;=$A58)*MOVIMIENTOS!$E$5:$E$400))</f>
        <v/>
      </c>
      <c r="F58" s="46" t="str">
        <f aca="false">IF($A58="","",SUMPRODUCT((MOVIMIENTOS!$B$5:$B$400="SALDO INICIAL")*(MOVIMIENTOS!$C$5:$C$400="Chancho")*(MOVIMIENTOS!$D$5:$D$400="sacos")*(MOVIMIENTOS!$A$5:$A$400&lt;&gt;"")*(MOVIMIENTOS!$A$5:$A$400&lt;=$A58)*MOVIMIENTOS!$E$5:$E$400)+SUMPRODUCT((MOVIMIENTOS!$B$5:$B$400="PROCESO")*(MOVIMIENTOS!$C$5:$C$400="Chancho")*(MOVIMIENTOS!$D$5:$D$400="sacos")*(MOVIMIENTOS!$A$5:$A$400&lt;&gt;"")*(MOVIMIENTOS!$A$5:$A$400&lt;=$A58)*MOVIMIENTOS!$E$5:$E$400)-SUMPRODUCT((MOVIMIENTOS!$B$5:$B$400="VENTA CHANCHO")*(MOVIMIENTOS!$C$5:$C$400="Chancho")*(MOVIMIENTOS!$D$5:$D$400="sacos")*(MOVIMIENTOS!$A$5:$A$400&lt;&gt;"")*(MOVIMIENTOS!$A$5:$A$400&lt;=$A58)*MOVIMIENTOS!$E$5:$E$400)-SUMPRODUCT((MOVIMIENTOS!$B$5:$B$400="REGALO")*(MOVIMIENTOS!$C$5:$C$400="Chancho")*(MOVIMIENTOS!$D$5:$D$400="sacos")*(MOVIMIENTOS!$A$5:$A$400&lt;&gt;"")*(MOVIMIENTOS!$A$5:$A$400&lt;=$A58)*MOVIMIENTOS!$E$5:$E$400)-SUMPRODUCT((MOVIMIENTOS!$B$5:$B$400="VENTA")*(MOVIMIENTOS!$C$5:$C$400="Chancho")*(MOVIMIENTOS!$D$5:$D$400="sacos")*(MOVIMIENTOS!$A$5:$A$400&lt;&gt;"")*(MOVIMIENTOS!$A$5:$A$400&lt;=$A58)*MOVIMIENTOS!$E$5:$E$400)+SUMPRODUCT((MOVIMIENTOS!$B$5:$B$400="AJUSTE")*(MOVIMIENTOS!$C$5:$C$400="Chancho")*(MOVIMIENTOS!$D$5:$D$400="sacos")*(MOVIMIENTOS!$A$5:$A$400&lt;&gt;"")*(MOVIMIENTOS!$A$5:$A$400&lt;=$A58)*MOVIMIENTOS!$E$5:$E$400))</f>
        <v/>
      </c>
      <c r="G58" s="46" t="str">
        <f aca="false">IF($A58="","",SUM(B58:E58))</f>
        <v/>
      </c>
      <c r="H58" s="46" t="str">
        <f aca="false">IF($A58="","",SUMPRODUCT((((MOVIMIENTOS!$B$5:$B$400="SALDO INICIAL")*(MOVIMIENTOS!$C$5:$C$400&lt;&gt;"Chancho"))+(MOVIMIENTOS!$B$5:$B$400="COMPRA")+(MOVIMIENTOS!$B$5:$B$400="REPROCESO")+(MOVIMIENTOS!$B$5:$B$400="DEVOLUCIÓN")+((MOVIMIENTOS!$B$5:$B$400="AJUSTE")*(MOVIMIENTOS!$C$5:$C$400&lt;&gt;"Chancho")))*(MOVIMIENTOS!$A$5:$A$400&lt;&gt;"")*(MOVIMIENTOS!$A$5:$A$400&lt;=$A58)*MOVIMIENTOS!$I$5:$I$400)-SUMPRODUCT(((MOVIMIENTOS!$B$5:$B$400="ENVÍO A SUPESA")+(MOVIMIENTOS!$B$5:$B$400="ENVÍO A TOTTUS")+(MOVIMIENTOS!$B$5:$B$400="ENVIO A TOTTUS")+(MOVIMIENTOS!$B$5:$B$400="MALOGRADO")+(MOVIMIENTOS!$B$5:$B$400="OTRA SALIDA")+((MOVIMIENTOS!$B$5:$B$400="PROCESO")*(MOVIMIENTOS!$C$5:$C$400="Chancho"))+((MOVIMIENTOS!$B$5:$B$400="REGALO")*(MOVIMIENTOS!$C$5:$C$400&lt;&gt;"Chancho"))+((MOVIMIENTOS!$B$5:$B$400="VENTA")*(MOVIMIENTOS!$C$5:$C$400&lt;&gt;"Chancho")))*(MOVIMIENTOS!$A$5:$A$400&lt;&gt;"")*(MOVIMIENTOS!$A$5:$A$400&lt;=$A58)*MOVIMIENTOS!$I$5:$I$400))</f>
        <v/>
      </c>
      <c r="I58" s="44"/>
      <c r="J58" s="44" t="str">
        <f aca="false">IF(AND(MOVIMIENTOS!$A58&lt;&gt;"",COUNTIF(MOVIMIENTOS!$A$5:$A57,MOVIMIENTOS!$A58)=0),COUNT(J$4:J57)+1,"")</f>
        <v/>
      </c>
      <c r="K58" s="47" t="n">
        <f aca="false">MOVIMIENTOS!$A58</f>
        <v>46219</v>
      </c>
      <c r="L58" s="44"/>
      <c r="M58" s="44"/>
      <c r="N58" s="44"/>
    </row>
    <row r="59" customFormat="false" ht="15" hidden="false" customHeight="true" outlineLevel="0" collapsed="false">
      <c r="A59" s="45" t="str">
        <f aca="false">IFERROR(INDEX(K$5:K$400,MATCH(ROW()-4,J$5:J$400,0)),"")</f>
        <v/>
      </c>
      <c r="B59" s="46" t="str">
        <f aca="false">IF($A59="","",SUMPRODUCT((MOVIMIENTOS!$B$5:$B$400="SALDO INICIAL")*(MOVIMIENTOS!$C$5:$C$400="A")*(MOVIMIENTOS!$D$5:$D$400="jabas")*(MOVIMIENTOS!$A$5:$A$400&lt;&gt;"")*(MOVIMIENTOS!$A$5:$A$400&lt;=$A59)*MOVIMIENTOS!$E$5:$E$400)+SUMPRODUCT((MOVIMIENTOS!$B$5:$B$400="PROCESO")*(MOVIMIENTOS!$C$5:$C$400="A")*(MOVIMIENTOS!$D$5:$D$400="jabas")*(MOVIMIENTOS!$A$5:$A$400&lt;&gt;"")*(MOVIMIENTOS!$A$5:$A$400&lt;=$A59)*MOVIMIENTOS!$E$5:$E$400)-SUMPRODUCT((MOVIMIENTOS!$B$5:$B$400="ENVÍO A SUPESA")*(MOVIMIENTOS!$C$5:$C$400="A")*(MOVIMIENTOS!$D$5:$D$400="jabas")*(MOVIMIENTOS!$A$5:$A$400&lt;&gt;"")*(MOVIMIENTOS!$A$5:$A$400&lt;=$A59)*MOVIMIENTOS!$E$5:$E$400)+SUMPRODUCT((MOVIMIENTOS!$B$5:$B$400="DEVOLUCIÓN")*(MOVIMIENTOS!$C$5:$C$400="A")*(MOVIMIENTOS!$D$5:$D$400="jabas")*(MOVIMIENTOS!$A$5:$A$400&lt;&gt;"")*(MOVIMIENTOS!$A$5:$A$400&lt;=$A59)*MOVIMIENTOS!$E$5:$E$400)-SUMPRODUCT((MOVIMIENTOS!$B$5:$B$400="TRASIEGO")*(MOVIMIENTOS!$C$5:$C$400="A")*(MOVIMIENTOS!$D$5:$D$400="jabas")*(MOVIMIENTOS!$A$5:$A$400&lt;&gt;"")*(MOVIMIENTOS!$A$5:$A$400&lt;=$A59)*MOVIMIENTOS!$E$5:$E$400)-SUMPRODUCT((MOVIMIENTOS!$B$5:$B$400="REGALO")*(MOVIMIENTOS!$C$5:$C$400="A")*(MOVIMIENTOS!$D$5:$D$400="jabas")*(MOVIMIENTOS!$A$5:$A$400&lt;&gt;"")*(MOVIMIENTOS!$A$5:$A$400&lt;=$A59)*MOVIMIENTOS!$E$5:$E$400)-SUMPRODUCT((MOVIMIENTOS!$B$5:$B$400="VENTA")*(MOVIMIENTOS!$C$5:$C$400="A")*(MOVIMIENTOS!$D$5:$D$400="jabas")*(MOVIMIENTOS!$A$5:$A$400&lt;&gt;"")*(MOVIMIENTOS!$A$5:$A$400&lt;=$A59)*MOVIMIENTOS!$E$5:$E$400)+SUMPRODUCT((MOVIMIENTOS!$B$5:$B$400="AJUSTE")*(MOVIMIENTOS!$C$5:$C$400="A")*(MOVIMIENTOS!$D$5:$D$400="jabas")*(MOVIMIENTOS!$A$5:$A$400&lt;&gt;"")*(MOVIMIENTOS!$A$5:$A$400&lt;=$A59)*MOVIMIENTOS!$E$5:$E$400))</f>
        <v/>
      </c>
      <c r="C59" s="46" t="str">
        <f aca="false">IF($A59="","",SUMPRODUCT((MOVIMIENTOS!$B$5:$B$400="SALDO INICIAL")*(MOVIMIENTOS!$C$5:$C$400="P")*(MOVIMIENTOS!$D$5:$D$400="jabas")*(MOVIMIENTOS!$A$5:$A$400&lt;&gt;"")*(MOVIMIENTOS!$A$5:$A$400&lt;=$A59)*MOVIMIENTOS!$E$5:$E$400)+SUMPRODUCT((MOVIMIENTOS!$B$5:$B$400="PROCESO")*(MOVIMIENTOS!$C$5:$C$400="P")*(MOVIMIENTOS!$D$5:$D$400="jabas")*(MOVIMIENTOS!$A$5:$A$400&lt;&gt;"")*(MOVIMIENTOS!$A$5:$A$400&lt;=$A59)*MOVIMIENTOS!$E$5:$E$400)-SUMPRODUCT((MOVIMIENTOS!$B$5:$B$400="ENVÍO A SUPESA")*(MOVIMIENTOS!$C$5:$C$400="P")*(MOVIMIENTOS!$D$5:$D$400="jabas")*(MOVIMIENTOS!$A$5:$A$400&lt;&gt;"")*(MOVIMIENTOS!$A$5:$A$400&lt;=$A59)*MOVIMIENTOS!$E$5:$E$400)+SUMPRODUCT((MOVIMIENTOS!$B$5:$B$400="DEVOLUCIÓN")*(MOVIMIENTOS!$C$5:$C$400="P")*(MOVIMIENTOS!$D$5:$D$400="jabas")*(MOVIMIENTOS!$A$5:$A$400&lt;&gt;"")*(MOVIMIENTOS!$A$5:$A$400&lt;=$A59)*MOVIMIENTOS!$E$5:$E$400)-SUMPRODUCT((MOVIMIENTOS!$B$5:$B$400="TRASIEGO")*(MOVIMIENTOS!$C$5:$C$400="P")*(MOVIMIENTOS!$D$5:$D$400="jabas")*(MOVIMIENTOS!$A$5:$A$400&lt;&gt;"")*(MOVIMIENTOS!$A$5:$A$400&lt;=$A59)*MOVIMIENTOS!$E$5:$E$400)-SUMPRODUCT((MOVIMIENTOS!$B$5:$B$400="REGALO")*(MOVIMIENTOS!$C$5:$C$400="P")*(MOVIMIENTOS!$D$5:$D$400="jabas")*(MOVIMIENTOS!$A$5:$A$400&lt;&gt;"")*(MOVIMIENTOS!$A$5:$A$400&lt;=$A59)*MOVIMIENTOS!$E$5:$E$400)-SUMPRODUCT((MOVIMIENTOS!$B$5:$B$400="VENTA")*(MOVIMIENTOS!$C$5:$C$400="P")*(MOVIMIENTOS!$D$5:$D$400="jabas")*(MOVIMIENTOS!$A$5:$A$400&lt;&gt;"")*(MOVIMIENTOS!$A$5:$A$400&lt;=$A59)*MOVIMIENTOS!$E$5:$E$400)+SUMPRODUCT((MOVIMIENTOS!$B$5:$B$400="AJUSTE")*(MOVIMIENTOS!$C$5:$C$400="P")*(MOVIMIENTOS!$D$5:$D$400="jabas")*(MOVIMIENTOS!$A$5:$A$400&lt;&gt;"")*(MOVIMIENTOS!$A$5:$A$400&lt;=$A59)*MOVIMIENTOS!$E$5:$E$400))</f>
        <v/>
      </c>
      <c r="D59" s="46" t="str">
        <f aca="false">IF($A59="","",SUMPRODUCT((MOVIMIENTOS!$B$5:$B$400="SALDO INICIAL")*(MOVIMIENTOS!$C$5:$C$400="C")*(MOVIMIENTOS!$D$5:$D$400="jabas")*(MOVIMIENTOS!$A$5:$A$400&lt;&gt;"")*(MOVIMIENTOS!$A$5:$A$400&lt;=$A59)*MOVIMIENTOS!$E$5:$E$400)+SUMPRODUCT((MOVIMIENTOS!$B$5:$B$400="PROCESO")*(MOVIMIENTOS!$C$5:$C$400="C")*(MOVIMIENTOS!$D$5:$D$400="jabas")*(MOVIMIENTOS!$A$5:$A$400&lt;&gt;"")*(MOVIMIENTOS!$A$5:$A$400&lt;=$A59)*MOVIMIENTOS!$E$5:$E$400)-SUMPRODUCT((MOVIMIENTOS!$B$5:$B$400="ENVÍO A SUPESA")*(MOVIMIENTOS!$C$5:$C$400="C")*(MOVIMIENTOS!$D$5:$D$400="jabas")*(MOVIMIENTOS!$A$5:$A$400&lt;&gt;"")*(MOVIMIENTOS!$A$5:$A$400&lt;=$A59)*MOVIMIENTOS!$E$5:$E$400)+SUMPRODUCT((MOVIMIENTOS!$B$5:$B$400="DEVOLUCIÓN")*(MOVIMIENTOS!$C$5:$C$400="C")*(MOVIMIENTOS!$D$5:$D$400="jabas")*(MOVIMIENTOS!$A$5:$A$400&lt;&gt;"")*(MOVIMIENTOS!$A$5:$A$400&lt;=$A59)*MOVIMIENTOS!$E$5:$E$400)-SUMPRODUCT((MOVIMIENTOS!$B$5:$B$400="TRASIEGO")*(MOVIMIENTOS!$C$5:$C$400="C")*(MOVIMIENTOS!$D$5:$D$400="jabas")*(MOVIMIENTOS!$A$5:$A$400&lt;&gt;"")*(MOVIMIENTOS!$A$5:$A$400&lt;=$A59)*MOVIMIENTOS!$E$5:$E$400)-SUMPRODUCT((MOVIMIENTOS!$B$5:$B$400="REGALO")*(MOVIMIENTOS!$C$5:$C$400="C")*(MOVIMIENTOS!$D$5:$D$400="jabas")*(MOVIMIENTOS!$A$5:$A$400&lt;&gt;"")*(MOVIMIENTOS!$A$5:$A$400&lt;=$A59)*MOVIMIENTOS!$E$5:$E$400)-SUMPRODUCT((MOVIMIENTOS!$B$5:$B$400="VENTA")*(MOVIMIENTOS!$C$5:$C$400="C")*(MOVIMIENTOS!$D$5:$D$400="jabas")*(MOVIMIENTOS!$A$5:$A$400&lt;&gt;"")*(MOVIMIENTOS!$A$5:$A$400&lt;=$A59)*MOVIMIENTOS!$E$5:$E$400)+SUMPRODUCT((MOVIMIENTOS!$B$5:$B$400="AJUSTE")*(MOVIMIENTOS!$C$5:$C$400="C")*(MOVIMIENTOS!$D$5:$D$400="jabas")*(MOVIMIENTOS!$A$5:$A$400&lt;&gt;"")*(MOVIMIENTOS!$A$5:$A$400&lt;=$A59)*MOVIMIENTOS!$E$5:$E$400))</f>
        <v/>
      </c>
      <c r="E59" s="46" t="str">
        <f aca="false">IF($A59="","",SUMPRODUCT((MOVIMIENTOS!$B$5:$B$400="SALDO INICIAL")*(MOVIMIENTOS!$C$5:$C$400="M")*(MOVIMIENTOS!$D$5:$D$400="jabas")*(MOVIMIENTOS!$A$5:$A$400&lt;&gt;"")*(MOVIMIENTOS!$A$5:$A$400&lt;=$A59)*MOVIMIENTOS!$E$5:$E$400)+SUMPRODUCT((MOVIMIENTOS!$B$5:$B$400="PROCESO")*(MOVIMIENTOS!$C$5:$C$400="M")*(MOVIMIENTOS!$D$5:$D$400="jabas")*(MOVIMIENTOS!$A$5:$A$400&lt;&gt;"")*(MOVIMIENTOS!$A$5:$A$400&lt;=$A59)*MOVIMIENTOS!$E$5:$E$400)-SUMPRODUCT((MOVIMIENTOS!$B$5:$B$400="ENVÍO A SUPESA")*(MOVIMIENTOS!$C$5:$C$400="M")*(MOVIMIENTOS!$D$5:$D$400="jabas")*(MOVIMIENTOS!$A$5:$A$400&lt;&gt;"")*(MOVIMIENTOS!$A$5:$A$400&lt;=$A59)*MOVIMIENTOS!$E$5:$E$400)+SUMPRODUCT((MOVIMIENTOS!$B$5:$B$400="DEVOLUCIÓN")*(MOVIMIENTOS!$C$5:$C$400="M")*(MOVIMIENTOS!$D$5:$D$400="jabas")*(MOVIMIENTOS!$A$5:$A$400&lt;&gt;"")*(MOVIMIENTOS!$A$5:$A$400&lt;=$A59)*MOVIMIENTOS!$E$5:$E$400)-SUMPRODUCT((MOVIMIENTOS!$B$5:$B$400="TRASIEGO")*(MOVIMIENTOS!$C$5:$C$400="M")*(MOVIMIENTOS!$D$5:$D$400="jabas")*(MOVIMIENTOS!$A$5:$A$400&lt;&gt;"")*(MOVIMIENTOS!$A$5:$A$400&lt;=$A59)*MOVIMIENTOS!$E$5:$E$400)-SUMPRODUCT((MOVIMIENTOS!$B$5:$B$400="REGALO")*(MOVIMIENTOS!$C$5:$C$400="M")*(MOVIMIENTOS!$D$5:$D$400="jabas")*(MOVIMIENTOS!$A$5:$A$400&lt;&gt;"")*(MOVIMIENTOS!$A$5:$A$400&lt;=$A59)*MOVIMIENTOS!$E$5:$E$400)-SUMPRODUCT((MOVIMIENTOS!$B$5:$B$400="VENTA")*(MOVIMIENTOS!$C$5:$C$400="M")*(MOVIMIENTOS!$D$5:$D$400="jabas")*(MOVIMIENTOS!$A$5:$A$400&lt;&gt;"")*(MOVIMIENTOS!$A$5:$A$400&lt;=$A59)*MOVIMIENTOS!$E$5:$E$400)+SUMPRODUCT((MOVIMIENTOS!$B$5:$B$400="AJUSTE")*(MOVIMIENTOS!$C$5:$C$400="M")*(MOVIMIENTOS!$D$5:$D$400="jabas")*(MOVIMIENTOS!$A$5:$A$400&lt;&gt;"")*(MOVIMIENTOS!$A$5:$A$400&lt;=$A59)*MOVIMIENTOS!$E$5:$E$400))</f>
        <v/>
      </c>
      <c r="F59" s="46" t="str">
        <f aca="false">IF($A59="","",SUMPRODUCT((MOVIMIENTOS!$B$5:$B$400="SALDO INICIAL")*(MOVIMIENTOS!$C$5:$C$400="Chancho")*(MOVIMIENTOS!$D$5:$D$400="sacos")*(MOVIMIENTOS!$A$5:$A$400&lt;&gt;"")*(MOVIMIENTOS!$A$5:$A$400&lt;=$A59)*MOVIMIENTOS!$E$5:$E$400)+SUMPRODUCT((MOVIMIENTOS!$B$5:$B$400="PROCESO")*(MOVIMIENTOS!$C$5:$C$400="Chancho")*(MOVIMIENTOS!$D$5:$D$400="sacos")*(MOVIMIENTOS!$A$5:$A$400&lt;&gt;"")*(MOVIMIENTOS!$A$5:$A$400&lt;=$A59)*MOVIMIENTOS!$E$5:$E$400)-SUMPRODUCT((MOVIMIENTOS!$B$5:$B$400="VENTA CHANCHO")*(MOVIMIENTOS!$C$5:$C$400="Chancho")*(MOVIMIENTOS!$D$5:$D$400="sacos")*(MOVIMIENTOS!$A$5:$A$400&lt;&gt;"")*(MOVIMIENTOS!$A$5:$A$400&lt;=$A59)*MOVIMIENTOS!$E$5:$E$400)-SUMPRODUCT((MOVIMIENTOS!$B$5:$B$400="REGALO")*(MOVIMIENTOS!$C$5:$C$400="Chancho")*(MOVIMIENTOS!$D$5:$D$400="sacos")*(MOVIMIENTOS!$A$5:$A$400&lt;&gt;"")*(MOVIMIENTOS!$A$5:$A$400&lt;=$A59)*MOVIMIENTOS!$E$5:$E$400)-SUMPRODUCT((MOVIMIENTOS!$B$5:$B$400="VENTA")*(MOVIMIENTOS!$C$5:$C$400="Chancho")*(MOVIMIENTOS!$D$5:$D$400="sacos")*(MOVIMIENTOS!$A$5:$A$400&lt;&gt;"")*(MOVIMIENTOS!$A$5:$A$400&lt;=$A59)*MOVIMIENTOS!$E$5:$E$400)+SUMPRODUCT((MOVIMIENTOS!$B$5:$B$400="AJUSTE")*(MOVIMIENTOS!$C$5:$C$400="Chancho")*(MOVIMIENTOS!$D$5:$D$400="sacos")*(MOVIMIENTOS!$A$5:$A$400&lt;&gt;"")*(MOVIMIENTOS!$A$5:$A$400&lt;=$A59)*MOVIMIENTOS!$E$5:$E$400))</f>
        <v/>
      </c>
      <c r="G59" s="46" t="str">
        <f aca="false">IF($A59="","",SUM(B59:E59))</f>
        <v/>
      </c>
      <c r="H59" s="46" t="str">
        <f aca="false">IF($A59="","",SUMPRODUCT((((MOVIMIENTOS!$B$5:$B$400="SALDO INICIAL")*(MOVIMIENTOS!$C$5:$C$400&lt;&gt;"Chancho"))+(MOVIMIENTOS!$B$5:$B$400="COMPRA")+(MOVIMIENTOS!$B$5:$B$400="REPROCESO")+(MOVIMIENTOS!$B$5:$B$400="DEVOLUCIÓN")+((MOVIMIENTOS!$B$5:$B$400="AJUSTE")*(MOVIMIENTOS!$C$5:$C$400&lt;&gt;"Chancho")))*(MOVIMIENTOS!$A$5:$A$400&lt;&gt;"")*(MOVIMIENTOS!$A$5:$A$400&lt;=$A59)*MOVIMIENTOS!$I$5:$I$400)-SUMPRODUCT(((MOVIMIENTOS!$B$5:$B$400="ENVÍO A SUPESA")+(MOVIMIENTOS!$B$5:$B$400="ENVÍO A TOTTUS")+(MOVIMIENTOS!$B$5:$B$400="ENVIO A TOTTUS")+(MOVIMIENTOS!$B$5:$B$400="MALOGRADO")+(MOVIMIENTOS!$B$5:$B$400="OTRA SALIDA")+((MOVIMIENTOS!$B$5:$B$400="PROCESO")*(MOVIMIENTOS!$C$5:$C$400="Chancho"))+((MOVIMIENTOS!$B$5:$B$400="REGALO")*(MOVIMIENTOS!$C$5:$C$400&lt;&gt;"Chancho"))+((MOVIMIENTOS!$B$5:$B$400="VENTA")*(MOVIMIENTOS!$C$5:$C$400&lt;&gt;"Chancho")))*(MOVIMIENTOS!$A$5:$A$400&lt;&gt;"")*(MOVIMIENTOS!$A$5:$A$400&lt;=$A59)*MOVIMIENTOS!$I$5:$I$400))</f>
        <v/>
      </c>
      <c r="I59" s="44"/>
      <c r="J59" s="44" t="str">
        <f aca="false">IF(AND(MOVIMIENTOS!$A59&lt;&gt;"",COUNTIF(MOVIMIENTOS!$A$5:$A58,MOVIMIENTOS!$A59)=0),COUNT(J$4:J58)+1,"")</f>
        <v/>
      </c>
      <c r="K59" s="47" t="n">
        <f aca="false">MOVIMIENTOS!$A59</f>
        <v>46219</v>
      </c>
      <c r="L59" s="44"/>
      <c r="M59" s="44"/>
      <c r="N59" s="44"/>
    </row>
    <row r="60" customFormat="false" ht="15" hidden="false" customHeight="true" outlineLevel="0" collapsed="false">
      <c r="A60" s="45" t="str">
        <f aca="false">IFERROR(INDEX(K$5:K$400,MATCH(ROW()-4,J$5:J$400,0)),"")</f>
        <v/>
      </c>
      <c r="B60" s="46" t="str">
        <f aca="false">IF($A60="","",SUMPRODUCT((MOVIMIENTOS!$B$5:$B$400="SALDO INICIAL")*(MOVIMIENTOS!$C$5:$C$400="A")*(MOVIMIENTOS!$D$5:$D$400="jabas")*(MOVIMIENTOS!$A$5:$A$400&lt;&gt;"")*(MOVIMIENTOS!$A$5:$A$400&lt;=$A60)*MOVIMIENTOS!$E$5:$E$400)+SUMPRODUCT((MOVIMIENTOS!$B$5:$B$400="PROCESO")*(MOVIMIENTOS!$C$5:$C$400="A")*(MOVIMIENTOS!$D$5:$D$400="jabas")*(MOVIMIENTOS!$A$5:$A$400&lt;&gt;"")*(MOVIMIENTOS!$A$5:$A$400&lt;=$A60)*MOVIMIENTOS!$E$5:$E$400)-SUMPRODUCT((MOVIMIENTOS!$B$5:$B$400="ENVÍO A SUPESA")*(MOVIMIENTOS!$C$5:$C$400="A")*(MOVIMIENTOS!$D$5:$D$400="jabas")*(MOVIMIENTOS!$A$5:$A$400&lt;&gt;"")*(MOVIMIENTOS!$A$5:$A$400&lt;=$A60)*MOVIMIENTOS!$E$5:$E$400)+SUMPRODUCT((MOVIMIENTOS!$B$5:$B$400="DEVOLUCIÓN")*(MOVIMIENTOS!$C$5:$C$400="A")*(MOVIMIENTOS!$D$5:$D$400="jabas")*(MOVIMIENTOS!$A$5:$A$400&lt;&gt;"")*(MOVIMIENTOS!$A$5:$A$400&lt;=$A60)*MOVIMIENTOS!$E$5:$E$400)-SUMPRODUCT((MOVIMIENTOS!$B$5:$B$400="TRASIEGO")*(MOVIMIENTOS!$C$5:$C$400="A")*(MOVIMIENTOS!$D$5:$D$400="jabas")*(MOVIMIENTOS!$A$5:$A$400&lt;&gt;"")*(MOVIMIENTOS!$A$5:$A$400&lt;=$A60)*MOVIMIENTOS!$E$5:$E$400)-SUMPRODUCT((MOVIMIENTOS!$B$5:$B$400="REGALO")*(MOVIMIENTOS!$C$5:$C$400="A")*(MOVIMIENTOS!$D$5:$D$400="jabas")*(MOVIMIENTOS!$A$5:$A$400&lt;&gt;"")*(MOVIMIENTOS!$A$5:$A$400&lt;=$A60)*MOVIMIENTOS!$E$5:$E$400)-SUMPRODUCT((MOVIMIENTOS!$B$5:$B$400="VENTA")*(MOVIMIENTOS!$C$5:$C$400="A")*(MOVIMIENTOS!$D$5:$D$400="jabas")*(MOVIMIENTOS!$A$5:$A$400&lt;&gt;"")*(MOVIMIENTOS!$A$5:$A$400&lt;=$A60)*MOVIMIENTOS!$E$5:$E$400)+SUMPRODUCT((MOVIMIENTOS!$B$5:$B$400="AJUSTE")*(MOVIMIENTOS!$C$5:$C$400="A")*(MOVIMIENTOS!$D$5:$D$400="jabas")*(MOVIMIENTOS!$A$5:$A$400&lt;&gt;"")*(MOVIMIENTOS!$A$5:$A$400&lt;=$A60)*MOVIMIENTOS!$E$5:$E$400))</f>
        <v/>
      </c>
      <c r="C60" s="46" t="str">
        <f aca="false">IF($A60="","",SUMPRODUCT((MOVIMIENTOS!$B$5:$B$400="SALDO INICIAL")*(MOVIMIENTOS!$C$5:$C$400="P")*(MOVIMIENTOS!$D$5:$D$400="jabas")*(MOVIMIENTOS!$A$5:$A$400&lt;&gt;"")*(MOVIMIENTOS!$A$5:$A$400&lt;=$A60)*MOVIMIENTOS!$E$5:$E$400)+SUMPRODUCT((MOVIMIENTOS!$B$5:$B$400="PROCESO")*(MOVIMIENTOS!$C$5:$C$400="P")*(MOVIMIENTOS!$D$5:$D$400="jabas")*(MOVIMIENTOS!$A$5:$A$400&lt;&gt;"")*(MOVIMIENTOS!$A$5:$A$400&lt;=$A60)*MOVIMIENTOS!$E$5:$E$400)-SUMPRODUCT((MOVIMIENTOS!$B$5:$B$400="ENVÍO A SUPESA")*(MOVIMIENTOS!$C$5:$C$400="P")*(MOVIMIENTOS!$D$5:$D$400="jabas")*(MOVIMIENTOS!$A$5:$A$400&lt;&gt;"")*(MOVIMIENTOS!$A$5:$A$400&lt;=$A60)*MOVIMIENTOS!$E$5:$E$400)+SUMPRODUCT((MOVIMIENTOS!$B$5:$B$400="DEVOLUCIÓN")*(MOVIMIENTOS!$C$5:$C$400="P")*(MOVIMIENTOS!$D$5:$D$400="jabas")*(MOVIMIENTOS!$A$5:$A$400&lt;&gt;"")*(MOVIMIENTOS!$A$5:$A$400&lt;=$A60)*MOVIMIENTOS!$E$5:$E$400)-SUMPRODUCT((MOVIMIENTOS!$B$5:$B$400="TRASIEGO")*(MOVIMIENTOS!$C$5:$C$400="P")*(MOVIMIENTOS!$D$5:$D$400="jabas")*(MOVIMIENTOS!$A$5:$A$400&lt;&gt;"")*(MOVIMIENTOS!$A$5:$A$400&lt;=$A60)*MOVIMIENTOS!$E$5:$E$400)-SUMPRODUCT((MOVIMIENTOS!$B$5:$B$400="REGALO")*(MOVIMIENTOS!$C$5:$C$400="P")*(MOVIMIENTOS!$D$5:$D$400="jabas")*(MOVIMIENTOS!$A$5:$A$400&lt;&gt;"")*(MOVIMIENTOS!$A$5:$A$400&lt;=$A60)*MOVIMIENTOS!$E$5:$E$400)-SUMPRODUCT((MOVIMIENTOS!$B$5:$B$400="VENTA")*(MOVIMIENTOS!$C$5:$C$400="P")*(MOVIMIENTOS!$D$5:$D$400="jabas")*(MOVIMIENTOS!$A$5:$A$400&lt;&gt;"")*(MOVIMIENTOS!$A$5:$A$400&lt;=$A60)*MOVIMIENTOS!$E$5:$E$400)+SUMPRODUCT((MOVIMIENTOS!$B$5:$B$400="AJUSTE")*(MOVIMIENTOS!$C$5:$C$400="P")*(MOVIMIENTOS!$D$5:$D$400="jabas")*(MOVIMIENTOS!$A$5:$A$400&lt;&gt;"")*(MOVIMIENTOS!$A$5:$A$400&lt;=$A60)*MOVIMIENTOS!$E$5:$E$400))</f>
        <v/>
      </c>
      <c r="D60" s="46" t="str">
        <f aca="false">IF($A60="","",SUMPRODUCT((MOVIMIENTOS!$B$5:$B$400="SALDO INICIAL")*(MOVIMIENTOS!$C$5:$C$400="C")*(MOVIMIENTOS!$D$5:$D$400="jabas")*(MOVIMIENTOS!$A$5:$A$400&lt;&gt;"")*(MOVIMIENTOS!$A$5:$A$400&lt;=$A60)*MOVIMIENTOS!$E$5:$E$400)+SUMPRODUCT((MOVIMIENTOS!$B$5:$B$400="PROCESO")*(MOVIMIENTOS!$C$5:$C$400="C")*(MOVIMIENTOS!$D$5:$D$400="jabas")*(MOVIMIENTOS!$A$5:$A$400&lt;&gt;"")*(MOVIMIENTOS!$A$5:$A$400&lt;=$A60)*MOVIMIENTOS!$E$5:$E$400)-SUMPRODUCT((MOVIMIENTOS!$B$5:$B$400="ENVÍO A SUPESA")*(MOVIMIENTOS!$C$5:$C$400="C")*(MOVIMIENTOS!$D$5:$D$400="jabas")*(MOVIMIENTOS!$A$5:$A$400&lt;&gt;"")*(MOVIMIENTOS!$A$5:$A$400&lt;=$A60)*MOVIMIENTOS!$E$5:$E$400)+SUMPRODUCT((MOVIMIENTOS!$B$5:$B$400="DEVOLUCIÓN")*(MOVIMIENTOS!$C$5:$C$400="C")*(MOVIMIENTOS!$D$5:$D$400="jabas")*(MOVIMIENTOS!$A$5:$A$400&lt;&gt;"")*(MOVIMIENTOS!$A$5:$A$400&lt;=$A60)*MOVIMIENTOS!$E$5:$E$400)-SUMPRODUCT((MOVIMIENTOS!$B$5:$B$400="TRASIEGO")*(MOVIMIENTOS!$C$5:$C$400="C")*(MOVIMIENTOS!$D$5:$D$400="jabas")*(MOVIMIENTOS!$A$5:$A$400&lt;&gt;"")*(MOVIMIENTOS!$A$5:$A$400&lt;=$A60)*MOVIMIENTOS!$E$5:$E$400)-SUMPRODUCT((MOVIMIENTOS!$B$5:$B$400="REGALO")*(MOVIMIENTOS!$C$5:$C$400="C")*(MOVIMIENTOS!$D$5:$D$400="jabas")*(MOVIMIENTOS!$A$5:$A$400&lt;&gt;"")*(MOVIMIENTOS!$A$5:$A$400&lt;=$A60)*MOVIMIENTOS!$E$5:$E$400)-SUMPRODUCT((MOVIMIENTOS!$B$5:$B$400="VENTA")*(MOVIMIENTOS!$C$5:$C$400="C")*(MOVIMIENTOS!$D$5:$D$400="jabas")*(MOVIMIENTOS!$A$5:$A$400&lt;&gt;"")*(MOVIMIENTOS!$A$5:$A$400&lt;=$A60)*MOVIMIENTOS!$E$5:$E$400)+SUMPRODUCT((MOVIMIENTOS!$B$5:$B$400="AJUSTE")*(MOVIMIENTOS!$C$5:$C$400="C")*(MOVIMIENTOS!$D$5:$D$400="jabas")*(MOVIMIENTOS!$A$5:$A$400&lt;&gt;"")*(MOVIMIENTOS!$A$5:$A$400&lt;=$A60)*MOVIMIENTOS!$E$5:$E$400))</f>
        <v/>
      </c>
      <c r="E60" s="46" t="str">
        <f aca="false">IF($A60="","",SUMPRODUCT((MOVIMIENTOS!$B$5:$B$400="SALDO INICIAL")*(MOVIMIENTOS!$C$5:$C$400="M")*(MOVIMIENTOS!$D$5:$D$400="jabas")*(MOVIMIENTOS!$A$5:$A$400&lt;&gt;"")*(MOVIMIENTOS!$A$5:$A$400&lt;=$A60)*MOVIMIENTOS!$E$5:$E$400)+SUMPRODUCT((MOVIMIENTOS!$B$5:$B$400="PROCESO")*(MOVIMIENTOS!$C$5:$C$400="M")*(MOVIMIENTOS!$D$5:$D$400="jabas")*(MOVIMIENTOS!$A$5:$A$400&lt;&gt;"")*(MOVIMIENTOS!$A$5:$A$400&lt;=$A60)*MOVIMIENTOS!$E$5:$E$400)-SUMPRODUCT((MOVIMIENTOS!$B$5:$B$400="ENVÍO A SUPESA")*(MOVIMIENTOS!$C$5:$C$400="M")*(MOVIMIENTOS!$D$5:$D$400="jabas")*(MOVIMIENTOS!$A$5:$A$400&lt;&gt;"")*(MOVIMIENTOS!$A$5:$A$400&lt;=$A60)*MOVIMIENTOS!$E$5:$E$400)+SUMPRODUCT((MOVIMIENTOS!$B$5:$B$400="DEVOLUCIÓN")*(MOVIMIENTOS!$C$5:$C$400="M")*(MOVIMIENTOS!$D$5:$D$400="jabas")*(MOVIMIENTOS!$A$5:$A$400&lt;&gt;"")*(MOVIMIENTOS!$A$5:$A$400&lt;=$A60)*MOVIMIENTOS!$E$5:$E$400)-SUMPRODUCT((MOVIMIENTOS!$B$5:$B$400="TRASIEGO")*(MOVIMIENTOS!$C$5:$C$400="M")*(MOVIMIENTOS!$D$5:$D$400="jabas")*(MOVIMIENTOS!$A$5:$A$400&lt;&gt;"")*(MOVIMIENTOS!$A$5:$A$400&lt;=$A60)*MOVIMIENTOS!$E$5:$E$400)-SUMPRODUCT((MOVIMIENTOS!$B$5:$B$400="REGALO")*(MOVIMIENTOS!$C$5:$C$400="M")*(MOVIMIENTOS!$D$5:$D$400="jabas")*(MOVIMIENTOS!$A$5:$A$400&lt;&gt;"")*(MOVIMIENTOS!$A$5:$A$400&lt;=$A60)*MOVIMIENTOS!$E$5:$E$400)-SUMPRODUCT((MOVIMIENTOS!$B$5:$B$400="VENTA")*(MOVIMIENTOS!$C$5:$C$400="M")*(MOVIMIENTOS!$D$5:$D$400="jabas")*(MOVIMIENTOS!$A$5:$A$400&lt;&gt;"")*(MOVIMIENTOS!$A$5:$A$400&lt;=$A60)*MOVIMIENTOS!$E$5:$E$400)+SUMPRODUCT((MOVIMIENTOS!$B$5:$B$400="AJUSTE")*(MOVIMIENTOS!$C$5:$C$400="M")*(MOVIMIENTOS!$D$5:$D$400="jabas")*(MOVIMIENTOS!$A$5:$A$400&lt;&gt;"")*(MOVIMIENTOS!$A$5:$A$400&lt;=$A60)*MOVIMIENTOS!$E$5:$E$400))</f>
        <v/>
      </c>
      <c r="F60" s="46" t="str">
        <f aca="false">IF($A60="","",SUMPRODUCT((MOVIMIENTOS!$B$5:$B$400="SALDO INICIAL")*(MOVIMIENTOS!$C$5:$C$400="Chancho")*(MOVIMIENTOS!$D$5:$D$400="sacos")*(MOVIMIENTOS!$A$5:$A$400&lt;&gt;"")*(MOVIMIENTOS!$A$5:$A$400&lt;=$A60)*MOVIMIENTOS!$E$5:$E$400)+SUMPRODUCT((MOVIMIENTOS!$B$5:$B$400="PROCESO")*(MOVIMIENTOS!$C$5:$C$400="Chancho")*(MOVIMIENTOS!$D$5:$D$400="sacos")*(MOVIMIENTOS!$A$5:$A$400&lt;&gt;"")*(MOVIMIENTOS!$A$5:$A$400&lt;=$A60)*MOVIMIENTOS!$E$5:$E$400)-SUMPRODUCT((MOVIMIENTOS!$B$5:$B$400="VENTA CHANCHO")*(MOVIMIENTOS!$C$5:$C$400="Chancho")*(MOVIMIENTOS!$D$5:$D$400="sacos")*(MOVIMIENTOS!$A$5:$A$400&lt;&gt;"")*(MOVIMIENTOS!$A$5:$A$400&lt;=$A60)*MOVIMIENTOS!$E$5:$E$400)-SUMPRODUCT((MOVIMIENTOS!$B$5:$B$400="REGALO")*(MOVIMIENTOS!$C$5:$C$400="Chancho")*(MOVIMIENTOS!$D$5:$D$400="sacos")*(MOVIMIENTOS!$A$5:$A$400&lt;&gt;"")*(MOVIMIENTOS!$A$5:$A$400&lt;=$A60)*MOVIMIENTOS!$E$5:$E$400)-SUMPRODUCT((MOVIMIENTOS!$B$5:$B$400="VENTA")*(MOVIMIENTOS!$C$5:$C$400="Chancho")*(MOVIMIENTOS!$D$5:$D$400="sacos")*(MOVIMIENTOS!$A$5:$A$400&lt;&gt;"")*(MOVIMIENTOS!$A$5:$A$400&lt;=$A60)*MOVIMIENTOS!$E$5:$E$400)+SUMPRODUCT((MOVIMIENTOS!$B$5:$B$400="AJUSTE")*(MOVIMIENTOS!$C$5:$C$400="Chancho")*(MOVIMIENTOS!$D$5:$D$400="sacos")*(MOVIMIENTOS!$A$5:$A$400&lt;&gt;"")*(MOVIMIENTOS!$A$5:$A$400&lt;=$A60)*MOVIMIENTOS!$E$5:$E$400))</f>
        <v/>
      </c>
      <c r="G60" s="46" t="str">
        <f aca="false">IF($A60="","",SUM(B60:E60))</f>
        <v/>
      </c>
      <c r="H60" s="46" t="str">
        <f aca="false">IF($A60="","",SUMPRODUCT((((MOVIMIENTOS!$B$5:$B$400="SALDO INICIAL")*(MOVIMIENTOS!$C$5:$C$400&lt;&gt;"Chancho"))+(MOVIMIENTOS!$B$5:$B$400="COMPRA")+(MOVIMIENTOS!$B$5:$B$400="REPROCESO")+(MOVIMIENTOS!$B$5:$B$400="DEVOLUCIÓN")+((MOVIMIENTOS!$B$5:$B$400="AJUSTE")*(MOVIMIENTOS!$C$5:$C$400&lt;&gt;"Chancho")))*(MOVIMIENTOS!$A$5:$A$400&lt;&gt;"")*(MOVIMIENTOS!$A$5:$A$400&lt;=$A60)*MOVIMIENTOS!$I$5:$I$400)-SUMPRODUCT(((MOVIMIENTOS!$B$5:$B$400="ENVÍO A SUPESA")+(MOVIMIENTOS!$B$5:$B$400="ENVÍO A TOTTUS")+(MOVIMIENTOS!$B$5:$B$400="ENVIO A TOTTUS")+(MOVIMIENTOS!$B$5:$B$400="MALOGRADO")+(MOVIMIENTOS!$B$5:$B$400="OTRA SALIDA")+((MOVIMIENTOS!$B$5:$B$400="PROCESO")*(MOVIMIENTOS!$C$5:$C$400="Chancho"))+((MOVIMIENTOS!$B$5:$B$400="REGALO")*(MOVIMIENTOS!$C$5:$C$400&lt;&gt;"Chancho"))+((MOVIMIENTOS!$B$5:$B$400="VENTA")*(MOVIMIENTOS!$C$5:$C$400&lt;&gt;"Chancho")))*(MOVIMIENTOS!$A$5:$A$400&lt;&gt;"")*(MOVIMIENTOS!$A$5:$A$400&lt;=$A60)*MOVIMIENTOS!$I$5:$I$400))</f>
        <v/>
      </c>
      <c r="I60" s="44"/>
      <c r="J60" s="44" t="n">
        <f aca="false">IF(AND(MOVIMIENTOS!$A60&lt;&gt;"",COUNTIF(MOVIMIENTOS!$A$5:$A59,MOVIMIENTOS!$A60)=0),COUNT(J$4:J59)+1,"")</f>
        <v>7</v>
      </c>
      <c r="K60" s="47" t="n">
        <f aca="false">MOVIMIENTOS!$A60</f>
        <v>46220</v>
      </c>
      <c r="L60" s="44"/>
      <c r="M60" s="44"/>
      <c r="N60" s="44"/>
    </row>
    <row r="61" customFormat="false" ht="15" hidden="false" customHeight="true" outlineLevel="0" collapsed="false">
      <c r="A61" s="45" t="str">
        <f aca="false">IFERROR(INDEX(K$5:K$400,MATCH(ROW()-4,J$5:J$400,0)),"")</f>
        <v/>
      </c>
      <c r="B61" s="46" t="str">
        <f aca="false">IF($A61="","",SUMPRODUCT((MOVIMIENTOS!$B$5:$B$400="SALDO INICIAL")*(MOVIMIENTOS!$C$5:$C$400="A")*(MOVIMIENTOS!$D$5:$D$400="jabas")*(MOVIMIENTOS!$A$5:$A$400&lt;&gt;"")*(MOVIMIENTOS!$A$5:$A$400&lt;=$A61)*MOVIMIENTOS!$E$5:$E$400)+SUMPRODUCT((MOVIMIENTOS!$B$5:$B$400="PROCESO")*(MOVIMIENTOS!$C$5:$C$400="A")*(MOVIMIENTOS!$D$5:$D$400="jabas")*(MOVIMIENTOS!$A$5:$A$400&lt;&gt;"")*(MOVIMIENTOS!$A$5:$A$400&lt;=$A61)*MOVIMIENTOS!$E$5:$E$400)-SUMPRODUCT((MOVIMIENTOS!$B$5:$B$400="ENVÍO A SUPESA")*(MOVIMIENTOS!$C$5:$C$400="A")*(MOVIMIENTOS!$D$5:$D$400="jabas")*(MOVIMIENTOS!$A$5:$A$400&lt;&gt;"")*(MOVIMIENTOS!$A$5:$A$400&lt;=$A61)*MOVIMIENTOS!$E$5:$E$400)+SUMPRODUCT((MOVIMIENTOS!$B$5:$B$400="DEVOLUCIÓN")*(MOVIMIENTOS!$C$5:$C$400="A")*(MOVIMIENTOS!$D$5:$D$400="jabas")*(MOVIMIENTOS!$A$5:$A$400&lt;&gt;"")*(MOVIMIENTOS!$A$5:$A$400&lt;=$A61)*MOVIMIENTOS!$E$5:$E$400)-SUMPRODUCT((MOVIMIENTOS!$B$5:$B$400="TRASIEGO")*(MOVIMIENTOS!$C$5:$C$400="A")*(MOVIMIENTOS!$D$5:$D$400="jabas")*(MOVIMIENTOS!$A$5:$A$400&lt;&gt;"")*(MOVIMIENTOS!$A$5:$A$400&lt;=$A61)*MOVIMIENTOS!$E$5:$E$400)-SUMPRODUCT((MOVIMIENTOS!$B$5:$B$400="REGALO")*(MOVIMIENTOS!$C$5:$C$400="A")*(MOVIMIENTOS!$D$5:$D$400="jabas")*(MOVIMIENTOS!$A$5:$A$400&lt;&gt;"")*(MOVIMIENTOS!$A$5:$A$400&lt;=$A61)*MOVIMIENTOS!$E$5:$E$400)-SUMPRODUCT((MOVIMIENTOS!$B$5:$B$400="VENTA")*(MOVIMIENTOS!$C$5:$C$400="A")*(MOVIMIENTOS!$D$5:$D$400="jabas")*(MOVIMIENTOS!$A$5:$A$400&lt;&gt;"")*(MOVIMIENTOS!$A$5:$A$400&lt;=$A61)*MOVIMIENTOS!$E$5:$E$400)+SUMPRODUCT((MOVIMIENTOS!$B$5:$B$400="AJUSTE")*(MOVIMIENTOS!$C$5:$C$400="A")*(MOVIMIENTOS!$D$5:$D$400="jabas")*(MOVIMIENTOS!$A$5:$A$400&lt;&gt;"")*(MOVIMIENTOS!$A$5:$A$400&lt;=$A61)*MOVIMIENTOS!$E$5:$E$400))</f>
        <v/>
      </c>
      <c r="C61" s="46" t="str">
        <f aca="false">IF($A61="","",SUMPRODUCT((MOVIMIENTOS!$B$5:$B$400="SALDO INICIAL")*(MOVIMIENTOS!$C$5:$C$400="P")*(MOVIMIENTOS!$D$5:$D$400="jabas")*(MOVIMIENTOS!$A$5:$A$400&lt;&gt;"")*(MOVIMIENTOS!$A$5:$A$400&lt;=$A61)*MOVIMIENTOS!$E$5:$E$400)+SUMPRODUCT((MOVIMIENTOS!$B$5:$B$400="PROCESO")*(MOVIMIENTOS!$C$5:$C$400="P")*(MOVIMIENTOS!$D$5:$D$400="jabas")*(MOVIMIENTOS!$A$5:$A$400&lt;&gt;"")*(MOVIMIENTOS!$A$5:$A$400&lt;=$A61)*MOVIMIENTOS!$E$5:$E$400)-SUMPRODUCT((MOVIMIENTOS!$B$5:$B$400="ENVÍO A SUPESA")*(MOVIMIENTOS!$C$5:$C$400="P")*(MOVIMIENTOS!$D$5:$D$400="jabas")*(MOVIMIENTOS!$A$5:$A$400&lt;&gt;"")*(MOVIMIENTOS!$A$5:$A$400&lt;=$A61)*MOVIMIENTOS!$E$5:$E$400)+SUMPRODUCT((MOVIMIENTOS!$B$5:$B$400="DEVOLUCIÓN")*(MOVIMIENTOS!$C$5:$C$400="P")*(MOVIMIENTOS!$D$5:$D$400="jabas")*(MOVIMIENTOS!$A$5:$A$400&lt;&gt;"")*(MOVIMIENTOS!$A$5:$A$400&lt;=$A61)*MOVIMIENTOS!$E$5:$E$400)-SUMPRODUCT((MOVIMIENTOS!$B$5:$B$400="TRASIEGO")*(MOVIMIENTOS!$C$5:$C$400="P")*(MOVIMIENTOS!$D$5:$D$400="jabas")*(MOVIMIENTOS!$A$5:$A$400&lt;&gt;"")*(MOVIMIENTOS!$A$5:$A$400&lt;=$A61)*MOVIMIENTOS!$E$5:$E$400)-SUMPRODUCT((MOVIMIENTOS!$B$5:$B$400="REGALO")*(MOVIMIENTOS!$C$5:$C$400="P")*(MOVIMIENTOS!$D$5:$D$400="jabas")*(MOVIMIENTOS!$A$5:$A$400&lt;&gt;"")*(MOVIMIENTOS!$A$5:$A$400&lt;=$A61)*MOVIMIENTOS!$E$5:$E$400)-SUMPRODUCT((MOVIMIENTOS!$B$5:$B$400="VENTA")*(MOVIMIENTOS!$C$5:$C$400="P")*(MOVIMIENTOS!$D$5:$D$400="jabas")*(MOVIMIENTOS!$A$5:$A$400&lt;&gt;"")*(MOVIMIENTOS!$A$5:$A$400&lt;=$A61)*MOVIMIENTOS!$E$5:$E$400)+SUMPRODUCT((MOVIMIENTOS!$B$5:$B$400="AJUSTE")*(MOVIMIENTOS!$C$5:$C$400="P")*(MOVIMIENTOS!$D$5:$D$400="jabas")*(MOVIMIENTOS!$A$5:$A$400&lt;&gt;"")*(MOVIMIENTOS!$A$5:$A$400&lt;=$A61)*MOVIMIENTOS!$E$5:$E$400))</f>
        <v/>
      </c>
      <c r="D61" s="46" t="str">
        <f aca="false">IF($A61="","",SUMPRODUCT((MOVIMIENTOS!$B$5:$B$400="SALDO INICIAL")*(MOVIMIENTOS!$C$5:$C$400="C")*(MOVIMIENTOS!$D$5:$D$400="jabas")*(MOVIMIENTOS!$A$5:$A$400&lt;&gt;"")*(MOVIMIENTOS!$A$5:$A$400&lt;=$A61)*MOVIMIENTOS!$E$5:$E$400)+SUMPRODUCT((MOVIMIENTOS!$B$5:$B$400="PROCESO")*(MOVIMIENTOS!$C$5:$C$400="C")*(MOVIMIENTOS!$D$5:$D$400="jabas")*(MOVIMIENTOS!$A$5:$A$400&lt;&gt;"")*(MOVIMIENTOS!$A$5:$A$400&lt;=$A61)*MOVIMIENTOS!$E$5:$E$400)-SUMPRODUCT((MOVIMIENTOS!$B$5:$B$400="ENVÍO A SUPESA")*(MOVIMIENTOS!$C$5:$C$400="C")*(MOVIMIENTOS!$D$5:$D$400="jabas")*(MOVIMIENTOS!$A$5:$A$400&lt;&gt;"")*(MOVIMIENTOS!$A$5:$A$400&lt;=$A61)*MOVIMIENTOS!$E$5:$E$400)+SUMPRODUCT((MOVIMIENTOS!$B$5:$B$400="DEVOLUCIÓN")*(MOVIMIENTOS!$C$5:$C$400="C")*(MOVIMIENTOS!$D$5:$D$400="jabas")*(MOVIMIENTOS!$A$5:$A$400&lt;&gt;"")*(MOVIMIENTOS!$A$5:$A$400&lt;=$A61)*MOVIMIENTOS!$E$5:$E$400)-SUMPRODUCT((MOVIMIENTOS!$B$5:$B$400="TRASIEGO")*(MOVIMIENTOS!$C$5:$C$400="C")*(MOVIMIENTOS!$D$5:$D$400="jabas")*(MOVIMIENTOS!$A$5:$A$400&lt;&gt;"")*(MOVIMIENTOS!$A$5:$A$400&lt;=$A61)*MOVIMIENTOS!$E$5:$E$400)-SUMPRODUCT((MOVIMIENTOS!$B$5:$B$400="REGALO")*(MOVIMIENTOS!$C$5:$C$400="C")*(MOVIMIENTOS!$D$5:$D$400="jabas")*(MOVIMIENTOS!$A$5:$A$400&lt;&gt;"")*(MOVIMIENTOS!$A$5:$A$400&lt;=$A61)*MOVIMIENTOS!$E$5:$E$400)-SUMPRODUCT((MOVIMIENTOS!$B$5:$B$400="VENTA")*(MOVIMIENTOS!$C$5:$C$400="C")*(MOVIMIENTOS!$D$5:$D$400="jabas")*(MOVIMIENTOS!$A$5:$A$400&lt;&gt;"")*(MOVIMIENTOS!$A$5:$A$400&lt;=$A61)*MOVIMIENTOS!$E$5:$E$400)+SUMPRODUCT((MOVIMIENTOS!$B$5:$B$400="AJUSTE")*(MOVIMIENTOS!$C$5:$C$400="C")*(MOVIMIENTOS!$D$5:$D$400="jabas")*(MOVIMIENTOS!$A$5:$A$400&lt;&gt;"")*(MOVIMIENTOS!$A$5:$A$400&lt;=$A61)*MOVIMIENTOS!$E$5:$E$400))</f>
        <v/>
      </c>
      <c r="E61" s="46" t="str">
        <f aca="false">IF($A61="","",SUMPRODUCT((MOVIMIENTOS!$B$5:$B$400="SALDO INICIAL")*(MOVIMIENTOS!$C$5:$C$400="M")*(MOVIMIENTOS!$D$5:$D$400="jabas")*(MOVIMIENTOS!$A$5:$A$400&lt;&gt;"")*(MOVIMIENTOS!$A$5:$A$400&lt;=$A61)*MOVIMIENTOS!$E$5:$E$400)+SUMPRODUCT((MOVIMIENTOS!$B$5:$B$400="PROCESO")*(MOVIMIENTOS!$C$5:$C$400="M")*(MOVIMIENTOS!$D$5:$D$400="jabas")*(MOVIMIENTOS!$A$5:$A$400&lt;&gt;"")*(MOVIMIENTOS!$A$5:$A$400&lt;=$A61)*MOVIMIENTOS!$E$5:$E$400)-SUMPRODUCT((MOVIMIENTOS!$B$5:$B$400="ENVÍO A SUPESA")*(MOVIMIENTOS!$C$5:$C$400="M")*(MOVIMIENTOS!$D$5:$D$400="jabas")*(MOVIMIENTOS!$A$5:$A$400&lt;&gt;"")*(MOVIMIENTOS!$A$5:$A$400&lt;=$A61)*MOVIMIENTOS!$E$5:$E$400)+SUMPRODUCT((MOVIMIENTOS!$B$5:$B$400="DEVOLUCIÓN")*(MOVIMIENTOS!$C$5:$C$400="M")*(MOVIMIENTOS!$D$5:$D$400="jabas")*(MOVIMIENTOS!$A$5:$A$400&lt;&gt;"")*(MOVIMIENTOS!$A$5:$A$400&lt;=$A61)*MOVIMIENTOS!$E$5:$E$400)-SUMPRODUCT((MOVIMIENTOS!$B$5:$B$400="TRASIEGO")*(MOVIMIENTOS!$C$5:$C$400="M")*(MOVIMIENTOS!$D$5:$D$400="jabas")*(MOVIMIENTOS!$A$5:$A$400&lt;&gt;"")*(MOVIMIENTOS!$A$5:$A$400&lt;=$A61)*MOVIMIENTOS!$E$5:$E$400)-SUMPRODUCT((MOVIMIENTOS!$B$5:$B$400="REGALO")*(MOVIMIENTOS!$C$5:$C$400="M")*(MOVIMIENTOS!$D$5:$D$400="jabas")*(MOVIMIENTOS!$A$5:$A$400&lt;&gt;"")*(MOVIMIENTOS!$A$5:$A$400&lt;=$A61)*MOVIMIENTOS!$E$5:$E$400)-SUMPRODUCT((MOVIMIENTOS!$B$5:$B$400="VENTA")*(MOVIMIENTOS!$C$5:$C$400="M")*(MOVIMIENTOS!$D$5:$D$400="jabas")*(MOVIMIENTOS!$A$5:$A$400&lt;&gt;"")*(MOVIMIENTOS!$A$5:$A$400&lt;=$A61)*MOVIMIENTOS!$E$5:$E$400)+SUMPRODUCT((MOVIMIENTOS!$B$5:$B$400="AJUSTE")*(MOVIMIENTOS!$C$5:$C$400="M")*(MOVIMIENTOS!$D$5:$D$400="jabas")*(MOVIMIENTOS!$A$5:$A$400&lt;&gt;"")*(MOVIMIENTOS!$A$5:$A$400&lt;=$A61)*MOVIMIENTOS!$E$5:$E$400))</f>
        <v/>
      </c>
      <c r="F61" s="46" t="str">
        <f aca="false">IF($A61="","",SUMPRODUCT((MOVIMIENTOS!$B$5:$B$400="SALDO INICIAL")*(MOVIMIENTOS!$C$5:$C$400="Chancho")*(MOVIMIENTOS!$D$5:$D$400="sacos")*(MOVIMIENTOS!$A$5:$A$400&lt;&gt;"")*(MOVIMIENTOS!$A$5:$A$400&lt;=$A61)*MOVIMIENTOS!$E$5:$E$400)+SUMPRODUCT((MOVIMIENTOS!$B$5:$B$400="PROCESO")*(MOVIMIENTOS!$C$5:$C$400="Chancho")*(MOVIMIENTOS!$D$5:$D$400="sacos")*(MOVIMIENTOS!$A$5:$A$400&lt;&gt;"")*(MOVIMIENTOS!$A$5:$A$400&lt;=$A61)*MOVIMIENTOS!$E$5:$E$400)-SUMPRODUCT((MOVIMIENTOS!$B$5:$B$400="VENTA CHANCHO")*(MOVIMIENTOS!$C$5:$C$400="Chancho")*(MOVIMIENTOS!$D$5:$D$400="sacos")*(MOVIMIENTOS!$A$5:$A$400&lt;&gt;"")*(MOVIMIENTOS!$A$5:$A$400&lt;=$A61)*MOVIMIENTOS!$E$5:$E$400)-SUMPRODUCT((MOVIMIENTOS!$B$5:$B$400="REGALO")*(MOVIMIENTOS!$C$5:$C$400="Chancho")*(MOVIMIENTOS!$D$5:$D$400="sacos")*(MOVIMIENTOS!$A$5:$A$400&lt;&gt;"")*(MOVIMIENTOS!$A$5:$A$400&lt;=$A61)*MOVIMIENTOS!$E$5:$E$400)-SUMPRODUCT((MOVIMIENTOS!$B$5:$B$400="VENTA")*(MOVIMIENTOS!$C$5:$C$400="Chancho")*(MOVIMIENTOS!$D$5:$D$400="sacos")*(MOVIMIENTOS!$A$5:$A$400&lt;&gt;"")*(MOVIMIENTOS!$A$5:$A$400&lt;=$A61)*MOVIMIENTOS!$E$5:$E$400)+SUMPRODUCT((MOVIMIENTOS!$B$5:$B$400="AJUSTE")*(MOVIMIENTOS!$C$5:$C$400="Chancho")*(MOVIMIENTOS!$D$5:$D$400="sacos")*(MOVIMIENTOS!$A$5:$A$400&lt;&gt;"")*(MOVIMIENTOS!$A$5:$A$400&lt;=$A61)*MOVIMIENTOS!$E$5:$E$400))</f>
        <v/>
      </c>
      <c r="G61" s="46" t="str">
        <f aca="false">IF($A61="","",SUM(B61:E61))</f>
        <v/>
      </c>
      <c r="H61" s="46" t="str">
        <f aca="false">IF($A61="","",SUMPRODUCT((((MOVIMIENTOS!$B$5:$B$400="SALDO INICIAL")*(MOVIMIENTOS!$C$5:$C$400&lt;&gt;"Chancho"))+(MOVIMIENTOS!$B$5:$B$400="COMPRA")+(MOVIMIENTOS!$B$5:$B$400="REPROCESO")+(MOVIMIENTOS!$B$5:$B$400="DEVOLUCIÓN")+((MOVIMIENTOS!$B$5:$B$400="AJUSTE")*(MOVIMIENTOS!$C$5:$C$400&lt;&gt;"Chancho")))*(MOVIMIENTOS!$A$5:$A$400&lt;&gt;"")*(MOVIMIENTOS!$A$5:$A$400&lt;=$A61)*MOVIMIENTOS!$I$5:$I$400)-SUMPRODUCT(((MOVIMIENTOS!$B$5:$B$400="ENVÍO A SUPESA")+(MOVIMIENTOS!$B$5:$B$400="ENVÍO A TOTTUS")+(MOVIMIENTOS!$B$5:$B$400="ENVIO A TOTTUS")+(MOVIMIENTOS!$B$5:$B$400="MALOGRADO")+(MOVIMIENTOS!$B$5:$B$400="OTRA SALIDA")+((MOVIMIENTOS!$B$5:$B$400="PROCESO")*(MOVIMIENTOS!$C$5:$C$400="Chancho"))+((MOVIMIENTOS!$B$5:$B$400="REGALO")*(MOVIMIENTOS!$C$5:$C$400&lt;&gt;"Chancho"))+((MOVIMIENTOS!$B$5:$B$400="VENTA")*(MOVIMIENTOS!$C$5:$C$400&lt;&gt;"Chancho")))*(MOVIMIENTOS!$A$5:$A$400&lt;&gt;"")*(MOVIMIENTOS!$A$5:$A$400&lt;=$A61)*MOVIMIENTOS!$I$5:$I$400))</f>
        <v/>
      </c>
      <c r="I61" s="44"/>
      <c r="J61" s="44" t="str">
        <f aca="false">IF(AND(MOVIMIENTOS!$A61&lt;&gt;"",COUNTIF(MOVIMIENTOS!$A$5:$A60,MOVIMIENTOS!$A61)=0),COUNT(J$4:J60)+1,"")</f>
        <v/>
      </c>
      <c r="K61" s="47" t="n">
        <f aca="false">MOVIMIENTOS!$A61</f>
        <v>46220</v>
      </c>
      <c r="L61" s="44"/>
      <c r="M61" s="44"/>
      <c r="N61" s="44"/>
    </row>
    <row r="62" customFormat="false" ht="15" hidden="false" customHeight="true" outlineLevel="0" collapsed="false">
      <c r="A62" s="45" t="str">
        <f aca="false">IFERROR(INDEX(K$5:K$400,MATCH(ROW()-4,J$5:J$400,0)),"")</f>
        <v/>
      </c>
      <c r="B62" s="46" t="str">
        <f aca="false">IF($A62="","",SUMPRODUCT((MOVIMIENTOS!$B$5:$B$400="SALDO INICIAL")*(MOVIMIENTOS!$C$5:$C$400="A")*(MOVIMIENTOS!$D$5:$D$400="jabas")*(MOVIMIENTOS!$A$5:$A$400&lt;&gt;"")*(MOVIMIENTOS!$A$5:$A$400&lt;=$A62)*MOVIMIENTOS!$E$5:$E$400)+SUMPRODUCT((MOVIMIENTOS!$B$5:$B$400="PROCESO")*(MOVIMIENTOS!$C$5:$C$400="A")*(MOVIMIENTOS!$D$5:$D$400="jabas")*(MOVIMIENTOS!$A$5:$A$400&lt;&gt;"")*(MOVIMIENTOS!$A$5:$A$400&lt;=$A62)*MOVIMIENTOS!$E$5:$E$400)-SUMPRODUCT((MOVIMIENTOS!$B$5:$B$400="ENVÍO A SUPESA")*(MOVIMIENTOS!$C$5:$C$400="A")*(MOVIMIENTOS!$D$5:$D$400="jabas")*(MOVIMIENTOS!$A$5:$A$400&lt;&gt;"")*(MOVIMIENTOS!$A$5:$A$400&lt;=$A62)*MOVIMIENTOS!$E$5:$E$400)+SUMPRODUCT((MOVIMIENTOS!$B$5:$B$400="DEVOLUCIÓN")*(MOVIMIENTOS!$C$5:$C$400="A")*(MOVIMIENTOS!$D$5:$D$400="jabas")*(MOVIMIENTOS!$A$5:$A$400&lt;&gt;"")*(MOVIMIENTOS!$A$5:$A$400&lt;=$A62)*MOVIMIENTOS!$E$5:$E$400)-SUMPRODUCT((MOVIMIENTOS!$B$5:$B$400="TRASIEGO")*(MOVIMIENTOS!$C$5:$C$400="A")*(MOVIMIENTOS!$D$5:$D$400="jabas")*(MOVIMIENTOS!$A$5:$A$400&lt;&gt;"")*(MOVIMIENTOS!$A$5:$A$400&lt;=$A62)*MOVIMIENTOS!$E$5:$E$400)-SUMPRODUCT((MOVIMIENTOS!$B$5:$B$400="REGALO")*(MOVIMIENTOS!$C$5:$C$400="A")*(MOVIMIENTOS!$D$5:$D$400="jabas")*(MOVIMIENTOS!$A$5:$A$400&lt;&gt;"")*(MOVIMIENTOS!$A$5:$A$400&lt;=$A62)*MOVIMIENTOS!$E$5:$E$400)-SUMPRODUCT((MOVIMIENTOS!$B$5:$B$400="VENTA")*(MOVIMIENTOS!$C$5:$C$400="A")*(MOVIMIENTOS!$D$5:$D$400="jabas")*(MOVIMIENTOS!$A$5:$A$400&lt;&gt;"")*(MOVIMIENTOS!$A$5:$A$400&lt;=$A62)*MOVIMIENTOS!$E$5:$E$400)+SUMPRODUCT((MOVIMIENTOS!$B$5:$B$400="AJUSTE")*(MOVIMIENTOS!$C$5:$C$400="A")*(MOVIMIENTOS!$D$5:$D$400="jabas")*(MOVIMIENTOS!$A$5:$A$400&lt;&gt;"")*(MOVIMIENTOS!$A$5:$A$400&lt;=$A62)*MOVIMIENTOS!$E$5:$E$400))</f>
        <v/>
      </c>
      <c r="C62" s="46" t="str">
        <f aca="false">IF($A62="","",SUMPRODUCT((MOVIMIENTOS!$B$5:$B$400="SALDO INICIAL")*(MOVIMIENTOS!$C$5:$C$400="P")*(MOVIMIENTOS!$D$5:$D$400="jabas")*(MOVIMIENTOS!$A$5:$A$400&lt;&gt;"")*(MOVIMIENTOS!$A$5:$A$400&lt;=$A62)*MOVIMIENTOS!$E$5:$E$400)+SUMPRODUCT((MOVIMIENTOS!$B$5:$B$400="PROCESO")*(MOVIMIENTOS!$C$5:$C$400="P")*(MOVIMIENTOS!$D$5:$D$400="jabas")*(MOVIMIENTOS!$A$5:$A$400&lt;&gt;"")*(MOVIMIENTOS!$A$5:$A$400&lt;=$A62)*MOVIMIENTOS!$E$5:$E$400)-SUMPRODUCT((MOVIMIENTOS!$B$5:$B$400="ENVÍO A SUPESA")*(MOVIMIENTOS!$C$5:$C$400="P")*(MOVIMIENTOS!$D$5:$D$400="jabas")*(MOVIMIENTOS!$A$5:$A$400&lt;&gt;"")*(MOVIMIENTOS!$A$5:$A$400&lt;=$A62)*MOVIMIENTOS!$E$5:$E$400)+SUMPRODUCT((MOVIMIENTOS!$B$5:$B$400="DEVOLUCIÓN")*(MOVIMIENTOS!$C$5:$C$400="P")*(MOVIMIENTOS!$D$5:$D$400="jabas")*(MOVIMIENTOS!$A$5:$A$400&lt;&gt;"")*(MOVIMIENTOS!$A$5:$A$400&lt;=$A62)*MOVIMIENTOS!$E$5:$E$400)-SUMPRODUCT((MOVIMIENTOS!$B$5:$B$400="TRASIEGO")*(MOVIMIENTOS!$C$5:$C$400="P")*(MOVIMIENTOS!$D$5:$D$400="jabas")*(MOVIMIENTOS!$A$5:$A$400&lt;&gt;"")*(MOVIMIENTOS!$A$5:$A$400&lt;=$A62)*MOVIMIENTOS!$E$5:$E$400)-SUMPRODUCT((MOVIMIENTOS!$B$5:$B$400="REGALO")*(MOVIMIENTOS!$C$5:$C$400="P")*(MOVIMIENTOS!$D$5:$D$400="jabas")*(MOVIMIENTOS!$A$5:$A$400&lt;&gt;"")*(MOVIMIENTOS!$A$5:$A$400&lt;=$A62)*MOVIMIENTOS!$E$5:$E$400)-SUMPRODUCT((MOVIMIENTOS!$B$5:$B$400="VENTA")*(MOVIMIENTOS!$C$5:$C$400="P")*(MOVIMIENTOS!$D$5:$D$400="jabas")*(MOVIMIENTOS!$A$5:$A$400&lt;&gt;"")*(MOVIMIENTOS!$A$5:$A$400&lt;=$A62)*MOVIMIENTOS!$E$5:$E$400)+SUMPRODUCT((MOVIMIENTOS!$B$5:$B$400="AJUSTE")*(MOVIMIENTOS!$C$5:$C$400="P")*(MOVIMIENTOS!$D$5:$D$400="jabas")*(MOVIMIENTOS!$A$5:$A$400&lt;&gt;"")*(MOVIMIENTOS!$A$5:$A$400&lt;=$A62)*MOVIMIENTOS!$E$5:$E$400))</f>
        <v/>
      </c>
      <c r="D62" s="46" t="str">
        <f aca="false">IF($A62="","",SUMPRODUCT((MOVIMIENTOS!$B$5:$B$400="SALDO INICIAL")*(MOVIMIENTOS!$C$5:$C$400="C")*(MOVIMIENTOS!$D$5:$D$400="jabas")*(MOVIMIENTOS!$A$5:$A$400&lt;&gt;"")*(MOVIMIENTOS!$A$5:$A$400&lt;=$A62)*MOVIMIENTOS!$E$5:$E$400)+SUMPRODUCT((MOVIMIENTOS!$B$5:$B$400="PROCESO")*(MOVIMIENTOS!$C$5:$C$400="C")*(MOVIMIENTOS!$D$5:$D$400="jabas")*(MOVIMIENTOS!$A$5:$A$400&lt;&gt;"")*(MOVIMIENTOS!$A$5:$A$400&lt;=$A62)*MOVIMIENTOS!$E$5:$E$400)-SUMPRODUCT((MOVIMIENTOS!$B$5:$B$400="ENVÍO A SUPESA")*(MOVIMIENTOS!$C$5:$C$400="C")*(MOVIMIENTOS!$D$5:$D$400="jabas")*(MOVIMIENTOS!$A$5:$A$400&lt;&gt;"")*(MOVIMIENTOS!$A$5:$A$400&lt;=$A62)*MOVIMIENTOS!$E$5:$E$400)+SUMPRODUCT((MOVIMIENTOS!$B$5:$B$400="DEVOLUCIÓN")*(MOVIMIENTOS!$C$5:$C$400="C")*(MOVIMIENTOS!$D$5:$D$400="jabas")*(MOVIMIENTOS!$A$5:$A$400&lt;&gt;"")*(MOVIMIENTOS!$A$5:$A$400&lt;=$A62)*MOVIMIENTOS!$E$5:$E$400)-SUMPRODUCT((MOVIMIENTOS!$B$5:$B$400="TRASIEGO")*(MOVIMIENTOS!$C$5:$C$400="C")*(MOVIMIENTOS!$D$5:$D$400="jabas")*(MOVIMIENTOS!$A$5:$A$400&lt;&gt;"")*(MOVIMIENTOS!$A$5:$A$400&lt;=$A62)*MOVIMIENTOS!$E$5:$E$400)-SUMPRODUCT((MOVIMIENTOS!$B$5:$B$400="REGALO")*(MOVIMIENTOS!$C$5:$C$400="C")*(MOVIMIENTOS!$D$5:$D$400="jabas")*(MOVIMIENTOS!$A$5:$A$400&lt;&gt;"")*(MOVIMIENTOS!$A$5:$A$400&lt;=$A62)*MOVIMIENTOS!$E$5:$E$400)-SUMPRODUCT((MOVIMIENTOS!$B$5:$B$400="VENTA")*(MOVIMIENTOS!$C$5:$C$400="C")*(MOVIMIENTOS!$D$5:$D$400="jabas")*(MOVIMIENTOS!$A$5:$A$400&lt;&gt;"")*(MOVIMIENTOS!$A$5:$A$400&lt;=$A62)*MOVIMIENTOS!$E$5:$E$400)+SUMPRODUCT((MOVIMIENTOS!$B$5:$B$400="AJUSTE")*(MOVIMIENTOS!$C$5:$C$400="C")*(MOVIMIENTOS!$D$5:$D$400="jabas")*(MOVIMIENTOS!$A$5:$A$400&lt;&gt;"")*(MOVIMIENTOS!$A$5:$A$400&lt;=$A62)*MOVIMIENTOS!$E$5:$E$400))</f>
        <v/>
      </c>
      <c r="E62" s="46" t="str">
        <f aca="false">IF($A62="","",SUMPRODUCT((MOVIMIENTOS!$B$5:$B$400="SALDO INICIAL")*(MOVIMIENTOS!$C$5:$C$400="M")*(MOVIMIENTOS!$D$5:$D$400="jabas")*(MOVIMIENTOS!$A$5:$A$400&lt;&gt;"")*(MOVIMIENTOS!$A$5:$A$400&lt;=$A62)*MOVIMIENTOS!$E$5:$E$400)+SUMPRODUCT((MOVIMIENTOS!$B$5:$B$400="PROCESO")*(MOVIMIENTOS!$C$5:$C$400="M")*(MOVIMIENTOS!$D$5:$D$400="jabas")*(MOVIMIENTOS!$A$5:$A$400&lt;&gt;"")*(MOVIMIENTOS!$A$5:$A$400&lt;=$A62)*MOVIMIENTOS!$E$5:$E$400)-SUMPRODUCT((MOVIMIENTOS!$B$5:$B$400="ENVÍO A SUPESA")*(MOVIMIENTOS!$C$5:$C$400="M")*(MOVIMIENTOS!$D$5:$D$400="jabas")*(MOVIMIENTOS!$A$5:$A$400&lt;&gt;"")*(MOVIMIENTOS!$A$5:$A$400&lt;=$A62)*MOVIMIENTOS!$E$5:$E$400)+SUMPRODUCT((MOVIMIENTOS!$B$5:$B$400="DEVOLUCIÓN")*(MOVIMIENTOS!$C$5:$C$400="M")*(MOVIMIENTOS!$D$5:$D$400="jabas")*(MOVIMIENTOS!$A$5:$A$400&lt;&gt;"")*(MOVIMIENTOS!$A$5:$A$400&lt;=$A62)*MOVIMIENTOS!$E$5:$E$400)-SUMPRODUCT((MOVIMIENTOS!$B$5:$B$400="TRASIEGO")*(MOVIMIENTOS!$C$5:$C$400="M")*(MOVIMIENTOS!$D$5:$D$400="jabas")*(MOVIMIENTOS!$A$5:$A$400&lt;&gt;"")*(MOVIMIENTOS!$A$5:$A$400&lt;=$A62)*MOVIMIENTOS!$E$5:$E$400)-SUMPRODUCT((MOVIMIENTOS!$B$5:$B$400="REGALO")*(MOVIMIENTOS!$C$5:$C$400="M")*(MOVIMIENTOS!$D$5:$D$400="jabas")*(MOVIMIENTOS!$A$5:$A$400&lt;&gt;"")*(MOVIMIENTOS!$A$5:$A$400&lt;=$A62)*MOVIMIENTOS!$E$5:$E$400)-SUMPRODUCT((MOVIMIENTOS!$B$5:$B$400="VENTA")*(MOVIMIENTOS!$C$5:$C$400="M")*(MOVIMIENTOS!$D$5:$D$400="jabas")*(MOVIMIENTOS!$A$5:$A$400&lt;&gt;"")*(MOVIMIENTOS!$A$5:$A$400&lt;=$A62)*MOVIMIENTOS!$E$5:$E$400)+SUMPRODUCT((MOVIMIENTOS!$B$5:$B$400="AJUSTE")*(MOVIMIENTOS!$C$5:$C$400="M")*(MOVIMIENTOS!$D$5:$D$400="jabas")*(MOVIMIENTOS!$A$5:$A$400&lt;&gt;"")*(MOVIMIENTOS!$A$5:$A$400&lt;=$A62)*MOVIMIENTOS!$E$5:$E$400))</f>
        <v/>
      </c>
      <c r="F62" s="46" t="str">
        <f aca="false">IF($A62="","",SUMPRODUCT((MOVIMIENTOS!$B$5:$B$400="SALDO INICIAL")*(MOVIMIENTOS!$C$5:$C$400="Chancho")*(MOVIMIENTOS!$D$5:$D$400="sacos")*(MOVIMIENTOS!$A$5:$A$400&lt;&gt;"")*(MOVIMIENTOS!$A$5:$A$400&lt;=$A62)*MOVIMIENTOS!$E$5:$E$400)+SUMPRODUCT((MOVIMIENTOS!$B$5:$B$400="PROCESO")*(MOVIMIENTOS!$C$5:$C$400="Chancho")*(MOVIMIENTOS!$D$5:$D$400="sacos")*(MOVIMIENTOS!$A$5:$A$400&lt;&gt;"")*(MOVIMIENTOS!$A$5:$A$400&lt;=$A62)*MOVIMIENTOS!$E$5:$E$400)-SUMPRODUCT((MOVIMIENTOS!$B$5:$B$400="VENTA CHANCHO")*(MOVIMIENTOS!$C$5:$C$400="Chancho")*(MOVIMIENTOS!$D$5:$D$400="sacos")*(MOVIMIENTOS!$A$5:$A$400&lt;&gt;"")*(MOVIMIENTOS!$A$5:$A$400&lt;=$A62)*MOVIMIENTOS!$E$5:$E$400)-SUMPRODUCT((MOVIMIENTOS!$B$5:$B$400="REGALO")*(MOVIMIENTOS!$C$5:$C$400="Chancho")*(MOVIMIENTOS!$D$5:$D$400="sacos")*(MOVIMIENTOS!$A$5:$A$400&lt;&gt;"")*(MOVIMIENTOS!$A$5:$A$400&lt;=$A62)*MOVIMIENTOS!$E$5:$E$400)-SUMPRODUCT((MOVIMIENTOS!$B$5:$B$400="VENTA")*(MOVIMIENTOS!$C$5:$C$400="Chancho")*(MOVIMIENTOS!$D$5:$D$400="sacos")*(MOVIMIENTOS!$A$5:$A$400&lt;&gt;"")*(MOVIMIENTOS!$A$5:$A$400&lt;=$A62)*MOVIMIENTOS!$E$5:$E$400)+SUMPRODUCT((MOVIMIENTOS!$B$5:$B$400="AJUSTE")*(MOVIMIENTOS!$C$5:$C$400="Chancho")*(MOVIMIENTOS!$D$5:$D$400="sacos")*(MOVIMIENTOS!$A$5:$A$400&lt;&gt;"")*(MOVIMIENTOS!$A$5:$A$400&lt;=$A62)*MOVIMIENTOS!$E$5:$E$400))</f>
        <v/>
      </c>
      <c r="G62" s="46" t="str">
        <f aca="false">IF($A62="","",SUM(B62:E62))</f>
        <v/>
      </c>
      <c r="H62" s="46" t="str">
        <f aca="false">IF($A62="","",SUMPRODUCT((((MOVIMIENTOS!$B$5:$B$400="SALDO INICIAL")*(MOVIMIENTOS!$C$5:$C$400&lt;&gt;"Chancho"))+(MOVIMIENTOS!$B$5:$B$400="COMPRA")+(MOVIMIENTOS!$B$5:$B$400="REPROCESO")+(MOVIMIENTOS!$B$5:$B$400="DEVOLUCIÓN")+((MOVIMIENTOS!$B$5:$B$400="AJUSTE")*(MOVIMIENTOS!$C$5:$C$400&lt;&gt;"Chancho")))*(MOVIMIENTOS!$A$5:$A$400&lt;&gt;"")*(MOVIMIENTOS!$A$5:$A$400&lt;=$A62)*MOVIMIENTOS!$I$5:$I$400)-SUMPRODUCT(((MOVIMIENTOS!$B$5:$B$400="ENVÍO A SUPESA")+(MOVIMIENTOS!$B$5:$B$400="ENVÍO A TOTTUS")+(MOVIMIENTOS!$B$5:$B$400="ENVIO A TOTTUS")+(MOVIMIENTOS!$B$5:$B$400="MALOGRADO")+(MOVIMIENTOS!$B$5:$B$400="OTRA SALIDA")+((MOVIMIENTOS!$B$5:$B$400="PROCESO")*(MOVIMIENTOS!$C$5:$C$400="Chancho"))+((MOVIMIENTOS!$B$5:$B$400="REGALO")*(MOVIMIENTOS!$C$5:$C$400&lt;&gt;"Chancho"))+((MOVIMIENTOS!$B$5:$B$400="VENTA")*(MOVIMIENTOS!$C$5:$C$400&lt;&gt;"Chancho")))*(MOVIMIENTOS!$A$5:$A$400&lt;&gt;"")*(MOVIMIENTOS!$A$5:$A$400&lt;=$A62)*MOVIMIENTOS!$I$5:$I$400))</f>
        <v/>
      </c>
      <c r="I62" s="44"/>
      <c r="J62" s="44" t="str">
        <f aca="false">IF(AND(MOVIMIENTOS!$A62&lt;&gt;"",COUNTIF(MOVIMIENTOS!$A$5:$A61,MOVIMIENTOS!$A62)=0),COUNT(J$4:J61)+1,"")</f>
        <v/>
      </c>
      <c r="K62" s="47" t="n">
        <f aca="false">MOVIMIENTOS!$A62</f>
        <v>46220</v>
      </c>
      <c r="L62" s="44"/>
      <c r="M62" s="44"/>
      <c r="N62" s="44"/>
    </row>
    <row r="63" customFormat="false" ht="15" hidden="false" customHeight="true" outlineLevel="0" collapsed="false">
      <c r="A63" s="45" t="str">
        <f aca="false">IFERROR(INDEX(K$5:K$400,MATCH(ROW()-4,J$5:J$400,0)),"")</f>
        <v/>
      </c>
      <c r="B63" s="46" t="str">
        <f aca="false">IF($A63="","",SUMPRODUCT((MOVIMIENTOS!$B$5:$B$400="SALDO INICIAL")*(MOVIMIENTOS!$C$5:$C$400="A")*(MOVIMIENTOS!$D$5:$D$400="jabas")*(MOVIMIENTOS!$A$5:$A$400&lt;&gt;"")*(MOVIMIENTOS!$A$5:$A$400&lt;=$A63)*MOVIMIENTOS!$E$5:$E$400)+SUMPRODUCT((MOVIMIENTOS!$B$5:$B$400="PROCESO")*(MOVIMIENTOS!$C$5:$C$400="A")*(MOVIMIENTOS!$D$5:$D$400="jabas")*(MOVIMIENTOS!$A$5:$A$400&lt;&gt;"")*(MOVIMIENTOS!$A$5:$A$400&lt;=$A63)*MOVIMIENTOS!$E$5:$E$400)-SUMPRODUCT((MOVIMIENTOS!$B$5:$B$400="ENVÍO A SUPESA")*(MOVIMIENTOS!$C$5:$C$400="A")*(MOVIMIENTOS!$D$5:$D$400="jabas")*(MOVIMIENTOS!$A$5:$A$400&lt;&gt;"")*(MOVIMIENTOS!$A$5:$A$400&lt;=$A63)*MOVIMIENTOS!$E$5:$E$400)+SUMPRODUCT((MOVIMIENTOS!$B$5:$B$400="DEVOLUCIÓN")*(MOVIMIENTOS!$C$5:$C$400="A")*(MOVIMIENTOS!$D$5:$D$400="jabas")*(MOVIMIENTOS!$A$5:$A$400&lt;&gt;"")*(MOVIMIENTOS!$A$5:$A$400&lt;=$A63)*MOVIMIENTOS!$E$5:$E$400)-SUMPRODUCT((MOVIMIENTOS!$B$5:$B$400="TRASIEGO")*(MOVIMIENTOS!$C$5:$C$400="A")*(MOVIMIENTOS!$D$5:$D$400="jabas")*(MOVIMIENTOS!$A$5:$A$400&lt;&gt;"")*(MOVIMIENTOS!$A$5:$A$400&lt;=$A63)*MOVIMIENTOS!$E$5:$E$400)-SUMPRODUCT((MOVIMIENTOS!$B$5:$B$400="REGALO")*(MOVIMIENTOS!$C$5:$C$400="A")*(MOVIMIENTOS!$D$5:$D$400="jabas")*(MOVIMIENTOS!$A$5:$A$400&lt;&gt;"")*(MOVIMIENTOS!$A$5:$A$400&lt;=$A63)*MOVIMIENTOS!$E$5:$E$400)-SUMPRODUCT((MOVIMIENTOS!$B$5:$B$400="VENTA")*(MOVIMIENTOS!$C$5:$C$400="A")*(MOVIMIENTOS!$D$5:$D$400="jabas")*(MOVIMIENTOS!$A$5:$A$400&lt;&gt;"")*(MOVIMIENTOS!$A$5:$A$400&lt;=$A63)*MOVIMIENTOS!$E$5:$E$400)+SUMPRODUCT((MOVIMIENTOS!$B$5:$B$400="AJUSTE")*(MOVIMIENTOS!$C$5:$C$400="A")*(MOVIMIENTOS!$D$5:$D$400="jabas")*(MOVIMIENTOS!$A$5:$A$400&lt;&gt;"")*(MOVIMIENTOS!$A$5:$A$400&lt;=$A63)*MOVIMIENTOS!$E$5:$E$400))</f>
        <v/>
      </c>
      <c r="C63" s="46" t="str">
        <f aca="false">IF($A63="","",SUMPRODUCT((MOVIMIENTOS!$B$5:$B$400="SALDO INICIAL")*(MOVIMIENTOS!$C$5:$C$400="P")*(MOVIMIENTOS!$D$5:$D$400="jabas")*(MOVIMIENTOS!$A$5:$A$400&lt;&gt;"")*(MOVIMIENTOS!$A$5:$A$400&lt;=$A63)*MOVIMIENTOS!$E$5:$E$400)+SUMPRODUCT((MOVIMIENTOS!$B$5:$B$400="PROCESO")*(MOVIMIENTOS!$C$5:$C$400="P")*(MOVIMIENTOS!$D$5:$D$400="jabas")*(MOVIMIENTOS!$A$5:$A$400&lt;&gt;"")*(MOVIMIENTOS!$A$5:$A$400&lt;=$A63)*MOVIMIENTOS!$E$5:$E$400)-SUMPRODUCT((MOVIMIENTOS!$B$5:$B$400="ENVÍO A SUPESA")*(MOVIMIENTOS!$C$5:$C$400="P")*(MOVIMIENTOS!$D$5:$D$400="jabas")*(MOVIMIENTOS!$A$5:$A$400&lt;&gt;"")*(MOVIMIENTOS!$A$5:$A$400&lt;=$A63)*MOVIMIENTOS!$E$5:$E$400)+SUMPRODUCT((MOVIMIENTOS!$B$5:$B$400="DEVOLUCIÓN")*(MOVIMIENTOS!$C$5:$C$400="P")*(MOVIMIENTOS!$D$5:$D$400="jabas")*(MOVIMIENTOS!$A$5:$A$400&lt;&gt;"")*(MOVIMIENTOS!$A$5:$A$400&lt;=$A63)*MOVIMIENTOS!$E$5:$E$400)-SUMPRODUCT((MOVIMIENTOS!$B$5:$B$400="TRASIEGO")*(MOVIMIENTOS!$C$5:$C$400="P")*(MOVIMIENTOS!$D$5:$D$400="jabas")*(MOVIMIENTOS!$A$5:$A$400&lt;&gt;"")*(MOVIMIENTOS!$A$5:$A$400&lt;=$A63)*MOVIMIENTOS!$E$5:$E$400)-SUMPRODUCT((MOVIMIENTOS!$B$5:$B$400="REGALO")*(MOVIMIENTOS!$C$5:$C$400="P")*(MOVIMIENTOS!$D$5:$D$400="jabas")*(MOVIMIENTOS!$A$5:$A$400&lt;&gt;"")*(MOVIMIENTOS!$A$5:$A$400&lt;=$A63)*MOVIMIENTOS!$E$5:$E$400)-SUMPRODUCT((MOVIMIENTOS!$B$5:$B$400="VENTA")*(MOVIMIENTOS!$C$5:$C$400="P")*(MOVIMIENTOS!$D$5:$D$400="jabas")*(MOVIMIENTOS!$A$5:$A$400&lt;&gt;"")*(MOVIMIENTOS!$A$5:$A$400&lt;=$A63)*MOVIMIENTOS!$E$5:$E$400)+SUMPRODUCT((MOVIMIENTOS!$B$5:$B$400="AJUSTE")*(MOVIMIENTOS!$C$5:$C$400="P")*(MOVIMIENTOS!$D$5:$D$400="jabas")*(MOVIMIENTOS!$A$5:$A$400&lt;&gt;"")*(MOVIMIENTOS!$A$5:$A$400&lt;=$A63)*MOVIMIENTOS!$E$5:$E$400))</f>
        <v/>
      </c>
      <c r="D63" s="46" t="str">
        <f aca="false">IF($A63="","",SUMPRODUCT((MOVIMIENTOS!$B$5:$B$400="SALDO INICIAL")*(MOVIMIENTOS!$C$5:$C$400="C")*(MOVIMIENTOS!$D$5:$D$400="jabas")*(MOVIMIENTOS!$A$5:$A$400&lt;&gt;"")*(MOVIMIENTOS!$A$5:$A$400&lt;=$A63)*MOVIMIENTOS!$E$5:$E$400)+SUMPRODUCT((MOVIMIENTOS!$B$5:$B$400="PROCESO")*(MOVIMIENTOS!$C$5:$C$400="C")*(MOVIMIENTOS!$D$5:$D$400="jabas")*(MOVIMIENTOS!$A$5:$A$400&lt;&gt;"")*(MOVIMIENTOS!$A$5:$A$400&lt;=$A63)*MOVIMIENTOS!$E$5:$E$400)-SUMPRODUCT((MOVIMIENTOS!$B$5:$B$400="ENVÍO A SUPESA")*(MOVIMIENTOS!$C$5:$C$400="C")*(MOVIMIENTOS!$D$5:$D$400="jabas")*(MOVIMIENTOS!$A$5:$A$400&lt;&gt;"")*(MOVIMIENTOS!$A$5:$A$400&lt;=$A63)*MOVIMIENTOS!$E$5:$E$400)+SUMPRODUCT((MOVIMIENTOS!$B$5:$B$400="DEVOLUCIÓN")*(MOVIMIENTOS!$C$5:$C$400="C")*(MOVIMIENTOS!$D$5:$D$400="jabas")*(MOVIMIENTOS!$A$5:$A$400&lt;&gt;"")*(MOVIMIENTOS!$A$5:$A$400&lt;=$A63)*MOVIMIENTOS!$E$5:$E$400)-SUMPRODUCT((MOVIMIENTOS!$B$5:$B$400="TRASIEGO")*(MOVIMIENTOS!$C$5:$C$400="C")*(MOVIMIENTOS!$D$5:$D$400="jabas")*(MOVIMIENTOS!$A$5:$A$400&lt;&gt;"")*(MOVIMIENTOS!$A$5:$A$400&lt;=$A63)*MOVIMIENTOS!$E$5:$E$400)-SUMPRODUCT((MOVIMIENTOS!$B$5:$B$400="REGALO")*(MOVIMIENTOS!$C$5:$C$400="C")*(MOVIMIENTOS!$D$5:$D$400="jabas")*(MOVIMIENTOS!$A$5:$A$400&lt;&gt;"")*(MOVIMIENTOS!$A$5:$A$400&lt;=$A63)*MOVIMIENTOS!$E$5:$E$400)-SUMPRODUCT((MOVIMIENTOS!$B$5:$B$400="VENTA")*(MOVIMIENTOS!$C$5:$C$400="C")*(MOVIMIENTOS!$D$5:$D$400="jabas")*(MOVIMIENTOS!$A$5:$A$400&lt;&gt;"")*(MOVIMIENTOS!$A$5:$A$400&lt;=$A63)*MOVIMIENTOS!$E$5:$E$400)+SUMPRODUCT((MOVIMIENTOS!$B$5:$B$400="AJUSTE")*(MOVIMIENTOS!$C$5:$C$400="C")*(MOVIMIENTOS!$D$5:$D$400="jabas")*(MOVIMIENTOS!$A$5:$A$400&lt;&gt;"")*(MOVIMIENTOS!$A$5:$A$400&lt;=$A63)*MOVIMIENTOS!$E$5:$E$400))</f>
        <v/>
      </c>
      <c r="E63" s="46" t="str">
        <f aca="false">IF($A63="","",SUMPRODUCT((MOVIMIENTOS!$B$5:$B$400="SALDO INICIAL")*(MOVIMIENTOS!$C$5:$C$400="M")*(MOVIMIENTOS!$D$5:$D$400="jabas")*(MOVIMIENTOS!$A$5:$A$400&lt;&gt;"")*(MOVIMIENTOS!$A$5:$A$400&lt;=$A63)*MOVIMIENTOS!$E$5:$E$400)+SUMPRODUCT((MOVIMIENTOS!$B$5:$B$400="PROCESO")*(MOVIMIENTOS!$C$5:$C$400="M")*(MOVIMIENTOS!$D$5:$D$400="jabas")*(MOVIMIENTOS!$A$5:$A$400&lt;&gt;"")*(MOVIMIENTOS!$A$5:$A$400&lt;=$A63)*MOVIMIENTOS!$E$5:$E$400)-SUMPRODUCT((MOVIMIENTOS!$B$5:$B$400="ENVÍO A SUPESA")*(MOVIMIENTOS!$C$5:$C$400="M")*(MOVIMIENTOS!$D$5:$D$400="jabas")*(MOVIMIENTOS!$A$5:$A$400&lt;&gt;"")*(MOVIMIENTOS!$A$5:$A$400&lt;=$A63)*MOVIMIENTOS!$E$5:$E$400)+SUMPRODUCT((MOVIMIENTOS!$B$5:$B$400="DEVOLUCIÓN")*(MOVIMIENTOS!$C$5:$C$400="M")*(MOVIMIENTOS!$D$5:$D$400="jabas")*(MOVIMIENTOS!$A$5:$A$400&lt;&gt;"")*(MOVIMIENTOS!$A$5:$A$400&lt;=$A63)*MOVIMIENTOS!$E$5:$E$400)-SUMPRODUCT((MOVIMIENTOS!$B$5:$B$400="TRASIEGO")*(MOVIMIENTOS!$C$5:$C$400="M")*(MOVIMIENTOS!$D$5:$D$400="jabas")*(MOVIMIENTOS!$A$5:$A$400&lt;&gt;"")*(MOVIMIENTOS!$A$5:$A$400&lt;=$A63)*MOVIMIENTOS!$E$5:$E$400)-SUMPRODUCT((MOVIMIENTOS!$B$5:$B$400="REGALO")*(MOVIMIENTOS!$C$5:$C$400="M")*(MOVIMIENTOS!$D$5:$D$400="jabas")*(MOVIMIENTOS!$A$5:$A$400&lt;&gt;"")*(MOVIMIENTOS!$A$5:$A$400&lt;=$A63)*MOVIMIENTOS!$E$5:$E$400)-SUMPRODUCT((MOVIMIENTOS!$B$5:$B$400="VENTA")*(MOVIMIENTOS!$C$5:$C$400="M")*(MOVIMIENTOS!$D$5:$D$400="jabas")*(MOVIMIENTOS!$A$5:$A$400&lt;&gt;"")*(MOVIMIENTOS!$A$5:$A$400&lt;=$A63)*MOVIMIENTOS!$E$5:$E$400)+SUMPRODUCT((MOVIMIENTOS!$B$5:$B$400="AJUSTE")*(MOVIMIENTOS!$C$5:$C$400="M")*(MOVIMIENTOS!$D$5:$D$400="jabas")*(MOVIMIENTOS!$A$5:$A$400&lt;&gt;"")*(MOVIMIENTOS!$A$5:$A$400&lt;=$A63)*MOVIMIENTOS!$E$5:$E$400))</f>
        <v/>
      </c>
      <c r="F63" s="46" t="str">
        <f aca="false">IF($A63="","",SUMPRODUCT((MOVIMIENTOS!$B$5:$B$400="SALDO INICIAL")*(MOVIMIENTOS!$C$5:$C$400="Chancho")*(MOVIMIENTOS!$D$5:$D$400="sacos")*(MOVIMIENTOS!$A$5:$A$400&lt;&gt;"")*(MOVIMIENTOS!$A$5:$A$400&lt;=$A63)*MOVIMIENTOS!$E$5:$E$400)+SUMPRODUCT((MOVIMIENTOS!$B$5:$B$400="PROCESO")*(MOVIMIENTOS!$C$5:$C$400="Chancho")*(MOVIMIENTOS!$D$5:$D$400="sacos")*(MOVIMIENTOS!$A$5:$A$400&lt;&gt;"")*(MOVIMIENTOS!$A$5:$A$400&lt;=$A63)*MOVIMIENTOS!$E$5:$E$400)-SUMPRODUCT((MOVIMIENTOS!$B$5:$B$400="VENTA CHANCHO")*(MOVIMIENTOS!$C$5:$C$400="Chancho")*(MOVIMIENTOS!$D$5:$D$400="sacos")*(MOVIMIENTOS!$A$5:$A$400&lt;&gt;"")*(MOVIMIENTOS!$A$5:$A$400&lt;=$A63)*MOVIMIENTOS!$E$5:$E$400)-SUMPRODUCT((MOVIMIENTOS!$B$5:$B$400="REGALO")*(MOVIMIENTOS!$C$5:$C$400="Chancho")*(MOVIMIENTOS!$D$5:$D$400="sacos")*(MOVIMIENTOS!$A$5:$A$400&lt;&gt;"")*(MOVIMIENTOS!$A$5:$A$400&lt;=$A63)*MOVIMIENTOS!$E$5:$E$400)-SUMPRODUCT((MOVIMIENTOS!$B$5:$B$400="VENTA")*(MOVIMIENTOS!$C$5:$C$400="Chancho")*(MOVIMIENTOS!$D$5:$D$400="sacos")*(MOVIMIENTOS!$A$5:$A$400&lt;&gt;"")*(MOVIMIENTOS!$A$5:$A$400&lt;=$A63)*MOVIMIENTOS!$E$5:$E$400)+SUMPRODUCT((MOVIMIENTOS!$B$5:$B$400="AJUSTE")*(MOVIMIENTOS!$C$5:$C$400="Chancho")*(MOVIMIENTOS!$D$5:$D$400="sacos")*(MOVIMIENTOS!$A$5:$A$400&lt;&gt;"")*(MOVIMIENTOS!$A$5:$A$400&lt;=$A63)*MOVIMIENTOS!$E$5:$E$400))</f>
        <v/>
      </c>
      <c r="G63" s="46" t="str">
        <f aca="false">IF($A63="","",SUM(B63:E63))</f>
        <v/>
      </c>
      <c r="H63" s="46" t="str">
        <f aca="false">IF($A63="","",SUMPRODUCT((((MOVIMIENTOS!$B$5:$B$400="SALDO INICIAL")*(MOVIMIENTOS!$C$5:$C$400&lt;&gt;"Chancho"))+(MOVIMIENTOS!$B$5:$B$400="COMPRA")+(MOVIMIENTOS!$B$5:$B$400="REPROCESO")+(MOVIMIENTOS!$B$5:$B$400="DEVOLUCIÓN")+((MOVIMIENTOS!$B$5:$B$400="AJUSTE")*(MOVIMIENTOS!$C$5:$C$400&lt;&gt;"Chancho")))*(MOVIMIENTOS!$A$5:$A$400&lt;&gt;"")*(MOVIMIENTOS!$A$5:$A$400&lt;=$A63)*MOVIMIENTOS!$I$5:$I$400)-SUMPRODUCT(((MOVIMIENTOS!$B$5:$B$400="ENVÍO A SUPESA")+(MOVIMIENTOS!$B$5:$B$400="ENVÍO A TOTTUS")+(MOVIMIENTOS!$B$5:$B$400="ENVIO A TOTTUS")+(MOVIMIENTOS!$B$5:$B$400="MALOGRADO")+(MOVIMIENTOS!$B$5:$B$400="OTRA SALIDA")+((MOVIMIENTOS!$B$5:$B$400="PROCESO")*(MOVIMIENTOS!$C$5:$C$400="Chancho"))+((MOVIMIENTOS!$B$5:$B$400="REGALO")*(MOVIMIENTOS!$C$5:$C$400&lt;&gt;"Chancho"))+((MOVIMIENTOS!$B$5:$B$400="VENTA")*(MOVIMIENTOS!$C$5:$C$400&lt;&gt;"Chancho")))*(MOVIMIENTOS!$A$5:$A$400&lt;&gt;"")*(MOVIMIENTOS!$A$5:$A$400&lt;=$A63)*MOVIMIENTOS!$I$5:$I$400))</f>
        <v/>
      </c>
      <c r="I63" s="44"/>
      <c r="J63" s="44" t="str">
        <f aca="false">IF(AND(MOVIMIENTOS!$A63&lt;&gt;"",COUNTIF(MOVIMIENTOS!$A$5:$A62,MOVIMIENTOS!$A63)=0),COUNT(J$4:J62)+1,"")</f>
        <v/>
      </c>
      <c r="K63" s="47" t="n">
        <f aca="false">MOVIMIENTOS!$A63</f>
        <v>46220</v>
      </c>
      <c r="L63" s="44"/>
      <c r="M63" s="44"/>
      <c r="N63" s="44"/>
    </row>
    <row r="64" customFormat="false" ht="15" hidden="false" customHeight="true" outlineLevel="0" collapsed="false">
      <c r="A64" s="45" t="str">
        <f aca="false">IFERROR(INDEX(K$5:K$400,MATCH(ROW()-4,J$5:J$400,0)),"")</f>
        <v/>
      </c>
      <c r="B64" s="46" t="str">
        <f aca="false">IF($A64="","",SUMPRODUCT((MOVIMIENTOS!$B$5:$B$400="SALDO INICIAL")*(MOVIMIENTOS!$C$5:$C$400="A")*(MOVIMIENTOS!$D$5:$D$400="jabas")*(MOVIMIENTOS!$A$5:$A$400&lt;&gt;"")*(MOVIMIENTOS!$A$5:$A$400&lt;=$A64)*MOVIMIENTOS!$E$5:$E$400)+SUMPRODUCT((MOVIMIENTOS!$B$5:$B$400="PROCESO")*(MOVIMIENTOS!$C$5:$C$400="A")*(MOVIMIENTOS!$D$5:$D$400="jabas")*(MOVIMIENTOS!$A$5:$A$400&lt;&gt;"")*(MOVIMIENTOS!$A$5:$A$400&lt;=$A64)*MOVIMIENTOS!$E$5:$E$400)-SUMPRODUCT((MOVIMIENTOS!$B$5:$B$400="ENVÍO A SUPESA")*(MOVIMIENTOS!$C$5:$C$400="A")*(MOVIMIENTOS!$D$5:$D$400="jabas")*(MOVIMIENTOS!$A$5:$A$400&lt;&gt;"")*(MOVIMIENTOS!$A$5:$A$400&lt;=$A64)*MOVIMIENTOS!$E$5:$E$400)+SUMPRODUCT((MOVIMIENTOS!$B$5:$B$400="DEVOLUCIÓN")*(MOVIMIENTOS!$C$5:$C$400="A")*(MOVIMIENTOS!$D$5:$D$400="jabas")*(MOVIMIENTOS!$A$5:$A$400&lt;&gt;"")*(MOVIMIENTOS!$A$5:$A$400&lt;=$A64)*MOVIMIENTOS!$E$5:$E$400)-SUMPRODUCT((MOVIMIENTOS!$B$5:$B$400="TRASIEGO")*(MOVIMIENTOS!$C$5:$C$400="A")*(MOVIMIENTOS!$D$5:$D$400="jabas")*(MOVIMIENTOS!$A$5:$A$400&lt;&gt;"")*(MOVIMIENTOS!$A$5:$A$400&lt;=$A64)*MOVIMIENTOS!$E$5:$E$400)-SUMPRODUCT((MOVIMIENTOS!$B$5:$B$400="REGALO")*(MOVIMIENTOS!$C$5:$C$400="A")*(MOVIMIENTOS!$D$5:$D$400="jabas")*(MOVIMIENTOS!$A$5:$A$400&lt;&gt;"")*(MOVIMIENTOS!$A$5:$A$400&lt;=$A64)*MOVIMIENTOS!$E$5:$E$400)-SUMPRODUCT((MOVIMIENTOS!$B$5:$B$400="VENTA")*(MOVIMIENTOS!$C$5:$C$400="A")*(MOVIMIENTOS!$D$5:$D$400="jabas")*(MOVIMIENTOS!$A$5:$A$400&lt;&gt;"")*(MOVIMIENTOS!$A$5:$A$400&lt;=$A64)*MOVIMIENTOS!$E$5:$E$400)+SUMPRODUCT((MOVIMIENTOS!$B$5:$B$400="AJUSTE")*(MOVIMIENTOS!$C$5:$C$400="A")*(MOVIMIENTOS!$D$5:$D$400="jabas")*(MOVIMIENTOS!$A$5:$A$400&lt;&gt;"")*(MOVIMIENTOS!$A$5:$A$400&lt;=$A64)*MOVIMIENTOS!$E$5:$E$400))</f>
        <v/>
      </c>
      <c r="C64" s="46" t="str">
        <f aca="false">IF($A64="","",SUMPRODUCT((MOVIMIENTOS!$B$5:$B$400="SALDO INICIAL")*(MOVIMIENTOS!$C$5:$C$400="P")*(MOVIMIENTOS!$D$5:$D$400="jabas")*(MOVIMIENTOS!$A$5:$A$400&lt;&gt;"")*(MOVIMIENTOS!$A$5:$A$400&lt;=$A64)*MOVIMIENTOS!$E$5:$E$400)+SUMPRODUCT((MOVIMIENTOS!$B$5:$B$400="PROCESO")*(MOVIMIENTOS!$C$5:$C$400="P")*(MOVIMIENTOS!$D$5:$D$400="jabas")*(MOVIMIENTOS!$A$5:$A$400&lt;&gt;"")*(MOVIMIENTOS!$A$5:$A$400&lt;=$A64)*MOVIMIENTOS!$E$5:$E$400)-SUMPRODUCT((MOVIMIENTOS!$B$5:$B$400="ENVÍO A SUPESA")*(MOVIMIENTOS!$C$5:$C$400="P")*(MOVIMIENTOS!$D$5:$D$400="jabas")*(MOVIMIENTOS!$A$5:$A$400&lt;&gt;"")*(MOVIMIENTOS!$A$5:$A$400&lt;=$A64)*MOVIMIENTOS!$E$5:$E$400)+SUMPRODUCT((MOVIMIENTOS!$B$5:$B$400="DEVOLUCIÓN")*(MOVIMIENTOS!$C$5:$C$400="P")*(MOVIMIENTOS!$D$5:$D$400="jabas")*(MOVIMIENTOS!$A$5:$A$400&lt;&gt;"")*(MOVIMIENTOS!$A$5:$A$400&lt;=$A64)*MOVIMIENTOS!$E$5:$E$400)-SUMPRODUCT((MOVIMIENTOS!$B$5:$B$400="TRASIEGO")*(MOVIMIENTOS!$C$5:$C$400="P")*(MOVIMIENTOS!$D$5:$D$400="jabas")*(MOVIMIENTOS!$A$5:$A$400&lt;&gt;"")*(MOVIMIENTOS!$A$5:$A$400&lt;=$A64)*MOVIMIENTOS!$E$5:$E$400)-SUMPRODUCT((MOVIMIENTOS!$B$5:$B$400="REGALO")*(MOVIMIENTOS!$C$5:$C$400="P")*(MOVIMIENTOS!$D$5:$D$400="jabas")*(MOVIMIENTOS!$A$5:$A$400&lt;&gt;"")*(MOVIMIENTOS!$A$5:$A$400&lt;=$A64)*MOVIMIENTOS!$E$5:$E$400)-SUMPRODUCT((MOVIMIENTOS!$B$5:$B$400="VENTA")*(MOVIMIENTOS!$C$5:$C$400="P")*(MOVIMIENTOS!$D$5:$D$400="jabas")*(MOVIMIENTOS!$A$5:$A$400&lt;&gt;"")*(MOVIMIENTOS!$A$5:$A$400&lt;=$A64)*MOVIMIENTOS!$E$5:$E$400)+SUMPRODUCT((MOVIMIENTOS!$B$5:$B$400="AJUSTE")*(MOVIMIENTOS!$C$5:$C$400="P")*(MOVIMIENTOS!$D$5:$D$400="jabas")*(MOVIMIENTOS!$A$5:$A$400&lt;&gt;"")*(MOVIMIENTOS!$A$5:$A$400&lt;=$A64)*MOVIMIENTOS!$E$5:$E$400))</f>
        <v/>
      </c>
      <c r="D64" s="46" t="str">
        <f aca="false">IF($A64="","",SUMPRODUCT((MOVIMIENTOS!$B$5:$B$400="SALDO INICIAL")*(MOVIMIENTOS!$C$5:$C$400="C")*(MOVIMIENTOS!$D$5:$D$400="jabas")*(MOVIMIENTOS!$A$5:$A$400&lt;&gt;"")*(MOVIMIENTOS!$A$5:$A$400&lt;=$A64)*MOVIMIENTOS!$E$5:$E$400)+SUMPRODUCT((MOVIMIENTOS!$B$5:$B$400="PROCESO")*(MOVIMIENTOS!$C$5:$C$400="C")*(MOVIMIENTOS!$D$5:$D$400="jabas")*(MOVIMIENTOS!$A$5:$A$400&lt;&gt;"")*(MOVIMIENTOS!$A$5:$A$400&lt;=$A64)*MOVIMIENTOS!$E$5:$E$400)-SUMPRODUCT((MOVIMIENTOS!$B$5:$B$400="ENVÍO A SUPESA")*(MOVIMIENTOS!$C$5:$C$400="C")*(MOVIMIENTOS!$D$5:$D$400="jabas")*(MOVIMIENTOS!$A$5:$A$400&lt;&gt;"")*(MOVIMIENTOS!$A$5:$A$400&lt;=$A64)*MOVIMIENTOS!$E$5:$E$400)+SUMPRODUCT((MOVIMIENTOS!$B$5:$B$400="DEVOLUCIÓN")*(MOVIMIENTOS!$C$5:$C$400="C")*(MOVIMIENTOS!$D$5:$D$400="jabas")*(MOVIMIENTOS!$A$5:$A$400&lt;&gt;"")*(MOVIMIENTOS!$A$5:$A$400&lt;=$A64)*MOVIMIENTOS!$E$5:$E$400)-SUMPRODUCT((MOVIMIENTOS!$B$5:$B$400="TRASIEGO")*(MOVIMIENTOS!$C$5:$C$400="C")*(MOVIMIENTOS!$D$5:$D$400="jabas")*(MOVIMIENTOS!$A$5:$A$400&lt;&gt;"")*(MOVIMIENTOS!$A$5:$A$400&lt;=$A64)*MOVIMIENTOS!$E$5:$E$400)-SUMPRODUCT((MOVIMIENTOS!$B$5:$B$400="REGALO")*(MOVIMIENTOS!$C$5:$C$400="C")*(MOVIMIENTOS!$D$5:$D$400="jabas")*(MOVIMIENTOS!$A$5:$A$400&lt;&gt;"")*(MOVIMIENTOS!$A$5:$A$400&lt;=$A64)*MOVIMIENTOS!$E$5:$E$400)-SUMPRODUCT((MOVIMIENTOS!$B$5:$B$400="VENTA")*(MOVIMIENTOS!$C$5:$C$400="C")*(MOVIMIENTOS!$D$5:$D$400="jabas")*(MOVIMIENTOS!$A$5:$A$400&lt;&gt;"")*(MOVIMIENTOS!$A$5:$A$400&lt;=$A64)*MOVIMIENTOS!$E$5:$E$400)+SUMPRODUCT((MOVIMIENTOS!$B$5:$B$400="AJUSTE")*(MOVIMIENTOS!$C$5:$C$400="C")*(MOVIMIENTOS!$D$5:$D$400="jabas")*(MOVIMIENTOS!$A$5:$A$400&lt;&gt;"")*(MOVIMIENTOS!$A$5:$A$400&lt;=$A64)*MOVIMIENTOS!$E$5:$E$400))</f>
        <v/>
      </c>
      <c r="E64" s="46" t="str">
        <f aca="false">IF($A64="","",SUMPRODUCT((MOVIMIENTOS!$B$5:$B$400="SALDO INICIAL")*(MOVIMIENTOS!$C$5:$C$400="M")*(MOVIMIENTOS!$D$5:$D$400="jabas")*(MOVIMIENTOS!$A$5:$A$400&lt;&gt;"")*(MOVIMIENTOS!$A$5:$A$400&lt;=$A64)*MOVIMIENTOS!$E$5:$E$400)+SUMPRODUCT((MOVIMIENTOS!$B$5:$B$400="PROCESO")*(MOVIMIENTOS!$C$5:$C$400="M")*(MOVIMIENTOS!$D$5:$D$400="jabas")*(MOVIMIENTOS!$A$5:$A$400&lt;&gt;"")*(MOVIMIENTOS!$A$5:$A$400&lt;=$A64)*MOVIMIENTOS!$E$5:$E$400)-SUMPRODUCT((MOVIMIENTOS!$B$5:$B$400="ENVÍO A SUPESA")*(MOVIMIENTOS!$C$5:$C$400="M")*(MOVIMIENTOS!$D$5:$D$400="jabas")*(MOVIMIENTOS!$A$5:$A$400&lt;&gt;"")*(MOVIMIENTOS!$A$5:$A$400&lt;=$A64)*MOVIMIENTOS!$E$5:$E$400)+SUMPRODUCT((MOVIMIENTOS!$B$5:$B$400="DEVOLUCIÓN")*(MOVIMIENTOS!$C$5:$C$400="M")*(MOVIMIENTOS!$D$5:$D$400="jabas")*(MOVIMIENTOS!$A$5:$A$400&lt;&gt;"")*(MOVIMIENTOS!$A$5:$A$400&lt;=$A64)*MOVIMIENTOS!$E$5:$E$400)-SUMPRODUCT((MOVIMIENTOS!$B$5:$B$400="TRASIEGO")*(MOVIMIENTOS!$C$5:$C$400="M")*(MOVIMIENTOS!$D$5:$D$400="jabas")*(MOVIMIENTOS!$A$5:$A$400&lt;&gt;"")*(MOVIMIENTOS!$A$5:$A$400&lt;=$A64)*MOVIMIENTOS!$E$5:$E$400)-SUMPRODUCT((MOVIMIENTOS!$B$5:$B$400="REGALO")*(MOVIMIENTOS!$C$5:$C$400="M")*(MOVIMIENTOS!$D$5:$D$400="jabas")*(MOVIMIENTOS!$A$5:$A$400&lt;&gt;"")*(MOVIMIENTOS!$A$5:$A$400&lt;=$A64)*MOVIMIENTOS!$E$5:$E$400)-SUMPRODUCT((MOVIMIENTOS!$B$5:$B$400="VENTA")*(MOVIMIENTOS!$C$5:$C$400="M")*(MOVIMIENTOS!$D$5:$D$400="jabas")*(MOVIMIENTOS!$A$5:$A$400&lt;&gt;"")*(MOVIMIENTOS!$A$5:$A$400&lt;=$A64)*MOVIMIENTOS!$E$5:$E$400)+SUMPRODUCT((MOVIMIENTOS!$B$5:$B$400="AJUSTE")*(MOVIMIENTOS!$C$5:$C$400="M")*(MOVIMIENTOS!$D$5:$D$400="jabas")*(MOVIMIENTOS!$A$5:$A$400&lt;&gt;"")*(MOVIMIENTOS!$A$5:$A$400&lt;=$A64)*MOVIMIENTOS!$E$5:$E$400))</f>
        <v/>
      </c>
      <c r="F64" s="46" t="str">
        <f aca="false">IF($A64="","",SUMPRODUCT((MOVIMIENTOS!$B$5:$B$400="SALDO INICIAL")*(MOVIMIENTOS!$C$5:$C$400="Chancho")*(MOVIMIENTOS!$D$5:$D$400="sacos")*(MOVIMIENTOS!$A$5:$A$400&lt;&gt;"")*(MOVIMIENTOS!$A$5:$A$400&lt;=$A64)*MOVIMIENTOS!$E$5:$E$400)+SUMPRODUCT((MOVIMIENTOS!$B$5:$B$400="PROCESO")*(MOVIMIENTOS!$C$5:$C$400="Chancho")*(MOVIMIENTOS!$D$5:$D$400="sacos")*(MOVIMIENTOS!$A$5:$A$400&lt;&gt;"")*(MOVIMIENTOS!$A$5:$A$400&lt;=$A64)*MOVIMIENTOS!$E$5:$E$400)-SUMPRODUCT((MOVIMIENTOS!$B$5:$B$400="VENTA CHANCHO")*(MOVIMIENTOS!$C$5:$C$400="Chancho")*(MOVIMIENTOS!$D$5:$D$400="sacos")*(MOVIMIENTOS!$A$5:$A$400&lt;&gt;"")*(MOVIMIENTOS!$A$5:$A$400&lt;=$A64)*MOVIMIENTOS!$E$5:$E$400)-SUMPRODUCT((MOVIMIENTOS!$B$5:$B$400="REGALO")*(MOVIMIENTOS!$C$5:$C$400="Chancho")*(MOVIMIENTOS!$D$5:$D$400="sacos")*(MOVIMIENTOS!$A$5:$A$400&lt;&gt;"")*(MOVIMIENTOS!$A$5:$A$400&lt;=$A64)*MOVIMIENTOS!$E$5:$E$400)-SUMPRODUCT((MOVIMIENTOS!$B$5:$B$400="VENTA")*(MOVIMIENTOS!$C$5:$C$400="Chancho")*(MOVIMIENTOS!$D$5:$D$400="sacos")*(MOVIMIENTOS!$A$5:$A$400&lt;&gt;"")*(MOVIMIENTOS!$A$5:$A$400&lt;=$A64)*MOVIMIENTOS!$E$5:$E$400)+SUMPRODUCT((MOVIMIENTOS!$B$5:$B$400="AJUSTE")*(MOVIMIENTOS!$C$5:$C$400="Chancho")*(MOVIMIENTOS!$D$5:$D$400="sacos")*(MOVIMIENTOS!$A$5:$A$400&lt;&gt;"")*(MOVIMIENTOS!$A$5:$A$400&lt;=$A64)*MOVIMIENTOS!$E$5:$E$400))</f>
        <v/>
      </c>
      <c r="G64" s="46" t="str">
        <f aca="false">IF($A64="","",SUM(B64:E64))</f>
        <v/>
      </c>
      <c r="H64" s="46" t="str">
        <f aca="false">IF($A64="","",SUMPRODUCT((((MOVIMIENTOS!$B$5:$B$400="SALDO INICIAL")*(MOVIMIENTOS!$C$5:$C$400&lt;&gt;"Chancho"))+(MOVIMIENTOS!$B$5:$B$400="COMPRA")+(MOVIMIENTOS!$B$5:$B$400="REPROCESO")+(MOVIMIENTOS!$B$5:$B$400="DEVOLUCIÓN")+((MOVIMIENTOS!$B$5:$B$400="AJUSTE")*(MOVIMIENTOS!$C$5:$C$400&lt;&gt;"Chancho")))*(MOVIMIENTOS!$A$5:$A$400&lt;&gt;"")*(MOVIMIENTOS!$A$5:$A$400&lt;=$A64)*MOVIMIENTOS!$I$5:$I$400)-SUMPRODUCT(((MOVIMIENTOS!$B$5:$B$400="ENVÍO A SUPESA")+(MOVIMIENTOS!$B$5:$B$400="ENVÍO A TOTTUS")+(MOVIMIENTOS!$B$5:$B$400="ENVIO A TOTTUS")+(MOVIMIENTOS!$B$5:$B$400="MALOGRADO")+(MOVIMIENTOS!$B$5:$B$400="OTRA SALIDA")+((MOVIMIENTOS!$B$5:$B$400="PROCESO")*(MOVIMIENTOS!$C$5:$C$400="Chancho"))+((MOVIMIENTOS!$B$5:$B$400="REGALO")*(MOVIMIENTOS!$C$5:$C$400&lt;&gt;"Chancho"))+((MOVIMIENTOS!$B$5:$B$400="VENTA")*(MOVIMIENTOS!$C$5:$C$400&lt;&gt;"Chancho")))*(MOVIMIENTOS!$A$5:$A$400&lt;&gt;"")*(MOVIMIENTOS!$A$5:$A$400&lt;=$A64)*MOVIMIENTOS!$I$5:$I$400))</f>
        <v/>
      </c>
      <c r="I64" s="44"/>
      <c r="J64" s="44" t="str">
        <f aca="false">IF(AND(MOVIMIENTOS!$A64&lt;&gt;"",COUNTIF(MOVIMIENTOS!$A$5:$A63,MOVIMIENTOS!$A64)=0),COUNT(J$4:J63)+1,"")</f>
        <v/>
      </c>
      <c r="K64" s="47" t="n">
        <f aca="false">MOVIMIENTOS!$A64</f>
        <v>46220</v>
      </c>
      <c r="L64" s="44"/>
      <c r="M64" s="44"/>
      <c r="N64" s="44"/>
    </row>
    <row r="65" customFormat="false" ht="15" hidden="false" customHeight="true" outlineLevel="0" collapsed="false">
      <c r="A65" s="45" t="str">
        <f aca="false">IFERROR(INDEX(K$5:K$400,MATCH(ROW()-4,J$5:J$400,0)),"")</f>
        <v/>
      </c>
      <c r="B65" s="46" t="str">
        <f aca="false">IF($A65="","",SUMPRODUCT((MOVIMIENTOS!$B$5:$B$400="SALDO INICIAL")*(MOVIMIENTOS!$C$5:$C$400="A")*(MOVIMIENTOS!$D$5:$D$400="jabas")*(MOVIMIENTOS!$A$5:$A$400&lt;&gt;"")*(MOVIMIENTOS!$A$5:$A$400&lt;=$A65)*MOVIMIENTOS!$E$5:$E$400)+SUMPRODUCT((MOVIMIENTOS!$B$5:$B$400="PROCESO")*(MOVIMIENTOS!$C$5:$C$400="A")*(MOVIMIENTOS!$D$5:$D$400="jabas")*(MOVIMIENTOS!$A$5:$A$400&lt;&gt;"")*(MOVIMIENTOS!$A$5:$A$400&lt;=$A65)*MOVIMIENTOS!$E$5:$E$400)-SUMPRODUCT((MOVIMIENTOS!$B$5:$B$400="ENVÍO A SUPESA")*(MOVIMIENTOS!$C$5:$C$400="A")*(MOVIMIENTOS!$D$5:$D$400="jabas")*(MOVIMIENTOS!$A$5:$A$400&lt;&gt;"")*(MOVIMIENTOS!$A$5:$A$400&lt;=$A65)*MOVIMIENTOS!$E$5:$E$400)+SUMPRODUCT((MOVIMIENTOS!$B$5:$B$400="DEVOLUCIÓN")*(MOVIMIENTOS!$C$5:$C$400="A")*(MOVIMIENTOS!$D$5:$D$400="jabas")*(MOVIMIENTOS!$A$5:$A$400&lt;&gt;"")*(MOVIMIENTOS!$A$5:$A$400&lt;=$A65)*MOVIMIENTOS!$E$5:$E$400)-SUMPRODUCT((MOVIMIENTOS!$B$5:$B$400="TRASIEGO")*(MOVIMIENTOS!$C$5:$C$400="A")*(MOVIMIENTOS!$D$5:$D$400="jabas")*(MOVIMIENTOS!$A$5:$A$400&lt;&gt;"")*(MOVIMIENTOS!$A$5:$A$400&lt;=$A65)*MOVIMIENTOS!$E$5:$E$400)-SUMPRODUCT((MOVIMIENTOS!$B$5:$B$400="REGALO")*(MOVIMIENTOS!$C$5:$C$400="A")*(MOVIMIENTOS!$D$5:$D$400="jabas")*(MOVIMIENTOS!$A$5:$A$400&lt;&gt;"")*(MOVIMIENTOS!$A$5:$A$400&lt;=$A65)*MOVIMIENTOS!$E$5:$E$400)-SUMPRODUCT((MOVIMIENTOS!$B$5:$B$400="VENTA")*(MOVIMIENTOS!$C$5:$C$400="A")*(MOVIMIENTOS!$D$5:$D$400="jabas")*(MOVIMIENTOS!$A$5:$A$400&lt;&gt;"")*(MOVIMIENTOS!$A$5:$A$400&lt;=$A65)*MOVIMIENTOS!$E$5:$E$400)+SUMPRODUCT((MOVIMIENTOS!$B$5:$B$400="AJUSTE")*(MOVIMIENTOS!$C$5:$C$400="A")*(MOVIMIENTOS!$D$5:$D$400="jabas")*(MOVIMIENTOS!$A$5:$A$400&lt;&gt;"")*(MOVIMIENTOS!$A$5:$A$400&lt;=$A65)*MOVIMIENTOS!$E$5:$E$400))</f>
        <v/>
      </c>
      <c r="C65" s="46" t="str">
        <f aca="false">IF($A65="","",SUMPRODUCT((MOVIMIENTOS!$B$5:$B$400="SALDO INICIAL")*(MOVIMIENTOS!$C$5:$C$400="P")*(MOVIMIENTOS!$D$5:$D$400="jabas")*(MOVIMIENTOS!$A$5:$A$400&lt;&gt;"")*(MOVIMIENTOS!$A$5:$A$400&lt;=$A65)*MOVIMIENTOS!$E$5:$E$400)+SUMPRODUCT((MOVIMIENTOS!$B$5:$B$400="PROCESO")*(MOVIMIENTOS!$C$5:$C$400="P")*(MOVIMIENTOS!$D$5:$D$400="jabas")*(MOVIMIENTOS!$A$5:$A$400&lt;&gt;"")*(MOVIMIENTOS!$A$5:$A$400&lt;=$A65)*MOVIMIENTOS!$E$5:$E$400)-SUMPRODUCT((MOVIMIENTOS!$B$5:$B$400="ENVÍO A SUPESA")*(MOVIMIENTOS!$C$5:$C$400="P")*(MOVIMIENTOS!$D$5:$D$400="jabas")*(MOVIMIENTOS!$A$5:$A$400&lt;&gt;"")*(MOVIMIENTOS!$A$5:$A$400&lt;=$A65)*MOVIMIENTOS!$E$5:$E$400)+SUMPRODUCT((MOVIMIENTOS!$B$5:$B$400="DEVOLUCIÓN")*(MOVIMIENTOS!$C$5:$C$400="P")*(MOVIMIENTOS!$D$5:$D$400="jabas")*(MOVIMIENTOS!$A$5:$A$400&lt;&gt;"")*(MOVIMIENTOS!$A$5:$A$400&lt;=$A65)*MOVIMIENTOS!$E$5:$E$400)-SUMPRODUCT((MOVIMIENTOS!$B$5:$B$400="TRASIEGO")*(MOVIMIENTOS!$C$5:$C$400="P")*(MOVIMIENTOS!$D$5:$D$400="jabas")*(MOVIMIENTOS!$A$5:$A$400&lt;&gt;"")*(MOVIMIENTOS!$A$5:$A$400&lt;=$A65)*MOVIMIENTOS!$E$5:$E$400)-SUMPRODUCT((MOVIMIENTOS!$B$5:$B$400="REGALO")*(MOVIMIENTOS!$C$5:$C$400="P")*(MOVIMIENTOS!$D$5:$D$400="jabas")*(MOVIMIENTOS!$A$5:$A$400&lt;&gt;"")*(MOVIMIENTOS!$A$5:$A$400&lt;=$A65)*MOVIMIENTOS!$E$5:$E$400)-SUMPRODUCT((MOVIMIENTOS!$B$5:$B$400="VENTA")*(MOVIMIENTOS!$C$5:$C$400="P")*(MOVIMIENTOS!$D$5:$D$400="jabas")*(MOVIMIENTOS!$A$5:$A$400&lt;&gt;"")*(MOVIMIENTOS!$A$5:$A$400&lt;=$A65)*MOVIMIENTOS!$E$5:$E$400)+SUMPRODUCT((MOVIMIENTOS!$B$5:$B$400="AJUSTE")*(MOVIMIENTOS!$C$5:$C$400="P")*(MOVIMIENTOS!$D$5:$D$400="jabas")*(MOVIMIENTOS!$A$5:$A$400&lt;&gt;"")*(MOVIMIENTOS!$A$5:$A$400&lt;=$A65)*MOVIMIENTOS!$E$5:$E$400))</f>
        <v/>
      </c>
      <c r="D65" s="46" t="str">
        <f aca="false">IF($A65="","",SUMPRODUCT((MOVIMIENTOS!$B$5:$B$400="SALDO INICIAL")*(MOVIMIENTOS!$C$5:$C$400="C")*(MOVIMIENTOS!$D$5:$D$400="jabas")*(MOVIMIENTOS!$A$5:$A$400&lt;&gt;"")*(MOVIMIENTOS!$A$5:$A$400&lt;=$A65)*MOVIMIENTOS!$E$5:$E$400)+SUMPRODUCT((MOVIMIENTOS!$B$5:$B$400="PROCESO")*(MOVIMIENTOS!$C$5:$C$400="C")*(MOVIMIENTOS!$D$5:$D$400="jabas")*(MOVIMIENTOS!$A$5:$A$400&lt;&gt;"")*(MOVIMIENTOS!$A$5:$A$400&lt;=$A65)*MOVIMIENTOS!$E$5:$E$400)-SUMPRODUCT((MOVIMIENTOS!$B$5:$B$400="ENVÍO A SUPESA")*(MOVIMIENTOS!$C$5:$C$400="C")*(MOVIMIENTOS!$D$5:$D$400="jabas")*(MOVIMIENTOS!$A$5:$A$400&lt;&gt;"")*(MOVIMIENTOS!$A$5:$A$400&lt;=$A65)*MOVIMIENTOS!$E$5:$E$400)+SUMPRODUCT((MOVIMIENTOS!$B$5:$B$400="DEVOLUCIÓN")*(MOVIMIENTOS!$C$5:$C$400="C")*(MOVIMIENTOS!$D$5:$D$400="jabas")*(MOVIMIENTOS!$A$5:$A$400&lt;&gt;"")*(MOVIMIENTOS!$A$5:$A$400&lt;=$A65)*MOVIMIENTOS!$E$5:$E$400)-SUMPRODUCT((MOVIMIENTOS!$B$5:$B$400="TRASIEGO")*(MOVIMIENTOS!$C$5:$C$400="C")*(MOVIMIENTOS!$D$5:$D$400="jabas")*(MOVIMIENTOS!$A$5:$A$400&lt;&gt;"")*(MOVIMIENTOS!$A$5:$A$400&lt;=$A65)*MOVIMIENTOS!$E$5:$E$400)-SUMPRODUCT((MOVIMIENTOS!$B$5:$B$400="REGALO")*(MOVIMIENTOS!$C$5:$C$400="C")*(MOVIMIENTOS!$D$5:$D$400="jabas")*(MOVIMIENTOS!$A$5:$A$400&lt;&gt;"")*(MOVIMIENTOS!$A$5:$A$400&lt;=$A65)*MOVIMIENTOS!$E$5:$E$400)-SUMPRODUCT((MOVIMIENTOS!$B$5:$B$400="VENTA")*(MOVIMIENTOS!$C$5:$C$400="C")*(MOVIMIENTOS!$D$5:$D$400="jabas")*(MOVIMIENTOS!$A$5:$A$400&lt;&gt;"")*(MOVIMIENTOS!$A$5:$A$400&lt;=$A65)*MOVIMIENTOS!$E$5:$E$400)+SUMPRODUCT((MOVIMIENTOS!$B$5:$B$400="AJUSTE")*(MOVIMIENTOS!$C$5:$C$400="C")*(MOVIMIENTOS!$D$5:$D$400="jabas")*(MOVIMIENTOS!$A$5:$A$400&lt;&gt;"")*(MOVIMIENTOS!$A$5:$A$400&lt;=$A65)*MOVIMIENTOS!$E$5:$E$400))</f>
        <v/>
      </c>
      <c r="E65" s="46" t="str">
        <f aca="false">IF($A65="","",SUMPRODUCT((MOVIMIENTOS!$B$5:$B$400="SALDO INICIAL")*(MOVIMIENTOS!$C$5:$C$400="M")*(MOVIMIENTOS!$D$5:$D$400="jabas")*(MOVIMIENTOS!$A$5:$A$400&lt;&gt;"")*(MOVIMIENTOS!$A$5:$A$400&lt;=$A65)*MOVIMIENTOS!$E$5:$E$400)+SUMPRODUCT((MOVIMIENTOS!$B$5:$B$400="PROCESO")*(MOVIMIENTOS!$C$5:$C$400="M")*(MOVIMIENTOS!$D$5:$D$400="jabas")*(MOVIMIENTOS!$A$5:$A$400&lt;&gt;"")*(MOVIMIENTOS!$A$5:$A$400&lt;=$A65)*MOVIMIENTOS!$E$5:$E$400)-SUMPRODUCT((MOVIMIENTOS!$B$5:$B$400="ENVÍO A SUPESA")*(MOVIMIENTOS!$C$5:$C$400="M")*(MOVIMIENTOS!$D$5:$D$400="jabas")*(MOVIMIENTOS!$A$5:$A$400&lt;&gt;"")*(MOVIMIENTOS!$A$5:$A$400&lt;=$A65)*MOVIMIENTOS!$E$5:$E$400)+SUMPRODUCT((MOVIMIENTOS!$B$5:$B$400="DEVOLUCIÓN")*(MOVIMIENTOS!$C$5:$C$400="M")*(MOVIMIENTOS!$D$5:$D$400="jabas")*(MOVIMIENTOS!$A$5:$A$400&lt;&gt;"")*(MOVIMIENTOS!$A$5:$A$400&lt;=$A65)*MOVIMIENTOS!$E$5:$E$400)-SUMPRODUCT((MOVIMIENTOS!$B$5:$B$400="TRASIEGO")*(MOVIMIENTOS!$C$5:$C$400="M")*(MOVIMIENTOS!$D$5:$D$400="jabas")*(MOVIMIENTOS!$A$5:$A$400&lt;&gt;"")*(MOVIMIENTOS!$A$5:$A$400&lt;=$A65)*MOVIMIENTOS!$E$5:$E$400)-SUMPRODUCT((MOVIMIENTOS!$B$5:$B$400="REGALO")*(MOVIMIENTOS!$C$5:$C$400="M")*(MOVIMIENTOS!$D$5:$D$400="jabas")*(MOVIMIENTOS!$A$5:$A$400&lt;&gt;"")*(MOVIMIENTOS!$A$5:$A$400&lt;=$A65)*MOVIMIENTOS!$E$5:$E$400)-SUMPRODUCT((MOVIMIENTOS!$B$5:$B$400="VENTA")*(MOVIMIENTOS!$C$5:$C$400="M")*(MOVIMIENTOS!$D$5:$D$400="jabas")*(MOVIMIENTOS!$A$5:$A$400&lt;&gt;"")*(MOVIMIENTOS!$A$5:$A$400&lt;=$A65)*MOVIMIENTOS!$E$5:$E$400)+SUMPRODUCT((MOVIMIENTOS!$B$5:$B$400="AJUSTE")*(MOVIMIENTOS!$C$5:$C$400="M")*(MOVIMIENTOS!$D$5:$D$400="jabas")*(MOVIMIENTOS!$A$5:$A$400&lt;&gt;"")*(MOVIMIENTOS!$A$5:$A$400&lt;=$A65)*MOVIMIENTOS!$E$5:$E$400))</f>
        <v/>
      </c>
      <c r="F65" s="46" t="str">
        <f aca="false">IF($A65="","",SUMPRODUCT((MOVIMIENTOS!$B$5:$B$400="SALDO INICIAL")*(MOVIMIENTOS!$C$5:$C$400="Chancho")*(MOVIMIENTOS!$D$5:$D$400="sacos")*(MOVIMIENTOS!$A$5:$A$400&lt;&gt;"")*(MOVIMIENTOS!$A$5:$A$400&lt;=$A65)*MOVIMIENTOS!$E$5:$E$400)+SUMPRODUCT((MOVIMIENTOS!$B$5:$B$400="PROCESO")*(MOVIMIENTOS!$C$5:$C$400="Chancho")*(MOVIMIENTOS!$D$5:$D$400="sacos")*(MOVIMIENTOS!$A$5:$A$400&lt;&gt;"")*(MOVIMIENTOS!$A$5:$A$400&lt;=$A65)*MOVIMIENTOS!$E$5:$E$400)-SUMPRODUCT((MOVIMIENTOS!$B$5:$B$400="VENTA CHANCHO")*(MOVIMIENTOS!$C$5:$C$400="Chancho")*(MOVIMIENTOS!$D$5:$D$400="sacos")*(MOVIMIENTOS!$A$5:$A$400&lt;&gt;"")*(MOVIMIENTOS!$A$5:$A$400&lt;=$A65)*MOVIMIENTOS!$E$5:$E$400)-SUMPRODUCT((MOVIMIENTOS!$B$5:$B$400="REGALO")*(MOVIMIENTOS!$C$5:$C$400="Chancho")*(MOVIMIENTOS!$D$5:$D$400="sacos")*(MOVIMIENTOS!$A$5:$A$400&lt;&gt;"")*(MOVIMIENTOS!$A$5:$A$400&lt;=$A65)*MOVIMIENTOS!$E$5:$E$400)-SUMPRODUCT((MOVIMIENTOS!$B$5:$B$400="VENTA")*(MOVIMIENTOS!$C$5:$C$400="Chancho")*(MOVIMIENTOS!$D$5:$D$400="sacos")*(MOVIMIENTOS!$A$5:$A$400&lt;&gt;"")*(MOVIMIENTOS!$A$5:$A$400&lt;=$A65)*MOVIMIENTOS!$E$5:$E$400)+SUMPRODUCT((MOVIMIENTOS!$B$5:$B$400="AJUSTE")*(MOVIMIENTOS!$C$5:$C$400="Chancho")*(MOVIMIENTOS!$D$5:$D$400="sacos")*(MOVIMIENTOS!$A$5:$A$400&lt;&gt;"")*(MOVIMIENTOS!$A$5:$A$400&lt;=$A65)*MOVIMIENTOS!$E$5:$E$400))</f>
        <v/>
      </c>
      <c r="G65" s="46" t="str">
        <f aca="false">IF($A65="","",SUM(B65:E65))</f>
        <v/>
      </c>
      <c r="H65" s="46" t="str">
        <f aca="false">IF($A65="","",SUMPRODUCT((((MOVIMIENTOS!$B$5:$B$400="SALDO INICIAL")*(MOVIMIENTOS!$C$5:$C$400&lt;&gt;"Chancho"))+(MOVIMIENTOS!$B$5:$B$400="COMPRA")+(MOVIMIENTOS!$B$5:$B$400="REPROCESO")+(MOVIMIENTOS!$B$5:$B$400="DEVOLUCIÓN")+((MOVIMIENTOS!$B$5:$B$400="AJUSTE")*(MOVIMIENTOS!$C$5:$C$400&lt;&gt;"Chancho")))*(MOVIMIENTOS!$A$5:$A$400&lt;&gt;"")*(MOVIMIENTOS!$A$5:$A$400&lt;=$A65)*MOVIMIENTOS!$I$5:$I$400)-SUMPRODUCT(((MOVIMIENTOS!$B$5:$B$400="ENVÍO A SUPESA")+(MOVIMIENTOS!$B$5:$B$400="ENVÍO A TOTTUS")+(MOVIMIENTOS!$B$5:$B$400="ENVIO A TOTTUS")+(MOVIMIENTOS!$B$5:$B$400="MALOGRADO")+(MOVIMIENTOS!$B$5:$B$400="OTRA SALIDA")+((MOVIMIENTOS!$B$5:$B$400="PROCESO")*(MOVIMIENTOS!$C$5:$C$400="Chancho"))+((MOVIMIENTOS!$B$5:$B$400="REGALO")*(MOVIMIENTOS!$C$5:$C$400&lt;&gt;"Chancho"))+((MOVIMIENTOS!$B$5:$B$400="VENTA")*(MOVIMIENTOS!$C$5:$C$400&lt;&gt;"Chancho")))*(MOVIMIENTOS!$A$5:$A$400&lt;&gt;"")*(MOVIMIENTOS!$A$5:$A$400&lt;=$A65)*MOVIMIENTOS!$I$5:$I$400))</f>
        <v/>
      </c>
      <c r="I65" s="44"/>
      <c r="J65" s="44" t="str">
        <f aca="false">IF(AND(MOVIMIENTOS!$A65&lt;&gt;"",COUNTIF(MOVIMIENTOS!$A$5:$A64,MOVIMIENTOS!$A65)=0),COUNT(J$4:J64)+1,"")</f>
        <v/>
      </c>
      <c r="K65" s="47" t="n">
        <f aca="false">MOVIMIENTOS!$A65</f>
        <v>46220</v>
      </c>
      <c r="L65" s="44"/>
      <c r="M65" s="44"/>
      <c r="N65" s="44"/>
    </row>
    <row r="66" customFormat="false" ht="15" hidden="false" customHeight="true" outlineLevel="0" collapsed="false">
      <c r="A66" s="45" t="str">
        <f aca="false">IFERROR(INDEX(K$5:K$400,MATCH(ROW()-4,J$5:J$400,0)),"")</f>
        <v/>
      </c>
      <c r="B66" s="46" t="str">
        <f aca="false">IF($A66="","",SUMPRODUCT((MOVIMIENTOS!$B$5:$B$400="SALDO INICIAL")*(MOVIMIENTOS!$C$5:$C$400="A")*(MOVIMIENTOS!$D$5:$D$400="jabas")*(MOVIMIENTOS!$A$5:$A$400&lt;&gt;"")*(MOVIMIENTOS!$A$5:$A$400&lt;=$A66)*MOVIMIENTOS!$E$5:$E$400)+SUMPRODUCT((MOVIMIENTOS!$B$5:$B$400="PROCESO")*(MOVIMIENTOS!$C$5:$C$400="A")*(MOVIMIENTOS!$D$5:$D$400="jabas")*(MOVIMIENTOS!$A$5:$A$400&lt;&gt;"")*(MOVIMIENTOS!$A$5:$A$400&lt;=$A66)*MOVIMIENTOS!$E$5:$E$400)-SUMPRODUCT((MOVIMIENTOS!$B$5:$B$400="ENVÍO A SUPESA")*(MOVIMIENTOS!$C$5:$C$400="A")*(MOVIMIENTOS!$D$5:$D$400="jabas")*(MOVIMIENTOS!$A$5:$A$400&lt;&gt;"")*(MOVIMIENTOS!$A$5:$A$400&lt;=$A66)*MOVIMIENTOS!$E$5:$E$400)+SUMPRODUCT((MOVIMIENTOS!$B$5:$B$400="DEVOLUCIÓN")*(MOVIMIENTOS!$C$5:$C$400="A")*(MOVIMIENTOS!$D$5:$D$400="jabas")*(MOVIMIENTOS!$A$5:$A$400&lt;&gt;"")*(MOVIMIENTOS!$A$5:$A$400&lt;=$A66)*MOVIMIENTOS!$E$5:$E$400)-SUMPRODUCT((MOVIMIENTOS!$B$5:$B$400="TRASIEGO")*(MOVIMIENTOS!$C$5:$C$400="A")*(MOVIMIENTOS!$D$5:$D$400="jabas")*(MOVIMIENTOS!$A$5:$A$400&lt;&gt;"")*(MOVIMIENTOS!$A$5:$A$400&lt;=$A66)*MOVIMIENTOS!$E$5:$E$400)-SUMPRODUCT((MOVIMIENTOS!$B$5:$B$400="REGALO")*(MOVIMIENTOS!$C$5:$C$400="A")*(MOVIMIENTOS!$D$5:$D$400="jabas")*(MOVIMIENTOS!$A$5:$A$400&lt;&gt;"")*(MOVIMIENTOS!$A$5:$A$400&lt;=$A66)*MOVIMIENTOS!$E$5:$E$400)-SUMPRODUCT((MOVIMIENTOS!$B$5:$B$400="VENTA")*(MOVIMIENTOS!$C$5:$C$400="A")*(MOVIMIENTOS!$D$5:$D$400="jabas")*(MOVIMIENTOS!$A$5:$A$400&lt;&gt;"")*(MOVIMIENTOS!$A$5:$A$400&lt;=$A66)*MOVIMIENTOS!$E$5:$E$400)+SUMPRODUCT((MOVIMIENTOS!$B$5:$B$400="AJUSTE")*(MOVIMIENTOS!$C$5:$C$400="A")*(MOVIMIENTOS!$D$5:$D$400="jabas")*(MOVIMIENTOS!$A$5:$A$400&lt;&gt;"")*(MOVIMIENTOS!$A$5:$A$400&lt;=$A66)*MOVIMIENTOS!$E$5:$E$400))</f>
        <v/>
      </c>
      <c r="C66" s="46" t="str">
        <f aca="false">IF($A66="","",SUMPRODUCT((MOVIMIENTOS!$B$5:$B$400="SALDO INICIAL")*(MOVIMIENTOS!$C$5:$C$400="P")*(MOVIMIENTOS!$D$5:$D$400="jabas")*(MOVIMIENTOS!$A$5:$A$400&lt;&gt;"")*(MOVIMIENTOS!$A$5:$A$400&lt;=$A66)*MOVIMIENTOS!$E$5:$E$400)+SUMPRODUCT((MOVIMIENTOS!$B$5:$B$400="PROCESO")*(MOVIMIENTOS!$C$5:$C$400="P")*(MOVIMIENTOS!$D$5:$D$400="jabas")*(MOVIMIENTOS!$A$5:$A$400&lt;&gt;"")*(MOVIMIENTOS!$A$5:$A$400&lt;=$A66)*MOVIMIENTOS!$E$5:$E$400)-SUMPRODUCT((MOVIMIENTOS!$B$5:$B$400="ENVÍO A SUPESA")*(MOVIMIENTOS!$C$5:$C$400="P")*(MOVIMIENTOS!$D$5:$D$400="jabas")*(MOVIMIENTOS!$A$5:$A$400&lt;&gt;"")*(MOVIMIENTOS!$A$5:$A$400&lt;=$A66)*MOVIMIENTOS!$E$5:$E$400)+SUMPRODUCT((MOVIMIENTOS!$B$5:$B$400="DEVOLUCIÓN")*(MOVIMIENTOS!$C$5:$C$400="P")*(MOVIMIENTOS!$D$5:$D$400="jabas")*(MOVIMIENTOS!$A$5:$A$400&lt;&gt;"")*(MOVIMIENTOS!$A$5:$A$400&lt;=$A66)*MOVIMIENTOS!$E$5:$E$400)-SUMPRODUCT((MOVIMIENTOS!$B$5:$B$400="TRASIEGO")*(MOVIMIENTOS!$C$5:$C$400="P")*(MOVIMIENTOS!$D$5:$D$400="jabas")*(MOVIMIENTOS!$A$5:$A$400&lt;&gt;"")*(MOVIMIENTOS!$A$5:$A$400&lt;=$A66)*MOVIMIENTOS!$E$5:$E$400)-SUMPRODUCT((MOVIMIENTOS!$B$5:$B$400="REGALO")*(MOVIMIENTOS!$C$5:$C$400="P")*(MOVIMIENTOS!$D$5:$D$400="jabas")*(MOVIMIENTOS!$A$5:$A$400&lt;&gt;"")*(MOVIMIENTOS!$A$5:$A$400&lt;=$A66)*MOVIMIENTOS!$E$5:$E$400)-SUMPRODUCT((MOVIMIENTOS!$B$5:$B$400="VENTA")*(MOVIMIENTOS!$C$5:$C$400="P")*(MOVIMIENTOS!$D$5:$D$400="jabas")*(MOVIMIENTOS!$A$5:$A$400&lt;&gt;"")*(MOVIMIENTOS!$A$5:$A$400&lt;=$A66)*MOVIMIENTOS!$E$5:$E$400)+SUMPRODUCT((MOVIMIENTOS!$B$5:$B$400="AJUSTE")*(MOVIMIENTOS!$C$5:$C$400="P")*(MOVIMIENTOS!$D$5:$D$400="jabas")*(MOVIMIENTOS!$A$5:$A$400&lt;&gt;"")*(MOVIMIENTOS!$A$5:$A$400&lt;=$A66)*MOVIMIENTOS!$E$5:$E$400))</f>
        <v/>
      </c>
      <c r="D66" s="46" t="str">
        <f aca="false">IF($A66="","",SUMPRODUCT((MOVIMIENTOS!$B$5:$B$400="SALDO INICIAL")*(MOVIMIENTOS!$C$5:$C$400="C")*(MOVIMIENTOS!$D$5:$D$400="jabas")*(MOVIMIENTOS!$A$5:$A$400&lt;&gt;"")*(MOVIMIENTOS!$A$5:$A$400&lt;=$A66)*MOVIMIENTOS!$E$5:$E$400)+SUMPRODUCT((MOVIMIENTOS!$B$5:$B$400="PROCESO")*(MOVIMIENTOS!$C$5:$C$400="C")*(MOVIMIENTOS!$D$5:$D$400="jabas")*(MOVIMIENTOS!$A$5:$A$400&lt;&gt;"")*(MOVIMIENTOS!$A$5:$A$400&lt;=$A66)*MOVIMIENTOS!$E$5:$E$400)-SUMPRODUCT((MOVIMIENTOS!$B$5:$B$400="ENVÍO A SUPESA")*(MOVIMIENTOS!$C$5:$C$400="C")*(MOVIMIENTOS!$D$5:$D$400="jabas")*(MOVIMIENTOS!$A$5:$A$400&lt;&gt;"")*(MOVIMIENTOS!$A$5:$A$400&lt;=$A66)*MOVIMIENTOS!$E$5:$E$400)+SUMPRODUCT((MOVIMIENTOS!$B$5:$B$400="DEVOLUCIÓN")*(MOVIMIENTOS!$C$5:$C$400="C")*(MOVIMIENTOS!$D$5:$D$400="jabas")*(MOVIMIENTOS!$A$5:$A$400&lt;&gt;"")*(MOVIMIENTOS!$A$5:$A$400&lt;=$A66)*MOVIMIENTOS!$E$5:$E$400)-SUMPRODUCT((MOVIMIENTOS!$B$5:$B$400="TRASIEGO")*(MOVIMIENTOS!$C$5:$C$400="C")*(MOVIMIENTOS!$D$5:$D$400="jabas")*(MOVIMIENTOS!$A$5:$A$400&lt;&gt;"")*(MOVIMIENTOS!$A$5:$A$400&lt;=$A66)*MOVIMIENTOS!$E$5:$E$400)-SUMPRODUCT((MOVIMIENTOS!$B$5:$B$400="REGALO")*(MOVIMIENTOS!$C$5:$C$400="C")*(MOVIMIENTOS!$D$5:$D$400="jabas")*(MOVIMIENTOS!$A$5:$A$400&lt;&gt;"")*(MOVIMIENTOS!$A$5:$A$400&lt;=$A66)*MOVIMIENTOS!$E$5:$E$400)-SUMPRODUCT((MOVIMIENTOS!$B$5:$B$400="VENTA")*(MOVIMIENTOS!$C$5:$C$400="C")*(MOVIMIENTOS!$D$5:$D$400="jabas")*(MOVIMIENTOS!$A$5:$A$400&lt;&gt;"")*(MOVIMIENTOS!$A$5:$A$400&lt;=$A66)*MOVIMIENTOS!$E$5:$E$400)+SUMPRODUCT((MOVIMIENTOS!$B$5:$B$400="AJUSTE")*(MOVIMIENTOS!$C$5:$C$400="C")*(MOVIMIENTOS!$D$5:$D$400="jabas")*(MOVIMIENTOS!$A$5:$A$400&lt;&gt;"")*(MOVIMIENTOS!$A$5:$A$400&lt;=$A66)*MOVIMIENTOS!$E$5:$E$400))</f>
        <v/>
      </c>
      <c r="E66" s="46" t="str">
        <f aca="false">IF($A66="","",SUMPRODUCT((MOVIMIENTOS!$B$5:$B$400="SALDO INICIAL")*(MOVIMIENTOS!$C$5:$C$400="M")*(MOVIMIENTOS!$D$5:$D$400="jabas")*(MOVIMIENTOS!$A$5:$A$400&lt;&gt;"")*(MOVIMIENTOS!$A$5:$A$400&lt;=$A66)*MOVIMIENTOS!$E$5:$E$400)+SUMPRODUCT((MOVIMIENTOS!$B$5:$B$400="PROCESO")*(MOVIMIENTOS!$C$5:$C$400="M")*(MOVIMIENTOS!$D$5:$D$400="jabas")*(MOVIMIENTOS!$A$5:$A$400&lt;&gt;"")*(MOVIMIENTOS!$A$5:$A$400&lt;=$A66)*MOVIMIENTOS!$E$5:$E$400)-SUMPRODUCT((MOVIMIENTOS!$B$5:$B$400="ENVÍO A SUPESA")*(MOVIMIENTOS!$C$5:$C$400="M")*(MOVIMIENTOS!$D$5:$D$400="jabas")*(MOVIMIENTOS!$A$5:$A$400&lt;&gt;"")*(MOVIMIENTOS!$A$5:$A$400&lt;=$A66)*MOVIMIENTOS!$E$5:$E$400)+SUMPRODUCT((MOVIMIENTOS!$B$5:$B$400="DEVOLUCIÓN")*(MOVIMIENTOS!$C$5:$C$400="M")*(MOVIMIENTOS!$D$5:$D$400="jabas")*(MOVIMIENTOS!$A$5:$A$400&lt;&gt;"")*(MOVIMIENTOS!$A$5:$A$400&lt;=$A66)*MOVIMIENTOS!$E$5:$E$400)-SUMPRODUCT((MOVIMIENTOS!$B$5:$B$400="TRASIEGO")*(MOVIMIENTOS!$C$5:$C$400="M")*(MOVIMIENTOS!$D$5:$D$400="jabas")*(MOVIMIENTOS!$A$5:$A$400&lt;&gt;"")*(MOVIMIENTOS!$A$5:$A$400&lt;=$A66)*MOVIMIENTOS!$E$5:$E$400)-SUMPRODUCT((MOVIMIENTOS!$B$5:$B$400="REGALO")*(MOVIMIENTOS!$C$5:$C$400="M")*(MOVIMIENTOS!$D$5:$D$400="jabas")*(MOVIMIENTOS!$A$5:$A$400&lt;&gt;"")*(MOVIMIENTOS!$A$5:$A$400&lt;=$A66)*MOVIMIENTOS!$E$5:$E$400)-SUMPRODUCT((MOVIMIENTOS!$B$5:$B$400="VENTA")*(MOVIMIENTOS!$C$5:$C$400="M")*(MOVIMIENTOS!$D$5:$D$400="jabas")*(MOVIMIENTOS!$A$5:$A$400&lt;&gt;"")*(MOVIMIENTOS!$A$5:$A$400&lt;=$A66)*MOVIMIENTOS!$E$5:$E$400)+SUMPRODUCT((MOVIMIENTOS!$B$5:$B$400="AJUSTE")*(MOVIMIENTOS!$C$5:$C$400="M")*(MOVIMIENTOS!$D$5:$D$400="jabas")*(MOVIMIENTOS!$A$5:$A$400&lt;&gt;"")*(MOVIMIENTOS!$A$5:$A$400&lt;=$A66)*MOVIMIENTOS!$E$5:$E$400))</f>
        <v/>
      </c>
      <c r="F66" s="46" t="str">
        <f aca="false">IF($A66="","",SUMPRODUCT((MOVIMIENTOS!$B$5:$B$400="SALDO INICIAL")*(MOVIMIENTOS!$C$5:$C$400="Chancho")*(MOVIMIENTOS!$D$5:$D$400="sacos")*(MOVIMIENTOS!$A$5:$A$400&lt;&gt;"")*(MOVIMIENTOS!$A$5:$A$400&lt;=$A66)*MOVIMIENTOS!$E$5:$E$400)+SUMPRODUCT((MOVIMIENTOS!$B$5:$B$400="PROCESO")*(MOVIMIENTOS!$C$5:$C$400="Chancho")*(MOVIMIENTOS!$D$5:$D$400="sacos")*(MOVIMIENTOS!$A$5:$A$400&lt;&gt;"")*(MOVIMIENTOS!$A$5:$A$400&lt;=$A66)*MOVIMIENTOS!$E$5:$E$400)-SUMPRODUCT((MOVIMIENTOS!$B$5:$B$400="VENTA CHANCHO")*(MOVIMIENTOS!$C$5:$C$400="Chancho")*(MOVIMIENTOS!$D$5:$D$400="sacos")*(MOVIMIENTOS!$A$5:$A$400&lt;&gt;"")*(MOVIMIENTOS!$A$5:$A$400&lt;=$A66)*MOVIMIENTOS!$E$5:$E$400)-SUMPRODUCT((MOVIMIENTOS!$B$5:$B$400="REGALO")*(MOVIMIENTOS!$C$5:$C$400="Chancho")*(MOVIMIENTOS!$D$5:$D$400="sacos")*(MOVIMIENTOS!$A$5:$A$400&lt;&gt;"")*(MOVIMIENTOS!$A$5:$A$400&lt;=$A66)*MOVIMIENTOS!$E$5:$E$400)-SUMPRODUCT((MOVIMIENTOS!$B$5:$B$400="VENTA")*(MOVIMIENTOS!$C$5:$C$400="Chancho")*(MOVIMIENTOS!$D$5:$D$400="sacos")*(MOVIMIENTOS!$A$5:$A$400&lt;&gt;"")*(MOVIMIENTOS!$A$5:$A$400&lt;=$A66)*MOVIMIENTOS!$E$5:$E$400)+SUMPRODUCT((MOVIMIENTOS!$B$5:$B$400="AJUSTE")*(MOVIMIENTOS!$C$5:$C$400="Chancho")*(MOVIMIENTOS!$D$5:$D$400="sacos")*(MOVIMIENTOS!$A$5:$A$400&lt;&gt;"")*(MOVIMIENTOS!$A$5:$A$400&lt;=$A66)*MOVIMIENTOS!$E$5:$E$400))</f>
        <v/>
      </c>
      <c r="G66" s="46" t="str">
        <f aca="false">IF($A66="","",SUM(B66:E66))</f>
        <v/>
      </c>
      <c r="H66" s="46" t="str">
        <f aca="false">IF($A66="","",SUMPRODUCT((((MOVIMIENTOS!$B$5:$B$400="SALDO INICIAL")*(MOVIMIENTOS!$C$5:$C$400&lt;&gt;"Chancho"))+(MOVIMIENTOS!$B$5:$B$400="COMPRA")+(MOVIMIENTOS!$B$5:$B$400="REPROCESO")+(MOVIMIENTOS!$B$5:$B$400="DEVOLUCIÓN")+((MOVIMIENTOS!$B$5:$B$400="AJUSTE")*(MOVIMIENTOS!$C$5:$C$400&lt;&gt;"Chancho")))*(MOVIMIENTOS!$A$5:$A$400&lt;&gt;"")*(MOVIMIENTOS!$A$5:$A$400&lt;=$A66)*MOVIMIENTOS!$I$5:$I$400)-SUMPRODUCT(((MOVIMIENTOS!$B$5:$B$400="ENVÍO A SUPESA")+(MOVIMIENTOS!$B$5:$B$400="ENVÍO A TOTTUS")+(MOVIMIENTOS!$B$5:$B$400="ENVIO A TOTTUS")+(MOVIMIENTOS!$B$5:$B$400="MALOGRADO")+(MOVIMIENTOS!$B$5:$B$400="OTRA SALIDA")+((MOVIMIENTOS!$B$5:$B$400="PROCESO")*(MOVIMIENTOS!$C$5:$C$400="Chancho"))+((MOVIMIENTOS!$B$5:$B$400="REGALO")*(MOVIMIENTOS!$C$5:$C$400&lt;&gt;"Chancho"))+((MOVIMIENTOS!$B$5:$B$400="VENTA")*(MOVIMIENTOS!$C$5:$C$400&lt;&gt;"Chancho")))*(MOVIMIENTOS!$A$5:$A$400&lt;&gt;"")*(MOVIMIENTOS!$A$5:$A$400&lt;=$A66)*MOVIMIENTOS!$I$5:$I$400))</f>
        <v/>
      </c>
      <c r="I66" s="44"/>
      <c r="J66" s="44" t="str">
        <f aca="false">IF(AND(MOVIMIENTOS!$A66&lt;&gt;"",COUNTIF(MOVIMIENTOS!$A$5:$A65,MOVIMIENTOS!$A66)=0),COUNT(J$4:J65)+1,"")</f>
        <v/>
      </c>
      <c r="K66" s="47" t="n">
        <f aca="false">MOVIMIENTOS!$A66</f>
        <v>46220</v>
      </c>
      <c r="L66" s="44"/>
      <c r="M66" s="44"/>
      <c r="N66" s="44"/>
    </row>
    <row r="67" customFormat="false" ht="15" hidden="false" customHeight="true" outlineLevel="0" collapsed="false">
      <c r="A67" s="45" t="str">
        <f aca="false">IFERROR(INDEX(K$5:K$400,MATCH(ROW()-4,J$5:J$400,0)),"")</f>
        <v/>
      </c>
      <c r="B67" s="46" t="str">
        <f aca="false">IF($A67="","",SUMPRODUCT((MOVIMIENTOS!$B$5:$B$400="SALDO INICIAL")*(MOVIMIENTOS!$C$5:$C$400="A")*(MOVIMIENTOS!$D$5:$D$400="jabas")*(MOVIMIENTOS!$A$5:$A$400&lt;&gt;"")*(MOVIMIENTOS!$A$5:$A$400&lt;=$A67)*MOVIMIENTOS!$E$5:$E$400)+SUMPRODUCT((MOVIMIENTOS!$B$5:$B$400="PROCESO")*(MOVIMIENTOS!$C$5:$C$400="A")*(MOVIMIENTOS!$D$5:$D$400="jabas")*(MOVIMIENTOS!$A$5:$A$400&lt;&gt;"")*(MOVIMIENTOS!$A$5:$A$400&lt;=$A67)*MOVIMIENTOS!$E$5:$E$400)-SUMPRODUCT((MOVIMIENTOS!$B$5:$B$400="ENVÍO A SUPESA")*(MOVIMIENTOS!$C$5:$C$400="A")*(MOVIMIENTOS!$D$5:$D$400="jabas")*(MOVIMIENTOS!$A$5:$A$400&lt;&gt;"")*(MOVIMIENTOS!$A$5:$A$400&lt;=$A67)*MOVIMIENTOS!$E$5:$E$400)+SUMPRODUCT((MOVIMIENTOS!$B$5:$B$400="DEVOLUCIÓN")*(MOVIMIENTOS!$C$5:$C$400="A")*(MOVIMIENTOS!$D$5:$D$400="jabas")*(MOVIMIENTOS!$A$5:$A$400&lt;&gt;"")*(MOVIMIENTOS!$A$5:$A$400&lt;=$A67)*MOVIMIENTOS!$E$5:$E$400)-SUMPRODUCT((MOVIMIENTOS!$B$5:$B$400="TRASIEGO")*(MOVIMIENTOS!$C$5:$C$400="A")*(MOVIMIENTOS!$D$5:$D$400="jabas")*(MOVIMIENTOS!$A$5:$A$400&lt;&gt;"")*(MOVIMIENTOS!$A$5:$A$400&lt;=$A67)*MOVIMIENTOS!$E$5:$E$400)-SUMPRODUCT((MOVIMIENTOS!$B$5:$B$400="REGALO")*(MOVIMIENTOS!$C$5:$C$400="A")*(MOVIMIENTOS!$D$5:$D$400="jabas")*(MOVIMIENTOS!$A$5:$A$400&lt;&gt;"")*(MOVIMIENTOS!$A$5:$A$400&lt;=$A67)*MOVIMIENTOS!$E$5:$E$400)-SUMPRODUCT((MOVIMIENTOS!$B$5:$B$400="VENTA")*(MOVIMIENTOS!$C$5:$C$400="A")*(MOVIMIENTOS!$D$5:$D$400="jabas")*(MOVIMIENTOS!$A$5:$A$400&lt;&gt;"")*(MOVIMIENTOS!$A$5:$A$400&lt;=$A67)*MOVIMIENTOS!$E$5:$E$400)+SUMPRODUCT((MOVIMIENTOS!$B$5:$B$400="AJUSTE")*(MOVIMIENTOS!$C$5:$C$400="A")*(MOVIMIENTOS!$D$5:$D$400="jabas")*(MOVIMIENTOS!$A$5:$A$400&lt;&gt;"")*(MOVIMIENTOS!$A$5:$A$400&lt;=$A67)*MOVIMIENTOS!$E$5:$E$400))</f>
        <v/>
      </c>
      <c r="C67" s="46" t="str">
        <f aca="false">IF($A67="","",SUMPRODUCT((MOVIMIENTOS!$B$5:$B$400="SALDO INICIAL")*(MOVIMIENTOS!$C$5:$C$400="P")*(MOVIMIENTOS!$D$5:$D$400="jabas")*(MOVIMIENTOS!$A$5:$A$400&lt;&gt;"")*(MOVIMIENTOS!$A$5:$A$400&lt;=$A67)*MOVIMIENTOS!$E$5:$E$400)+SUMPRODUCT((MOVIMIENTOS!$B$5:$B$400="PROCESO")*(MOVIMIENTOS!$C$5:$C$400="P")*(MOVIMIENTOS!$D$5:$D$400="jabas")*(MOVIMIENTOS!$A$5:$A$400&lt;&gt;"")*(MOVIMIENTOS!$A$5:$A$400&lt;=$A67)*MOVIMIENTOS!$E$5:$E$400)-SUMPRODUCT((MOVIMIENTOS!$B$5:$B$400="ENVÍO A SUPESA")*(MOVIMIENTOS!$C$5:$C$400="P")*(MOVIMIENTOS!$D$5:$D$400="jabas")*(MOVIMIENTOS!$A$5:$A$400&lt;&gt;"")*(MOVIMIENTOS!$A$5:$A$400&lt;=$A67)*MOVIMIENTOS!$E$5:$E$400)+SUMPRODUCT((MOVIMIENTOS!$B$5:$B$400="DEVOLUCIÓN")*(MOVIMIENTOS!$C$5:$C$400="P")*(MOVIMIENTOS!$D$5:$D$400="jabas")*(MOVIMIENTOS!$A$5:$A$400&lt;&gt;"")*(MOVIMIENTOS!$A$5:$A$400&lt;=$A67)*MOVIMIENTOS!$E$5:$E$400)-SUMPRODUCT((MOVIMIENTOS!$B$5:$B$400="TRASIEGO")*(MOVIMIENTOS!$C$5:$C$400="P")*(MOVIMIENTOS!$D$5:$D$400="jabas")*(MOVIMIENTOS!$A$5:$A$400&lt;&gt;"")*(MOVIMIENTOS!$A$5:$A$400&lt;=$A67)*MOVIMIENTOS!$E$5:$E$400)-SUMPRODUCT((MOVIMIENTOS!$B$5:$B$400="REGALO")*(MOVIMIENTOS!$C$5:$C$400="P")*(MOVIMIENTOS!$D$5:$D$400="jabas")*(MOVIMIENTOS!$A$5:$A$400&lt;&gt;"")*(MOVIMIENTOS!$A$5:$A$400&lt;=$A67)*MOVIMIENTOS!$E$5:$E$400)-SUMPRODUCT((MOVIMIENTOS!$B$5:$B$400="VENTA")*(MOVIMIENTOS!$C$5:$C$400="P")*(MOVIMIENTOS!$D$5:$D$400="jabas")*(MOVIMIENTOS!$A$5:$A$400&lt;&gt;"")*(MOVIMIENTOS!$A$5:$A$400&lt;=$A67)*MOVIMIENTOS!$E$5:$E$400)+SUMPRODUCT((MOVIMIENTOS!$B$5:$B$400="AJUSTE")*(MOVIMIENTOS!$C$5:$C$400="P")*(MOVIMIENTOS!$D$5:$D$400="jabas")*(MOVIMIENTOS!$A$5:$A$400&lt;&gt;"")*(MOVIMIENTOS!$A$5:$A$400&lt;=$A67)*MOVIMIENTOS!$E$5:$E$400))</f>
        <v/>
      </c>
      <c r="D67" s="46" t="str">
        <f aca="false">IF($A67="","",SUMPRODUCT((MOVIMIENTOS!$B$5:$B$400="SALDO INICIAL")*(MOVIMIENTOS!$C$5:$C$400="C")*(MOVIMIENTOS!$D$5:$D$400="jabas")*(MOVIMIENTOS!$A$5:$A$400&lt;&gt;"")*(MOVIMIENTOS!$A$5:$A$400&lt;=$A67)*MOVIMIENTOS!$E$5:$E$400)+SUMPRODUCT((MOVIMIENTOS!$B$5:$B$400="PROCESO")*(MOVIMIENTOS!$C$5:$C$400="C")*(MOVIMIENTOS!$D$5:$D$400="jabas")*(MOVIMIENTOS!$A$5:$A$400&lt;&gt;"")*(MOVIMIENTOS!$A$5:$A$400&lt;=$A67)*MOVIMIENTOS!$E$5:$E$400)-SUMPRODUCT((MOVIMIENTOS!$B$5:$B$400="ENVÍO A SUPESA")*(MOVIMIENTOS!$C$5:$C$400="C")*(MOVIMIENTOS!$D$5:$D$400="jabas")*(MOVIMIENTOS!$A$5:$A$400&lt;&gt;"")*(MOVIMIENTOS!$A$5:$A$400&lt;=$A67)*MOVIMIENTOS!$E$5:$E$400)+SUMPRODUCT((MOVIMIENTOS!$B$5:$B$400="DEVOLUCIÓN")*(MOVIMIENTOS!$C$5:$C$400="C")*(MOVIMIENTOS!$D$5:$D$400="jabas")*(MOVIMIENTOS!$A$5:$A$400&lt;&gt;"")*(MOVIMIENTOS!$A$5:$A$400&lt;=$A67)*MOVIMIENTOS!$E$5:$E$400)-SUMPRODUCT((MOVIMIENTOS!$B$5:$B$400="TRASIEGO")*(MOVIMIENTOS!$C$5:$C$400="C")*(MOVIMIENTOS!$D$5:$D$400="jabas")*(MOVIMIENTOS!$A$5:$A$400&lt;&gt;"")*(MOVIMIENTOS!$A$5:$A$400&lt;=$A67)*MOVIMIENTOS!$E$5:$E$400)-SUMPRODUCT((MOVIMIENTOS!$B$5:$B$400="REGALO")*(MOVIMIENTOS!$C$5:$C$400="C")*(MOVIMIENTOS!$D$5:$D$400="jabas")*(MOVIMIENTOS!$A$5:$A$400&lt;&gt;"")*(MOVIMIENTOS!$A$5:$A$400&lt;=$A67)*MOVIMIENTOS!$E$5:$E$400)-SUMPRODUCT((MOVIMIENTOS!$B$5:$B$400="VENTA")*(MOVIMIENTOS!$C$5:$C$400="C")*(MOVIMIENTOS!$D$5:$D$400="jabas")*(MOVIMIENTOS!$A$5:$A$400&lt;&gt;"")*(MOVIMIENTOS!$A$5:$A$400&lt;=$A67)*MOVIMIENTOS!$E$5:$E$400)+SUMPRODUCT((MOVIMIENTOS!$B$5:$B$400="AJUSTE")*(MOVIMIENTOS!$C$5:$C$400="C")*(MOVIMIENTOS!$D$5:$D$400="jabas")*(MOVIMIENTOS!$A$5:$A$400&lt;&gt;"")*(MOVIMIENTOS!$A$5:$A$400&lt;=$A67)*MOVIMIENTOS!$E$5:$E$400))</f>
        <v/>
      </c>
      <c r="E67" s="46" t="str">
        <f aca="false">IF($A67="","",SUMPRODUCT((MOVIMIENTOS!$B$5:$B$400="SALDO INICIAL")*(MOVIMIENTOS!$C$5:$C$400="M")*(MOVIMIENTOS!$D$5:$D$400="jabas")*(MOVIMIENTOS!$A$5:$A$400&lt;&gt;"")*(MOVIMIENTOS!$A$5:$A$400&lt;=$A67)*MOVIMIENTOS!$E$5:$E$400)+SUMPRODUCT((MOVIMIENTOS!$B$5:$B$400="PROCESO")*(MOVIMIENTOS!$C$5:$C$400="M")*(MOVIMIENTOS!$D$5:$D$400="jabas")*(MOVIMIENTOS!$A$5:$A$400&lt;&gt;"")*(MOVIMIENTOS!$A$5:$A$400&lt;=$A67)*MOVIMIENTOS!$E$5:$E$400)-SUMPRODUCT((MOVIMIENTOS!$B$5:$B$400="ENVÍO A SUPESA")*(MOVIMIENTOS!$C$5:$C$400="M")*(MOVIMIENTOS!$D$5:$D$400="jabas")*(MOVIMIENTOS!$A$5:$A$400&lt;&gt;"")*(MOVIMIENTOS!$A$5:$A$400&lt;=$A67)*MOVIMIENTOS!$E$5:$E$400)+SUMPRODUCT((MOVIMIENTOS!$B$5:$B$400="DEVOLUCIÓN")*(MOVIMIENTOS!$C$5:$C$400="M")*(MOVIMIENTOS!$D$5:$D$400="jabas")*(MOVIMIENTOS!$A$5:$A$400&lt;&gt;"")*(MOVIMIENTOS!$A$5:$A$400&lt;=$A67)*MOVIMIENTOS!$E$5:$E$400)-SUMPRODUCT((MOVIMIENTOS!$B$5:$B$400="TRASIEGO")*(MOVIMIENTOS!$C$5:$C$400="M")*(MOVIMIENTOS!$D$5:$D$400="jabas")*(MOVIMIENTOS!$A$5:$A$400&lt;&gt;"")*(MOVIMIENTOS!$A$5:$A$400&lt;=$A67)*MOVIMIENTOS!$E$5:$E$400)-SUMPRODUCT((MOVIMIENTOS!$B$5:$B$400="REGALO")*(MOVIMIENTOS!$C$5:$C$400="M")*(MOVIMIENTOS!$D$5:$D$400="jabas")*(MOVIMIENTOS!$A$5:$A$400&lt;&gt;"")*(MOVIMIENTOS!$A$5:$A$400&lt;=$A67)*MOVIMIENTOS!$E$5:$E$400)-SUMPRODUCT((MOVIMIENTOS!$B$5:$B$400="VENTA")*(MOVIMIENTOS!$C$5:$C$400="M")*(MOVIMIENTOS!$D$5:$D$400="jabas")*(MOVIMIENTOS!$A$5:$A$400&lt;&gt;"")*(MOVIMIENTOS!$A$5:$A$400&lt;=$A67)*MOVIMIENTOS!$E$5:$E$400)+SUMPRODUCT((MOVIMIENTOS!$B$5:$B$400="AJUSTE")*(MOVIMIENTOS!$C$5:$C$400="M")*(MOVIMIENTOS!$D$5:$D$400="jabas")*(MOVIMIENTOS!$A$5:$A$400&lt;&gt;"")*(MOVIMIENTOS!$A$5:$A$400&lt;=$A67)*MOVIMIENTOS!$E$5:$E$400))</f>
        <v/>
      </c>
      <c r="F67" s="46" t="str">
        <f aca="false">IF($A67="","",SUMPRODUCT((MOVIMIENTOS!$B$5:$B$400="SALDO INICIAL")*(MOVIMIENTOS!$C$5:$C$400="Chancho")*(MOVIMIENTOS!$D$5:$D$400="sacos")*(MOVIMIENTOS!$A$5:$A$400&lt;&gt;"")*(MOVIMIENTOS!$A$5:$A$400&lt;=$A67)*MOVIMIENTOS!$E$5:$E$400)+SUMPRODUCT((MOVIMIENTOS!$B$5:$B$400="PROCESO")*(MOVIMIENTOS!$C$5:$C$400="Chancho")*(MOVIMIENTOS!$D$5:$D$400="sacos")*(MOVIMIENTOS!$A$5:$A$400&lt;&gt;"")*(MOVIMIENTOS!$A$5:$A$400&lt;=$A67)*MOVIMIENTOS!$E$5:$E$400)-SUMPRODUCT((MOVIMIENTOS!$B$5:$B$400="VENTA CHANCHO")*(MOVIMIENTOS!$C$5:$C$400="Chancho")*(MOVIMIENTOS!$D$5:$D$400="sacos")*(MOVIMIENTOS!$A$5:$A$400&lt;&gt;"")*(MOVIMIENTOS!$A$5:$A$400&lt;=$A67)*MOVIMIENTOS!$E$5:$E$400)-SUMPRODUCT((MOVIMIENTOS!$B$5:$B$400="REGALO")*(MOVIMIENTOS!$C$5:$C$400="Chancho")*(MOVIMIENTOS!$D$5:$D$400="sacos")*(MOVIMIENTOS!$A$5:$A$400&lt;&gt;"")*(MOVIMIENTOS!$A$5:$A$400&lt;=$A67)*MOVIMIENTOS!$E$5:$E$400)-SUMPRODUCT((MOVIMIENTOS!$B$5:$B$400="VENTA")*(MOVIMIENTOS!$C$5:$C$400="Chancho")*(MOVIMIENTOS!$D$5:$D$400="sacos")*(MOVIMIENTOS!$A$5:$A$400&lt;&gt;"")*(MOVIMIENTOS!$A$5:$A$400&lt;=$A67)*MOVIMIENTOS!$E$5:$E$400)+SUMPRODUCT((MOVIMIENTOS!$B$5:$B$400="AJUSTE")*(MOVIMIENTOS!$C$5:$C$400="Chancho")*(MOVIMIENTOS!$D$5:$D$400="sacos")*(MOVIMIENTOS!$A$5:$A$400&lt;&gt;"")*(MOVIMIENTOS!$A$5:$A$400&lt;=$A67)*MOVIMIENTOS!$E$5:$E$400))</f>
        <v/>
      </c>
      <c r="G67" s="46" t="str">
        <f aca="false">IF($A67="","",SUM(B67:E67))</f>
        <v/>
      </c>
      <c r="H67" s="46" t="str">
        <f aca="false">IF($A67="","",SUMPRODUCT((((MOVIMIENTOS!$B$5:$B$400="SALDO INICIAL")*(MOVIMIENTOS!$C$5:$C$400&lt;&gt;"Chancho"))+(MOVIMIENTOS!$B$5:$B$400="COMPRA")+(MOVIMIENTOS!$B$5:$B$400="REPROCESO")+(MOVIMIENTOS!$B$5:$B$400="DEVOLUCIÓN")+((MOVIMIENTOS!$B$5:$B$400="AJUSTE")*(MOVIMIENTOS!$C$5:$C$400&lt;&gt;"Chancho")))*(MOVIMIENTOS!$A$5:$A$400&lt;&gt;"")*(MOVIMIENTOS!$A$5:$A$400&lt;=$A67)*MOVIMIENTOS!$I$5:$I$400)-SUMPRODUCT(((MOVIMIENTOS!$B$5:$B$400="ENVÍO A SUPESA")+(MOVIMIENTOS!$B$5:$B$400="ENVÍO A TOTTUS")+(MOVIMIENTOS!$B$5:$B$400="ENVIO A TOTTUS")+(MOVIMIENTOS!$B$5:$B$400="MALOGRADO")+(MOVIMIENTOS!$B$5:$B$400="OTRA SALIDA")+((MOVIMIENTOS!$B$5:$B$400="PROCESO")*(MOVIMIENTOS!$C$5:$C$400="Chancho"))+((MOVIMIENTOS!$B$5:$B$400="REGALO")*(MOVIMIENTOS!$C$5:$C$400&lt;&gt;"Chancho"))+((MOVIMIENTOS!$B$5:$B$400="VENTA")*(MOVIMIENTOS!$C$5:$C$400&lt;&gt;"Chancho")))*(MOVIMIENTOS!$A$5:$A$400&lt;&gt;"")*(MOVIMIENTOS!$A$5:$A$400&lt;=$A67)*MOVIMIENTOS!$I$5:$I$400))</f>
        <v/>
      </c>
      <c r="I67" s="44"/>
      <c r="J67" s="44" t="str">
        <f aca="false">IF(AND(MOVIMIENTOS!$A67&lt;&gt;"",COUNTIF(MOVIMIENTOS!$A$5:$A66,MOVIMIENTOS!$A67)=0),COUNT(J$4:J66)+1,"")</f>
        <v/>
      </c>
      <c r="K67" s="47" t="n">
        <f aca="false">MOVIMIENTOS!$A67</f>
        <v>46220</v>
      </c>
      <c r="L67" s="44"/>
      <c r="M67" s="44"/>
      <c r="N67" s="44"/>
    </row>
    <row r="68" customFormat="false" ht="15" hidden="false" customHeight="true" outlineLevel="0" collapsed="false">
      <c r="A68" s="45" t="str">
        <f aca="false">IFERROR(INDEX(K$5:K$400,MATCH(ROW()-4,J$5:J$400,0)),"")</f>
        <v/>
      </c>
      <c r="B68" s="46" t="str">
        <f aca="false">IF($A68="","",SUMPRODUCT((MOVIMIENTOS!$B$5:$B$400="SALDO INICIAL")*(MOVIMIENTOS!$C$5:$C$400="A")*(MOVIMIENTOS!$D$5:$D$400="jabas")*(MOVIMIENTOS!$A$5:$A$400&lt;&gt;"")*(MOVIMIENTOS!$A$5:$A$400&lt;=$A68)*MOVIMIENTOS!$E$5:$E$400)+SUMPRODUCT((MOVIMIENTOS!$B$5:$B$400="PROCESO")*(MOVIMIENTOS!$C$5:$C$400="A")*(MOVIMIENTOS!$D$5:$D$400="jabas")*(MOVIMIENTOS!$A$5:$A$400&lt;&gt;"")*(MOVIMIENTOS!$A$5:$A$400&lt;=$A68)*MOVIMIENTOS!$E$5:$E$400)-SUMPRODUCT((MOVIMIENTOS!$B$5:$B$400="ENVÍO A SUPESA")*(MOVIMIENTOS!$C$5:$C$400="A")*(MOVIMIENTOS!$D$5:$D$400="jabas")*(MOVIMIENTOS!$A$5:$A$400&lt;&gt;"")*(MOVIMIENTOS!$A$5:$A$400&lt;=$A68)*MOVIMIENTOS!$E$5:$E$400)+SUMPRODUCT((MOVIMIENTOS!$B$5:$B$400="DEVOLUCIÓN")*(MOVIMIENTOS!$C$5:$C$400="A")*(MOVIMIENTOS!$D$5:$D$400="jabas")*(MOVIMIENTOS!$A$5:$A$400&lt;&gt;"")*(MOVIMIENTOS!$A$5:$A$400&lt;=$A68)*MOVIMIENTOS!$E$5:$E$400)-SUMPRODUCT((MOVIMIENTOS!$B$5:$B$400="TRASIEGO")*(MOVIMIENTOS!$C$5:$C$400="A")*(MOVIMIENTOS!$D$5:$D$400="jabas")*(MOVIMIENTOS!$A$5:$A$400&lt;&gt;"")*(MOVIMIENTOS!$A$5:$A$400&lt;=$A68)*MOVIMIENTOS!$E$5:$E$400)-SUMPRODUCT((MOVIMIENTOS!$B$5:$B$400="REGALO")*(MOVIMIENTOS!$C$5:$C$400="A")*(MOVIMIENTOS!$D$5:$D$400="jabas")*(MOVIMIENTOS!$A$5:$A$400&lt;&gt;"")*(MOVIMIENTOS!$A$5:$A$400&lt;=$A68)*MOVIMIENTOS!$E$5:$E$400)-SUMPRODUCT((MOVIMIENTOS!$B$5:$B$400="VENTA")*(MOVIMIENTOS!$C$5:$C$400="A")*(MOVIMIENTOS!$D$5:$D$400="jabas")*(MOVIMIENTOS!$A$5:$A$400&lt;&gt;"")*(MOVIMIENTOS!$A$5:$A$400&lt;=$A68)*MOVIMIENTOS!$E$5:$E$400)+SUMPRODUCT((MOVIMIENTOS!$B$5:$B$400="AJUSTE")*(MOVIMIENTOS!$C$5:$C$400="A")*(MOVIMIENTOS!$D$5:$D$400="jabas")*(MOVIMIENTOS!$A$5:$A$400&lt;&gt;"")*(MOVIMIENTOS!$A$5:$A$400&lt;=$A68)*MOVIMIENTOS!$E$5:$E$400))</f>
        <v/>
      </c>
      <c r="C68" s="46" t="str">
        <f aca="false">IF($A68="","",SUMPRODUCT((MOVIMIENTOS!$B$5:$B$400="SALDO INICIAL")*(MOVIMIENTOS!$C$5:$C$400="P")*(MOVIMIENTOS!$D$5:$D$400="jabas")*(MOVIMIENTOS!$A$5:$A$400&lt;&gt;"")*(MOVIMIENTOS!$A$5:$A$400&lt;=$A68)*MOVIMIENTOS!$E$5:$E$400)+SUMPRODUCT((MOVIMIENTOS!$B$5:$B$400="PROCESO")*(MOVIMIENTOS!$C$5:$C$400="P")*(MOVIMIENTOS!$D$5:$D$400="jabas")*(MOVIMIENTOS!$A$5:$A$400&lt;&gt;"")*(MOVIMIENTOS!$A$5:$A$400&lt;=$A68)*MOVIMIENTOS!$E$5:$E$400)-SUMPRODUCT((MOVIMIENTOS!$B$5:$B$400="ENVÍO A SUPESA")*(MOVIMIENTOS!$C$5:$C$400="P")*(MOVIMIENTOS!$D$5:$D$400="jabas")*(MOVIMIENTOS!$A$5:$A$400&lt;&gt;"")*(MOVIMIENTOS!$A$5:$A$400&lt;=$A68)*MOVIMIENTOS!$E$5:$E$400)+SUMPRODUCT((MOVIMIENTOS!$B$5:$B$400="DEVOLUCIÓN")*(MOVIMIENTOS!$C$5:$C$400="P")*(MOVIMIENTOS!$D$5:$D$400="jabas")*(MOVIMIENTOS!$A$5:$A$400&lt;&gt;"")*(MOVIMIENTOS!$A$5:$A$400&lt;=$A68)*MOVIMIENTOS!$E$5:$E$400)-SUMPRODUCT((MOVIMIENTOS!$B$5:$B$400="TRASIEGO")*(MOVIMIENTOS!$C$5:$C$400="P")*(MOVIMIENTOS!$D$5:$D$400="jabas")*(MOVIMIENTOS!$A$5:$A$400&lt;&gt;"")*(MOVIMIENTOS!$A$5:$A$400&lt;=$A68)*MOVIMIENTOS!$E$5:$E$400)-SUMPRODUCT((MOVIMIENTOS!$B$5:$B$400="REGALO")*(MOVIMIENTOS!$C$5:$C$400="P")*(MOVIMIENTOS!$D$5:$D$400="jabas")*(MOVIMIENTOS!$A$5:$A$400&lt;&gt;"")*(MOVIMIENTOS!$A$5:$A$400&lt;=$A68)*MOVIMIENTOS!$E$5:$E$400)-SUMPRODUCT((MOVIMIENTOS!$B$5:$B$400="VENTA")*(MOVIMIENTOS!$C$5:$C$400="P")*(MOVIMIENTOS!$D$5:$D$400="jabas")*(MOVIMIENTOS!$A$5:$A$400&lt;&gt;"")*(MOVIMIENTOS!$A$5:$A$400&lt;=$A68)*MOVIMIENTOS!$E$5:$E$400)+SUMPRODUCT((MOVIMIENTOS!$B$5:$B$400="AJUSTE")*(MOVIMIENTOS!$C$5:$C$400="P")*(MOVIMIENTOS!$D$5:$D$400="jabas")*(MOVIMIENTOS!$A$5:$A$400&lt;&gt;"")*(MOVIMIENTOS!$A$5:$A$400&lt;=$A68)*MOVIMIENTOS!$E$5:$E$400))</f>
        <v/>
      </c>
      <c r="D68" s="46" t="str">
        <f aca="false">IF($A68="","",SUMPRODUCT((MOVIMIENTOS!$B$5:$B$400="SALDO INICIAL")*(MOVIMIENTOS!$C$5:$C$400="C")*(MOVIMIENTOS!$D$5:$D$400="jabas")*(MOVIMIENTOS!$A$5:$A$400&lt;&gt;"")*(MOVIMIENTOS!$A$5:$A$400&lt;=$A68)*MOVIMIENTOS!$E$5:$E$400)+SUMPRODUCT((MOVIMIENTOS!$B$5:$B$400="PROCESO")*(MOVIMIENTOS!$C$5:$C$400="C")*(MOVIMIENTOS!$D$5:$D$400="jabas")*(MOVIMIENTOS!$A$5:$A$400&lt;&gt;"")*(MOVIMIENTOS!$A$5:$A$400&lt;=$A68)*MOVIMIENTOS!$E$5:$E$400)-SUMPRODUCT((MOVIMIENTOS!$B$5:$B$400="ENVÍO A SUPESA")*(MOVIMIENTOS!$C$5:$C$400="C")*(MOVIMIENTOS!$D$5:$D$400="jabas")*(MOVIMIENTOS!$A$5:$A$400&lt;&gt;"")*(MOVIMIENTOS!$A$5:$A$400&lt;=$A68)*MOVIMIENTOS!$E$5:$E$400)+SUMPRODUCT((MOVIMIENTOS!$B$5:$B$400="DEVOLUCIÓN")*(MOVIMIENTOS!$C$5:$C$400="C")*(MOVIMIENTOS!$D$5:$D$400="jabas")*(MOVIMIENTOS!$A$5:$A$400&lt;&gt;"")*(MOVIMIENTOS!$A$5:$A$400&lt;=$A68)*MOVIMIENTOS!$E$5:$E$400)-SUMPRODUCT((MOVIMIENTOS!$B$5:$B$400="TRASIEGO")*(MOVIMIENTOS!$C$5:$C$400="C")*(MOVIMIENTOS!$D$5:$D$400="jabas")*(MOVIMIENTOS!$A$5:$A$400&lt;&gt;"")*(MOVIMIENTOS!$A$5:$A$400&lt;=$A68)*MOVIMIENTOS!$E$5:$E$400)-SUMPRODUCT((MOVIMIENTOS!$B$5:$B$400="REGALO")*(MOVIMIENTOS!$C$5:$C$400="C")*(MOVIMIENTOS!$D$5:$D$400="jabas")*(MOVIMIENTOS!$A$5:$A$400&lt;&gt;"")*(MOVIMIENTOS!$A$5:$A$400&lt;=$A68)*MOVIMIENTOS!$E$5:$E$400)-SUMPRODUCT((MOVIMIENTOS!$B$5:$B$400="VENTA")*(MOVIMIENTOS!$C$5:$C$400="C")*(MOVIMIENTOS!$D$5:$D$400="jabas")*(MOVIMIENTOS!$A$5:$A$400&lt;&gt;"")*(MOVIMIENTOS!$A$5:$A$400&lt;=$A68)*MOVIMIENTOS!$E$5:$E$400)+SUMPRODUCT((MOVIMIENTOS!$B$5:$B$400="AJUSTE")*(MOVIMIENTOS!$C$5:$C$400="C")*(MOVIMIENTOS!$D$5:$D$400="jabas")*(MOVIMIENTOS!$A$5:$A$400&lt;&gt;"")*(MOVIMIENTOS!$A$5:$A$400&lt;=$A68)*MOVIMIENTOS!$E$5:$E$400))</f>
        <v/>
      </c>
      <c r="E68" s="46" t="str">
        <f aca="false">IF($A68="","",SUMPRODUCT((MOVIMIENTOS!$B$5:$B$400="SALDO INICIAL")*(MOVIMIENTOS!$C$5:$C$400="M")*(MOVIMIENTOS!$D$5:$D$400="jabas")*(MOVIMIENTOS!$A$5:$A$400&lt;&gt;"")*(MOVIMIENTOS!$A$5:$A$400&lt;=$A68)*MOVIMIENTOS!$E$5:$E$400)+SUMPRODUCT((MOVIMIENTOS!$B$5:$B$400="PROCESO")*(MOVIMIENTOS!$C$5:$C$400="M")*(MOVIMIENTOS!$D$5:$D$400="jabas")*(MOVIMIENTOS!$A$5:$A$400&lt;&gt;"")*(MOVIMIENTOS!$A$5:$A$400&lt;=$A68)*MOVIMIENTOS!$E$5:$E$400)-SUMPRODUCT((MOVIMIENTOS!$B$5:$B$400="ENVÍO A SUPESA")*(MOVIMIENTOS!$C$5:$C$400="M")*(MOVIMIENTOS!$D$5:$D$400="jabas")*(MOVIMIENTOS!$A$5:$A$400&lt;&gt;"")*(MOVIMIENTOS!$A$5:$A$400&lt;=$A68)*MOVIMIENTOS!$E$5:$E$400)+SUMPRODUCT((MOVIMIENTOS!$B$5:$B$400="DEVOLUCIÓN")*(MOVIMIENTOS!$C$5:$C$400="M")*(MOVIMIENTOS!$D$5:$D$400="jabas")*(MOVIMIENTOS!$A$5:$A$400&lt;&gt;"")*(MOVIMIENTOS!$A$5:$A$400&lt;=$A68)*MOVIMIENTOS!$E$5:$E$400)-SUMPRODUCT((MOVIMIENTOS!$B$5:$B$400="TRASIEGO")*(MOVIMIENTOS!$C$5:$C$400="M")*(MOVIMIENTOS!$D$5:$D$400="jabas")*(MOVIMIENTOS!$A$5:$A$400&lt;&gt;"")*(MOVIMIENTOS!$A$5:$A$400&lt;=$A68)*MOVIMIENTOS!$E$5:$E$400)-SUMPRODUCT((MOVIMIENTOS!$B$5:$B$400="REGALO")*(MOVIMIENTOS!$C$5:$C$400="M")*(MOVIMIENTOS!$D$5:$D$400="jabas")*(MOVIMIENTOS!$A$5:$A$400&lt;&gt;"")*(MOVIMIENTOS!$A$5:$A$400&lt;=$A68)*MOVIMIENTOS!$E$5:$E$400)-SUMPRODUCT((MOVIMIENTOS!$B$5:$B$400="VENTA")*(MOVIMIENTOS!$C$5:$C$400="M")*(MOVIMIENTOS!$D$5:$D$400="jabas")*(MOVIMIENTOS!$A$5:$A$400&lt;&gt;"")*(MOVIMIENTOS!$A$5:$A$400&lt;=$A68)*MOVIMIENTOS!$E$5:$E$400)+SUMPRODUCT((MOVIMIENTOS!$B$5:$B$400="AJUSTE")*(MOVIMIENTOS!$C$5:$C$400="M")*(MOVIMIENTOS!$D$5:$D$400="jabas")*(MOVIMIENTOS!$A$5:$A$400&lt;&gt;"")*(MOVIMIENTOS!$A$5:$A$400&lt;=$A68)*MOVIMIENTOS!$E$5:$E$400))</f>
        <v/>
      </c>
      <c r="F68" s="46" t="str">
        <f aca="false">IF($A68="","",SUMPRODUCT((MOVIMIENTOS!$B$5:$B$400="SALDO INICIAL")*(MOVIMIENTOS!$C$5:$C$400="Chancho")*(MOVIMIENTOS!$D$5:$D$400="sacos")*(MOVIMIENTOS!$A$5:$A$400&lt;&gt;"")*(MOVIMIENTOS!$A$5:$A$400&lt;=$A68)*MOVIMIENTOS!$E$5:$E$400)+SUMPRODUCT((MOVIMIENTOS!$B$5:$B$400="PROCESO")*(MOVIMIENTOS!$C$5:$C$400="Chancho")*(MOVIMIENTOS!$D$5:$D$400="sacos")*(MOVIMIENTOS!$A$5:$A$400&lt;&gt;"")*(MOVIMIENTOS!$A$5:$A$400&lt;=$A68)*MOVIMIENTOS!$E$5:$E$400)-SUMPRODUCT((MOVIMIENTOS!$B$5:$B$400="VENTA CHANCHO")*(MOVIMIENTOS!$C$5:$C$400="Chancho")*(MOVIMIENTOS!$D$5:$D$400="sacos")*(MOVIMIENTOS!$A$5:$A$400&lt;&gt;"")*(MOVIMIENTOS!$A$5:$A$400&lt;=$A68)*MOVIMIENTOS!$E$5:$E$400)-SUMPRODUCT((MOVIMIENTOS!$B$5:$B$400="REGALO")*(MOVIMIENTOS!$C$5:$C$400="Chancho")*(MOVIMIENTOS!$D$5:$D$400="sacos")*(MOVIMIENTOS!$A$5:$A$400&lt;&gt;"")*(MOVIMIENTOS!$A$5:$A$400&lt;=$A68)*MOVIMIENTOS!$E$5:$E$400)-SUMPRODUCT((MOVIMIENTOS!$B$5:$B$400="VENTA")*(MOVIMIENTOS!$C$5:$C$400="Chancho")*(MOVIMIENTOS!$D$5:$D$400="sacos")*(MOVIMIENTOS!$A$5:$A$400&lt;&gt;"")*(MOVIMIENTOS!$A$5:$A$400&lt;=$A68)*MOVIMIENTOS!$E$5:$E$400)+SUMPRODUCT((MOVIMIENTOS!$B$5:$B$400="AJUSTE")*(MOVIMIENTOS!$C$5:$C$400="Chancho")*(MOVIMIENTOS!$D$5:$D$400="sacos")*(MOVIMIENTOS!$A$5:$A$400&lt;&gt;"")*(MOVIMIENTOS!$A$5:$A$400&lt;=$A68)*MOVIMIENTOS!$E$5:$E$400))</f>
        <v/>
      </c>
      <c r="G68" s="46" t="str">
        <f aca="false">IF($A68="","",SUM(B68:E68))</f>
        <v/>
      </c>
      <c r="H68" s="46" t="str">
        <f aca="false">IF($A68="","",SUMPRODUCT((((MOVIMIENTOS!$B$5:$B$400="SALDO INICIAL")*(MOVIMIENTOS!$C$5:$C$400&lt;&gt;"Chancho"))+(MOVIMIENTOS!$B$5:$B$400="COMPRA")+(MOVIMIENTOS!$B$5:$B$400="REPROCESO")+(MOVIMIENTOS!$B$5:$B$400="DEVOLUCIÓN")+((MOVIMIENTOS!$B$5:$B$400="AJUSTE")*(MOVIMIENTOS!$C$5:$C$400&lt;&gt;"Chancho")))*(MOVIMIENTOS!$A$5:$A$400&lt;&gt;"")*(MOVIMIENTOS!$A$5:$A$400&lt;=$A68)*MOVIMIENTOS!$I$5:$I$400)-SUMPRODUCT(((MOVIMIENTOS!$B$5:$B$400="ENVÍO A SUPESA")+(MOVIMIENTOS!$B$5:$B$400="ENVÍO A TOTTUS")+(MOVIMIENTOS!$B$5:$B$400="ENVIO A TOTTUS")+(MOVIMIENTOS!$B$5:$B$400="MALOGRADO")+(MOVIMIENTOS!$B$5:$B$400="OTRA SALIDA")+((MOVIMIENTOS!$B$5:$B$400="PROCESO")*(MOVIMIENTOS!$C$5:$C$400="Chancho"))+((MOVIMIENTOS!$B$5:$B$400="REGALO")*(MOVIMIENTOS!$C$5:$C$400&lt;&gt;"Chancho"))+((MOVIMIENTOS!$B$5:$B$400="VENTA")*(MOVIMIENTOS!$C$5:$C$400&lt;&gt;"Chancho")))*(MOVIMIENTOS!$A$5:$A$400&lt;&gt;"")*(MOVIMIENTOS!$A$5:$A$400&lt;=$A68)*MOVIMIENTOS!$I$5:$I$400))</f>
        <v/>
      </c>
      <c r="I68" s="44"/>
      <c r="J68" s="44" t="str">
        <f aca="false">IF(AND(MOVIMIENTOS!$A68&lt;&gt;"",COUNTIF(MOVIMIENTOS!$A$5:$A67,MOVIMIENTOS!$A68)=0),COUNT(J$4:J67)+1,"")</f>
        <v/>
      </c>
      <c r="K68" s="47" t="n">
        <f aca="false">MOVIMIENTOS!$A68</f>
        <v>46220</v>
      </c>
      <c r="L68" s="44"/>
      <c r="M68" s="44"/>
      <c r="N68" s="44"/>
    </row>
    <row r="69" customFormat="false" ht="15" hidden="false" customHeight="true" outlineLevel="0" collapsed="false">
      <c r="A69" s="45" t="str">
        <f aca="false">IFERROR(INDEX(K$5:K$400,MATCH(ROW()-4,J$5:J$400,0)),"")</f>
        <v/>
      </c>
      <c r="B69" s="46" t="str">
        <f aca="false">IF($A69="","",SUMPRODUCT((MOVIMIENTOS!$B$5:$B$400="SALDO INICIAL")*(MOVIMIENTOS!$C$5:$C$400="A")*(MOVIMIENTOS!$D$5:$D$400="jabas")*(MOVIMIENTOS!$A$5:$A$400&lt;&gt;"")*(MOVIMIENTOS!$A$5:$A$400&lt;=$A69)*MOVIMIENTOS!$E$5:$E$400)+SUMPRODUCT((MOVIMIENTOS!$B$5:$B$400="PROCESO")*(MOVIMIENTOS!$C$5:$C$400="A")*(MOVIMIENTOS!$D$5:$D$400="jabas")*(MOVIMIENTOS!$A$5:$A$400&lt;&gt;"")*(MOVIMIENTOS!$A$5:$A$400&lt;=$A69)*MOVIMIENTOS!$E$5:$E$400)-SUMPRODUCT((MOVIMIENTOS!$B$5:$B$400="ENVÍO A SUPESA")*(MOVIMIENTOS!$C$5:$C$400="A")*(MOVIMIENTOS!$D$5:$D$400="jabas")*(MOVIMIENTOS!$A$5:$A$400&lt;&gt;"")*(MOVIMIENTOS!$A$5:$A$400&lt;=$A69)*MOVIMIENTOS!$E$5:$E$400)+SUMPRODUCT((MOVIMIENTOS!$B$5:$B$400="DEVOLUCIÓN")*(MOVIMIENTOS!$C$5:$C$400="A")*(MOVIMIENTOS!$D$5:$D$400="jabas")*(MOVIMIENTOS!$A$5:$A$400&lt;&gt;"")*(MOVIMIENTOS!$A$5:$A$400&lt;=$A69)*MOVIMIENTOS!$E$5:$E$400)-SUMPRODUCT((MOVIMIENTOS!$B$5:$B$400="TRASIEGO")*(MOVIMIENTOS!$C$5:$C$400="A")*(MOVIMIENTOS!$D$5:$D$400="jabas")*(MOVIMIENTOS!$A$5:$A$400&lt;&gt;"")*(MOVIMIENTOS!$A$5:$A$400&lt;=$A69)*MOVIMIENTOS!$E$5:$E$400)-SUMPRODUCT((MOVIMIENTOS!$B$5:$B$400="REGALO")*(MOVIMIENTOS!$C$5:$C$400="A")*(MOVIMIENTOS!$D$5:$D$400="jabas")*(MOVIMIENTOS!$A$5:$A$400&lt;&gt;"")*(MOVIMIENTOS!$A$5:$A$400&lt;=$A69)*MOVIMIENTOS!$E$5:$E$400)-SUMPRODUCT((MOVIMIENTOS!$B$5:$B$400="VENTA")*(MOVIMIENTOS!$C$5:$C$400="A")*(MOVIMIENTOS!$D$5:$D$400="jabas")*(MOVIMIENTOS!$A$5:$A$400&lt;&gt;"")*(MOVIMIENTOS!$A$5:$A$400&lt;=$A69)*MOVIMIENTOS!$E$5:$E$400)+SUMPRODUCT((MOVIMIENTOS!$B$5:$B$400="AJUSTE")*(MOVIMIENTOS!$C$5:$C$400="A")*(MOVIMIENTOS!$D$5:$D$400="jabas")*(MOVIMIENTOS!$A$5:$A$400&lt;&gt;"")*(MOVIMIENTOS!$A$5:$A$400&lt;=$A69)*MOVIMIENTOS!$E$5:$E$400))</f>
        <v/>
      </c>
      <c r="C69" s="46" t="str">
        <f aca="false">IF($A69="","",SUMPRODUCT((MOVIMIENTOS!$B$5:$B$400="SALDO INICIAL")*(MOVIMIENTOS!$C$5:$C$400="P")*(MOVIMIENTOS!$D$5:$D$400="jabas")*(MOVIMIENTOS!$A$5:$A$400&lt;&gt;"")*(MOVIMIENTOS!$A$5:$A$400&lt;=$A69)*MOVIMIENTOS!$E$5:$E$400)+SUMPRODUCT((MOVIMIENTOS!$B$5:$B$400="PROCESO")*(MOVIMIENTOS!$C$5:$C$400="P")*(MOVIMIENTOS!$D$5:$D$400="jabas")*(MOVIMIENTOS!$A$5:$A$400&lt;&gt;"")*(MOVIMIENTOS!$A$5:$A$400&lt;=$A69)*MOVIMIENTOS!$E$5:$E$400)-SUMPRODUCT((MOVIMIENTOS!$B$5:$B$400="ENVÍO A SUPESA")*(MOVIMIENTOS!$C$5:$C$400="P")*(MOVIMIENTOS!$D$5:$D$400="jabas")*(MOVIMIENTOS!$A$5:$A$400&lt;&gt;"")*(MOVIMIENTOS!$A$5:$A$400&lt;=$A69)*MOVIMIENTOS!$E$5:$E$400)+SUMPRODUCT((MOVIMIENTOS!$B$5:$B$400="DEVOLUCIÓN")*(MOVIMIENTOS!$C$5:$C$400="P")*(MOVIMIENTOS!$D$5:$D$400="jabas")*(MOVIMIENTOS!$A$5:$A$400&lt;&gt;"")*(MOVIMIENTOS!$A$5:$A$400&lt;=$A69)*MOVIMIENTOS!$E$5:$E$400)-SUMPRODUCT((MOVIMIENTOS!$B$5:$B$400="TRASIEGO")*(MOVIMIENTOS!$C$5:$C$400="P")*(MOVIMIENTOS!$D$5:$D$400="jabas")*(MOVIMIENTOS!$A$5:$A$400&lt;&gt;"")*(MOVIMIENTOS!$A$5:$A$400&lt;=$A69)*MOVIMIENTOS!$E$5:$E$400)-SUMPRODUCT((MOVIMIENTOS!$B$5:$B$400="REGALO")*(MOVIMIENTOS!$C$5:$C$400="P")*(MOVIMIENTOS!$D$5:$D$400="jabas")*(MOVIMIENTOS!$A$5:$A$400&lt;&gt;"")*(MOVIMIENTOS!$A$5:$A$400&lt;=$A69)*MOVIMIENTOS!$E$5:$E$400)-SUMPRODUCT((MOVIMIENTOS!$B$5:$B$400="VENTA")*(MOVIMIENTOS!$C$5:$C$400="P")*(MOVIMIENTOS!$D$5:$D$400="jabas")*(MOVIMIENTOS!$A$5:$A$400&lt;&gt;"")*(MOVIMIENTOS!$A$5:$A$400&lt;=$A69)*MOVIMIENTOS!$E$5:$E$400)+SUMPRODUCT((MOVIMIENTOS!$B$5:$B$400="AJUSTE")*(MOVIMIENTOS!$C$5:$C$400="P")*(MOVIMIENTOS!$D$5:$D$400="jabas")*(MOVIMIENTOS!$A$5:$A$400&lt;&gt;"")*(MOVIMIENTOS!$A$5:$A$400&lt;=$A69)*MOVIMIENTOS!$E$5:$E$400))</f>
        <v/>
      </c>
      <c r="D69" s="46" t="str">
        <f aca="false">IF($A69="","",SUMPRODUCT((MOVIMIENTOS!$B$5:$B$400="SALDO INICIAL")*(MOVIMIENTOS!$C$5:$C$400="C")*(MOVIMIENTOS!$D$5:$D$400="jabas")*(MOVIMIENTOS!$A$5:$A$400&lt;&gt;"")*(MOVIMIENTOS!$A$5:$A$400&lt;=$A69)*MOVIMIENTOS!$E$5:$E$400)+SUMPRODUCT((MOVIMIENTOS!$B$5:$B$400="PROCESO")*(MOVIMIENTOS!$C$5:$C$400="C")*(MOVIMIENTOS!$D$5:$D$400="jabas")*(MOVIMIENTOS!$A$5:$A$400&lt;&gt;"")*(MOVIMIENTOS!$A$5:$A$400&lt;=$A69)*MOVIMIENTOS!$E$5:$E$400)-SUMPRODUCT((MOVIMIENTOS!$B$5:$B$400="ENVÍO A SUPESA")*(MOVIMIENTOS!$C$5:$C$400="C")*(MOVIMIENTOS!$D$5:$D$400="jabas")*(MOVIMIENTOS!$A$5:$A$400&lt;&gt;"")*(MOVIMIENTOS!$A$5:$A$400&lt;=$A69)*MOVIMIENTOS!$E$5:$E$400)+SUMPRODUCT((MOVIMIENTOS!$B$5:$B$400="DEVOLUCIÓN")*(MOVIMIENTOS!$C$5:$C$400="C")*(MOVIMIENTOS!$D$5:$D$400="jabas")*(MOVIMIENTOS!$A$5:$A$400&lt;&gt;"")*(MOVIMIENTOS!$A$5:$A$400&lt;=$A69)*MOVIMIENTOS!$E$5:$E$400)-SUMPRODUCT((MOVIMIENTOS!$B$5:$B$400="TRASIEGO")*(MOVIMIENTOS!$C$5:$C$400="C")*(MOVIMIENTOS!$D$5:$D$400="jabas")*(MOVIMIENTOS!$A$5:$A$400&lt;&gt;"")*(MOVIMIENTOS!$A$5:$A$400&lt;=$A69)*MOVIMIENTOS!$E$5:$E$400)-SUMPRODUCT((MOVIMIENTOS!$B$5:$B$400="REGALO")*(MOVIMIENTOS!$C$5:$C$400="C")*(MOVIMIENTOS!$D$5:$D$400="jabas")*(MOVIMIENTOS!$A$5:$A$400&lt;&gt;"")*(MOVIMIENTOS!$A$5:$A$400&lt;=$A69)*MOVIMIENTOS!$E$5:$E$400)-SUMPRODUCT((MOVIMIENTOS!$B$5:$B$400="VENTA")*(MOVIMIENTOS!$C$5:$C$400="C")*(MOVIMIENTOS!$D$5:$D$400="jabas")*(MOVIMIENTOS!$A$5:$A$400&lt;&gt;"")*(MOVIMIENTOS!$A$5:$A$400&lt;=$A69)*MOVIMIENTOS!$E$5:$E$400)+SUMPRODUCT((MOVIMIENTOS!$B$5:$B$400="AJUSTE")*(MOVIMIENTOS!$C$5:$C$400="C")*(MOVIMIENTOS!$D$5:$D$400="jabas")*(MOVIMIENTOS!$A$5:$A$400&lt;&gt;"")*(MOVIMIENTOS!$A$5:$A$400&lt;=$A69)*MOVIMIENTOS!$E$5:$E$400))</f>
        <v/>
      </c>
      <c r="E69" s="46" t="str">
        <f aca="false">IF($A69="","",SUMPRODUCT((MOVIMIENTOS!$B$5:$B$400="SALDO INICIAL")*(MOVIMIENTOS!$C$5:$C$400="M")*(MOVIMIENTOS!$D$5:$D$400="jabas")*(MOVIMIENTOS!$A$5:$A$400&lt;&gt;"")*(MOVIMIENTOS!$A$5:$A$400&lt;=$A69)*MOVIMIENTOS!$E$5:$E$400)+SUMPRODUCT((MOVIMIENTOS!$B$5:$B$400="PROCESO")*(MOVIMIENTOS!$C$5:$C$400="M")*(MOVIMIENTOS!$D$5:$D$400="jabas")*(MOVIMIENTOS!$A$5:$A$400&lt;&gt;"")*(MOVIMIENTOS!$A$5:$A$400&lt;=$A69)*MOVIMIENTOS!$E$5:$E$400)-SUMPRODUCT((MOVIMIENTOS!$B$5:$B$400="ENVÍO A SUPESA")*(MOVIMIENTOS!$C$5:$C$400="M")*(MOVIMIENTOS!$D$5:$D$400="jabas")*(MOVIMIENTOS!$A$5:$A$400&lt;&gt;"")*(MOVIMIENTOS!$A$5:$A$400&lt;=$A69)*MOVIMIENTOS!$E$5:$E$400)+SUMPRODUCT((MOVIMIENTOS!$B$5:$B$400="DEVOLUCIÓN")*(MOVIMIENTOS!$C$5:$C$400="M")*(MOVIMIENTOS!$D$5:$D$400="jabas")*(MOVIMIENTOS!$A$5:$A$400&lt;&gt;"")*(MOVIMIENTOS!$A$5:$A$400&lt;=$A69)*MOVIMIENTOS!$E$5:$E$400)-SUMPRODUCT((MOVIMIENTOS!$B$5:$B$400="TRASIEGO")*(MOVIMIENTOS!$C$5:$C$400="M")*(MOVIMIENTOS!$D$5:$D$400="jabas")*(MOVIMIENTOS!$A$5:$A$400&lt;&gt;"")*(MOVIMIENTOS!$A$5:$A$400&lt;=$A69)*MOVIMIENTOS!$E$5:$E$400)-SUMPRODUCT((MOVIMIENTOS!$B$5:$B$400="REGALO")*(MOVIMIENTOS!$C$5:$C$400="M")*(MOVIMIENTOS!$D$5:$D$400="jabas")*(MOVIMIENTOS!$A$5:$A$400&lt;&gt;"")*(MOVIMIENTOS!$A$5:$A$400&lt;=$A69)*MOVIMIENTOS!$E$5:$E$400)-SUMPRODUCT((MOVIMIENTOS!$B$5:$B$400="VENTA")*(MOVIMIENTOS!$C$5:$C$400="M")*(MOVIMIENTOS!$D$5:$D$400="jabas")*(MOVIMIENTOS!$A$5:$A$400&lt;&gt;"")*(MOVIMIENTOS!$A$5:$A$400&lt;=$A69)*MOVIMIENTOS!$E$5:$E$400)+SUMPRODUCT((MOVIMIENTOS!$B$5:$B$400="AJUSTE")*(MOVIMIENTOS!$C$5:$C$400="M")*(MOVIMIENTOS!$D$5:$D$400="jabas")*(MOVIMIENTOS!$A$5:$A$400&lt;&gt;"")*(MOVIMIENTOS!$A$5:$A$400&lt;=$A69)*MOVIMIENTOS!$E$5:$E$400))</f>
        <v/>
      </c>
      <c r="F69" s="46" t="str">
        <f aca="false">IF($A69="","",SUMPRODUCT((MOVIMIENTOS!$B$5:$B$400="SALDO INICIAL")*(MOVIMIENTOS!$C$5:$C$400="Chancho")*(MOVIMIENTOS!$D$5:$D$400="sacos")*(MOVIMIENTOS!$A$5:$A$400&lt;&gt;"")*(MOVIMIENTOS!$A$5:$A$400&lt;=$A69)*MOVIMIENTOS!$E$5:$E$400)+SUMPRODUCT((MOVIMIENTOS!$B$5:$B$400="PROCESO")*(MOVIMIENTOS!$C$5:$C$400="Chancho")*(MOVIMIENTOS!$D$5:$D$400="sacos")*(MOVIMIENTOS!$A$5:$A$400&lt;&gt;"")*(MOVIMIENTOS!$A$5:$A$400&lt;=$A69)*MOVIMIENTOS!$E$5:$E$400)-SUMPRODUCT((MOVIMIENTOS!$B$5:$B$400="VENTA CHANCHO")*(MOVIMIENTOS!$C$5:$C$400="Chancho")*(MOVIMIENTOS!$D$5:$D$400="sacos")*(MOVIMIENTOS!$A$5:$A$400&lt;&gt;"")*(MOVIMIENTOS!$A$5:$A$400&lt;=$A69)*MOVIMIENTOS!$E$5:$E$400)-SUMPRODUCT((MOVIMIENTOS!$B$5:$B$400="REGALO")*(MOVIMIENTOS!$C$5:$C$400="Chancho")*(MOVIMIENTOS!$D$5:$D$400="sacos")*(MOVIMIENTOS!$A$5:$A$400&lt;&gt;"")*(MOVIMIENTOS!$A$5:$A$400&lt;=$A69)*MOVIMIENTOS!$E$5:$E$400)-SUMPRODUCT((MOVIMIENTOS!$B$5:$B$400="VENTA")*(MOVIMIENTOS!$C$5:$C$400="Chancho")*(MOVIMIENTOS!$D$5:$D$400="sacos")*(MOVIMIENTOS!$A$5:$A$400&lt;&gt;"")*(MOVIMIENTOS!$A$5:$A$400&lt;=$A69)*MOVIMIENTOS!$E$5:$E$400)+SUMPRODUCT((MOVIMIENTOS!$B$5:$B$400="AJUSTE")*(MOVIMIENTOS!$C$5:$C$400="Chancho")*(MOVIMIENTOS!$D$5:$D$400="sacos")*(MOVIMIENTOS!$A$5:$A$400&lt;&gt;"")*(MOVIMIENTOS!$A$5:$A$400&lt;=$A69)*MOVIMIENTOS!$E$5:$E$400))</f>
        <v/>
      </c>
      <c r="G69" s="46" t="str">
        <f aca="false">IF($A69="","",SUM(B69:E69))</f>
        <v/>
      </c>
      <c r="H69" s="46" t="str">
        <f aca="false">IF($A69="","",SUMPRODUCT((((MOVIMIENTOS!$B$5:$B$400="SALDO INICIAL")*(MOVIMIENTOS!$C$5:$C$400&lt;&gt;"Chancho"))+(MOVIMIENTOS!$B$5:$B$400="COMPRA")+(MOVIMIENTOS!$B$5:$B$400="REPROCESO")+(MOVIMIENTOS!$B$5:$B$400="DEVOLUCIÓN")+((MOVIMIENTOS!$B$5:$B$400="AJUSTE")*(MOVIMIENTOS!$C$5:$C$400&lt;&gt;"Chancho")))*(MOVIMIENTOS!$A$5:$A$400&lt;&gt;"")*(MOVIMIENTOS!$A$5:$A$400&lt;=$A69)*MOVIMIENTOS!$I$5:$I$400)-SUMPRODUCT(((MOVIMIENTOS!$B$5:$B$400="ENVÍO A SUPESA")+(MOVIMIENTOS!$B$5:$B$400="ENVÍO A TOTTUS")+(MOVIMIENTOS!$B$5:$B$400="ENVIO A TOTTUS")+(MOVIMIENTOS!$B$5:$B$400="MALOGRADO")+(MOVIMIENTOS!$B$5:$B$400="OTRA SALIDA")+((MOVIMIENTOS!$B$5:$B$400="PROCESO")*(MOVIMIENTOS!$C$5:$C$400="Chancho"))+((MOVIMIENTOS!$B$5:$B$400="REGALO")*(MOVIMIENTOS!$C$5:$C$400&lt;&gt;"Chancho"))+((MOVIMIENTOS!$B$5:$B$400="VENTA")*(MOVIMIENTOS!$C$5:$C$400&lt;&gt;"Chancho")))*(MOVIMIENTOS!$A$5:$A$400&lt;&gt;"")*(MOVIMIENTOS!$A$5:$A$400&lt;=$A69)*MOVIMIENTOS!$I$5:$I$400))</f>
        <v/>
      </c>
      <c r="I69" s="44"/>
      <c r="J69" s="44" t="str">
        <f aca="false">IF(AND(MOVIMIENTOS!$A69&lt;&gt;"",COUNTIF(MOVIMIENTOS!$A$5:$A68,MOVIMIENTOS!$A69)=0),COUNT(J$4:J68)+1,"")</f>
        <v/>
      </c>
      <c r="K69" s="47" t="n">
        <f aca="false">MOVIMIENTOS!$A69</f>
        <v>46220</v>
      </c>
      <c r="L69" s="44"/>
      <c r="M69" s="44"/>
      <c r="N69" s="44"/>
    </row>
    <row r="70" customFormat="false" ht="15" hidden="false" customHeight="true" outlineLevel="0" collapsed="false">
      <c r="A70" s="44"/>
      <c r="B70" s="44"/>
      <c r="C70" s="44"/>
      <c r="D70" s="44"/>
      <c r="E70" s="44"/>
      <c r="F70" s="44"/>
      <c r="G70" s="44"/>
      <c r="H70" s="44"/>
      <c r="I70" s="44"/>
      <c r="J70" s="44" t="str">
        <f aca="false">IF(AND(MOVIMIENTOS!$A70&lt;&gt;"",COUNTIF(MOVIMIENTOS!$A$5:$A69,MOVIMIENTOS!$A70)=0),COUNT(J$4:J69)+1,"")</f>
        <v/>
      </c>
      <c r="K70" s="47" t="n">
        <f aca="false">MOVIMIENTOS!$A70</f>
        <v>46220</v>
      </c>
      <c r="L70" s="44"/>
      <c r="M70" s="44"/>
      <c r="N70" s="44"/>
    </row>
    <row r="71" customFormat="false" ht="15" hidden="false" customHeight="true" outlineLevel="0" collapsed="false">
      <c r="A71" s="44"/>
      <c r="B71" s="44"/>
      <c r="C71" s="44"/>
      <c r="D71" s="44"/>
      <c r="E71" s="44"/>
      <c r="F71" s="44"/>
      <c r="G71" s="44"/>
      <c r="H71" s="44"/>
      <c r="I71" s="44"/>
      <c r="J71" s="44" t="str">
        <f aca="false">IF(AND(MOVIMIENTOS!$A71&lt;&gt;"",COUNTIF(MOVIMIENTOS!$A$5:$A70,MOVIMIENTOS!$A71)=0),COUNT(J$4:J70)+1,"")</f>
        <v/>
      </c>
      <c r="K71" s="47" t="n">
        <f aca="false">MOVIMIENTOS!$A71</f>
        <v>46220</v>
      </c>
      <c r="L71" s="44"/>
      <c r="M71" s="44"/>
      <c r="N71" s="44"/>
    </row>
    <row r="72" customFormat="false" ht="15" hidden="false" customHeight="true" outlineLevel="0" collapsed="false">
      <c r="A72" s="44"/>
      <c r="B72" s="44"/>
      <c r="C72" s="44"/>
      <c r="D72" s="44"/>
      <c r="E72" s="44"/>
      <c r="F72" s="44"/>
      <c r="G72" s="44"/>
      <c r="H72" s="44"/>
      <c r="I72" s="44"/>
      <c r="J72" s="44" t="str">
        <f aca="false">IF(AND(MOVIMIENTOS!$A72&lt;&gt;"",COUNTIF(MOVIMIENTOS!$A$5:$A71,MOVIMIENTOS!$A72)=0),COUNT(J$4:J71)+1,"")</f>
        <v/>
      </c>
      <c r="K72" s="47" t="n">
        <f aca="false">MOVIMIENTOS!$A72</f>
        <v>46220</v>
      </c>
      <c r="L72" s="44"/>
      <c r="M72" s="44"/>
      <c r="N72" s="44"/>
    </row>
    <row r="73" customFormat="false" ht="15" hidden="false" customHeight="true" outlineLevel="0" collapsed="false">
      <c r="A73" s="44"/>
      <c r="B73" s="44"/>
      <c r="C73" s="44"/>
      <c r="D73" s="44"/>
      <c r="E73" s="44"/>
      <c r="F73" s="44"/>
      <c r="G73" s="44"/>
      <c r="H73" s="44"/>
      <c r="I73" s="44"/>
      <c r="J73" s="44" t="str">
        <f aca="false">IF(AND(MOVIMIENTOS!$A73&lt;&gt;"",COUNTIF(MOVIMIENTOS!$A$5:$A72,MOVIMIENTOS!$A73)=0),COUNT(J$4:J72)+1,"")</f>
        <v/>
      </c>
      <c r="K73" s="47" t="n">
        <f aca="false">MOVIMIENTOS!$A73</f>
        <v>46220</v>
      </c>
      <c r="L73" s="44"/>
      <c r="M73" s="44"/>
      <c r="N73" s="44"/>
    </row>
    <row r="74" customFormat="false" ht="15" hidden="false" customHeight="true" outlineLevel="0" collapsed="false">
      <c r="A74" s="44"/>
      <c r="B74" s="44"/>
      <c r="C74" s="44"/>
      <c r="D74" s="44"/>
      <c r="E74" s="44"/>
      <c r="F74" s="44"/>
      <c r="G74" s="44"/>
      <c r="H74" s="44"/>
      <c r="I74" s="44"/>
      <c r="J74" s="44" t="str">
        <f aca="false">IF(AND(MOVIMIENTOS!$A74&lt;&gt;"",COUNTIF(MOVIMIENTOS!$A$5:$A73,MOVIMIENTOS!$A74)=0),COUNT(J$4:J73)+1,"")</f>
        <v/>
      </c>
      <c r="K74" s="47" t="n">
        <f aca="false">MOVIMIENTOS!$A74</f>
        <v>46220</v>
      </c>
      <c r="L74" s="44"/>
      <c r="M74" s="44"/>
      <c r="N74" s="44"/>
    </row>
    <row r="75" customFormat="false" ht="15" hidden="false" customHeight="true" outlineLevel="0" collapsed="false">
      <c r="A75" s="44"/>
      <c r="B75" s="44"/>
      <c r="C75" s="44"/>
      <c r="D75" s="44"/>
      <c r="E75" s="44"/>
      <c r="F75" s="44"/>
      <c r="G75" s="44"/>
      <c r="H75" s="44"/>
      <c r="I75" s="44"/>
      <c r="J75" s="44" t="n">
        <f aca="false">IF(AND(MOVIMIENTOS!$A75&lt;&gt;"",COUNTIF(MOVIMIENTOS!$A$5:$A74,MOVIMIENTOS!$A75)=0),COUNT(J$4:J74)+1,"")</f>
        <v>8</v>
      </c>
      <c r="K75" s="47" t="n">
        <f aca="false">MOVIMIENTOS!$A75</f>
        <v>46221</v>
      </c>
      <c r="L75" s="44"/>
      <c r="M75" s="44"/>
      <c r="N75" s="44"/>
    </row>
    <row r="76" customFormat="false" ht="15" hidden="false" customHeight="true" outlineLevel="0" collapsed="false">
      <c r="A76" s="44"/>
      <c r="B76" s="44"/>
      <c r="C76" s="44"/>
      <c r="D76" s="44"/>
      <c r="E76" s="44"/>
      <c r="F76" s="44"/>
      <c r="G76" s="44"/>
      <c r="H76" s="44"/>
      <c r="I76" s="44"/>
      <c r="J76" s="44" t="str">
        <f aca="false">IF(AND(MOVIMIENTOS!$A76&lt;&gt;"",COUNTIF(MOVIMIENTOS!$A$5:$A75,MOVIMIENTOS!$A76)=0),COUNT(J$4:J75)+1,"")</f>
        <v/>
      </c>
      <c r="K76" s="47" t="n">
        <f aca="false">MOVIMIENTOS!$A76</f>
        <v>46221</v>
      </c>
      <c r="L76" s="44"/>
      <c r="M76" s="44"/>
      <c r="N76" s="44"/>
    </row>
    <row r="77" customFormat="false" ht="15" hidden="false" customHeight="true" outlineLevel="0" collapsed="false">
      <c r="A77" s="44"/>
      <c r="B77" s="44"/>
      <c r="C77" s="44"/>
      <c r="D77" s="44"/>
      <c r="E77" s="44"/>
      <c r="F77" s="44"/>
      <c r="G77" s="44"/>
      <c r="H77" s="44"/>
      <c r="I77" s="44"/>
      <c r="J77" s="44" t="str">
        <f aca="false">IF(AND(MOVIMIENTOS!$A77&lt;&gt;"",COUNTIF(MOVIMIENTOS!$A$5:$A76,MOVIMIENTOS!$A77)=0),COUNT(J$4:J76)+1,"")</f>
        <v/>
      </c>
      <c r="K77" s="47" t="n">
        <f aca="false">MOVIMIENTOS!$A77</f>
        <v>46221</v>
      </c>
      <c r="L77" s="44"/>
      <c r="M77" s="44"/>
      <c r="N77" s="44"/>
    </row>
    <row r="78" customFormat="false" ht="15" hidden="false" customHeight="true" outlineLevel="0" collapsed="false">
      <c r="A78" s="44"/>
      <c r="B78" s="44"/>
      <c r="C78" s="44"/>
      <c r="D78" s="44"/>
      <c r="E78" s="44"/>
      <c r="F78" s="44"/>
      <c r="G78" s="44"/>
      <c r="H78" s="44"/>
      <c r="I78" s="44"/>
      <c r="J78" s="44" t="str">
        <f aca="false">IF(AND(MOVIMIENTOS!$A78&lt;&gt;"",COUNTIF(MOVIMIENTOS!$A$5:$A77,MOVIMIENTOS!$A78)=0),COUNT(J$4:J77)+1,"")</f>
        <v/>
      </c>
      <c r="K78" s="47" t="n">
        <f aca="false">MOVIMIENTOS!$A78</f>
        <v>46221</v>
      </c>
      <c r="L78" s="44"/>
      <c r="M78" s="44"/>
      <c r="N78" s="44"/>
    </row>
    <row r="79" customFormat="false" ht="15" hidden="false" customHeight="true" outlineLevel="0" collapsed="false">
      <c r="A79" s="44"/>
      <c r="B79" s="44"/>
      <c r="C79" s="44"/>
      <c r="D79" s="44"/>
      <c r="E79" s="44"/>
      <c r="F79" s="44"/>
      <c r="G79" s="44"/>
      <c r="H79" s="44"/>
      <c r="I79" s="44"/>
      <c r="J79" s="44" t="str">
        <f aca="false">IF(AND(MOVIMIENTOS!$A79&lt;&gt;"",COUNTIF(MOVIMIENTOS!$A$5:$A78,MOVIMIENTOS!$A79)=0),COUNT(J$4:J78)+1,"")</f>
        <v/>
      </c>
      <c r="K79" s="47" t="n">
        <f aca="false">MOVIMIENTOS!$A79</f>
        <v>46221</v>
      </c>
      <c r="L79" s="44"/>
      <c r="M79" s="44"/>
      <c r="N79" s="44"/>
    </row>
    <row r="80" customFormat="false" ht="15" hidden="false" customHeight="true" outlineLevel="0" collapsed="false">
      <c r="A80" s="44"/>
      <c r="B80" s="44"/>
      <c r="C80" s="44"/>
      <c r="D80" s="44"/>
      <c r="E80" s="44"/>
      <c r="F80" s="44"/>
      <c r="G80" s="44"/>
      <c r="H80" s="44"/>
      <c r="I80" s="44"/>
      <c r="J80" s="44" t="str">
        <f aca="false">IF(AND(MOVIMIENTOS!$A80&lt;&gt;"",COUNTIF(MOVIMIENTOS!$A$5:$A79,MOVIMIENTOS!$A80)=0),COUNT(J$4:J79)+1,"")</f>
        <v/>
      </c>
      <c r="K80" s="47" t="n">
        <f aca="false">MOVIMIENTOS!$A80</f>
        <v>46221</v>
      </c>
      <c r="L80" s="44"/>
      <c r="M80" s="44"/>
      <c r="N80" s="44"/>
    </row>
    <row r="81" customFormat="false" ht="15" hidden="false" customHeight="true" outlineLevel="0" collapsed="false">
      <c r="A81" s="44"/>
      <c r="B81" s="44"/>
      <c r="C81" s="44"/>
      <c r="D81" s="44"/>
      <c r="E81" s="44"/>
      <c r="F81" s="44"/>
      <c r="G81" s="44"/>
      <c r="H81" s="44"/>
      <c r="I81" s="44"/>
      <c r="J81" s="44" t="str">
        <f aca="false">IF(AND(MOVIMIENTOS!$A81&lt;&gt;"",COUNTIF(MOVIMIENTOS!$A$5:$A80,MOVIMIENTOS!$A81)=0),COUNT(J$4:J80)+1,"")</f>
        <v/>
      </c>
      <c r="K81" s="47" t="n">
        <f aca="false">MOVIMIENTOS!$A81</f>
        <v>46221</v>
      </c>
      <c r="L81" s="44"/>
      <c r="M81" s="44"/>
      <c r="N81" s="44"/>
    </row>
    <row r="82" customFormat="false" ht="15" hidden="false" customHeight="true" outlineLevel="0" collapsed="false">
      <c r="A82" s="44"/>
      <c r="B82" s="44"/>
      <c r="C82" s="44"/>
      <c r="D82" s="44"/>
      <c r="E82" s="44"/>
      <c r="F82" s="44"/>
      <c r="G82" s="44"/>
      <c r="H82" s="44"/>
      <c r="I82" s="44"/>
      <c r="J82" s="44" t="str">
        <f aca="false">IF(AND(MOVIMIENTOS!$A82&lt;&gt;"",COUNTIF(MOVIMIENTOS!$A$5:$A81,MOVIMIENTOS!$A82)=0),COUNT(J$4:J81)+1,"")</f>
        <v/>
      </c>
      <c r="K82" s="47" t="n">
        <f aca="false">MOVIMIENTOS!$A82</f>
        <v>46221</v>
      </c>
      <c r="L82" s="44"/>
      <c r="M82" s="44"/>
      <c r="N82" s="44"/>
    </row>
    <row r="83" customFormat="false" ht="15" hidden="false" customHeight="true" outlineLevel="0" collapsed="false">
      <c r="A83" s="44"/>
      <c r="B83" s="44"/>
      <c r="C83" s="44"/>
      <c r="D83" s="44"/>
      <c r="E83" s="44"/>
      <c r="F83" s="44"/>
      <c r="G83" s="44"/>
      <c r="H83" s="44"/>
      <c r="I83" s="44"/>
      <c r="J83" s="44" t="str">
        <f aca="false">IF(AND(MOVIMIENTOS!$A83&lt;&gt;"",COUNTIF(MOVIMIENTOS!$A$5:$A82,MOVIMIENTOS!$A83)=0),COUNT(J$4:J82)+1,"")</f>
        <v/>
      </c>
      <c r="K83" s="47" t="n">
        <f aca="false">MOVIMIENTOS!$A83</f>
        <v>46221</v>
      </c>
      <c r="L83" s="44"/>
      <c r="M83" s="44"/>
      <c r="N83" s="44"/>
    </row>
    <row r="84" customFormat="false" ht="15" hidden="false" customHeight="true" outlineLevel="0" collapsed="false">
      <c r="A84" s="44"/>
      <c r="B84" s="44"/>
      <c r="C84" s="44"/>
      <c r="D84" s="44"/>
      <c r="E84" s="44"/>
      <c r="F84" s="44"/>
      <c r="G84" s="44"/>
      <c r="H84" s="44"/>
      <c r="I84" s="44"/>
      <c r="J84" s="44" t="str">
        <f aca="false">IF(AND(MOVIMIENTOS!$A84&lt;&gt;"",COUNTIF(MOVIMIENTOS!$A$5:$A83,MOVIMIENTOS!$A84)=0),COUNT(J$4:J83)+1,"")</f>
        <v/>
      </c>
      <c r="K84" s="47" t="n">
        <f aca="false">MOVIMIENTOS!$A84</f>
        <v>46221</v>
      </c>
      <c r="L84" s="44"/>
      <c r="M84" s="44"/>
      <c r="N84" s="44"/>
    </row>
    <row r="85" customFormat="false" ht="15" hidden="false" customHeight="true" outlineLevel="0" collapsed="false">
      <c r="A85" s="44"/>
      <c r="B85" s="44"/>
      <c r="C85" s="44"/>
      <c r="D85" s="44"/>
      <c r="E85" s="44"/>
      <c r="F85" s="44"/>
      <c r="G85" s="44"/>
      <c r="H85" s="44"/>
      <c r="I85" s="44"/>
      <c r="J85" s="44" t="str">
        <f aca="false">IF(AND(MOVIMIENTOS!$A85&lt;&gt;"",COUNTIF(MOVIMIENTOS!$A$5:$A84,MOVIMIENTOS!$A85)=0),COUNT(J$4:J84)+1,"")</f>
        <v/>
      </c>
      <c r="K85" s="47" t="n">
        <f aca="false">MOVIMIENTOS!$A85</f>
        <v>46221</v>
      </c>
      <c r="L85" s="44"/>
      <c r="M85" s="44"/>
      <c r="N85" s="44"/>
    </row>
    <row r="86" customFormat="false" ht="15" hidden="false" customHeight="true" outlineLevel="0" collapsed="false">
      <c r="A86" s="44"/>
      <c r="B86" s="44"/>
      <c r="C86" s="44"/>
      <c r="D86" s="44"/>
      <c r="E86" s="44"/>
      <c r="F86" s="44"/>
      <c r="G86" s="44"/>
      <c r="H86" s="44"/>
      <c r="I86" s="44"/>
      <c r="J86" s="44" t="n">
        <f aca="false">IF(AND(MOVIMIENTOS!$A86&lt;&gt;"",COUNTIF(MOVIMIENTOS!$A$5:$A85,MOVIMIENTOS!$A86)=0),COUNT(J$4:J85)+1,"")</f>
        <v>9</v>
      </c>
      <c r="K86" s="47" t="n">
        <f aca="false">MOVIMIENTOS!$A86</f>
        <v>46222</v>
      </c>
      <c r="L86" s="44"/>
      <c r="M86" s="44"/>
      <c r="N86" s="44"/>
    </row>
    <row r="87" customFormat="false" ht="15" hidden="false" customHeight="true" outlineLevel="0" collapsed="false">
      <c r="A87" s="44"/>
      <c r="B87" s="44"/>
      <c r="C87" s="44"/>
      <c r="D87" s="44"/>
      <c r="E87" s="44"/>
      <c r="F87" s="44"/>
      <c r="G87" s="44"/>
      <c r="H87" s="44"/>
      <c r="I87" s="44"/>
      <c r="J87" s="44" t="str">
        <f aca="false">IF(AND(MOVIMIENTOS!$A87&lt;&gt;"",COUNTIF(MOVIMIENTOS!$A$5:$A86,MOVIMIENTOS!$A87)=0),COUNT(J$4:J86)+1,"")</f>
        <v/>
      </c>
      <c r="K87" s="47" t="n">
        <f aca="false">MOVIMIENTOS!$A87</f>
        <v>46222</v>
      </c>
      <c r="L87" s="44"/>
      <c r="M87" s="44"/>
      <c r="N87" s="44"/>
    </row>
    <row r="88" customFormat="false" ht="15" hidden="false" customHeight="true" outlineLevel="0" collapsed="false">
      <c r="A88" s="44"/>
      <c r="B88" s="44"/>
      <c r="C88" s="44"/>
      <c r="D88" s="44"/>
      <c r="E88" s="44"/>
      <c r="F88" s="44"/>
      <c r="G88" s="44"/>
      <c r="H88" s="44"/>
      <c r="I88" s="44"/>
      <c r="J88" s="44" t="str">
        <f aca="false">IF(AND(MOVIMIENTOS!$A88&lt;&gt;"",COUNTIF(MOVIMIENTOS!$A$5:$A87,MOVIMIENTOS!$A88)=0),COUNT(J$4:J87)+1,"")</f>
        <v/>
      </c>
      <c r="K88" s="47" t="n">
        <f aca="false">MOVIMIENTOS!$A88</f>
        <v>46222</v>
      </c>
      <c r="L88" s="44"/>
      <c r="M88" s="44"/>
      <c r="N88" s="44"/>
    </row>
    <row r="89" customFormat="false" ht="15" hidden="false" customHeight="true" outlineLevel="0" collapsed="false">
      <c r="A89" s="44"/>
      <c r="B89" s="44"/>
      <c r="C89" s="44"/>
      <c r="D89" s="44"/>
      <c r="E89" s="44"/>
      <c r="F89" s="44"/>
      <c r="G89" s="44"/>
      <c r="H89" s="44"/>
      <c r="I89" s="44"/>
      <c r="J89" s="44" t="str">
        <f aca="false">IF(AND(MOVIMIENTOS!$A89&lt;&gt;"",COUNTIF(MOVIMIENTOS!$A$5:$A88,MOVIMIENTOS!$A89)=0),COUNT(J$4:J88)+1,"")</f>
        <v/>
      </c>
      <c r="K89" s="47" t="n">
        <f aca="false">MOVIMIENTOS!$A89</f>
        <v>46222</v>
      </c>
      <c r="L89" s="44"/>
      <c r="M89" s="44"/>
      <c r="N89" s="44"/>
    </row>
    <row r="90" customFormat="false" ht="15" hidden="false" customHeight="true" outlineLevel="0" collapsed="false">
      <c r="A90" s="44"/>
      <c r="B90" s="44"/>
      <c r="C90" s="44"/>
      <c r="D90" s="44"/>
      <c r="E90" s="44"/>
      <c r="F90" s="44"/>
      <c r="G90" s="44"/>
      <c r="H90" s="44"/>
      <c r="I90" s="44"/>
      <c r="J90" s="44" t="str">
        <f aca="false">IF(AND(MOVIMIENTOS!$A90&lt;&gt;"",COUNTIF(MOVIMIENTOS!$A$5:$A89,MOVIMIENTOS!$A90)=0),COUNT(J$4:J89)+1,"")</f>
        <v/>
      </c>
      <c r="K90" s="47" t="n">
        <f aca="false">MOVIMIENTOS!$A90</f>
        <v>46222</v>
      </c>
      <c r="L90" s="44"/>
      <c r="M90" s="44"/>
      <c r="N90" s="44"/>
    </row>
    <row r="91" customFormat="false" ht="15" hidden="false" customHeight="true" outlineLevel="0" collapsed="false">
      <c r="A91" s="44"/>
      <c r="B91" s="44"/>
      <c r="C91" s="44"/>
      <c r="D91" s="44"/>
      <c r="E91" s="44"/>
      <c r="F91" s="44"/>
      <c r="G91" s="44"/>
      <c r="H91" s="44"/>
      <c r="I91" s="44"/>
      <c r="J91" s="44" t="str">
        <f aca="false">IF(AND(MOVIMIENTOS!$A91&lt;&gt;"",COUNTIF(MOVIMIENTOS!$A$5:$A90,MOVIMIENTOS!$A91)=0),COUNT(J$4:J90)+1,"")</f>
        <v/>
      </c>
      <c r="K91" s="47" t="n">
        <f aca="false">MOVIMIENTOS!$A91</f>
        <v>46222</v>
      </c>
      <c r="L91" s="44"/>
      <c r="M91" s="44"/>
      <c r="N91" s="44"/>
    </row>
    <row r="92" customFormat="false" ht="15" hidden="false" customHeight="true" outlineLevel="0" collapsed="false">
      <c r="A92" s="44"/>
      <c r="B92" s="44"/>
      <c r="C92" s="44"/>
      <c r="D92" s="44"/>
      <c r="E92" s="44"/>
      <c r="F92" s="44"/>
      <c r="G92" s="44"/>
      <c r="H92" s="44"/>
      <c r="I92" s="44"/>
      <c r="J92" s="44" t="str">
        <f aca="false">IF(AND(MOVIMIENTOS!$A92&lt;&gt;"",COUNTIF(MOVIMIENTOS!$A$5:$A91,MOVIMIENTOS!$A92)=0),COUNT(J$4:J91)+1,"")</f>
        <v/>
      </c>
      <c r="K92" s="47" t="n">
        <f aca="false">MOVIMIENTOS!$A92</f>
        <v>46222</v>
      </c>
      <c r="L92" s="44"/>
      <c r="M92" s="44"/>
      <c r="N92" s="44"/>
    </row>
    <row r="93" customFormat="false" ht="15" hidden="false" customHeight="true" outlineLevel="0" collapsed="false">
      <c r="A93" s="44"/>
      <c r="B93" s="44"/>
      <c r="C93" s="44"/>
      <c r="D93" s="44"/>
      <c r="E93" s="44"/>
      <c r="F93" s="44"/>
      <c r="G93" s="44"/>
      <c r="H93" s="44"/>
      <c r="I93" s="44"/>
      <c r="J93" s="44" t="str">
        <f aca="false">IF(AND(MOVIMIENTOS!$A93&lt;&gt;"",COUNTIF(MOVIMIENTOS!$A$5:$A92,MOVIMIENTOS!$A93)=0),COUNT(J$4:J92)+1,"")</f>
        <v/>
      </c>
      <c r="K93" s="47" t="n">
        <f aca="false">MOVIMIENTOS!$A93</f>
        <v>46222</v>
      </c>
      <c r="L93" s="44"/>
      <c r="M93" s="44"/>
      <c r="N93" s="44"/>
    </row>
    <row r="94" customFormat="false" ht="15" hidden="false" customHeight="true" outlineLevel="0" collapsed="false">
      <c r="A94" s="44"/>
      <c r="B94" s="44"/>
      <c r="C94" s="44"/>
      <c r="D94" s="44"/>
      <c r="E94" s="44"/>
      <c r="F94" s="44"/>
      <c r="G94" s="44"/>
      <c r="H94" s="44"/>
      <c r="I94" s="44"/>
      <c r="J94" s="44" t="str">
        <f aca="false">IF(AND(MOVIMIENTOS!$A94&lt;&gt;"",COUNTIF(MOVIMIENTOS!$A$5:$A93,MOVIMIENTOS!$A94)=0),COUNT(J$4:J93)+1,"")</f>
        <v/>
      </c>
      <c r="K94" s="47" t="n">
        <f aca="false">MOVIMIENTOS!$A94</f>
        <v>46222</v>
      </c>
      <c r="L94" s="44"/>
      <c r="M94" s="44"/>
      <c r="N94" s="44"/>
    </row>
    <row r="95" customFormat="false" ht="15" hidden="false" customHeight="true" outlineLevel="0" collapsed="false">
      <c r="A95" s="44"/>
      <c r="B95" s="44"/>
      <c r="C95" s="44"/>
      <c r="D95" s="44"/>
      <c r="E95" s="44"/>
      <c r="F95" s="44"/>
      <c r="G95" s="44"/>
      <c r="H95" s="44"/>
      <c r="I95" s="44"/>
      <c r="J95" s="44" t="str">
        <f aca="false">IF(AND(MOVIMIENTOS!$A95&lt;&gt;"",COUNTIF(MOVIMIENTOS!$A$5:$A94,MOVIMIENTOS!$A95)=0),COUNT(J$4:J94)+1,"")</f>
        <v/>
      </c>
      <c r="K95" s="47" t="n">
        <f aca="false">MOVIMIENTOS!$A95</f>
        <v>46222</v>
      </c>
      <c r="L95" s="44"/>
      <c r="M95" s="44"/>
      <c r="N95" s="44"/>
    </row>
    <row r="96" customFormat="false" ht="15" hidden="false" customHeight="true" outlineLevel="0" collapsed="false">
      <c r="A96" s="44"/>
      <c r="B96" s="44"/>
      <c r="C96" s="44"/>
      <c r="D96" s="44"/>
      <c r="E96" s="44"/>
      <c r="F96" s="44"/>
      <c r="G96" s="44"/>
      <c r="H96" s="44"/>
      <c r="I96" s="44"/>
      <c r="J96" s="44" t="n">
        <f aca="false">IF(AND(MOVIMIENTOS!$A96&lt;&gt;"",COUNTIF(MOVIMIENTOS!$A$5:$A95,MOVIMIENTOS!$A96)=0),COUNT(J$4:J95)+1,"")</f>
        <v>10</v>
      </c>
      <c r="K96" s="47" t="n">
        <f aca="false">MOVIMIENTOS!$A96</f>
        <v>46223</v>
      </c>
      <c r="L96" s="44"/>
      <c r="M96" s="44"/>
      <c r="N96" s="44"/>
    </row>
    <row r="97" customFormat="false" ht="15" hidden="false" customHeight="true" outlineLevel="0" collapsed="false">
      <c r="A97" s="44"/>
      <c r="B97" s="44"/>
      <c r="C97" s="44"/>
      <c r="D97" s="44"/>
      <c r="E97" s="44"/>
      <c r="F97" s="44"/>
      <c r="G97" s="44"/>
      <c r="H97" s="44"/>
      <c r="I97" s="44"/>
      <c r="J97" s="44" t="str">
        <f aca="false">IF(AND(MOVIMIENTOS!$A97&lt;&gt;"",COUNTIF(MOVIMIENTOS!$A$5:$A96,MOVIMIENTOS!$A97)=0),COUNT(J$4:J96)+1,"")</f>
        <v/>
      </c>
      <c r="K97" s="47" t="n">
        <f aca="false">MOVIMIENTOS!$A97</f>
        <v>46223</v>
      </c>
      <c r="L97" s="44"/>
      <c r="M97" s="44"/>
      <c r="N97" s="44"/>
    </row>
    <row r="98" customFormat="false" ht="15" hidden="false" customHeight="true" outlineLevel="0" collapsed="false">
      <c r="A98" s="44"/>
      <c r="B98" s="44"/>
      <c r="C98" s="44"/>
      <c r="D98" s="44"/>
      <c r="E98" s="44"/>
      <c r="F98" s="44"/>
      <c r="G98" s="44"/>
      <c r="H98" s="44"/>
      <c r="I98" s="44"/>
      <c r="J98" s="44" t="str">
        <f aca="false">IF(AND(MOVIMIENTOS!$A98&lt;&gt;"",COUNTIF(MOVIMIENTOS!$A$5:$A97,MOVIMIENTOS!$A98)=0),COUNT(J$4:J97)+1,"")</f>
        <v/>
      </c>
      <c r="K98" s="47" t="n">
        <f aca="false">MOVIMIENTOS!$A98</f>
        <v>46223</v>
      </c>
      <c r="L98" s="44"/>
      <c r="M98" s="44"/>
      <c r="N98" s="44"/>
    </row>
    <row r="99" customFormat="false" ht="15" hidden="false" customHeight="true" outlineLevel="0" collapsed="false">
      <c r="A99" s="44"/>
      <c r="B99" s="44"/>
      <c r="C99" s="44"/>
      <c r="D99" s="44"/>
      <c r="E99" s="44"/>
      <c r="F99" s="44"/>
      <c r="G99" s="44"/>
      <c r="H99" s="44"/>
      <c r="I99" s="44"/>
      <c r="J99" s="44" t="str">
        <f aca="false">IF(AND(MOVIMIENTOS!$A99&lt;&gt;"",COUNTIF(MOVIMIENTOS!$A$5:$A98,MOVIMIENTOS!$A99)=0),COUNT(J$4:J98)+1,"")</f>
        <v/>
      </c>
      <c r="K99" s="47" t="n">
        <f aca="false">MOVIMIENTOS!$A99</f>
        <v>46223</v>
      </c>
      <c r="L99" s="44"/>
      <c r="M99" s="44"/>
      <c r="N99" s="44"/>
    </row>
    <row r="100" customFormat="false" ht="15" hidden="false" customHeight="true" outlineLevel="0" collapsed="false">
      <c r="A100" s="44"/>
      <c r="B100" s="44"/>
      <c r="C100" s="44"/>
      <c r="D100" s="44"/>
      <c r="E100" s="44"/>
      <c r="F100" s="44"/>
      <c r="G100" s="44"/>
      <c r="H100" s="44"/>
      <c r="I100" s="44"/>
      <c r="J100" s="44" t="str">
        <f aca="false">IF(AND(MOVIMIENTOS!$A100&lt;&gt;"",COUNTIF(MOVIMIENTOS!$A$5:$A99,MOVIMIENTOS!$A100)=0),COUNT(J$4:J99)+1,"")</f>
        <v/>
      </c>
      <c r="K100" s="47" t="n">
        <f aca="false">MOVIMIENTOS!$A100</f>
        <v>46223</v>
      </c>
      <c r="L100" s="44"/>
      <c r="M100" s="44"/>
      <c r="N100" s="44"/>
    </row>
    <row r="101" customFormat="false" ht="15" hidden="false" customHeight="true" outlineLevel="0" collapsed="false">
      <c r="A101" s="44"/>
      <c r="B101" s="44"/>
      <c r="C101" s="44"/>
      <c r="D101" s="44"/>
      <c r="E101" s="44"/>
      <c r="F101" s="44"/>
      <c r="G101" s="44"/>
      <c r="H101" s="44"/>
      <c r="I101" s="44"/>
      <c r="J101" s="44" t="str">
        <f aca="false">IF(AND(MOVIMIENTOS!$A101&lt;&gt;"",COUNTIF(MOVIMIENTOS!$A$5:$A100,MOVIMIENTOS!$A101)=0),COUNT(J$4:J100)+1,"")</f>
        <v/>
      </c>
      <c r="K101" s="47" t="n">
        <f aca="false">MOVIMIENTOS!$A101</f>
        <v>46223</v>
      </c>
      <c r="L101" s="44"/>
      <c r="M101" s="44"/>
      <c r="N101" s="44"/>
    </row>
    <row r="102" customFormat="false" ht="15" hidden="false" customHeight="true" outlineLevel="0" collapsed="false">
      <c r="A102" s="44"/>
      <c r="B102" s="44"/>
      <c r="C102" s="44"/>
      <c r="D102" s="44"/>
      <c r="E102" s="44"/>
      <c r="F102" s="44"/>
      <c r="G102" s="44"/>
      <c r="H102" s="44"/>
      <c r="I102" s="44"/>
      <c r="J102" s="44" t="str">
        <f aca="false">IF(AND(MOVIMIENTOS!$A102&lt;&gt;"",COUNTIF(MOVIMIENTOS!$A$5:$A101,MOVIMIENTOS!$A102)=0),COUNT(J$4:J101)+1,"")</f>
        <v/>
      </c>
      <c r="K102" s="47" t="n">
        <f aca="false">MOVIMIENTOS!$A102</f>
        <v>46223</v>
      </c>
      <c r="L102" s="44"/>
      <c r="M102" s="44"/>
      <c r="N102" s="44"/>
    </row>
    <row r="103" customFormat="false" ht="15" hidden="false" customHeight="true" outlineLevel="0" collapsed="false">
      <c r="A103" s="44"/>
      <c r="B103" s="44"/>
      <c r="C103" s="44"/>
      <c r="D103" s="44"/>
      <c r="E103" s="44"/>
      <c r="F103" s="44"/>
      <c r="G103" s="44"/>
      <c r="H103" s="44"/>
      <c r="I103" s="44"/>
      <c r="J103" s="44" t="str">
        <f aca="false">IF(AND(MOVIMIENTOS!$A103&lt;&gt;"",COUNTIF(MOVIMIENTOS!$A$5:$A102,MOVIMIENTOS!$A103)=0),COUNT(J$4:J102)+1,"")</f>
        <v/>
      </c>
      <c r="K103" s="47" t="n">
        <f aca="false">MOVIMIENTOS!$A103</f>
        <v>46223</v>
      </c>
      <c r="L103" s="44"/>
      <c r="M103" s="44"/>
      <c r="N103" s="44"/>
    </row>
    <row r="104" customFormat="false" ht="15" hidden="false" customHeight="true" outlineLevel="0" collapsed="false">
      <c r="A104" s="44"/>
      <c r="B104" s="44"/>
      <c r="C104" s="44"/>
      <c r="D104" s="44"/>
      <c r="E104" s="44"/>
      <c r="F104" s="44"/>
      <c r="G104" s="44"/>
      <c r="H104" s="44"/>
      <c r="I104" s="44"/>
      <c r="J104" s="44" t="str">
        <f aca="false">IF(AND(MOVIMIENTOS!$A104&lt;&gt;"",COUNTIF(MOVIMIENTOS!$A$5:$A103,MOVIMIENTOS!$A104)=0),COUNT(J$4:J103)+1,"")</f>
        <v/>
      </c>
      <c r="K104" s="47" t="n">
        <f aca="false">MOVIMIENTOS!$A104</f>
        <v>46223</v>
      </c>
      <c r="L104" s="44"/>
      <c r="M104" s="44"/>
      <c r="N104" s="44"/>
    </row>
    <row r="105" customFormat="false" ht="15" hidden="false" customHeight="true" outlineLevel="0" collapsed="false">
      <c r="A105" s="44"/>
      <c r="B105" s="44"/>
      <c r="C105" s="44"/>
      <c r="D105" s="44"/>
      <c r="E105" s="44"/>
      <c r="F105" s="44"/>
      <c r="G105" s="44"/>
      <c r="H105" s="44"/>
      <c r="I105" s="44"/>
      <c r="J105" s="44" t="str">
        <f aca="false">IF(AND(MOVIMIENTOS!$A105&lt;&gt;"",COUNTIF(MOVIMIENTOS!$A$5:$A104,MOVIMIENTOS!$A105)=0),COUNT(J$4:J104)+1,"")</f>
        <v/>
      </c>
      <c r="K105" s="47" t="n">
        <f aca="false">MOVIMIENTOS!$A105</f>
        <v>46223</v>
      </c>
      <c r="L105" s="44"/>
      <c r="M105" s="44"/>
      <c r="N105" s="44"/>
    </row>
    <row r="106" customFormat="false" ht="15" hidden="false" customHeight="true" outlineLevel="0" collapsed="false">
      <c r="A106" s="44"/>
      <c r="B106" s="44"/>
      <c r="C106" s="44"/>
      <c r="D106" s="44"/>
      <c r="E106" s="44"/>
      <c r="F106" s="44"/>
      <c r="G106" s="44"/>
      <c r="H106" s="44"/>
      <c r="I106" s="44"/>
      <c r="J106" s="44" t="str">
        <f aca="false">IF(AND(MOVIMIENTOS!$A106&lt;&gt;"",COUNTIF(MOVIMIENTOS!$A$5:$A105,MOVIMIENTOS!$A106)=0),COUNT(J$4:J105)+1,"")</f>
        <v/>
      </c>
      <c r="K106" s="47" t="n">
        <f aca="false">MOVIMIENTOS!$A106</f>
        <v>46223</v>
      </c>
      <c r="L106" s="44"/>
      <c r="M106" s="44"/>
      <c r="N106" s="44"/>
    </row>
    <row r="107" customFormat="false" ht="15" hidden="false" customHeight="true" outlineLevel="0" collapsed="false">
      <c r="A107" s="44"/>
      <c r="B107" s="44"/>
      <c r="C107" s="44"/>
      <c r="D107" s="44"/>
      <c r="E107" s="44"/>
      <c r="F107" s="44"/>
      <c r="G107" s="44"/>
      <c r="H107" s="44"/>
      <c r="I107" s="44"/>
      <c r="J107" s="44" t="str">
        <f aca="false">IF(AND(MOVIMIENTOS!$A107&lt;&gt;"",COUNTIF(MOVIMIENTOS!$A$5:$A106,MOVIMIENTOS!$A107)=0),COUNT(J$4:J106)+1,"")</f>
        <v/>
      </c>
      <c r="K107" s="47" t="n">
        <f aca="false">MOVIMIENTOS!$A107</f>
        <v>46223</v>
      </c>
      <c r="L107" s="44"/>
      <c r="M107" s="44"/>
      <c r="N107" s="44"/>
    </row>
    <row r="108" customFormat="false" ht="15" hidden="false" customHeight="true" outlineLevel="0" collapsed="false">
      <c r="A108" s="44"/>
      <c r="B108" s="44"/>
      <c r="C108" s="44"/>
      <c r="D108" s="44"/>
      <c r="E108" s="44"/>
      <c r="F108" s="44"/>
      <c r="G108" s="44"/>
      <c r="H108" s="44"/>
      <c r="I108" s="44"/>
      <c r="J108" s="44" t="str">
        <f aca="false">IF(AND(MOVIMIENTOS!$A108&lt;&gt;"",COUNTIF(MOVIMIENTOS!$A$5:$A107,MOVIMIENTOS!$A108)=0),COUNT(J$4:J107)+1,"")</f>
        <v/>
      </c>
      <c r="K108" s="47" t="n">
        <f aca="false">MOVIMIENTOS!$A108</f>
        <v>46223</v>
      </c>
      <c r="L108" s="44"/>
      <c r="M108" s="44"/>
      <c r="N108" s="44"/>
    </row>
    <row r="109" customFormat="false" ht="15" hidden="false" customHeight="true" outlineLevel="0" collapsed="false">
      <c r="A109" s="44"/>
      <c r="B109" s="44"/>
      <c r="C109" s="44"/>
      <c r="D109" s="44"/>
      <c r="E109" s="44"/>
      <c r="F109" s="44"/>
      <c r="G109" s="44"/>
      <c r="H109" s="44"/>
      <c r="I109" s="44"/>
      <c r="J109" s="44" t="str">
        <f aca="false">IF(AND(MOVIMIENTOS!$A109&lt;&gt;"",COUNTIF(MOVIMIENTOS!$A$5:$A108,MOVIMIENTOS!$A109)=0),COUNT(J$4:J108)+1,"")</f>
        <v/>
      </c>
      <c r="K109" s="47" t="n">
        <f aca="false">MOVIMIENTOS!$A109</f>
        <v>46223</v>
      </c>
      <c r="L109" s="44"/>
      <c r="M109" s="44"/>
      <c r="N109" s="44"/>
    </row>
    <row r="110" customFormat="false" ht="15" hidden="false" customHeight="true" outlineLevel="0" collapsed="false">
      <c r="A110" s="44"/>
      <c r="B110" s="44"/>
      <c r="C110" s="44"/>
      <c r="D110" s="44"/>
      <c r="E110" s="44"/>
      <c r="F110" s="44"/>
      <c r="G110" s="44"/>
      <c r="H110" s="44"/>
      <c r="I110" s="44"/>
      <c r="J110" s="44" t="n">
        <f aca="false">IF(AND(MOVIMIENTOS!$A110&lt;&gt;"",COUNTIF(MOVIMIENTOS!$A$5:$A109,MOVIMIENTOS!$A110)=0),COUNT(J$4:J109)+1,"")</f>
        <v>11</v>
      </c>
      <c r="K110" s="47" t="n">
        <f aca="false">MOVIMIENTOS!$A110</f>
        <v>46224</v>
      </c>
      <c r="L110" s="44"/>
      <c r="M110" s="44"/>
      <c r="N110" s="44"/>
    </row>
    <row r="111" customFormat="false" ht="15" hidden="false" customHeight="true" outlineLevel="0" collapsed="false">
      <c r="A111" s="44"/>
      <c r="B111" s="44"/>
      <c r="C111" s="44"/>
      <c r="D111" s="44"/>
      <c r="E111" s="44"/>
      <c r="F111" s="44"/>
      <c r="G111" s="44"/>
      <c r="H111" s="44"/>
      <c r="I111" s="44"/>
      <c r="J111" s="44" t="str">
        <f aca="false">IF(AND(MOVIMIENTOS!$A111&lt;&gt;"",COUNTIF(MOVIMIENTOS!$A$5:$A110,MOVIMIENTOS!$A111)=0),COUNT(J$4:J110)+1,"")</f>
        <v/>
      </c>
      <c r="K111" s="47" t="n">
        <f aca="false">MOVIMIENTOS!$A111</f>
        <v>46224</v>
      </c>
      <c r="L111" s="44"/>
      <c r="M111" s="44"/>
      <c r="N111" s="44"/>
    </row>
    <row r="112" customFormat="false" ht="15" hidden="false" customHeight="true" outlineLevel="0" collapsed="false">
      <c r="A112" s="44"/>
      <c r="B112" s="44"/>
      <c r="C112" s="44"/>
      <c r="D112" s="44"/>
      <c r="E112" s="44"/>
      <c r="F112" s="44"/>
      <c r="G112" s="44"/>
      <c r="H112" s="44"/>
      <c r="I112" s="44"/>
      <c r="J112" s="44" t="str">
        <f aca="false">IF(AND(MOVIMIENTOS!$A112&lt;&gt;"",COUNTIF(MOVIMIENTOS!$A$5:$A111,MOVIMIENTOS!$A112)=0),COUNT(J$4:J111)+1,"")</f>
        <v/>
      </c>
      <c r="K112" s="47" t="n">
        <f aca="false">MOVIMIENTOS!$A112</f>
        <v>46224</v>
      </c>
      <c r="L112" s="44"/>
      <c r="M112" s="44"/>
      <c r="N112" s="44"/>
    </row>
    <row r="113" customFormat="false" ht="15" hidden="false" customHeight="true" outlineLevel="0" collapsed="false">
      <c r="A113" s="44"/>
      <c r="B113" s="44"/>
      <c r="C113" s="44"/>
      <c r="D113" s="44"/>
      <c r="E113" s="44"/>
      <c r="F113" s="44"/>
      <c r="G113" s="44"/>
      <c r="H113" s="44"/>
      <c r="I113" s="44"/>
      <c r="J113" s="44" t="str">
        <f aca="false">IF(AND(MOVIMIENTOS!$A113&lt;&gt;"",COUNTIF(MOVIMIENTOS!$A$5:$A112,MOVIMIENTOS!$A113)=0),COUNT(J$4:J112)+1,"")</f>
        <v/>
      </c>
      <c r="K113" s="47" t="n">
        <f aca="false">MOVIMIENTOS!$A113</f>
        <v>46224</v>
      </c>
      <c r="L113" s="44"/>
      <c r="M113" s="44"/>
      <c r="N113" s="44"/>
    </row>
    <row r="114" customFormat="false" ht="15" hidden="false" customHeight="true" outlineLevel="0" collapsed="false">
      <c r="A114" s="44"/>
      <c r="B114" s="44"/>
      <c r="C114" s="44"/>
      <c r="D114" s="44"/>
      <c r="E114" s="44"/>
      <c r="F114" s="44"/>
      <c r="G114" s="44"/>
      <c r="H114" s="44"/>
      <c r="I114" s="44"/>
      <c r="J114" s="44" t="str">
        <f aca="false">IF(AND(MOVIMIENTOS!$A114&lt;&gt;"",COUNTIF(MOVIMIENTOS!$A$5:$A113,MOVIMIENTOS!$A114)=0),COUNT(J$4:J113)+1,"")</f>
        <v/>
      </c>
      <c r="K114" s="47" t="n">
        <f aca="false">MOVIMIENTOS!$A114</f>
        <v>46224</v>
      </c>
      <c r="L114" s="44"/>
      <c r="M114" s="44"/>
      <c r="N114" s="44"/>
    </row>
    <row r="115" customFormat="false" ht="15" hidden="false" customHeight="true" outlineLevel="0" collapsed="false">
      <c r="A115" s="44"/>
      <c r="B115" s="44"/>
      <c r="C115" s="44"/>
      <c r="D115" s="44"/>
      <c r="E115" s="44"/>
      <c r="F115" s="44"/>
      <c r="G115" s="44"/>
      <c r="H115" s="44"/>
      <c r="I115" s="44"/>
      <c r="J115" s="44" t="str">
        <f aca="false">IF(AND(MOVIMIENTOS!$A115&lt;&gt;"",COUNTIF(MOVIMIENTOS!$A$5:$A114,MOVIMIENTOS!$A115)=0),COUNT(J$4:J114)+1,"")</f>
        <v/>
      </c>
      <c r="K115" s="47" t="n">
        <f aca="false">MOVIMIENTOS!$A115</f>
        <v>46224</v>
      </c>
      <c r="L115" s="44"/>
      <c r="M115" s="44"/>
      <c r="N115" s="44"/>
    </row>
    <row r="116" customFormat="false" ht="15" hidden="false" customHeight="true" outlineLevel="0" collapsed="false">
      <c r="A116" s="44"/>
      <c r="B116" s="44"/>
      <c r="C116" s="44"/>
      <c r="D116" s="44"/>
      <c r="E116" s="44"/>
      <c r="F116" s="44"/>
      <c r="G116" s="44"/>
      <c r="H116" s="44"/>
      <c r="I116" s="44"/>
      <c r="J116" s="44" t="str">
        <f aca="false">IF(AND(MOVIMIENTOS!$A116&lt;&gt;"",COUNTIF(MOVIMIENTOS!$A$5:$A115,MOVIMIENTOS!$A116)=0),COUNT(J$4:J115)+1,"")</f>
        <v/>
      </c>
      <c r="K116" s="47" t="n">
        <f aca="false">MOVIMIENTOS!$A116</f>
        <v>46224</v>
      </c>
      <c r="L116" s="44"/>
      <c r="M116" s="44"/>
      <c r="N116" s="44"/>
    </row>
    <row r="117" customFormat="false" ht="15" hidden="false" customHeight="true" outlineLevel="0" collapsed="false">
      <c r="A117" s="44"/>
      <c r="B117" s="44"/>
      <c r="C117" s="44"/>
      <c r="D117" s="44"/>
      <c r="E117" s="44"/>
      <c r="F117" s="44"/>
      <c r="G117" s="44"/>
      <c r="H117" s="44"/>
      <c r="I117" s="44"/>
      <c r="J117" s="44" t="str">
        <f aca="false">IF(AND(MOVIMIENTOS!$A117&lt;&gt;"",COUNTIF(MOVIMIENTOS!$A$5:$A116,MOVIMIENTOS!$A117)=0),COUNT(J$4:J116)+1,"")</f>
        <v/>
      </c>
      <c r="K117" s="47" t="n">
        <f aca="false">MOVIMIENTOS!$A117</f>
        <v>46224</v>
      </c>
      <c r="L117" s="44"/>
      <c r="M117" s="44"/>
      <c r="N117" s="44"/>
    </row>
    <row r="118" customFormat="false" ht="15" hidden="false" customHeight="true" outlineLevel="0" collapsed="false">
      <c r="A118" s="44"/>
      <c r="B118" s="44"/>
      <c r="C118" s="44"/>
      <c r="D118" s="44"/>
      <c r="E118" s="44"/>
      <c r="F118" s="44"/>
      <c r="G118" s="44"/>
      <c r="H118" s="44"/>
      <c r="I118" s="44"/>
      <c r="J118" s="44" t="str">
        <f aca="false">IF(AND(MOVIMIENTOS!$A118&lt;&gt;"",COUNTIF(MOVIMIENTOS!$A$5:$A117,MOVIMIENTOS!$A118)=0),COUNT(J$4:J117)+1,"")</f>
        <v/>
      </c>
      <c r="K118" s="47" t="n">
        <f aca="false">MOVIMIENTOS!$A118</f>
        <v>46224</v>
      </c>
      <c r="L118" s="44"/>
      <c r="M118" s="44"/>
      <c r="N118" s="44"/>
    </row>
    <row r="119" customFormat="false" ht="15" hidden="false" customHeight="true" outlineLevel="0" collapsed="false">
      <c r="A119" s="44"/>
      <c r="B119" s="44"/>
      <c r="C119" s="44"/>
      <c r="D119" s="44"/>
      <c r="E119" s="44"/>
      <c r="F119" s="44"/>
      <c r="G119" s="44"/>
      <c r="H119" s="44"/>
      <c r="I119" s="44"/>
      <c r="J119" s="44" t="str">
        <f aca="false">IF(AND(MOVIMIENTOS!$A119&lt;&gt;"",COUNTIF(MOVIMIENTOS!$A$5:$A118,MOVIMIENTOS!$A119)=0),COUNT(J$4:J118)+1,"")</f>
        <v/>
      </c>
      <c r="K119" s="47" t="n">
        <f aca="false">MOVIMIENTOS!$A119</f>
        <v>46224</v>
      </c>
      <c r="L119" s="44"/>
      <c r="M119" s="44"/>
      <c r="N119" s="44"/>
    </row>
    <row r="120" customFormat="false" ht="15" hidden="false" customHeight="true" outlineLevel="0" collapsed="false">
      <c r="A120" s="44"/>
      <c r="B120" s="44"/>
      <c r="C120" s="44"/>
      <c r="D120" s="44"/>
      <c r="E120" s="44"/>
      <c r="F120" s="44"/>
      <c r="G120" s="44"/>
      <c r="H120" s="44"/>
      <c r="I120" s="44"/>
      <c r="J120" s="44" t="str">
        <f aca="false">IF(AND(MOVIMIENTOS!$A120&lt;&gt;"",COUNTIF(MOVIMIENTOS!$A$5:$A119,MOVIMIENTOS!$A120)=0),COUNT(J$4:J119)+1,"")</f>
        <v/>
      </c>
      <c r="K120" s="47" t="n">
        <f aca="false">MOVIMIENTOS!$A120</f>
        <v>46224</v>
      </c>
      <c r="L120" s="44"/>
      <c r="M120" s="44"/>
      <c r="N120" s="44"/>
    </row>
    <row r="121" customFormat="false" ht="15" hidden="false" customHeight="true" outlineLevel="0" collapsed="false">
      <c r="A121" s="44"/>
      <c r="B121" s="44"/>
      <c r="C121" s="44"/>
      <c r="D121" s="44"/>
      <c r="E121" s="44"/>
      <c r="F121" s="44"/>
      <c r="G121" s="44"/>
      <c r="H121" s="44"/>
      <c r="I121" s="44"/>
      <c r="J121" s="44" t="str">
        <f aca="false">IF(AND(MOVIMIENTOS!$A121&lt;&gt;"",COUNTIF(MOVIMIENTOS!$A$5:$A120,MOVIMIENTOS!$A121)=0),COUNT(J$4:J120)+1,"")</f>
        <v/>
      </c>
      <c r="K121" s="47" t="n">
        <f aca="false">MOVIMIENTOS!$A121</f>
        <v>46224</v>
      </c>
      <c r="L121" s="44"/>
      <c r="M121" s="44"/>
      <c r="N121" s="44"/>
    </row>
    <row r="122" customFormat="false" ht="15" hidden="false" customHeight="true" outlineLevel="0" collapsed="false">
      <c r="A122" s="44"/>
      <c r="B122" s="44"/>
      <c r="C122" s="44"/>
      <c r="D122" s="44"/>
      <c r="E122" s="44"/>
      <c r="F122" s="44"/>
      <c r="G122" s="44"/>
      <c r="H122" s="44"/>
      <c r="I122" s="44"/>
      <c r="J122" s="44" t="str">
        <f aca="false">IF(AND(MOVIMIENTOS!$A122&lt;&gt;"",COUNTIF(MOVIMIENTOS!$A$5:$A121,MOVIMIENTOS!$A122)=0),COUNT(J$4:J121)+1,"")</f>
        <v/>
      </c>
      <c r="K122" s="47" t="n">
        <f aca="false">MOVIMIENTOS!$A122</f>
        <v>46224</v>
      </c>
      <c r="L122" s="44"/>
      <c r="M122" s="44"/>
      <c r="N122" s="44"/>
    </row>
    <row r="123" customFormat="false" ht="15" hidden="false" customHeight="true" outlineLevel="0" collapsed="false">
      <c r="A123" s="44"/>
      <c r="B123" s="44"/>
      <c r="C123" s="44"/>
      <c r="D123" s="44"/>
      <c r="E123" s="44"/>
      <c r="F123" s="44"/>
      <c r="G123" s="44"/>
      <c r="H123" s="44"/>
      <c r="I123" s="44"/>
      <c r="J123" s="44" t="str">
        <f aca="false">IF(AND(MOVIMIENTOS!$A123&lt;&gt;"",COUNTIF(MOVIMIENTOS!$A$5:$A122,MOVIMIENTOS!$A123)=0),COUNT(J$4:J122)+1,"")</f>
        <v/>
      </c>
      <c r="K123" s="47" t="n">
        <f aca="false">MOVIMIENTOS!$A123</f>
        <v>46224</v>
      </c>
      <c r="L123" s="44"/>
      <c r="M123" s="44"/>
      <c r="N123" s="44"/>
    </row>
    <row r="124" customFormat="false" ht="15" hidden="false" customHeight="true" outlineLevel="0" collapsed="false">
      <c r="A124" s="44"/>
      <c r="B124" s="44"/>
      <c r="C124" s="44"/>
      <c r="D124" s="44"/>
      <c r="E124" s="44"/>
      <c r="F124" s="44"/>
      <c r="G124" s="44"/>
      <c r="H124" s="44"/>
      <c r="I124" s="44"/>
      <c r="J124" s="44" t="str">
        <f aca="false">IF(AND(MOVIMIENTOS!$A124&lt;&gt;"",COUNTIF(MOVIMIENTOS!$A$5:$A123,MOVIMIENTOS!$A124)=0),COUNT(J$4:J123)+1,"")</f>
        <v/>
      </c>
      <c r="K124" s="47" t="n">
        <f aca="false">MOVIMIENTOS!$A124</f>
        <v>46224</v>
      </c>
      <c r="L124" s="44"/>
      <c r="M124" s="44"/>
      <c r="N124" s="44"/>
    </row>
    <row r="125" customFormat="false" ht="15" hidden="false" customHeight="true" outlineLevel="0" collapsed="false">
      <c r="A125" s="44"/>
      <c r="B125" s="44"/>
      <c r="C125" s="44"/>
      <c r="D125" s="44"/>
      <c r="E125" s="44"/>
      <c r="F125" s="44"/>
      <c r="G125" s="44"/>
      <c r="H125" s="44"/>
      <c r="I125" s="44"/>
      <c r="J125" s="44" t="str">
        <f aca="false">IF(AND(MOVIMIENTOS!$A125&lt;&gt;"",COUNTIF(MOVIMIENTOS!$A$5:$A124,MOVIMIENTOS!$A125)=0),COUNT(J$4:J124)+1,"")</f>
        <v/>
      </c>
      <c r="K125" s="47" t="n">
        <f aca="false">MOVIMIENTOS!$A125</f>
        <v>46224</v>
      </c>
      <c r="L125" s="44"/>
      <c r="M125" s="44"/>
      <c r="N125" s="44"/>
    </row>
    <row r="126" customFormat="false" ht="15" hidden="false" customHeight="true" outlineLevel="0" collapsed="false">
      <c r="A126" s="44"/>
      <c r="B126" s="44"/>
      <c r="C126" s="44"/>
      <c r="D126" s="44"/>
      <c r="E126" s="44"/>
      <c r="F126" s="44"/>
      <c r="G126" s="44"/>
      <c r="H126" s="44"/>
      <c r="I126" s="44"/>
      <c r="J126" s="44" t="str">
        <f aca="false">IF(AND(MOVIMIENTOS!$A126&lt;&gt;"",COUNTIF(MOVIMIENTOS!$A$5:$A125,MOVIMIENTOS!$A126)=0),COUNT(J$4:J125)+1,"")</f>
        <v/>
      </c>
      <c r="K126" s="47" t="n">
        <f aca="false">MOVIMIENTOS!$A126</f>
        <v>46224</v>
      </c>
      <c r="L126" s="44"/>
      <c r="M126" s="44"/>
      <c r="N126" s="44"/>
    </row>
    <row r="127" customFormat="false" ht="15" hidden="false" customHeight="true" outlineLevel="0" collapsed="false">
      <c r="A127" s="44"/>
      <c r="B127" s="44"/>
      <c r="C127" s="44"/>
      <c r="D127" s="44"/>
      <c r="E127" s="44"/>
      <c r="F127" s="44"/>
      <c r="G127" s="44"/>
      <c r="H127" s="44"/>
      <c r="I127" s="44"/>
      <c r="J127" s="44" t="str">
        <f aca="false">IF(AND(MOVIMIENTOS!$A127&lt;&gt;"",COUNTIF(MOVIMIENTOS!$A$5:$A126,MOVIMIENTOS!$A127)=0),COUNT(J$4:J126)+1,"")</f>
        <v/>
      </c>
      <c r="K127" s="47" t="n">
        <f aca="false">MOVIMIENTOS!$A127</f>
        <v>46224</v>
      </c>
      <c r="L127" s="44"/>
      <c r="M127" s="44"/>
      <c r="N127" s="44"/>
    </row>
    <row r="128" customFormat="false" ht="15" hidden="false" customHeight="true" outlineLevel="0" collapsed="false">
      <c r="A128" s="44"/>
      <c r="B128" s="44"/>
      <c r="C128" s="44"/>
      <c r="D128" s="44"/>
      <c r="E128" s="44"/>
      <c r="F128" s="44"/>
      <c r="G128" s="44"/>
      <c r="H128" s="44"/>
      <c r="I128" s="44"/>
      <c r="J128" s="44" t="n">
        <f aca="false">IF(AND(MOVIMIENTOS!$A128&lt;&gt;"",COUNTIF(MOVIMIENTOS!$A$5:$A127,MOVIMIENTOS!$A128)=0),COUNT(J$4:J127)+1,"")</f>
        <v>12</v>
      </c>
      <c r="K128" s="47" t="n">
        <f aca="false">MOVIMIENTOS!$A128</f>
        <v>46225</v>
      </c>
      <c r="L128" s="44"/>
      <c r="M128" s="44"/>
      <c r="N128" s="44"/>
    </row>
    <row r="129" customFormat="false" ht="15" hidden="false" customHeight="true" outlineLevel="0" collapsed="false">
      <c r="A129" s="44"/>
      <c r="B129" s="44"/>
      <c r="C129" s="44"/>
      <c r="D129" s="44"/>
      <c r="E129" s="44"/>
      <c r="F129" s="44"/>
      <c r="G129" s="44"/>
      <c r="H129" s="44"/>
      <c r="I129" s="44"/>
      <c r="J129" s="44" t="str">
        <f aca="false">IF(AND(MOVIMIENTOS!$A129&lt;&gt;"",COUNTIF(MOVIMIENTOS!$A$5:$A128,MOVIMIENTOS!$A129)=0),COUNT(J$4:J128)+1,"")</f>
        <v/>
      </c>
      <c r="K129" s="47" t="n">
        <f aca="false">MOVIMIENTOS!$A129</f>
        <v>46225</v>
      </c>
      <c r="L129" s="44"/>
      <c r="M129" s="44"/>
      <c r="N129" s="44"/>
    </row>
    <row r="130" customFormat="false" ht="15" hidden="false" customHeight="true" outlineLevel="0" collapsed="false">
      <c r="A130" s="44"/>
      <c r="B130" s="44"/>
      <c r="C130" s="44"/>
      <c r="D130" s="44"/>
      <c r="E130" s="44"/>
      <c r="F130" s="44"/>
      <c r="G130" s="44"/>
      <c r="H130" s="44"/>
      <c r="I130" s="44"/>
      <c r="J130" s="44" t="str">
        <f aca="false">IF(AND(MOVIMIENTOS!$A130&lt;&gt;"",COUNTIF(MOVIMIENTOS!$A$5:$A129,MOVIMIENTOS!$A130)=0),COUNT(J$4:J129)+1,"")</f>
        <v/>
      </c>
      <c r="K130" s="47" t="n">
        <f aca="false">MOVIMIENTOS!$A130</f>
        <v>46225</v>
      </c>
      <c r="L130" s="44"/>
      <c r="M130" s="44"/>
      <c r="N130" s="44"/>
    </row>
    <row r="131" customFormat="false" ht="15" hidden="false" customHeight="true" outlineLevel="0" collapsed="false">
      <c r="A131" s="44"/>
      <c r="B131" s="44"/>
      <c r="C131" s="44"/>
      <c r="D131" s="44"/>
      <c r="E131" s="44"/>
      <c r="F131" s="44"/>
      <c r="G131" s="44"/>
      <c r="H131" s="44"/>
      <c r="I131" s="44"/>
      <c r="J131" s="44" t="str">
        <f aca="false">IF(AND(MOVIMIENTOS!$A131&lt;&gt;"",COUNTIF(MOVIMIENTOS!$A$5:$A130,MOVIMIENTOS!$A131)=0),COUNT(J$4:J130)+1,"")</f>
        <v/>
      </c>
      <c r="K131" s="47" t="n">
        <f aca="false">MOVIMIENTOS!$A131</f>
        <v>46225</v>
      </c>
      <c r="L131" s="44"/>
      <c r="M131" s="44"/>
      <c r="N131" s="44"/>
    </row>
    <row r="132" customFormat="false" ht="15" hidden="false" customHeight="true" outlineLevel="0" collapsed="false">
      <c r="A132" s="44"/>
      <c r="B132" s="44"/>
      <c r="C132" s="44"/>
      <c r="D132" s="44"/>
      <c r="E132" s="44"/>
      <c r="F132" s="44"/>
      <c r="G132" s="44"/>
      <c r="H132" s="44"/>
      <c r="I132" s="44"/>
      <c r="J132" s="44" t="str">
        <f aca="false">IF(AND(MOVIMIENTOS!$A132&lt;&gt;"",COUNTIF(MOVIMIENTOS!$A$5:$A131,MOVIMIENTOS!$A132)=0),COUNT(J$4:J131)+1,"")</f>
        <v/>
      </c>
      <c r="K132" s="47" t="n">
        <f aca="false">MOVIMIENTOS!$A132</f>
        <v>46225</v>
      </c>
      <c r="L132" s="44"/>
      <c r="M132" s="44"/>
      <c r="N132" s="44"/>
    </row>
    <row r="133" customFormat="false" ht="15" hidden="false" customHeight="true" outlineLevel="0" collapsed="false">
      <c r="A133" s="44"/>
      <c r="B133" s="44"/>
      <c r="C133" s="44"/>
      <c r="D133" s="44"/>
      <c r="E133" s="44"/>
      <c r="F133" s="44"/>
      <c r="G133" s="44"/>
      <c r="H133" s="44"/>
      <c r="I133" s="44"/>
      <c r="J133" s="44" t="str">
        <f aca="false">IF(AND(MOVIMIENTOS!$A133&lt;&gt;"",COUNTIF(MOVIMIENTOS!$A$5:$A132,MOVIMIENTOS!$A133)=0),COUNT(J$4:J132)+1,"")</f>
        <v/>
      </c>
      <c r="K133" s="47" t="n">
        <f aca="false">MOVIMIENTOS!$A133</f>
        <v>46225</v>
      </c>
      <c r="L133" s="44"/>
      <c r="M133" s="44"/>
      <c r="N133" s="44"/>
    </row>
    <row r="134" customFormat="false" ht="15" hidden="false" customHeight="true" outlineLevel="0" collapsed="false">
      <c r="A134" s="44"/>
      <c r="B134" s="44"/>
      <c r="C134" s="44"/>
      <c r="D134" s="44"/>
      <c r="E134" s="44"/>
      <c r="F134" s="44"/>
      <c r="G134" s="44"/>
      <c r="H134" s="44"/>
      <c r="I134" s="44"/>
      <c r="J134" s="44" t="str">
        <f aca="false">IF(AND(MOVIMIENTOS!$A134&lt;&gt;"",COUNTIF(MOVIMIENTOS!$A$5:$A133,MOVIMIENTOS!$A134)=0),COUNT(J$4:J133)+1,"")</f>
        <v/>
      </c>
      <c r="K134" s="47" t="n">
        <f aca="false">MOVIMIENTOS!$A134</f>
        <v>46225</v>
      </c>
      <c r="L134" s="44"/>
      <c r="M134" s="44"/>
      <c r="N134" s="44"/>
    </row>
    <row r="135" customFormat="false" ht="15" hidden="false" customHeight="true" outlineLevel="0" collapsed="false">
      <c r="A135" s="44"/>
      <c r="B135" s="44"/>
      <c r="C135" s="44"/>
      <c r="D135" s="44"/>
      <c r="E135" s="44"/>
      <c r="F135" s="44"/>
      <c r="G135" s="44"/>
      <c r="H135" s="44"/>
      <c r="I135" s="44"/>
      <c r="J135" s="44" t="str">
        <f aca="false">IF(AND(MOVIMIENTOS!$A135&lt;&gt;"",COUNTIF(MOVIMIENTOS!$A$5:$A134,MOVIMIENTOS!$A135)=0),COUNT(J$4:J134)+1,"")</f>
        <v/>
      </c>
      <c r="K135" s="47" t="n">
        <f aca="false">MOVIMIENTOS!$A135</f>
        <v>46225</v>
      </c>
      <c r="L135" s="44"/>
      <c r="M135" s="44"/>
      <c r="N135" s="44"/>
    </row>
    <row r="136" customFormat="false" ht="15" hidden="false" customHeight="true" outlineLevel="0" collapsed="false">
      <c r="A136" s="44"/>
      <c r="B136" s="44"/>
      <c r="C136" s="44"/>
      <c r="D136" s="44"/>
      <c r="E136" s="44"/>
      <c r="F136" s="44"/>
      <c r="G136" s="44"/>
      <c r="H136" s="44"/>
      <c r="I136" s="44"/>
      <c r="J136" s="44" t="str">
        <f aca="false">IF(AND(MOVIMIENTOS!$A136&lt;&gt;"",COUNTIF(MOVIMIENTOS!$A$5:$A135,MOVIMIENTOS!$A136)=0),COUNT(J$4:J135)+1,"")</f>
        <v/>
      </c>
      <c r="K136" s="47" t="n">
        <f aca="false">MOVIMIENTOS!$A136</f>
        <v>46225</v>
      </c>
      <c r="L136" s="44"/>
      <c r="M136" s="44"/>
      <c r="N136" s="44"/>
    </row>
    <row r="137" customFormat="false" ht="15" hidden="false" customHeight="true" outlineLevel="0" collapsed="false">
      <c r="A137" s="44"/>
      <c r="B137" s="44"/>
      <c r="C137" s="44"/>
      <c r="D137" s="44"/>
      <c r="E137" s="44"/>
      <c r="F137" s="44"/>
      <c r="G137" s="44"/>
      <c r="H137" s="44"/>
      <c r="I137" s="44"/>
      <c r="J137" s="44" t="str">
        <f aca="false">IF(AND(MOVIMIENTOS!$A137&lt;&gt;"",COUNTIF(MOVIMIENTOS!$A$5:$A136,MOVIMIENTOS!$A137)=0),COUNT(J$4:J136)+1,"")</f>
        <v/>
      </c>
      <c r="K137" s="47" t="n">
        <f aca="false">MOVIMIENTOS!$A137</f>
        <v>46225</v>
      </c>
      <c r="L137" s="44"/>
      <c r="M137" s="44"/>
      <c r="N137" s="44"/>
    </row>
    <row r="138" customFormat="false" ht="15" hidden="false" customHeight="true" outlineLevel="0" collapsed="false">
      <c r="A138" s="44"/>
      <c r="B138" s="44"/>
      <c r="C138" s="44"/>
      <c r="D138" s="44"/>
      <c r="E138" s="44"/>
      <c r="F138" s="44"/>
      <c r="G138" s="44"/>
      <c r="H138" s="44"/>
      <c r="I138" s="44"/>
      <c r="J138" s="44" t="str">
        <f aca="false">IF(AND(MOVIMIENTOS!$A138&lt;&gt;"",COUNTIF(MOVIMIENTOS!$A$5:$A137,MOVIMIENTOS!$A138)=0),COUNT(J$4:J137)+1,"")</f>
        <v/>
      </c>
      <c r="K138" s="47" t="n">
        <f aca="false">MOVIMIENTOS!$A138</f>
        <v>46225</v>
      </c>
      <c r="L138" s="44"/>
      <c r="M138" s="44"/>
      <c r="N138" s="44"/>
    </row>
    <row r="139" customFormat="false" ht="15" hidden="false" customHeight="true" outlineLevel="0" collapsed="false">
      <c r="A139" s="44"/>
      <c r="B139" s="44"/>
      <c r="C139" s="44"/>
      <c r="D139" s="44"/>
      <c r="E139" s="44"/>
      <c r="F139" s="44"/>
      <c r="G139" s="44"/>
      <c r="H139" s="44"/>
      <c r="I139" s="44"/>
      <c r="J139" s="44" t="str">
        <f aca="false">IF(AND(MOVIMIENTOS!$A139&lt;&gt;"",COUNTIF(MOVIMIENTOS!$A$5:$A138,MOVIMIENTOS!$A139)=0),COUNT(J$4:J138)+1,"")</f>
        <v/>
      </c>
      <c r="K139" s="47" t="n">
        <f aca="false">MOVIMIENTOS!$A139</f>
        <v>46225</v>
      </c>
      <c r="L139" s="44"/>
      <c r="M139" s="44"/>
      <c r="N139" s="44"/>
    </row>
    <row r="140" customFormat="false" ht="15" hidden="false" customHeight="true" outlineLevel="0" collapsed="false">
      <c r="A140" s="44"/>
      <c r="B140" s="44"/>
      <c r="C140" s="44"/>
      <c r="D140" s="44"/>
      <c r="E140" s="44"/>
      <c r="F140" s="44"/>
      <c r="G140" s="44"/>
      <c r="H140" s="44"/>
      <c r="I140" s="44"/>
      <c r="J140" s="44" t="str">
        <f aca="false">IF(AND(MOVIMIENTOS!$A140&lt;&gt;"",COUNTIF(MOVIMIENTOS!$A$5:$A139,MOVIMIENTOS!$A140)=0),COUNT(J$4:J139)+1,"")</f>
        <v/>
      </c>
      <c r="K140" s="47" t="n">
        <f aca="false">MOVIMIENTOS!$A140</f>
        <v>46225</v>
      </c>
      <c r="L140" s="44"/>
      <c r="M140" s="44"/>
      <c r="N140" s="44"/>
    </row>
    <row r="141" customFormat="false" ht="15" hidden="false" customHeight="true" outlineLevel="0" collapsed="false">
      <c r="A141" s="44"/>
      <c r="B141" s="44"/>
      <c r="C141" s="44"/>
      <c r="D141" s="44"/>
      <c r="E141" s="44"/>
      <c r="F141" s="44"/>
      <c r="G141" s="44"/>
      <c r="H141" s="44"/>
      <c r="I141" s="44"/>
      <c r="J141" s="44" t="str">
        <f aca="false">IF(AND(MOVIMIENTOS!$A141&lt;&gt;"",COUNTIF(MOVIMIENTOS!$A$5:$A140,MOVIMIENTOS!$A141)=0),COUNT(J$4:J140)+1,"")</f>
        <v/>
      </c>
      <c r="K141" s="47" t="n">
        <f aca="false">MOVIMIENTOS!$A141</f>
        <v>46225</v>
      </c>
      <c r="L141" s="44"/>
      <c r="M141" s="44"/>
      <c r="N141" s="44"/>
    </row>
    <row r="142" customFormat="false" ht="15" hidden="false" customHeight="true" outlineLevel="0" collapsed="false">
      <c r="A142" s="44"/>
      <c r="B142" s="44"/>
      <c r="C142" s="44"/>
      <c r="D142" s="44"/>
      <c r="E142" s="44"/>
      <c r="F142" s="44"/>
      <c r="G142" s="44"/>
      <c r="H142" s="44"/>
      <c r="I142" s="44"/>
      <c r="J142" s="44" t="str">
        <f aca="false">IF(AND(MOVIMIENTOS!$A142&lt;&gt;"",COUNTIF(MOVIMIENTOS!$A$5:$A141,MOVIMIENTOS!$A142)=0),COUNT(J$4:J141)+1,"")</f>
        <v/>
      </c>
      <c r="K142" s="47" t="n">
        <f aca="false">MOVIMIENTOS!$A142</f>
        <v>46225</v>
      </c>
      <c r="L142" s="44"/>
      <c r="M142" s="44"/>
      <c r="N142" s="44"/>
    </row>
    <row r="143" customFormat="false" ht="15" hidden="false" customHeight="true" outlineLevel="0" collapsed="false">
      <c r="A143" s="44"/>
      <c r="B143" s="44"/>
      <c r="C143" s="44"/>
      <c r="D143" s="44"/>
      <c r="E143" s="44"/>
      <c r="F143" s="44"/>
      <c r="G143" s="44"/>
      <c r="H143" s="44"/>
      <c r="I143" s="44"/>
      <c r="J143" s="44" t="str">
        <f aca="false">IF(AND(MOVIMIENTOS!$A143&lt;&gt;"",COUNTIF(MOVIMIENTOS!$A$5:$A142,MOVIMIENTOS!$A143)=0),COUNT(J$4:J142)+1,"")</f>
        <v/>
      </c>
      <c r="K143" s="47" t="n">
        <f aca="false">MOVIMIENTOS!$A143</f>
        <v>46225</v>
      </c>
      <c r="L143" s="44"/>
      <c r="M143" s="44"/>
      <c r="N143" s="44"/>
    </row>
    <row r="144" customFormat="false" ht="15" hidden="false" customHeight="true" outlineLevel="0" collapsed="false">
      <c r="A144" s="44"/>
      <c r="B144" s="44"/>
      <c r="C144" s="44"/>
      <c r="D144" s="44"/>
      <c r="E144" s="44"/>
      <c r="F144" s="44"/>
      <c r="G144" s="44"/>
      <c r="H144" s="44"/>
      <c r="I144" s="44"/>
      <c r="J144" s="44" t="n">
        <f aca="false">IF(AND(MOVIMIENTOS!$A144&lt;&gt;"",COUNTIF(MOVIMIENTOS!$A$5:$A143,MOVIMIENTOS!$A144)=0),COUNT(J$4:J143)+1,"")</f>
        <v>13</v>
      </c>
      <c r="K144" s="47" t="n">
        <f aca="false">MOVIMIENTOS!$A144</f>
        <v>46226</v>
      </c>
      <c r="L144" s="44"/>
      <c r="M144" s="44"/>
      <c r="N144" s="44"/>
    </row>
    <row r="145" customFormat="false" ht="15" hidden="false" customHeight="true" outlineLevel="0" collapsed="false">
      <c r="A145" s="44"/>
      <c r="B145" s="44"/>
      <c r="C145" s="44"/>
      <c r="D145" s="44"/>
      <c r="E145" s="44"/>
      <c r="F145" s="44"/>
      <c r="G145" s="44"/>
      <c r="H145" s="44"/>
      <c r="I145" s="44"/>
      <c r="J145" s="44" t="str">
        <f aca="false">IF(AND(MOVIMIENTOS!$A145&lt;&gt;"",COUNTIF(MOVIMIENTOS!$A$5:$A144,MOVIMIENTOS!$A145)=0),COUNT(J$4:J144)+1,"")</f>
        <v/>
      </c>
      <c r="K145" s="47" t="n">
        <f aca="false">MOVIMIENTOS!$A145</f>
        <v>46226</v>
      </c>
      <c r="L145" s="44"/>
      <c r="M145" s="44"/>
      <c r="N145" s="44"/>
    </row>
    <row r="146" customFormat="false" ht="15" hidden="false" customHeight="true" outlineLevel="0" collapsed="false">
      <c r="A146" s="44"/>
      <c r="B146" s="44"/>
      <c r="C146" s="44"/>
      <c r="D146" s="44"/>
      <c r="E146" s="44"/>
      <c r="F146" s="44"/>
      <c r="G146" s="44"/>
      <c r="H146" s="44"/>
      <c r="I146" s="44"/>
      <c r="J146" s="44" t="str">
        <f aca="false">IF(AND(MOVIMIENTOS!$A146&lt;&gt;"",COUNTIF(MOVIMIENTOS!$A$5:$A145,MOVIMIENTOS!$A146)=0),COUNT(J$4:J145)+1,"")</f>
        <v/>
      </c>
      <c r="K146" s="47" t="n">
        <f aca="false">MOVIMIENTOS!$A146</f>
        <v>46226</v>
      </c>
      <c r="L146" s="44"/>
      <c r="M146" s="44"/>
      <c r="N146" s="44"/>
    </row>
    <row r="147" customFormat="false" ht="15" hidden="false" customHeight="true" outlineLevel="0" collapsed="false">
      <c r="A147" s="44"/>
      <c r="B147" s="44"/>
      <c r="C147" s="44"/>
      <c r="D147" s="44"/>
      <c r="E147" s="44"/>
      <c r="F147" s="44"/>
      <c r="G147" s="44"/>
      <c r="H147" s="44"/>
      <c r="I147" s="44"/>
      <c r="J147" s="44" t="str">
        <f aca="false">IF(AND(MOVIMIENTOS!$A147&lt;&gt;"",COUNTIF(MOVIMIENTOS!$A$5:$A146,MOVIMIENTOS!$A147)=0),COUNT(J$4:J146)+1,"")</f>
        <v/>
      </c>
      <c r="K147" s="47" t="n">
        <f aca="false">MOVIMIENTOS!$A147</f>
        <v>46226</v>
      </c>
      <c r="L147" s="44"/>
      <c r="M147" s="44"/>
      <c r="N147" s="44"/>
    </row>
    <row r="148" customFormat="false" ht="15" hidden="false" customHeight="true" outlineLevel="0" collapsed="false">
      <c r="A148" s="44"/>
      <c r="B148" s="44"/>
      <c r="C148" s="44"/>
      <c r="D148" s="44"/>
      <c r="E148" s="44"/>
      <c r="F148" s="44"/>
      <c r="G148" s="44"/>
      <c r="H148" s="44"/>
      <c r="I148" s="44"/>
      <c r="J148" s="44" t="str">
        <f aca="false">IF(AND(MOVIMIENTOS!$A148&lt;&gt;"",COUNTIF(MOVIMIENTOS!$A$5:$A147,MOVIMIENTOS!$A148)=0),COUNT(J$4:J147)+1,"")</f>
        <v/>
      </c>
      <c r="K148" s="47" t="n">
        <f aca="false">MOVIMIENTOS!$A148</f>
        <v>46226</v>
      </c>
      <c r="L148" s="44"/>
      <c r="M148" s="44"/>
      <c r="N148" s="44"/>
    </row>
    <row r="149" customFormat="false" ht="15" hidden="false" customHeight="true" outlineLevel="0" collapsed="false">
      <c r="A149" s="44"/>
      <c r="B149" s="44"/>
      <c r="C149" s="44"/>
      <c r="D149" s="44"/>
      <c r="E149" s="44"/>
      <c r="F149" s="44"/>
      <c r="G149" s="44"/>
      <c r="H149" s="44"/>
      <c r="I149" s="44"/>
      <c r="J149" s="44" t="str">
        <f aca="false">IF(AND(MOVIMIENTOS!$A149&lt;&gt;"",COUNTIF(MOVIMIENTOS!$A$5:$A148,MOVIMIENTOS!$A149)=0),COUNT(J$4:J148)+1,"")</f>
        <v/>
      </c>
      <c r="K149" s="47" t="n">
        <f aca="false">MOVIMIENTOS!$A149</f>
        <v>46226</v>
      </c>
      <c r="L149" s="44"/>
      <c r="M149" s="44"/>
      <c r="N149" s="44"/>
    </row>
    <row r="150" customFormat="false" ht="15" hidden="false" customHeight="true" outlineLevel="0" collapsed="false">
      <c r="A150" s="44"/>
      <c r="B150" s="44"/>
      <c r="C150" s="44"/>
      <c r="D150" s="44"/>
      <c r="E150" s="44"/>
      <c r="F150" s="44"/>
      <c r="G150" s="44"/>
      <c r="H150" s="44"/>
      <c r="I150" s="44"/>
      <c r="J150" s="44" t="str">
        <f aca="false">IF(AND(MOVIMIENTOS!$A150&lt;&gt;"",COUNTIF(MOVIMIENTOS!$A$5:$A149,MOVIMIENTOS!$A150)=0),COUNT(J$4:J149)+1,"")</f>
        <v/>
      </c>
      <c r="K150" s="47" t="n">
        <f aca="false">MOVIMIENTOS!$A150</f>
        <v>46226</v>
      </c>
      <c r="L150" s="44"/>
      <c r="M150" s="44"/>
      <c r="N150" s="44"/>
    </row>
    <row r="151" customFormat="false" ht="15" hidden="false" customHeight="true" outlineLevel="0" collapsed="false">
      <c r="A151" s="44"/>
      <c r="B151" s="44"/>
      <c r="C151" s="44"/>
      <c r="D151" s="44"/>
      <c r="E151" s="44"/>
      <c r="F151" s="44"/>
      <c r="G151" s="44"/>
      <c r="H151" s="44"/>
      <c r="I151" s="44"/>
      <c r="J151" s="44" t="str">
        <f aca="false">IF(AND(MOVIMIENTOS!$A151&lt;&gt;"",COUNTIF(MOVIMIENTOS!$A$5:$A150,MOVIMIENTOS!$A151)=0),COUNT(J$4:J150)+1,"")</f>
        <v/>
      </c>
      <c r="K151" s="47" t="n">
        <f aca="false">MOVIMIENTOS!$A151</f>
        <v>46226</v>
      </c>
      <c r="L151" s="44"/>
      <c r="M151" s="44"/>
      <c r="N151" s="44"/>
    </row>
    <row r="152" customFormat="false" ht="15" hidden="false" customHeight="true" outlineLevel="0" collapsed="false">
      <c r="A152" s="44"/>
      <c r="B152" s="44"/>
      <c r="C152" s="44"/>
      <c r="D152" s="44"/>
      <c r="E152" s="44"/>
      <c r="F152" s="44"/>
      <c r="G152" s="44"/>
      <c r="H152" s="44"/>
      <c r="I152" s="44"/>
      <c r="J152" s="44" t="str">
        <f aca="false">IF(AND(MOVIMIENTOS!$A152&lt;&gt;"",COUNTIF(MOVIMIENTOS!$A$5:$A151,MOVIMIENTOS!$A152)=0),COUNT(J$4:J151)+1,"")</f>
        <v/>
      </c>
      <c r="K152" s="47" t="n">
        <f aca="false">MOVIMIENTOS!$A152</f>
        <v>46226</v>
      </c>
      <c r="L152" s="44"/>
      <c r="M152" s="44"/>
      <c r="N152" s="44"/>
    </row>
    <row r="153" customFormat="false" ht="15" hidden="false" customHeight="true" outlineLevel="0" collapsed="false">
      <c r="A153" s="44"/>
      <c r="B153" s="44"/>
      <c r="C153" s="44"/>
      <c r="D153" s="44"/>
      <c r="E153" s="44"/>
      <c r="F153" s="44"/>
      <c r="G153" s="44"/>
      <c r="H153" s="44"/>
      <c r="I153" s="44"/>
      <c r="J153" s="44" t="str">
        <f aca="false">IF(AND(MOVIMIENTOS!$A153&lt;&gt;"",COUNTIF(MOVIMIENTOS!$A$5:$A152,MOVIMIENTOS!$A153)=0),COUNT(J$4:J152)+1,"")</f>
        <v/>
      </c>
      <c r="K153" s="47" t="n">
        <f aca="false">MOVIMIENTOS!$A153</f>
        <v>46226</v>
      </c>
      <c r="L153" s="44"/>
      <c r="M153" s="44"/>
      <c r="N153" s="44"/>
    </row>
    <row r="154" customFormat="false" ht="15" hidden="false" customHeight="true" outlineLevel="0" collapsed="false">
      <c r="A154" s="44"/>
      <c r="B154" s="44"/>
      <c r="C154" s="44"/>
      <c r="D154" s="44"/>
      <c r="E154" s="44"/>
      <c r="F154" s="44"/>
      <c r="G154" s="44"/>
      <c r="H154" s="44"/>
      <c r="I154" s="44"/>
      <c r="J154" s="44" t="str">
        <f aca="false">IF(AND(MOVIMIENTOS!$A154&lt;&gt;"",COUNTIF(MOVIMIENTOS!$A$5:$A153,MOVIMIENTOS!$A154)=0),COUNT(J$4:J153)+1,"")</f>
        <v/>
      </c>
      <c r="K154" s="47" t="n">
        <f aca="false">MOVIMIENTOS!$A154</f>
        <v>46226</v>
      </c>
      <c r="L154" s="44"/>
      <c r="M154" s="44"/>
      <c r="N154" s="44"/>
    </row>
    <row r="155" customFormat="false" ht="15" hidden="false" customHeight="true" outlineLevel="0" collapsed="false">
      <c r="A155" s="44"/>
      <c r="B155" s="44"/>
      <c r="C155" s="44"/>
      <c r="D155" s="44"/>
      <c r="E155" s="44"/>
      <c r="F155" s="44"/>
      <c r="G155" s="44"/>
      <c r="H155" s="44"/>
      <c r="I155" s="44"/>
      <c r="J155" s="44" t="n">
        <f aca="false">IF(AND(MOVIMIENTOS!$A155&lt;&gt;"",COUNTIF(MOVIMIENTOS!$A$5:$A154,MOVIMIENTOS!$A155)=0),COUNT(J$4:J154)+1,"")</f>
        <v>14</v>
      </c>
      <c r="K155" s="47" t="n">
        <f aca="false">MOVIMIENTOS!$A155</f>
        <v>46227</v>
      </c>
      <c r="L155" s="44"/>
      <c r="M155" s="44"/>
      <c r="N155" s="44"/>
    </row>
    <row r="156" customFormat="false" ht="15" hidden="false" customHeight="true" outlineLevel="0" collapsed="false">
      <c r="A156" s="44"/>
      <c r="B156" s="44"/>
      <c r="C156" s="44"/>
      <c r="D156" s="44"/>
      <c r="E156" s="44"/>
      <c r="F156" s="44"/>
      <c r="G156" s="44"/>
      <c r="H156" s="44"/>
      <c r="I156" s="44"/>
      <c r="J156" s="44" t="str">
        <f aca="false">IF(AND(MOVIMIENTOS!$A156&lt;&gt;"",COUNTIF(MOVIMIENTOS!$A$5:$A155,MOVIMIENTOS!$A156)=0),COUNT(J$4:J155)+1,"")</f>
        <v/>
      </c>
      <c r="K156" s="47" t="n">
        <f aca="false">MOVIMIENTOS!$A156</f>
        <v>46227</v>
      </c>
      <c r="L156" s="44"/>
      <c r="M156" s="44"/>
      <c r="N156" s="44"/>
    </row>
    <row r="157" customFormat="false" ht="15" hidden="false" customHeight="true" outlineLevel="0" collapsed="false">
      <c r="A157" s="44"/>
      <c r="B157" s="44"/>
      <c r="C157" s="44"/>
      <c r="D157" s="44"/>
      <c r="E157" s="44"/>
      <c r="F157" s="44"/>
      <c r="G157" s="44"/>
      <c r="H157" s="44"/>
      <c r="I157" s="44"/>
      <c r="J157" s="44" t="str">
        <f aca="false">IF(AND(MOVIMIENTOS!$A157&lt;&gt;"",COUNTIF(MOVIMIENTOS!$A$5:$A156,MOVIMIENTOS!$A157)=0),COUNT(J$4:J156)+1,"")</f>
        <v/>
      </c>
      <c r="K157" s="47" t="n">
        <f aca="false">MOVIMIENTOS!$A157</f>
        <v>46227</v>
      </c>
      <c r="L157" s="44"/>
      <c r="M157" s="44"/>
      <c r="N157" s="44"/>
    </row>
    <row r="158" customFormat="false" ht="15" hidden="false" customHeight="true" outlineLevel="0" collapsed="false">
      <c r="A158" s="44"/>
      <c r="B158" s="44"/>
      <c r="C158" s="44"/>
      <c r="D158" s="44"/>
      <c r="E158" s="44"/>
      <c r="F158" s="44"/>
      <c r="G158" s="44"/>
      <c r="H158" s="44"/>
      <c r="I158" s="44"/>
      <c r="J158" s="44" t="str">
        <f aca="false">IF(AND(MOVIMIENTOS!$A158&lt;&gt;"",COUNTIF(MOVIMIENTOS!$A$5:$A157,MOVIMIENTOS!$A158)=0),COUNT(J$4:J157)+1,"")</f>
        <v/>
      </c>
      <c r="K158" s="47" t="n">
        <f aca="false">MOVIMIENTOS!$A158</f>
        <v>46227</v>
      </c>
      <c r="L158" s="44"/>
      <c r="M158" s="44"/>
      <c r="N158" s="44"/>
    </row>
    <row r="159" customFormat="false" ht="15" hidden="false" customHeight="true" outlineLevel="0" collapsed="false">
      <c r="A159" s="44"/>
      <c r="B159" s="44"/>
      <c r="C159" s="44"/>
      <c r="D159" s="44"/>
      <c r="E159" s="44"/>
      <c r="F159" s="44"/>
      <c r="G159" s="44"/>
      <c r="H159" s="44"/>
      <c r="I159" s="44"/>
      <c r="J159" s="44" t="str">
        <f aca="false">IF(AND(MOVIMIENTOS!$A159&lt;&gt;"",COUNTIF(MOVIMIENTOS!$A$5:$A158,MOVIMIENTOS!$A159)=0),COUNT(J$4:J158)+1,"")</f>
        <v/>
      </c>
      <c r="K159" s="47" t="n">
        <f aca="false">MOVIMIENTOS!$A159</f>
        <v>46227</v>
      </c>
      <c r="L159" s="44"/>
      <c r="M159" s="44"/>
      <c r="N159" s="44"/>
    </row>
    <row r="160" customFormat="false" ht="15" hidden="false" customHeight="true" outlineLevel="0" collapsed="false">
      <c r="A160" s="44"/>
      <c r="B160" s="44"/>
      <c r="C160" s="44"/>
      <c r="D160" s="44"/>
      <c r="E160" s="44"/>
      <c r="F160" s="44"/>
      <c r="G160" s="44"/>
      <c r="H160" s="44"/>
      <c r="I160" s="44"/>
      <c r="J160" s="44" t="str">
        <f aca="false">IF(AND(MOVIMIENTOS!$A160&lt;&gt;"",COUNTIF(MOVIMIENTOS!$A$5:$A159,MOVIMIENTOS!$A160)=0),COUNT(J$4:J159)+1,"")</f>
        <v/>
      </c>
      <c r="K160" s="47" t="n">
        <f aca="false">MOVIMIENTOS!$A160</f>
        <v>46227</v>
      </c>
      <c r="L160" s="44"/>
      <c r="M160" s="44"/>
      <c r="N160" s="44"/>
    </row>
    <row r="161" customFormat="false" ht="15" hidden="false" customHeight="true" outlineLevel="0" collapsed="false">
      <c r="A161" s="44"/>
      <c r="B161" s="44"/>
      <c r="C161" s="44"/>
      <c r="D161" s="44"/>
      <c r="E161" s="44"/>
      <c r="F161" s="44"/>
      <c r="G161" s="44"/>
      <c r="H161" s="44"/>
      <c r="I161" s="44"/>
      <c r="J161" s="44" t="str">
        <f aca="false">IF(AND(MOVIMIENTOS!$A161&lt;&gt;"",COUNTIF(MOVIMIENTOS!$A$5:$A160,MOVIMIENTOS!$A161)=0),COUNT(J$4:J160)+1,"")</f>
        <v/>
      </c>
      <c r="K161" s="47" t="n">
        <f aca="false">MOVIMIENTOS!$A161</f>
        <v>46227</v>
      </c>
      <c r="L161" s="44"/>
      <c r="M161" s="44"/>
      <c r="N161" s="44"/>
    </row>
    <row r="162" customFormat="false" ht="15" hidden="false" customHeight="true" outlineLevel="0" collapsed="false">
      <c r="A162" s="44"/>
      <c r="B162" s="44"/>
      <c r="C162" s="44"/>
      <c r="D162" s="44"/>
      <c r="E162" s="44"/>
      <c r="F162" s="44"/>
      <c r="G162" s="44"/>
      <c r="H162" s="44"/>
      <c r="I162" s="44"/>
      <c r="J162" s="44" t="str">
        <f aca="false">IF(AND(MOVIMIENTOS!$A162&lt;&gt;"",COUNTIF(MOVIMIENTOS!$A$5:$A161,MOVIMIENTOS!$A162)=0),COUNT(J$4:J161)+1,"")</f>
        <v/>
      </c>
      <c r="K162" s="47" t="n">
        <f aca="false">MOVIMIENTOS!$A162</f>
        <v>46227</v>
      </c>
      <c r="L162" s="44"/>
      <c r="M162" s="44"/>
      <c r="N162" s="44"/>
    </row>
    <row r="163" customFormat="false" ht="15" hidden="false" customHeight="true" outlineLevel="0" collapsed="false">
      <c r="A163" s="44"/>
      <c r="B163" s="44"/>
      <c r="C163" s="44"/>
      <c r="D163" s="44"/>
      <c r="E163" s="44"/>
      <c r="F163" s="44"/>
      <c r="G163" s="44"/>
      <c r="H163" s="44"/>
      <c r="I163" s="44"/>
      <c r="J163" s="44" t="str">
        <f aca="false">IF(AND(MOVIMIENTOS!$A163&lt;&gt;"",COUNTIF(MOVIMIENTOS!$A$5:$A162,MOVIMIENTOS!$A163)=0),COUNT(J$4:J162)+1,"")</f>
        <v/>
      </c>
      <c r="K163" s="47" t="n">
        <f aca="false">MOVIMIENTOS!$A163</f>
        <v>46227</v>
      </c>
      <c r="L163" s="44"/>
      <c r="M163" s="44"/>
      <c r="N163" s="44"/>
    </row>
    <row r="164" customFormat="false" ht="15" hidden="false" customHeight="true" outlineLevel="0" collapsed="false">
      <c r="A164" s="44"/>
      <c r="B164" s="44"/>
      <c r="C164" s="44"/>
      <c r="D164" s="44"/>
      <c r="E164" s="44"/>
      <c r="F164" s="44"/>
      <c r="G164" s="44"/>
      <c r="H164" s="44"/>
      <c r="I164" s="44"/>
      <c r="J164" s="44" t="str">
        <f aca="false">IF(AND(MOVIMIENTOS!$A164&lt;&gt;"",COUNTIF(MOVIMIENTOS!$A$5:$A163,MOVIMIENTOS!$A164)=0),COUNT(J$4:J163)+1,"")</f>
        <v/>
      </c>
      <c r="K164" s="47" t="n">
        <f aca="false">MOVIMIENTOS!$A164</f>
        <v>46227</v>
      </c>
      <c r="L164" s="44"/>
      <c r="M164" s="44"/>
      <c r="N164" s="44"/>
    </row>
    <row r="165" customFormat="false" ht="15" hidden="false" customHeight="true" outlineLevel="0" collapsed="false">
      <c r="A165" s="44"/>
      <c r="B165" s="44"/>
      <c r="C165" s="44"/>
      <c r="D165" s="44"/>
      <c r="E165" s="44"/>
      <c r="F165" s="44"/>
      <c r="G165" s="44"/>
      <c r="H165" s="44"/>
      <c r="I165" s="44"/>
      <c r="J165" s="44" t="str">
        <f aca="false">IF(AND(MOVIMIENTOS!$A165&lt;&gt;"",COUNTIF(MOVIMIENTOS!$A$5:$A164,MOVIMIENTOS!$A165)=0),COUNT(J$4:J164)+1,"")</f>
        <v/>
      </c>
      <c r="K165" s="47" t="n">
        <f aca="false">MOVIMIENTOS!$A165</f>
        <v>46227</v>
      </c>
      <c r="L165" s="44"/>
      <c r="M165" s="44"/>
      <c r="N165" s="44"/>
    </row>
    <row r="166" customFormat="false" ht="15" hidden="false" customHeight="true" outlineLevel="0" collapsed="false">
      <c r="A166" s="44"/>
      <c r="B166" s="44"/>
      <c r="C166" s="44"/>
      <c r="D166" s="44"/>
      <c r="E166" s="44"/>
      <c r="F166" s="44"/>
      <c r="G166" s="44"/>
      <c r="H166" s="44"/>
      <c r="I166" s="44"/>
      <c r="J166" s="44" t="str">
        <f aca="false">IF(AND(MOVIMIENTOS!$A166&lt;&gt;"",COUNTIF(MOVIMIENTOS!$A$5:$A165,MOVIMIENTOS!$A166)=0),COUNT(J$4:J165)+1,"")</f>
        <v/>
      </c>
      <c r="K166" s="47" t="n">
        <f aca="false">MOVIMIENTOS!$A166</f>
        <v>46227</v>
      </c>
      <c r="L166" s="44"/>
      <c r="M166" s="44"/>
      <c r="N166" s="44"/>
    </row>
    <row r="167" customFormat="false" ht="15" hidden="false" customHeight="true" outlineLevel="0" collapsed="false">
      <c r="A167" s="44"/>
      <c r="B167" s="44"/>
      <c r="C167" s="44"/>
      <c r="D167" s="44"/>
      <c r="E167" s="44"/>
      <c r="F167" s="44"/>
      <c r="G167" s="44"/>
      <c r="H167" s="44"/>
      <c r="I167" s="44"/>
      <c r="J167" s="44" t="str">
        <f aca="false">IF(AND(MOVIMIENTOS!$A167&lt;&gt;"",COUNTIF(MOVIMIENTOS!$A$5:$A166,MOVIMIENTOS!$A167)=0),COUNT(J$4:J166)+1,"")</f>
        <v/>
      </c>
      <c r="K167" s="47" t="n">
        <f aca="false">MOVIMIENTOS!$A167</f>
        <v>46227</v>
      </c>
      <c r="L167" s="44"/>
      <c r="M167" s="44"/>
      <c r="N167" s="44"/>
    </row>
    <row r="168" customFormat="false" ht="15" hidden="false" customHeight="true" outlineLevel="0" collapsed="false">
      <c r="A168" s="44"/>
      <c r="B168" s="44"/>
      <c r="C168" s="44"/>
      <c r="D168" s="44"/>
      <c r="E168" s="44"/>
      <c r="F168" s="44"/>
      <c r="G168" s="44"/>
      <c r="H168" s="44"/>
      <c r="I168" s="44"/>
      <c r="J168" s="44" t="str">
        <f aca="false">IF(AND(MOVIMIENTOS!$A168&lt;&gt;"",COUNTIF(MOVIMIENTOS!$A$5:$A167,MOVIMIENTOS!$A168)=0),COUNT(J$4:J167)+1,"")</f>
        <v/>
      </c>
      <c r="K168" s="47" t="n">
        <f aca="false">MOVIMIENTOS!$A168</f>
        <v>46227</v>
      </c>
      <c r="L168" s="44"/>
      <c r="M168" s="44"/>
      <c r="N168" s="44"/>
    </row>
    <row r="169" customFormat="false" ht="15" hidden="false" customHeight="true" outlineLevel="0" collapsed="false">
      <c r="A169" s="44"/>
      <c r="B169" s="44"/>
      <c r="C169" s="44"/>
      <c r="D169" s="44"/>
      <c r="E169" s="44"/>
      <c r="F169" s="44"/>
      <c r="G169" s="44"/>
      <c r="H169" s="44"/>
      <c r="I169" s="44"/>
      <c r="J169" s="44" t="str">
        <f aca="false">IF(AND(MOVIMIENTOS!$A169&lt;&gt;"",COUNTIF(MOVIMIENTOS!$A$5:$A168,MOVIMIENTOS!$A169)=0),COUNT(J$4:J168)+1,"")</f>
        <v/>
      </c>
      <c r="K169" s="47" t="n">
        <f aca="false">MOVIMIENTOS!$A169</f>
        <v>46227</v>
      </c>
      <c r="L169" s="44"/>
      <c r="M169" s="44"/>
      <c r="N169" s="44"/>
    </row>
    <row r="170" customFormat="false" ht="15" hidden="false" customHeight="true" outlineLevel="0" collapsed="false">
      <c r="A170" s="44"/>
      <c r="B170" s="44"/>
      <c r="C170" s="44"/>
      <c r="D170" s="44"/>
      <c r="E170" s="44"/>
      <c r="F170" s="44"/>
      <c r="G170" s="44"/>
      <c r="H170" s="44"/>
      <c r="I170" s="44"/>
      <c r="J170" s="44" t="str">
        <f aca="false">IF(AND(MOVIMIENTOS!$A170&lt;&gt;"",COUNTIF(MOVIMIENTOS!$A$5:$A169,MOVIMIENTOS!$A170)=0),COUNT(J$4:J169)+1,"")</f>
        <v/>
      </c>
      <c r="K170" s="47" t="n">
        <f aca="false">MOVIMIENTOS!$A170</f>
        <v>46227</v>
      </c>
      <c r="L170" s="44"/>
      <c r="M170" s="44"/>
      <c r="N170" s="44"/>
    </row>
    <row r="171" customFormat="false" ht="15" hidden="false" customHeight="true" outlineLevel="0" collapsed="false">
      <c r="A171" s="44"/>
      <c r="B171" s="44"/>
      <c r="C171" s="44"/>
      <c r="D171" s="44"/>
      <c r="E171" s="44"/>
      <c r="F171" s="44"/>
      <c r="G171" s="44"/>
      <c r="H171" s="44"/>
      <c r="I171" s="44"/>
      <c r="J171" s="44" t="n">
        <f aca="false">IF(AND(MOVIMIENTOS!$A171&lt;&gt;"",COUNTIF(MOVIMIENTOS!$A$5:$A170,MOVIMIENTOS!$A171)=0),COUNT(J$4:J170)+1,"")</f>
        <v>15</v>
      </c>
      <c r="K171" s="47" t="n">
        <f aca="false">MOVIMIENTOS!$A171</f>
        <v>46228</v>
      </c>
      <c r="L171" s="44"/>
      <c r="M171" s="44"/>
      <c r="N171" s="44"/>
    </row>
    <row r="172" customFormat="false" ht="15" hidden="false" customHeight="true" outlineLevel="0" collapsed="false">
      <c r="A172" s="44"/>
      <c r="B172" s="44"/>
      <c r="C172" s="44"/>
      <c r="D172" s="44"/>
      <c r="E172" s="44"/>
      <c r="F172" s="44"/>
      <c r="G172" s="44"/>
      <c r="H172" s="44"/>
      <c r="I172" s="44"/>
      <c r="J172" s="44" t="str">
        <f aca="false">IF(AND(MOVIMIENTOS!$A172&lt;&gt;"",COUNTIF(MOVIMIENTOS!$A$5:$A171,MOVIMIENTOS!$A172)=0),COUNT(J$4:J171)+1,"")</f>
        <v/>
      </c>
      <c r="K172" s="47" t="n">
        <f aca="false">MOVIMIENTOS!$A172</f>
        <v>46228</v>
      </c>
      <c r="L172" s="44"/>
      <c r="M172" s="44"/>
      <c r="N172" s="44"/>
    </row>
    <row r="173" customFormat="false" ht="15" hidden="false" customHeight="true" outlineLevel="0" collapsed="false">
      <c r="A173" s="44"/>
      <c r="B173" s="44"/>
      <c r="C173" s="44"/>
      <c r="D173" s="44"/>
      <c r="E173" s="44"/>
      <c r="F173" s="44"/>
      <c r="G173" s="44"/>
      <c r="H173" s="44"/>
      <c r="I173" s="44"/>
      <c r="J173" s="44" t="str">
        <f aca="false">IF(AND(MOVIMIENTOS!$A173&lt;&gt;"",COUNTIF(MOVIMIENTOS!$A$5:$A172,MOVIMIENTOS!$A173)=0),COUNT(J$4:J172)+1,"")</f>
        <v/>
      </c>
      <c r="K173" s="47" t="n">
        <f aca="false">MOVIMIENTOS!$A173</f>
        <v>46228</v>
      </c>
      <c r="L173" s="44"/>
      <c r="M173" s="44"/>
      <c r="N173" s="44"/>
    </row>
    <row r="174" customFormat="false" ht="15" hidden="false" customHeight="true" outlineLevel="0" collapsed="false">
      <c r="A174" s="44"/>
      <c r="B174" s="44"/>
      <c r="C174" s="44"/>
      <c r="D174" s="44"/>
      <c r="E174" s="44"/>
      <c r="F174" s="44"/>
      <c r="G174" s="44"/>
      <c r="H174" s="44"/>
      <c r="I174" s="44"/>
      <c r="J174" s="44" t="str">
        <f aca="false">IF(AND(MOVIMIENTOS!$A174&lt;&gt;"",COUNTIF(MOVIMIENTOS!$A$5:$A173,MOVIMIENTOS!$A174)=0),COUNT(J$4:J173)+1,"")</f>
        <v/>
      </c>
      <c r="K174" s="47" t="n">
        <f aca="false">MOVIMIENTOS!$A174</f>
        <v>46228</v>
      </c>
      <c r="L174" s="44"/>
      <c r="M174" s="44"/>
      <c r="N174" s="44"/>
    </row>
    <row r="175" customFormat="false" ht="15" hidden="false" customHeight="true" outlineLevel="0" collapsed="false">
      <c r="A175" s="44"/>
      <c r="B175" s="44"/>
      <c r="C175" s="44"/>
      <c r="D175" s="44"/>
      <c r="E175" s="44"/>
      <c r="F175" s="44"/>
      <c r="G175" s="44"/>
      <c r="H175" s="44"/>
      <c r="I175" s="44"/>
      <c r="J175" s="44" t="str">
        <f aca="false">IF(AND(MOVIMIENTOS!$A175&lt;&gt;"",COUNTIF(MOVIMIENTOS!$A$5:$A174,MOVIMIENTOS!$A175)=0),COUNT(J$4:J174)+1,"")</f>
        <v/>
      </c>
      <c r="K175" s="47" t="n">
        <f aca="false">MOVIMIENTOS!$A175</f>
        <v>46228</v>
      </c>
      <c r="L175" s="44"/>
      <c r="M175" s="44"/>
      <c r="N175" s="44"/>
    </row>
    <row r="176" customFormat="false" ht="15" hidden="false" customHeight="true" outlineLevel="0" collapsed="false">
      <c r="A176" s="44"/>
      <c r="B176" s="44"/>
      <c r="C176" s="44"/>
      <c r="D176" s="44"/>
      <c r="E176" s="44"/>
      <c r="F176" s="44"/>
      <c r="G176" s="44"/>
      <c r="H176" s="44"/>
      <c r="I176" s="44"/>
      <c r="J176" s="44" t="str">
        <f aca="false">IF(AND(MOVIMIENTOS!$A176&lt;&gt;"",COUNTIF(MOVIMIENTOS!$A$5:$A175,MOVIMIENTOS!$A176)=0),COUNT(J$4:J175)+1,"")</f>
        <v/>
      </c>
      <c r="K176" s="47" t="n">
        <f aca="false">MOVIMIENTOS!$A176</f>
        <v>46228</v>
      </c>
      <c r="L176" s="44"/>
      <c r="M176" s="44"/>
      <c r="N176" s="44"/>
    </row>
    <row r="177" customFormat="false" ht="15" hidden="false" customHeight="true" outlineLevel="0" collapsed="false">
      <c r="A177" s="44"/>
      <c r="B177" s="44"/>
      <c r="C177" s="44"/>
      <c r="D177" s="44"/>
      <c r="E177" s="44"/>
      <c r="F177" s="44"/>
      <c r="G177" s="44"/>
      <c r="H177" s="44"/>
      <c r="I177" s="44"/>
      <c r="J177" s="44" t="str">
        <f aca="false">IF(AND(MOVIMIENTOS!$A177&lt;&gt;"",COUNTIF(MOVIMIENTOS!$A$5:$A176,MOVIMIENTOS!$A177)=0),COUNT(J$4:J176)+1,"")</f>
        <v/>
      </c>
      <c r="K177" s="47" t="n">
        <f aca="false">MOVIMIENTOS!$A177</f>
        <v>46228</v>
      </c>
      <c r="L177" s="44"/>
      <c r="M177" s="44"/>
      <c r="N177" s="44"/>
    </row>
    <row r="178" customFormat="false" ht="15" hidden="false" customHeight="true" outlineLevel="0" collapsed="false">
      <c r="A178" s="44"/>
      <c r="B178" s="44"/>
      <c r="C178" s="44"/>
      <c r="D178" s="44"/>
      <c r="E178" s="44"/>
      <c r="F178" s="44"/>
      <c r="G178" s="44"/>
      <c r="H178" s="44"/>
      <c r="I178" s="44"/>
      <c r="J178" s="44" t="str">
        <f aca="false">IF(AND(MOVIMIENTOS!$A178&lt;&gt;"",COUNTIF(MOVIMIENTOS!$A$5:$A177,MOVIMIENTOS!$A178)=0),COUNT(J$4:J177)+1,"")</f>
        <v/>
      </c>
      <c r="K178" s="47" t="n">
        <f aca="false">MOVIMIENTOS!$A178</f>
        <v>46228</v>
      </c>
      <c r="L178" s="44"/>
      <c r="M178" s="44"/>
      <c r="N178" s="44"/>
    </row>
    <row r="179" customFormat="false" ht="15" hidden="false" customHeight="true" outlineLevel="0" collapsed="false">
      <c r="A179" s="44"/>
      <c r="B179" s="44"/>
      <c r="C179" s="44"/>
      <c r="D179" s="44"/>
      <c r="E179" s="44"/>
      <c r="F179" s="44"/>
      <c r="G179" s="44"/>
      <c r="H179" s="44"/>
      <c r="I179" s="44"/>
      <c r="J179" s="44" t="str">
        <f aca="false">IF(AND(MOVIMIENTOS!$A179&lt;&gt;"",COUNTIF(MOVIMIENTOS!$A$5:$A178,MOVIMIENTOS!$A179)=0),COUNT(J$4:J178)+1,"")</f>
        <v/>
      </c>
      <c r="K179" s="47" t="n">
        <f aca="false">MOVIMIENTOS!$A179</f>
        <v>46228</v>
      </c>
      <c r="L179" s="44"/>
      <c r="M179" s="44"/>
      <c r="N179" s="44"/>
    </row>
    <row r="180" customFormat="false" ht="15" hidden="false" customHeight="true" outlineLevel="0" collapsed="false">
      <c r="A180" s="44"/>
      <c r="B180" s="44"/>
      <c r="C180" s="44"/>
      <c r="D180" s="44"/>
      <c r="E180" s="44"/>
      <c r="F180" s="44"/>
      <c r="G180" s="44"/>
      <c r="H180" s="44"/>
      <c r="I180" s="44"/>
      <c r="J180" s="44" t="n">
        <f aca="false">IF(AND(MOVIMIENTOS!$A180&lt;&gt;"",COUNTIF(MOVIMIENTOS!$A$5:$A179,MOVIMIENTOS!$A180)=0),COUNT(J$4:J179)+1,"")</f>
        <v>16</v>
      </c>
      <c r="K180" s="47" t="n">
        <f aca="false">MOVIMIENTOS!$A180</f>
        <v>46229</v>
      </c>
      <c r="L180" s="44"/>
      <c r="M180" s="44"/>
      <c r="N180" s="44"/>
    </row>
    <row r="181" customFormat="false" ht="15" hidden="false" customHeight="true" outlineLevel="0" collapsed="false">
      <c r="A181" s="44"/>
      <c r="B181" s="44"/>
      <c r="C181" s="44"/>
      <c r="D181" s="44"/>
      <c r="E181" s="44"/>
      <c r="F181" s="44"/>
      <c r="G181" s="44"/>
      <c r="H181" s="44"/>
      <c r="I181" s="44"/>
      <c r="J181" s="44" t="str">
        <f aca="false">IF(AND(MOVIMIENTOS!$A181&lt;&gt;"",COUNTIF(MOVIMIENTOS!$A$5:$A180,MOVIMIENTOS!$A181)=0),COUNT(J$4:J180)+1,"")</f>
        <v/>
      </c>
      <c r="K181" s="47" t="n">
        <f aca="false">MOVIMIENTOS!$A181</f>
        <v>46229</v>
      </c>
      <c r="L181" s="44"/>
      <c r="M181" s="44"/>
      <c r="N181" s="44"/>
    </row>
    <row r="182" customFormat="false" ht="15" hidden="false" customHeight="true" outlineLevel="0" collapsed="false">
      <c r="A182" s="44"/>
      <c r="B182" s="44"/>
      <c r="C182" s="44"/>
      <c r="D182" s="44"/>
      <c r="E182" s="44"/>
      <c r="F182" s="44"/>
      <c r="G182" s="44"/>
      <c r="H182" s="44"/>
      <c r="I182" s="44"/>
      <c r="J182" s="44" t="str">
        <f aca="false">IF(AND(MOVIMIENTOS!$A182&lt;&gt;"",COUNTIF(MOVIMIENTOS!$A$5:$A181,MOVIMIENTOS!$A182)=0),COUNT(J$4:J181)+1,"")</f>
        <v/>
      </c>
      <c r="K182" s="47" t="n">
        <f aca="false">MOVIMIENTOS!$A182</f>
        <v>46229</v>
      </c>
      <c r="L182" s="44"/>
      <c r="M182" s="44"/>
      <c r="N182" s="44"/>
    </row>
    <row r="183" customFormat="false" ht="15" hidden="false" customHeight="true" outlineLevel="0" collapsed="false">
      <c r="A183" s="44"/>
      <c r="B183" s="44"/>
      <c r="C183" s="44"/>
      <c r="D183" s="44"/>
      <c r="E183" s="44"/>
      <c r="F183" s="44"/>
      <c r="G183" s="44"/>
      <c r="H183" s="44"/>
      <c r="I183" s="44"/>
      <c r="J183" s="44" t="n">
        <f aca="false">IF(AND(MOVIMIENTOS!$A183&lt;&gt;"",COUNTIF(MOVIMIENTOS!$A$5:$A182,MOVIMIENTOS!$A183)=0),COUNT(J$4:J182)+1,"")</f>
        <v>17</v>
      </c>
      <c r="K183" s="47" t="n">
        <f aca="false">MOVIMIENTOS!$A183</f>
        <v>46230</v>
      </c>
      <c r="L183" s="44"/>
      <c r="M183" s="44"/>
      <c r="N183" s="44"/>
    </row>
    <row r="184" customFormat="false" ht="15" hidden="false" customHeight="true" outlineLevel="0" collapsed="false">
      <c r="A184" s="44"/>
      <c r="B184" s="44"/>
      <c r="C184" s="44"/>
      <c r="D184" s="44"/>
      <c r="E184" s="44"/>
      <c r="F184" s="44"/>
      <c r="G184" s="44"/>
      <c r="H184" s="44"/>
      <c r="I184" s="44"/>
      <c r="J184" s="44" t="str">
        <f aca="false">IF(AND(MOVIMIENTOS!$A184&lt;&gt;"",COUNTIF(MOVIMIENTOS!$A$5:$A183,MOVIMIENTOS!$A184)=0),COUNT(J$4:J183)+1,"")</f>
        <v/>
      </c>
      <c r="K184" s="47" t="n">
        <f aca="false">MOVIMIENTOS!$A184</f>
        <v>46230</v>
      </c>
      <c r="L184" s="44"/>
      <c r="M184" s="44"/>
      <c r="N184" s="44"/>
    </row>
    <row r="185" customFormat="false" ht="15" hidden="false" customHeight="true" outlineLevel="0" collapsed="false">
      <c r="A185" s="44"/>
      <c r="B185" s="44"/>
      <c r="C185" s="44"/>
      <c r="D185" s="44"/>
      <c r="E185" s="44"/>
      <c r="F185" s="44"/>
      <c r="G185" s="44"/>
      <c r="H185" s="44"/>
      <c r="I185" s="44"/>
      <c r="J185" s="44" t="str">
        <f aca="false">IF(AND(MOVIMIENTOS!$A185&lt;&gt;"",COUNTIF(MOVIMIENTOS!$A$5:$A184,MOVIMIENTOS!$A185)=0),COUNT(J$4:J184)+1,"")</f>
        <v/>
      </c>
      <c r="K185" s="47" t="n">
        <f aca="false">MOVIMIENTOS!$A185</f>
        <v>46230</v>
      </c>
      <c r="L185" s="44"/>
      <c r="M185" s="44"/>
      <c r="N185" s="44"/>
    </row>
    <row r="186" customFormat="false" ht="15" hidden="false" customHeight="true" outlineLevel="0" collapsed="false">
      <c r="A186" s="44"/>
      <c r="B186" s="44"/>
      <c r="C186" s="44"/>
      <c r="D186" s="44"/>
      <c r="E186" s="44"/>
      <c r="F186" s="44"/>
      <c r="G186" s="44"/>
      <c r="H186" s="44"/>
      <c r="I186" s="44"/>
      <c r="J186" s="44" t="str">
        <f aca="false">IF(AND(MOVIMIENTOS!$A186&lt;&gt;"",COUNTIF(MOVIMIENTOS!$A$5:$A185,MOVIMIENTOS!$A186)=0),COUNT(J$4:J185)+1,"")</f>
        <v/>
      </c>
      <c r="K186" s="47" t="n">
        <f aca="false">MOVIMIENTOS!$A186</f>
        <v>46230</v>
      </c>
      <c r="L186" s="44"/>
      <c r="M186" s="44"/>
      <c r="N186" s="44"/>
    </row>
    <row r="187" customFormat="false" ht="15" hidden="false" customHeight="true" outlineLevel="0" collapsed="false">
      <c r="A187" s="44"/>
      <c r="B187" s="44"/>
      <c r="C187" s="44"/>
      <c r="D187" s="44"/>
      <c r="E187" s="44"/>
      <c r="F187" s="44"/>
      <c r="G187" s="44"/>
      <c r="H187" s="44"/>
      <c r="I187" s="44"/>
      <c r="J187" s="44" t="str">
        <f aca="false">IF(AND(MOVIMIENTOS!$A187&lt;&gt;"",COUNTIF(MOVIMIENTOS!$A$5:$A186,MOVIMIENTOS!$A187)=0),COUNT(J$4:J186)+1,"")</f>
        <v/>
      </c>
      <c r="K187" s="47" t="n">
        <f aca="false">MOVIMIENTOS!$A187</f>
        <v>46230</v>
      </c>
      <c r="L187" s="44"/>
      <c r="M187" s="44"/>
      <c r="N187" s="44"/>
    </row>
    <row r="188" customFormat="false" ht="15" hidden="false" customHeight="true" outlineLevel="0" collapsed="false">
      <c r="A188" s="44"/>
      <c r="B188" s="44"/>
      <c r="C188" s="44"/>
      <c r="D188" s="44"/>
      <c r="E188" s="44"/>
      <c r="F188" s="44"/>
      <c r="G188" s="44"/>
      <c r="H188" s="44"/>
      <c r="I188" s="44"/>
      <c r="J188" s="44" t="str">
        <f aca="false">IF(AND(MOVIMIENTOS!$A188&lt;&gt;"",COUNTIF(MOVIMIENTOS!$A$5:$A187,MOVIMIENTOS!$A188)=0),COUNT(J$4:J187)+1,"")</f>
        <v/>
      </c>
      <c r="K188" s="47" t="n">
        <f aca="false">MOVIMIENTOS!$A188</f>
        <v>46230</v>
      </c>
      <c r="L188" s="44"/>
      <c r="M188" s="44"/>
      <c r="N188" s="44"/>
    </row>
    <row r="189" customFormat="false" ht="15" hidden="false" customHeight="true" outlineLevel="0" collapsed="false">
      <c r="A189" s="44"/>
      <c r="B189" s="44"/>
      <c r="C189" s="44"/>
      <c r="D189" s="44"/>
      <c r="E189" s="44"/>
      <c r="F189" s="44"/>
      <c r="G189" s="44"/>
      <c r="H189" s="44"/>
      <c r="I189" s="44"/>
      <c r="J189" s="44" t="str">
        <f aca="false">IF(AND(MOVIMIENTOS!$A189&lt;&gt;"",COUNTIF(MOVIMIENTOS!$A$5:$A188,MOVIMIENTOS!$A189)=0),COUNT(J$4:J188)+1,"")</f>
        <v/>
      </c>
      <c r="K189" s="47" t="n">
        <f aca="false">MOVIMIENTOS!$A189</f>
        <v>46230</v>
      </c>
      <c r="L189" s="44"/>
      <c r="M189" s="44"/>
      <c r="N189" s="44"/>
    </row>
    <row r="190" customFormat="false" ht="15" hidden="false" customHeight="true" outlineLevel="0" collapsed="false">
      <c r="A190" s="44"/>
      <c r="B190" s="44"/>
      <c r="C190" s="44"/>
      <c r="D190" s="44"/>
      <c r="E190" s="44"/>
      <c r="F190" s="44"/>
      <c r="G190" s="44"/>
      <c r="H190" s="44"/>
      <c r="I190" s="44"/>
      <c r="J190" s="44" t="str">
        <f aca="false">IF(AND(MOVIMIENTOS!$A190&lt;&gt;"",COUNTIF(MOVIMIENTOS!$A$5:$A189,MOVIMIENTOS!$A190)=0),COUNT(J$4:J189)+1,"")</f>
        <v/>
      </c>
      <c r="K190" s="47" t="n">
        <f aca="false">MOVIMIENTOS!$A190</f>
        <v>46230</v>
      </c>
      <c r="L190" s="44"/>
      <c r="M190" s="44"/>
      <c r="N190" s="44"/>
    </row>
    <row r="191" customFormat="false" ht="15" hidden="false" customHeight="true" outlineLevel="0" collapsed="false">
      <c r="A191" s="44"/>
      <c r="B191" s="44"/>
      <c r="C191" s="44"/>
      <c r="D191" s="44"/>
      <c r="E191" s="44"/>
      <c r="F191" s="44"/>
      <c r="G191" s="44"/>
      <c r="H191" s="44"/>
      <c r="I191" s="44"/>
      <c r="J191" s="44" t="str">
        <f aca="false">IF(AND(MOVIMIENTOS!$A191&lt;&gt;"",COUNTIF(MOVIMIENTOS!$A$5:$A190,MOVIMIENTOS!$A191)=0),COUNT(J$4:J190)+1,"")</f>
        <v/>
      </c>
      <c r="K191" s="47" t="n">
        <f aca="false">MOVIMIENTOS!$A191</f>
        <v>46230</v>
      </c>
      <c r="L191" s="44"/>
      <c r="M191" s="44"/>
      <c r="N191" s="44"/>
    </row>
    <row r="192" customFormat="false" ht="15" hidden="false" customHeight="true" outlineLevel="0" collapsed="false">
      <c r="A192" s="44"/>
      <c r="B192" s="44"/>
      <c r="C192" s="44"/>
      <c r="D192" s="44"/>
      <c r="E192" s="44"/>
      <c r="F192" s="44"/>
      <c r="G192" s="44"/>
      <c r="H192" s="44"/>
      <c r="I192" s="44"/>
      <c r="J192" s="44" t="str">
        <f aca="false">IF(AND(MOVIMIENTOS!$A192&lt;&gt;"",COUNTIF(MOVIMIENTOS!$A$5:$A191,MOVIMIENTOS!$A192)=0),COUNT(J$4:J191)+1,"")</f>
        <v/>
      </c>
      <c r="K192" s="47" t="n">
        <f aca="false">MOVIMIENTOS!$A192</f>
        <v>46230</v>
      </c>
      <c r="L192" s="44"/>
      <c r="M192" s="44"/>
      <c r="N192" s="44"/>
    </row>
    <row r="193" customFormat="false" ht="15" hidden="false" customHeight="true" outlineLevel="0" collapsed="false">
      <c r="A193" s="44"/>
      <c r="B193" s="44"/>
      <c r="C193" s="44"/>
      <c r="D193" s="44"/>
      <c r="E193" s="44"/>
      <c r="F193" s="44"/>
      <c r="G193" s="44"/>
      <c r="H193" s="44"/>
      <c r="I193" s="44"/>
      <c r="J193" s="44" t="str">
        <f aca="false">IF(AND(MOVIMIENTOS!$A193&lt;&gt;"",COUNTIF(MOVIMIENTOS!$A$5:$A192,MOVIMIENTOS!$A193)=0),COUNT(J$4:J192)+1,"")</f>
        <v/>
      </c>
      <c r="K193" s="47" t="n">
        <f aca="false">MOVIMIENTOS!$A193</f>
        <v>46230</v>
      </c>
      <c r="L193" s="44"/>
      <c r="M193" s="44"/>
      <c r="N193" s="44"/>
    </row>
    <row r="194" customFormat="false" ht="15" hidden="false" customHeight="true" outlineLevel="0" collapsed="false">
      <c r="A194" s="44"/>
      <c r="B194" s="44"/>
      <c r="C194" s="44"/>
      <c r="D194" s="44"/>
      <c r="E194" s="44"/>
      <c r="F194" s="44"/>
      <c r="G194" s="44"/>
      <c r="H194" s="44"/>
      <c r="I194" s="44"/>
      <c r="J194" s="44" t="str">
        <f aca="false">IF(AND(MOVIMIENTOS!$A194&lt;&gt;"",COUNTIF(MOVIMIENTOS!$A$5:$A193,MOVIMIENTOS!$A194)=0),COUNT(J$4:J193)+1,"")</f>
        <v/>
      </c>
      <c r="K194" s="47" t="n">
        <f aca="false">MOVIMIENTOS!$A194</f>
        <v>46230</v>
      </c>
      <c r="L194" s="44"/>
      <c r="M194" s="44"/>
      <c r="N194" s="44"/>
    </row>
    <row r="195" customFormat="false" ht="15" hidden="false" customHeight="true" outlineLevel="0" collapsed="false">
      <c r="A195" s="44"/>
      <c r="B195" s="44"/>
      <c r="C195" s="44"/>
      <c r="D195" s="44"/>
      <c r="E195" s="44"/>
      <c r="F195" s="44"/>
      <c r="G195" s="44"/>
      <c r="H195" s="44"/>
      <c r="I195" s="44"/>
      <c r="J195" s="44" t="str">
        <f aca="false">IF(AND(MOVIMIENTOS!$A195&lt;&gt;"",COUNTIF(MOVIMIENTOS!$A$5:$A194,MOVIMIENTOS!$A195)=0),COUNT(J$4:J194)+1,"")</f>
        <v/>
      </c>
      <c r="K195" s="47" t="n">
        <f aca="false">MOVIMIENTOS!$A195</f>
        <v>46230</v>
      </c>
      <c r="L195" s="44"/>
      <c r="M195" s="44"/>
      <c r="N195" s="44"/>
    </row>
    <row r="196" customFormat="false" ht="15" hidden="false" customHeight="true" outlineLevel="0" collapsed="false">
      <c r="A196" s="44"/>
      <c r="B196" s="44"/>
      <c r="C196" s="44"/>
      <c r="D196" s="44"/>
      <c r="E196" s="44"/>
      <c r="F196" s="44"/>
      <c r="G196" s="44"/>
      <c r="H196" s="44"/>
      <c r="I196" s="44"/>
      <c r="J196" s="44" t="n">
        <f aca="false">IF(AND(MOVIMIENTOS!$A196&lt;&gt;"",COUNTIF(MOVIMIENTOS!$A$5:$A195,MOVIMIENTOS!$A196)=0),COUNT(J$4:J195)+1,"")</f>
        <v>18</v>
      </c>
      <c r="K196" s="47" t="n">
        <f aca="false">MOVIMIENTOS!$A196</f>
        <v>46231</v>
      </c>
      <c r="L196" s="44"/>
      <c r="M196" s="44"/>
      <c r="N196" s="44"/>
    </row>
    <row r="197" customFormat="false" ht="15" hidden="false" customHeight="true" outlineLevel="0" collapsed="false">
      <c r="A197" s="44"/>
      <c r="B197" s="44"/>
      <c r="C197" s="44"/>
      <c r="D197" s="44"/>
      <c r="E197" s="44"/>
      <c r="F197" s="44"/>
      <c r="G197" s="44"/>
      <c r="H197" s="44"/>
      <c r="I197" s="44"/>
      <c r="J197" s="44" t="str">
        <f aca="false">IF(AND(MOVIMIENTOS!$A197&lt;&gt;"",COUNTIF(MOVIMIENTOS!$A$5:$A196,MOVIMIENTOS!$A197)=0),COUNT(J$4:J196)+1,"")</f>
        <v/>
      </c>
      <c r="K197" s="47" t="n">
        <f aca="false">MOVIMIENTOS!$A197</f>
        <v>46231</v>
      </c>
      <c r="L197" s="44"/>
      <c r="M197" s="44"/>
      <c r="N197" s="44"/>
    </row>
    <row r="198" customFormat="false" ht="15" hidden="false" customHeight="true" outlineLevel="0" collapsed="false">
      <c r="A198" s="44"/>
      <c r="B198" s="44"/>
      <c r="C198" s="44"/>
      <c r="D198" s="44"/>
      <c r="E198" s="44"/>
      <c r="F198" s="44"/>
      <c r="G198" s="44"/>
      <c r="H198" s="44"/>
      <c r="I198" s="44"/>
      <c r="J198" s="44" t="str">
        <f aca="false">IF(AND(MOVIMIENTOS!$A198&lt;&gt;"",COUNTIF(MOVIMIENTOS!$A$5:$A197,MOVIMIENTOS!$A198)=0),COUNT(J$4:J197)+1,"")</f>
        <v/>
      </c>
      <c r="K198" s="47" t="n">
        <f aca="false">MOVIMIENTOS!$A198</f>
        <v>46231</v>
      </c>
      <c r="L198" s="44"/>
      <c r="M198" s="44"/>
      <c r="N198" s="44"/>
    </row>
    <row r="199" customFormat="false" ht="15" hidden="false" customHeight="true" outlineLevel="0" collapsed="false">
      <c r="A199" s="44"/>
      <c r="B199" s="44"/>
      <c r="C199" s="44"/>
      <c r="D199" s="44"/>
      <c r="E199" s="44"/>
      <c r="F199" s="44"/>
      <c r="G199" s="44"/>
      <c r="H199" s="44"/>
      <c r="I199" s="44"/>
      <c r="J199" s="44" t="str">
        <f aca="false">IF(AND(MOVIMIENTOS!$A199&lt;&gt;"",COUNTIF(MOVIMIENTOS!$A$5:$A198,MOVIMIENTOS!$A199)=0),COUNT(J$4:J198)+1,"")</f>
        <v/>
      </c>
      <c r="K199" s="47" t="n">
        <f aca="false">MOVIMIENTOS!$A199</f>
        <v>46231</v>
      </c>
      <c r="L199" s="44"/>
      <c r="M199" s="44"/>
      <c r="N199" s="44"/>
    </row>
    <row r="200" customFormat="false" ht="15" hidden="false" customHeight="true" outlineLevel="0" collapsed="false">
      <c r="A200" s="44"/>
      <c r="B200" s="44"/>
      <c r="C200" s="44"/>
      <c r="D200" s="44"/>
      <c r="E200" s="44"/>
      <c r="F200" s="44"/>
      <c r="G200" s="44"/>
      <c r="H200" s="44"/>
      <c r="I200" s="44"/>
      <c r="J200" s="44" t="str">
        <f aca="false">IF(AND(MOVIMIENTOS!$A200&lt;&gt;"",COUNTIF(MOVIMIENTOS!$A$5:$A199,MOVIMIENTOS!$A200)=0),COUNT(J$4:J199)+1,"")</f>
        <v/>
      </c>
      <c r="K200" s="47" t="n">
        <f aca="false">MOVIMIENTOS!$A200</f>
        <v>46231</v>
      </c>
      <c r="L200" s="44"/>
      <c r="M200" s="44"/>
      <c r="N200" s="44"/>
    </row>
    <row r="201" customFormat="false" ht="15" hidden="false" customHeight="true" outlineLevel="0" collapsed="false">
      <c r="A201" s="44"/>
      <c r="B201" s="44"/>
      <c r="C201" s="44"/>
      <c r="D201" s="44"/>
      <c r="E201" s="44"/>
      <c r="F201" s="44"/>
      <c r="G201" s="44"/>
      <c r="H201" s="44"/>
      <c r="I201" s="44"/>
      <c r="J201" s="44" t="str">
        <f aca="false">IF(AND(MOVIMIENTOS!$A201&lt;&gt;"",COUNTIF(MOVIMIENTOS!$A$5:$A200,MOVIMIENTOS!$A201)=0),COUNT(J$4:J200)+1,"")</f>
        <v/>
      </c>
      <c r="K201" s="47" t="n">
        <f aca="false">MOVIMIENTOS!$A201</f>
        <v>46231</v>
      </c>
      <c r="L201" s="44"/>
      <c r="M201" s="44"/>
      <c r="N201" s="44"/>
    </row>
    <row r="202" customFormat="false" ht="15" hidden="false" customHeight="true" outlineLevel="0" collapsed="false">
      <c r="A202" s="44"/>
      <c r="B202" s="44"/>
      <c r="C202" s="44"/>
      <c r="D202" s="44"/>
      <c r="E202" s="44"/>
      <c r="F202" s="44"/>
      <c r="G202" s="44"/>
      <c r="H202" s="44"/>
      <c r="I202" s="44"/>
      <c r="J202" s="44" t="str">
        <f aca="false">IF(AND(MOVIMIENTOS!$A202&lt;&gt;"",COUNTIF(MOVIMIENTOS!$A$5:$A201,MOVIMIENTOS!$A202)=0),COUNT(J$4:J201)+1,"")</f>
        <v/>
      </c>
      <c r="K202" s="47" t="n">
        <f aca="false">MOVIMIENTOS!$A202</f>
        <v>46231</v>
      </c>
      <c r="L202" s="44"/>
      <c r="M202" s="44"/>
      <c r="N202" s="44"/>
    </row>
    <row r="203" customFormat="false" ht="15" hidden="false" customHeight="true" outlineLevel="0" collapsed="false">
      <c r="A203" s="44"/>
      <c r="B203" s="44"/>
      <c r="C203" s="44"/>
      <c r="D203" s="44"/>
      <c r="E203" s="44"/>
      <c r="F203" s="44"/>
      <c r="G203" s="44"/>
      <c r="H203" s="44"/>
      <c r="I203" s="44"/>
      <c r="J203" s="44" t="str">
        <f aca="false">IF(AND(MOVIMIENTOS!$A203&lt;&gt;"",COUNTIF(MOVIMIENTOS!$A$5:$A202,MOVIMIENTOS!$A203)=0),COUNT(J$4:J202)+1,"")</f>
        <v/>
      </c>
      <c r="K203" s="47" t="n">
        <f aca="false">MOVIMIENTOS!$A203</f>
        <v>46231</v>
      </c>
      <c r="L203" s="44"/>
      <c r="M203" s="44"/>
      <c r="N203" s="44"/>
    </row>
    <row r="204" customFormat="false" ht="15" hidden="false" customHeight="true" outlineLevel="0" collapsed="false">
      <c r="A204" s="44"/>
      <c r="B204" s="44"/>
      <c r="C204" s="44"/>
      <c r="D204" s="44"/>
      <c r="E204" s="44"/>
      <c r="F204" s="44"/>
      <c r="G204" s="44"/>
      <c r="H204" s="44"/>
      <c r="I204" s="44"/>
      <c r="J204" s="44" t="str">
        <f aca="false">IF(AND(MOVIMIENTOS!$A204&lt;&gt;"",COUNTIF(MOVIMIENTOS!$A$5:$A203,MOVIMIENTOS!$A204)=0),COUNT(J$4:J203)+1,"")</f>
        <v/>
      </c>
      <c r="K204" s="47" t="n">
        <f aca="false">MOVIMIENTOS!$A204</f>
        <v>46231</v>
      </c>
      <c r="L204" s="44"/>
      <c r="M204" s="44"/>
      <c r="N204" s="44"/>
    </row>
    <row r="205" customFormat="false" ht="15" hidden="false" customHeight="true" outlineLevel="0" collapsed="false">
      <c r="A205" s="44"/>
      <c r="B205" s="44"/>
      <c r="C205" s="44"/>
      <c r="D205" s="44"/>
      <c r="E205" s="44"/>
      <c r="F205" s="44"/>
      <c r="G205" s="44"/>
      <c r="H205" s="44"/>
      <c r="I205" s="44"/>
      <c r="J205" s="44" t="str">
        <f aca="false">IF(AND(MOVIMIENTOS!$A205&lt;&gt;"",COUNTIF(MOVIMIENTOS!$A$5:$A204,MOVIMIENTOS!$A205)=0),COUNT(J$4:J204)+1,"")</f>
        <v/>
      </c>
      <c r="K205" s="47" t="n">
        <f aca="false">MOVIMIENTOS!$A205</f>
        <v>46231</v>
      </c>
      <c r="L205" s="44"/>
      <c r="M205" s="44"/>
      <c r="N205" s="44"/>
    </row>
    <row r="206" customFormat="false" ht="15" hidden="false" customHeight="true" outlineLevel="0" collapsed="false">
      <c r="A206" s="44"/>
      <c r="B206" s="44"/>
      <c r="C206" s="44"/>
      <c r="D206" s="44"/>
      <c r="E206" s="44"/>
      <c r="F206" s="44"/>
      <c r="G206" s="44"/>
      <c r="H206" s="44"/>
      <c r="I206" s="44"/>
      <c r="J206" s="44" t="n">
        <f aca="false">IF(AND(MOVIMIENTOS!$A206&lt;&gt;"",COUNTIF(MOVIMIENTOS!$A$5:$A205,MOVIMIENTOS!$A206)=0),COUNT(J$4:J205)+1,"")</f>
        <v>19</v>
      </c>
      <c r="K206" s="47" t="n">
        <f aca="false">MOVIMIENTOS!$A206</f>
        <v>46232</v>
      </c>
      <c r="L206" s="44"/>
      <c r="M206" s="44"/>
      <c r="N206" s="44"/>
    </row>
    <row r="207" customFormat="false" ht="15" hidden="false" customHeight="true" outlineLevel="0" collapsed="false">
      <c r="A207" s="44"/>
      <c r="B207" s="44"/>
      <c r="C207" s="44"/>
      <c r="D207" s="44"/>
      <c r="E207" s="44"/>
      <c r="F207" s="44"/>
      <c r="G207" s="44"/>
      <c r="H207" s="44"/>
      <c r="I207" s="44"/>
      <c r="J207" s="44" t="str">
        <f aca="false">IF(AND(MOVIMIENTOS!$A207&lt;&gt;"",COUNTIF(MOVIMIENTOS!$A$5:$A206,MOVIMIENTOS!$A207)=0),COUNT(J$4:J206)+1,"")</f>
        <v/>
      </c>
      <c r="K207" s="47" t="n">
        <f aca="false">MOVIMIENTOS!$A207</f>
        <v>46232</v>
      </c>
      <c r="L207" s="44"/>
      <c r="M207" s="44"/>
      <c r="N207" s="44"/>
    </row>
    <row r="208" customFormat="false" ht="15" hidden="false" customHeight="true" outlineLevel="0" collapsed="false">
      <c r="A208" s="44"/>
      <c r="B208" s="44"/>
      <c r="C208" s="44"/>
      <c r="D208" s="44"/>
      <c r="E208" s="44"/>
      <c r="F208" s="44"/>
      <c r="G208" s="44"/>
      <c r="H208" s="44"/>
      <c r="I208" s="44"/>
      <c r="J208" s="44" t="str">
        <f aca="false">IF(AND(MOVIMIENTOS!$A208&lt;&gt;"",COUNTIF(MOVIMIENTOS!$A$5:$A207,MOVIMIENTOS!$A208)=0),COUNT(J$4:J207)+1,"")</f>
        <v/>
      </c>
      <c r="K208" s="47" t="n">
        <f aca="false">MOVIMIENTOS!$A208</f>
        <v>46232</v>
      </c>
      <c r="L208" s="44"/>
      <c r="M208" s="44"/>
      <c r="N208" s="44"/>
    </row>
    <row r="209" customFormat="false" ht="15" hidden="false" customHeight="true" outlineLevel="0" collapsed="false">
      <c r="A209" s="44"/>
      <c r="B209" s="44"/>
      <c r="C209" s="44"/>
      <c r="D209" s="44"/>
      <c r="E209" s="44"/>
      <c r="F209" s="44"/>
      <c r="G209" s="44"/>
      <c r="H209" s="44"/>
      <c r="I209" s="44"/>
      <c r="J209" s="44" t="str">
        <f aca="false">IF(AND(MOVIMIENTOS!$A209&lt;&gt;"",COUNTIF(MOVIMIENTOS!$A$5:$A208,MOVIMIENTOS!$A209)=0),COUNT(J$4:J208)+1,"")</f>
        <v/>
      </c>
      <c r="K209" s="47" t="n">
        <f aca="false">MOVIMIENTOS!$A209</f>
        <v>46232</v>
      </c>
      <c r="L209" s="44"/>
      <c r="M209" s="44"/>
      <c r="N209" s="44"/>
    </row>
    <row r="210" customFormat="false" ht="15" hidden="false" customHeight="true" outlineLevel="0" collapsed="false">
      <c r="A210" s="44"/>
      <c r="B210" s="44"/>
      <c r="C210" s="44"/>
      <c r="D210" s="44"/>
      <c r="E210" s="44"/>
      <c r="F210" s="44"/>
      <c r="G210" s="44"/>
      <c r="H210" s="44"/>
      <c r="I210" s="44"/>
      <c r="J210" s="44" t="str">
        <f aca="false">IF(AND(MOVIMIENTOS!$A210&lt;&gt;"",COUNTIF(MOVIMIENTOS!$A$5:$A209,MOVIMIENTOS!$A210)=0),COUNT(J$4:J209)+1,"")</f>
        <v/>
      </c>
      <c r="K210" s="47" t="n">
        <f aca="false">MOVIMIENTOS!$A210</f>
        <v>46232</v>
      </c>
      <c r="L210" s="44"/>
      <c r="M210" s="44"/>
      <c r="N210" s="44"/>
    </row>
    <row r="211" customFormat="false" ht="15" hidden="false" customHeight="true" outlineLevel="0" collapsed="false">
      <c r="A211" s="44"/>
      <c r="B211" s="44"/>
      <c r="C211" s="44"/>
      <c r="D211" s="44"/>
      <c r="E211" s="44"/>
      <c r="F211" s="44"/>
      <c r="G211" s="44"/>
      <c r="H211" s="44"/>
      <c r="I211" s="44"/>
      <c r="J211" s="44" t="n">
        <f aca="false">IF(AND(MOVIMIENTOS!$A211&lt;&gt;"",COUNTIF(MOVIMIENTOS!$A$5:$A210,MOVIMIENTOS!$A211)=0),COUNT(J$4:J210)+1,"")</f>
        <v>20</v>
      </c>
      <c r="K211" s="47" t="n">
        <f aca="false">MOVIMIENTOS!$A211</f>
        <v>46233</v>
      </c>
      <c r="L211" s="44"/>
      <c r="M211" s="44"/>
      <c r="N211" s="44"/>
    </row>
    <row r="212" customFormat="false" ht="15" hidden="false" customHeight="true" outlineLevel="0" collapsed="false">
      <c r="A212" s="44"/>
      <c r="B212" s="44"/>
      <c r="C212" s="44"/>
      <c r="D212" s="44"/>
      <c r="E212" s="44"/>
      <c r="F212" s="44"/>
      <c r="G212" s="44"/>
      <c r="H212" s="44"/>
      <c r="I212" s="44"/>
      <c r="J212" s="44" t="str">
        <f aca="false">IF(AND(MOVIMIENTOS!$A212&lt;&gt;"",COUNTIF(MOVIMIENTOS!$A$5:$A211,MOVIMIENTOS!$A212)=0),COUNT(J$4:J211)+1,"")</f>
        <v/>
      </c>
      <c r="K212" s="47" t="n">
        <f aca="false">MOVIMIENTOS!$A212</f>
        <v>46233</v>
      </c>
      <c r="L212" s="44"/>
      <c r="M212" s="44"/>
      <c r="N212" s="44"/>
    </row>
    <row r="213" customFormat="false" ht="15" hidden="false" customHeight="true" outlineLevel="0" collapsed="false">
      <c r="A213" s="44"/>
      <c r="B213" s="44"/>
      <c r="C213" s="44"/>
      <c r="D213" s="44"/>
      <c r="E213" s="44"/>
      <c r="F213" s="44"/>
      <c r="G213" s="44"/>
      <c r="H213" s="44"/>
      <c r="I213" s="44"/>
      <c r="J213" s="44" t="str">
        <f aca="false">IF(AND(MOVIMIENTOS!$A213&lt;&gt;"",COUNTIF(MOVIMIENTOS!$A$5:$A212,MOVIMIENTOS!$A213)=0),COUNT(J$4:J212)+1,"")</f>
        <v/>
      </c>
      <c r="K213" s="47" t="n">
        <f aca="false">MOVIMIENTOS!$A213</f>
        <v>46233</v>
      </c>
      <c r="L213" s="44"/>
      <c r="M213" s="44"/>
      <c r="N213" s="44"/>
    </row>
    <row r="214" customFormat="false" ht="15" hidden="false" customHeight="true" outlineLevel="0" collapsed="false">
      <c r="A214" s="44"/>
      <c r="B214" s="44"/>
      <c r="C214" s="44"/>
      <c r="D214" s="44"/>
      <c r="E214" s="44"/>
      <c r="F214" s="44"/>
      <c r="G214" s="44"/>
      <c r="H214" s="44"/>
      <c r="I214" s="44"/>
      <c r="J214" s="44" t="str">
        <f aca="false">IF(AND(MOVIMIENTOS!$A214&lt;&gt;"",COUNTIF(MOVIMIENTOS!$A$5:$A213,MOVIMIENTOS!$A214)=0),COUNT(J$4:J213)+1,"")</f>
        <v/>
      </c>
      <c r="K214" s="47" t="n">
        <f aca="false">MOVIMIENTOS!$A214</f>
        <v>46233</v>
      </c>
      <c r="L214" s="44"/>
      <c r="M214" s="44"/>
      <c r="N214" s="44"/>
    </row>
    <row r="215" customFormat="false" ht="15" hidden="false" customHeight="true" outlineLevel="0" collapsed="false">
      <c r="A215" s="44"/>
      <c r="B215" s="44"/>
      <c r="C215" s="44"/>
      <c r="D215" s="44"/>
      <c r="E215" s="44"/>
      <c r="F215" s="44"/>
      <c r="G215" s="44"/>
      <c r="H215" s="44"/>
      <c r="I215" s="44"/>
      <c r="J215" s="44" t="str">
        <f aca="false">IF(AND(MOVIMIENTOS!$A215&lt;&gt;"",COUNTIF(MOVIMIENTOS!$A$5:$A214,MOVIMIENTOS!$A215)=0),COUNT(J$4:J214)+1,"")</f>
        <v/>
      </c>
      <c r="K215" s="47" t="n">
        <f aca="false">MOVIMIENTOS!$A215</f>
        <v>46233</v>
      </c>
      <c r="L215" s="44"/>
      <c r="M215" s="44"/>
      <c r="N215" s="44"/>
    </row>
    <row r="216" customFormat="false" ht="15" hidden="false" customHeight="true" outlineLevel="0" collapsed="false">
      <c r="A216" s="44"/>
      <c r="B216" s="44"/>
      <c r="C216" s="44"/>
      <c r="D216" s="44"/>
      <c r="E216" s="44"/>
      <c r="F216" s="44"/>
      <c r="G216" s="44"/>
      <c r="H216" s="44"/>
      <c r="I216" s="44"/>
      <c r="J216" s="44" t="str">
        <f aca="false">IF(AND(MOVIMIENTOS!$A216&lt;&gt;"",COUNTIF(MOVIMIENTOS!$A$5:$A215,MOVIMIENTOS!$A216)=0),COUNT(J$4:J215)+1,"")</f>
        <v/>
      </c>
      <c r="K216" s="47" t="n">
        <f aca="false">MOVIMIENTOS!$A216</f>
        <v>46233</v>
      </c>
      <c r="L216" s="44"/>
      <c r="M216" s="44"/>
      <c r="N216" s="44"/>
    </row>
    <row r="217" customFormat="false" ht="15" hidden="false" customHeight="true" outlineLevel="0" collapsed="false">
      <c r="A217" s="44"/>
      <c r="B217" s="44"/>
      <c r="C217" s="44"/>
      <c r="D217" s="44"/>
      <c r="E217" s="44"/>
      <c r="F217" s="44"/>
      <c r="G217" s="44"/>
      <c r="H217" s="44"/>
      <c r="I217" s="44"/>
      <c r="J217" s="44" t="str">
        <f aca="false">IF(AND(MOVIMIENTOS!$A217&lt;&gt;"",COUNTIF(MOVIMIENTOS!$A$5:$A216,MOVIMIENTOS!$A217)=0),COUNT(J$4:J216)+1,"")</f>
        <v/>
      </c>
      <c r="K217" s="47" t="n">
        <f aca="false">MOVIMIENTOS!$A217</f>
        <v>46233</v>
      </c>
      <c r="L217" s="44"/>
      <c r="M217" s="44"/>
      <c r="N217" s="44"/>
    </row>
    <row r="218" customFormat="false" ht="15" hidden="false" customHeight="true" outlineLevel="0" collapsed="false">
      <c r="A218" s="44"/>
      <c r="B218" s="44"/>
      <c r="C218" s="44"/>
      <c r="D218" s="44"/>
      <c r="E218" s="44"/>
      <c r="F218" s="44"/>
      <c r="G218" s="44"/>
      <c r="H218" s="44"/>
      <c r="I218" s="44"/>
      <c r="J218" s="44" t="str">
        <f aca="false">IF(AND(MOVIMIENTOS!$A218&lt;&gt;"",COUNTIF(MOVIMIENTOS!$A$5:$A217,MOVIMIENTOS!$A218)=0),COUNT(J$4:J217)+1,"")</f>
        <v/>
      </c>
      <c r="K218" s="47" t="n">
        <f aca="false">MOVIMIENTOS!$A218</f>
        <v>46233</v>
      </c>
      <c r="L218" s="44"/>
      <c r="M218" s="44"/>
      <c r="N218" s="44"/>
    </row>
    <row r="219" customFormat="false" ht="15" hidden="false" customHeight="true" outlineLevel="0" collapsed="false">
      <c r="A219" s="44"/>
      <c r="B219" s="44"/>
      <c r="C219" s="44"/>
      <c r="D219" s="44"/>
      <c r="E219" s="44"/>
      <c r="F219" s="44"/>
      <c r="G219" s="44"/>
      <c r="H219" s="44"/>
      <c r="I219" s="44"/>
      <c r="J219" s="44" t="str">
        <f aca="false">IF(AND(MOVIMIENTOS!$A219&lt;&gt;"",COUNTIF(MOVIMIENTOS!$A$5:$A218,MOVIMIENTOS!$A219)=0),COUNT(J$4:J218)+1,"")</f>
        <v/>
      </c>
      <c r="K219" s="47" t="n">
        <f aca="false">MOVIMIENTOS!$A219</f>
        <v>46233</v>
      </c>
      <c r="L219" s="44"/>
      <c r="M219" s="44"/>
      <c r="N219" s="44"/>
    </row>
    <row r="220" customFormat="false" ht="15" hidden="false" customHeight="true" outlineLevel="0" collapsed="false">
      <c r="A220" s="44"/>
      <c r="B220" s="44"/>
      <c r="C220" s="44"/>
      <c r="D220" s="44"/>
      <c r="E220" s="44"/>
      <c r="F220" s="44"/>
      <c r="G220" s="44"/>
      <c r="H220" s="44"/>
      <c r="I220" s="44"/>
      <c r="J220" s="44" t="str">
        <f aca="false">IF(AND(MOVIMIENTOS!$A220&lt;&gt;"",COUNTIF(MOVIMIENTOS!$A$5:$A219,MOVIMIENTOS!$A220)=0),COUNT(J$4:J219)+1,"")</f>
        <v/>
      </c>
      <c r="K220" s="47" t="n">
        <f aca="false">MOVIMIENTOS!$A220</f>
        <v>46233</v>
      </c>
      <c r="L220" s="44"/>
      <c r="M220" s="44"/>
      <c r="N220" s="44"/>
    </row>
    <row r="221" customFormat="false" ht="15" hidden="false" customHeight="true" outlineLevel="0" collapsed="false">
      <c r="A221" s="44"/>
      <c r="B221" s="44"/>
      <c r="C221" s="44"/>
      <c r="D221" s="44"/>
      <c r="E221" s="44"/>
      <c r="F221" s="44"/>
      <c r="G221" s="44"/>
      <c r="H221" s="44"/>
      <c r="I221" s="44"/>
      <c r="J221" s="44" t="str">
        <f aca="false">IF(AND(MOVIMIENTOS!$A221&lt;&gt;"",COUNTIF(MOVIMIENTOS!$A$5:$A220,MOVIMIENTOS!$A221)=0),COUNT(J$4:J220)+1,"")</f>
        <v/>
      </c>
      <c r="K221" s="47" t="n">
        <f aca="false">MOVIMIENTOS!$A221</f>
        <v>46233</v>
      </c>
      <c r="L221" s="44"/>
      <c r="M221" s="44"/>
      <c r="N221" s="44"/>
    </row>
    <row r="222" customFormat="false" ht="15" hidden="false" customHeight="true" outlineLevel="0" collapsed="false">
      <c r="A222" s="44"/>
      <c r="B222" s="44"/>
      <c r="C222" s="44"/>
      <c r="D222" s="44"/>
      <c r="E222" s="44"/>
      <c r="F222" s="44"/>
      <c r="G222" s="44"/>
      <c r="H222" s="44"/>
      <c r="I222" s="44"/>
      <c r="J222" s="44" t="n">
        <f aca="false">IF(AND(MOVIMIENTOS!$A222&lt;&gt;"",COUNTIF(MOVIMIENTOS!$A$5:$A221,MOVIMIENTOS!$A222)=0),COUNT(J$4:J221)+1,"")</f>
        <v>21</v>
      </c>
      <c r="K222" s="47" t="n">
        <f aca="false">MOVIMIENTOS!$A222</f>
        <v>46234</v>
      </c>
      <c r="L222" s="44"/>
      <c r="M222" s="44"/>
      <c r="N222" s="44"/>
    </row>
    <row r="223" customFormat="false" ht="15" hidden="false" customHeight="true" outlineLevel="0" collapsed="false">
      <c r="A223" s="44"/>
      <c r="B223" s="44"/>
      <c r="C223" s="44"/>
      <c r="D223" s="44"/>
      <c r="E223" s="44"/>
      <c r="F223" s="44"/>
      <c r="G223" s="44"/>
      <c r="H223" s="44"/>
      <c r="I223" s="44"/>
      <c r="J223" s="44" t="str">
        <f aca="false">IF(AND(MOVIMIENTOS!$A223&lt;&gt;"",COUNTIF(MOVIMIENTOS!$A$5:$A222,MOVIMIENTOS!$A223)=0),COUNT(J$4:J222)+1,"")</f>
        <v/>
      </c>
      <c r="K223" s="47" t="n">
        <f aca="false">MOVIMIENTOS!$A223</f>
        <v>0</v>
      </c>
      <c r="L223" s="44"/>
      <c r="M223" s="44"/>
      <c r="N223" s="44"/>
    </row>
    <row r="224" customFormat="false" ht="15" hidden="false" customHeight="true" outlineLevel="0" collapsed="false">
      <c r="A224" s="44"/>
      <c r="B224" s="44"/>
      <c r="C224" s="44"/>
      <c r="D224" s="44"/>
      <c r="E224" s="44"/>
      <c r="F224" s="44"/>
      <c r="G224" s="44"/>
      <c r="H224" s="44"/>
      <c r="I224" s="44"/>
      <c r="J224" s="44" t="str">
        <f aca="false">IF(AND(MOVIMIENTOS!$A224&lt;&gt;"",COUNTIF(MOVIMIENTOS!$A$5:$A223,MOVIMIENTOS!$A224)=0),COUNT(J$4:J223)+1,"")</f>
        <v/>
      </c>
      <c r="K224" s="47" t="n">
        <f aca="false">MOVIMIENTOS!$A224</f>
        <v>0</v>
      </c>
      <c r="L224" s="44"/>
      <c r="M224" s="44"/>
      <c r="N224" s="44"/>
    </row>
    <row r="225" customFormat="false" ht="15" hidden="false" customHeight="true" outlineLevel="0" collapsed="false">
      <c r="A225" s="44"/>
      <c r="B225" s="44"/>
      <c r="C225" s="44"/>
      <c r="D225" s="44"/>
      <c r="E225" s="44"/>
      <c r="F225" s="44"/>
      <c r="G225" s="44"/>
      <c r="H225" s="44"/>
      <c r="I225" s="44"/>
      <c r="J225" s="44" t="str">
        <f aca="false">IF(AND(MOVIMIENTOS!$A225&lt;&gt;"",COUNTIF(MOVIMIENTOS!$A$5:$A224,MOVIMIENTOS!$A225)=0),COUNT(J$4:J224)+1,"")</f>
        <v/>
      </c>
      <c r="K225" s="47" t="n">
        <f aca="false">MOVIMIENTOS!$A225</f>
        <v>0</v>
      </c>
      <c r="L225" s="44"/>
      <c r="M225" s="44"/>
      <c r="N225" s="44"/>
    </row>
    <row r="226" customFormat="false" ht="15" hidden="false" customHeight="true" outlineLevel="0" collapsed="false">
      <c r="A226" s="44"/>
      <c r="B226" s="44"/>
      <c r="C226" s="44"/>
      <c r="D226" s="44"/>
      <c r="E226" s="44"/>
      <c r="F226" s="44"/>
      <c r="G226" s="44"/>
      <c r="H226" s="44"/>
      <c r="I226" s="44"/>
      <c r="J226" s="44" t="str">
        <f aca="false">IF(AND(MOVIMIENTOS!$A226&lt;&gt;"",COUNTIF(MOVIMIENTOS!$A$5:$A225,MOVIMIENTOS!$A226)=0),COUNT(J$4:J225)+1,"")</f>
        <v/>
      </c>
      <c r="K226" s="47" t="n">
        <f aca="false">MOVIMIENTOS!$A226</f>
        <v>0</v>
      </c>
      <c r="L226" s="44"/>
      <c r="M226" s="44"/>
      <c r="N226" s="44"/>
    </row>
    <row r="227" customFormat="false" ht="15" hidden="false" customHeight="true" outlineLevel="0" collapsed="false">
      <c r="A227" s="44"/>
      <c r="B227" s="44"/>
      <c r="C227" s="44"/>
      <c r="D227" s="44"/>
      <c r="E227" s="44"/>
      <c r="F227" s="44"/>
      <c r="G227" s="44"/>
      <c r="H227" s="44"/>
      <c r="I227" s="44"/>
      <c r="J227" s="44" t="str">
        <f aca="false">IF(AND(MOVIMIENTOS!$A227&lt;&gt;"",COUNTIF(MOVIMIENTOS!$A$5:$A226,MOVIMIENTOS!$A227)=0),COUNT(J$4:J226)+1,"")</f>
        <v/>
      </c>
      <c r="K227" s="47" t="n">
        <f aca="false">MOVIMIENTOS!$A227</f>
        <v>0</v>
      </c>
      <c r="L227" s="44"/>
      <c r="M227" s="44"/>
      <c r="N227" s="44"/>
    </row>
    <row r="228" customFormat="false" ht="15" hidden="false" customHeight="true" outlineLevel="0" collapsed="false">
      <c r="A228" s="44"/>
      <c r="B228" s="44"/>
      <c r="C228" s="44"/>
      <c r="D228" s="44"/>
      <c r="E228" s="44"/>
      <c r="F228" s="44"/>
      <c r="G228" s="44"/>
      <c r="H228" s="44"/>
      <c r="I228" s="44"/>
      <c r="J228" s="44" t="str">
        <f aca="false">IF(AND(MOVIMIENTOS!$A228&lt;&gt;"",COUNTIF(MOVIMIENTOS!$A$5:$A227,MOVIMIENTOS!$A228)=0),COUNT(J$4:J227)+1,"")</f>
        <v/>
      </c>
      <c r="K228" s="47" t="n">
        <f aca="false">MOVIMIENTOS!$A228</f>
        <v>0</v>
      </c>
      <c r="L228" s="44"/>
      <c r="M228" s="44"/>
      <c r="N228" s="44"/>
    </row>
    <row r="229" customFormat="false" ht="15" hidden="false" customHeight="true" outlineLevel="0" collapsed="false">
      <c r="A229" s="44"/>
      <c r="B229" s="44"/>
      <c r="C229" s="44"/>
      <c r="D229" s="44"/>
      <c r="E229" s="44"/>
      <c r="F229" s="44"/>
      <c r="G229" s="44"/>
      <c r="H229" s="44"/>
      <c r="I229" s="44"/>
      <c r="J229" s="44" t="str">
        <f aca="false">IF(AND(MOVIMIENTOS!$A229&lt;&gt;"",COUNTIF(MOVIMIENTOS!$A$5:$A228,MOVIMIENTOS!$A229)=0),COUNT(J$4:J228)+1,"")</f>
        <v/>
      </c>
      <c r="K229" s="47" t="n">
        <f aca="false">MOVIMIENTOS!$A229</f>
        <v>0</v>
      </c>
      <c r="L229" s="44"/>
      <c r="M229" s="44"/>
      <c r="N229" s="44"/>
    </row>
    <row r="230" customFormat="false" ht="15" hidden="false" customHeight="true" outlineLevel="0" collapsed="false">
      <c r="A230" s="44"/>
      <c r="B230" s="44"/>
      <c r="C230" s="44"/>
      <c r="D230" s="44"/>
      <c r="E230" s="44"/>
      <c r="F230" s="44"/>
      <c r="G230" s="44"/>
      <c r="H230" s="44"/>
      <c r="I230" s="44"/>
      <c r="J230" s="44" t="str">
        <f aca="false">IF(AND(MOVIMIENTOS!$A230&lt;&gt;"",COUNTIF(MOVIMIENTOS!$A$5:$A229,MOVIMIENTOS!$A230)=0),COUNT(J$4:J229)+1,"")</f>
        <v/>
      </c>
      <c r="K230" s="47" t="n">
        <f aca="false">MOVIMIENTOS!$A230</f>
        <v>0</v>
      </c>
      <c r="L230" s="44"/>
      <c r="M230" s="44"/>
      <c r="N230" s="44"/>
    </row>
    <row r="231" customFormat="false" ht="15" hidden="false" customHeight="true" outlineLevel="0" collapsed="false">
      <c r="A231" s="44"/>
      <c r="B231" s="44"/>
      <c r="C231" s="44"/>
      <c r="D231" s="44"/>
      <c r="E231" s="44"/>
      <c r="F231" s="44"/>
      <c r="G231" s="44"/>
      <c r="H231" s="44"/>
      <c r="I231" s="44"/>
      <c r="J231" s="44" t="str">
        <f aca="false">IF(AND(MOVIMIENTOS!$A231&lt;&gt;"",COUNTIF(MOVIMIENTOS!$A$5:$A230,MOVIMIENTOS!$A231)=0),COUNT(J$4:J230)+1,"")</f>
        <v/>
      </c>
      <c r="K231" s="47" t="n">
        <f aca="false">MOVIMIENTOS!$A231</f>
        <v>0</v>
      </c>
      <c r="L231" s="44"/>
      <c r="M231" s="44"/>
      <c r="N231" s="44"/>
    </row>
    <row r="232" customFormat="false" ht="15" hidden="false" customHeight="true" outlineLevel="0" collapsed="false">
      <c r="A232" s="44"/>
      <c r="B232" s="44"/>
      <c r="C232" s="44"/>
      <c r="D232" s="44"/>
      <c r="E232" s="44"/>
      <c r="F232" s="44"/>
      <c r="G232" s="44"/>
      <c r="H232" s="44"/>
      <c r="I232" s="44"/>
      <c r="J232" s="44" t="str">
        <f aca="false">IF(AND(MOVIMIENTOS!$A232&lt;&gt;"",COUNTIF(MOVIMIENTOS!$A$5:$A231,MOVIMIENTOS!$A232)=0),COUNT(J$4:J231)+1,"")</f>
        <v/>
      </c>
      <c r="K232" s="47" t="n">
        <f aca="false">MOVIMIENTOS!$A232</f>
        <v>0</v>
      </c>
      <c r="L232" s="44"/>
      <c r="M232" s="44"/>
      <c r="N232" s="44"/>
    </row>
    <row r="233" customFormat="false" ht="15" hidden="false" customHeight="true" outlineLevel="0" collapsed="false">
      <c r="A233" s="44"/>
      <c r="B233" s="44"/>
      <c r="C233" s="44"/>
      <c r="D233" s="44"/>
      <c r="E233" s="44"/>
      <c r="F233" s="44"/>
      <c r="G233" s="44"/>
      <c r="H233" s="44"/>
      <c r="I233" s="44"/>
      <c r="J233" s="44" t="str">
        <f aca="false">IF(AND(MOVIMIENTOS!$A233&lt;&gt;"",COUNTIF(MOVIMIENTOS!$A$5:$A232,MOVIMIENTOS!$A233)=0),COUNT(J$4:J232)+1,"")</f>
        <v/>
      </c>
      <c r="K233" s="47" t="n">
        <f aca="false">MOVIMIENTOS!$A233</f>
        <v>0</v>
      </c>
      <c r="L233" s="44"/>
      <c r="M233" s="44"/>
      <c r="N233" s="44"/>
    </row>
    <row r="234" customFormat="false" ht="15" hidden="false" customHeight="true" outlineLevel="0" collapsed="false">
      <c r="A234" s="44"/>
      <c r="B234" s="44"/>
      <c r="C234" s="44"/>
      <c r="D234" s="44"/>
      <c r="E234" s="44"/>
      <c r="F234" s="44"/>
      <c r="G234" s="44"/>
      <c r="H234" s="44"/>
      <c r="I234" s="44"/>
      <c r="J234" s="44" t="str">
        <f aca="false">IF(AND(MOVIMIENTOS!$A234&lt;&gt;"",COUNTIF(MOVIMIENTOS!$A$5:$A233,MOVIMIENTOS!$A234)=0),COUNT(J$4:J233)+1,"")</f>
        <v/>
      </c>
      <c r="K234" s="47" t="n">
        <f aca="false">MOVIMIENTOS!$A234</f>
        <v>0</v>
      </c>
      <c r="L234" s="44"/>
      <c r="M234" s="44"/>
      <c r="N234" s="44"/>
    </row>
    <row r="235" customFormat="false" ht="15" hidden="false" customHeight="true" outlineLevel="0" collapsed="false">
      <c r="A235" s="44"/>
      <c r="B235" s="44"/>
      <c r="C235" s="44"/>
      <c r="D235" s="44"/>
      <c r="E235" s="44"/>
      <c r="F235" s="44"/>
      <c r="G235" s="44"/>
      <c r="H235" s="44"/>
      <c r="I235" s="44"/>
      <c r="J235" s="44" t="str">
        <f aca="false">IF(AND(MOVIMIENTOS!$A235&lt;&gt;"",COUNTIF(MOVIMIENTOS!$A$5:$A234,MOVIMIENTOS!$A235)=0),COUNT(J$4:J234)+1,"")</f>
        <v/>
      </c>
      <c r="K235" s="47" t="n">
        <f aca="false">MOVIMIENTOS!$A235</f>
        <v>0</v>
      </c>
      <c r="L235" s="44"/>
      <c r="M235" s="44"/>
      <c r="N235" s="44"/>
    </row>
    <row r="236" customFormat="false" ht="15" hidden="false" customHeight="true" outlineLevel="0" collapsed="false">
      <c r="A236" s="44"/>
      <c r="B236" s="44"/>
      <c r="C236" s="44"/>
      <c r="D236" s="44"/>
      <c r="E236" s="44"/>
      <c r="F236" s="44"/>
      <c r="G236" s="44"/>
      <c r="H236" s="44"/>
      <c r="I236" s="44"/>
      <c r="J236" s="44" t="str">
        <f aca="false">IF(AND(MOVIMIENTOS!$A236&lt;&gt;"",COUNTIF(MOVIMIENTOS!$A$5:$A235,MOVIMIENTOS!$A236)=0),COUNT(J$4:J235)+1,"")</f>
        <v/>
      </c>
      <c r="K236" s="47" t="n">
        <f aca="false">MOVIMIENTOS!$A236</f>
        <v>0</v>
      </c>
      <c r="L236" s="44"/>
      <c r="M236" s="44"/>
      <c r="N236" s="44"/>
    </row>
    <row r="237" customFormat="false" ht="15" hidden="false" customHeight="true" outlineLevel="0" collapsed="false">
      <c r="A237" s="44"/>
      <c r="B237" s="44"/>
      <c r="C237" s="44"/>
      <c r="D237" s="44"/>
      <c r="E237" s="44"/>
      <c r="F237" s="44"/>
      <c r="G237" s="44"/>
      <c r="H237" s="44"/>
      <c r="I237" s="44"/>
      <c r="J237" s="44" t="str">
        <f aca="false">IF(AND(MOVIMIENTOS!$A237&lt;&gt;"",COUNTIF(MOVIMIENTOS!$A$5:$A236,MOVIMIENTOS!$A237)=0),COUNT(J$4:J236)+1,"")</f>
        <v/>
      </c>
      <c r="K237" s="47" t="n">
        <f aca="false">MOVIMIENTOS!$A237</f>
        <v>0</v>
      </c>
      <c r="L237" s="44"/>
      <c r="M237" s="44"/>
      <c r="N237" s="44"/>
    </row>
    <row r="238" customFormat="false" ht="15" hidden="false" customHeight="true" outlineLevel="0" collapsed="false">
      <c r="A238" s="44"/>
      <c r="B238" s="44"/>
      <c r="C238" s="44"/>
      <c r="D238" s="44"/>
      <c r="E238" s="44"/>
      <c r="F238" s="44"/>
      <c r="G238" s="44"/>
      <c r="H238" s="44"/>
      <c r="I238" s="44"/>
      <c r="J238" s="44" t="str">
        <f aca="false">IF(AND(MOVIMIENTOS!$A238&lt;&gt;"",COUNTIF(MOVIMIENTOS!$A$5:$A237,MOVIMIENTOS!$A238)=0),COUNT(J$4:J237)+1,"")</f>
        <v/>
      </c>
      <c r="K238" s="47" t="n">
        <f aca="false">MOVIMIENTOS!$A238</f>
        <v>0</v>
      </c>
      <c r="L238" s="44"/>
      <c r="M238" s="44"/>
      <c r="N238" s="44"/>
    </row>
    <row r="239" customFormat="false" ht="15" hidden="false" customHeight="true" outlineLevel="0" collapsed="false">
      <c r="A239" s="44"/>
      <c r="B239" s="44"/>
      <c r="C239" s="44"/>
      <c r="D239" s="44"/>
      <c r="E239" s="44"/>
      <c r="F239" s="44"/>
      <c r="G239" s="44"/>
      <c r="H239" s="44"/>
      <c r="I239" s="44"/>
      <c r="J239" s="44" t="str">
        <f aca="false">IF(AND(MOVIMIENTOS!$A239&lt;&gt;"",COUNTIF(MOVIMIENTOS!$A$5:$A238,MOVIMIENTOS!$A239)=0),COUNT(J$4:J238)+1,"")</f>
        <v/>
      </c>
      <c r="K239" s="47" t="n">
        <f aca="false">MOVIMIENTOS!$A239</f>
        <v>0</v>
      </c>
      <c r="L239" s="44"/>
      <c r="M239" s="44"/>
      <c r="N239" s="44"/>
    </row>
    <row r="240" customFormat="false" ht="15" hidden="false" customHeight="true" outlineLevel="0" collapsed="false">
      <c r="A240" s="44"/>
      <c r="B240" s="44"/>
      <c r="C240" s="44"/>
      <c r="D240" s="44"/>
      <c r="E240" s="44"/>
      <c r="F240" s="44"/>
      <c r="G240" s="44"/>
      <c r="H240" s="44"/>
      <c r="I240" s="44"/>
      <c r="J240" s="44" t="str">
        <f aca="false">IF(AND(MOVIMIENTOS!$A240&lt;&gt;"",COUNTIF(MOVIMIENTOS!$A$5:$A239,MOVIMIENTOS!$A240)=0),COUNT(J$4:J239)+1,"")</f>
        <v/>
      </c>
      <c r="K240" s="47" t="n">
        <f aca="false">MOVIMIENTOS!$A240</f>
        <v>0</v>
      </c>
      <c r="L240" s="44"/>
      <c r="M240" s="44"/>
      <c r="N240" s="44"/>
    </row>
    <row r="241" customFormat="false" ht="15" hidden="false" customHeight="true" outlineLevel="0" collapsed="false">
      <c r="A241" s="44"/>
      <c r="B241" s="44"/>
      <c r="C241" s="44"/>
      <c r="D241" s="44"/>
      <c r="E241" s="44"/>
      <c r="F241" s="44"/>
      <c r="G241" s="44"/>
      <c r="H241" s="44"/>
      <c r="I241" s="44"/>
      <c r="J241" s="44" t="str">
        <f aca="false">IF(AND(MOVIMIENTOS!$A241&lt;&gt;"",COUNTIF(MOVIMIENTOS!$A$5:$A240,MOVIMIENTOS!$A241)=0),COUNT(J$4:J240)+1,"")</f>
        <v/>
      </c>
      <c r="K241" s="47" t="n">
        <f aca="false">MOVIMIENTOS!$A241</f>
        <v>0</v>
      </c>
      <c r="L241" s="44"/>
      <c r="M241" s="44"/>
      <c r="N241" s="44"/>
    </row>
    <row r="242" customFormat="false" ht="15" hidden="false" customHeight="true" outlineLevel="0" collapsed="false">
      <c r="A242" s="44"/>
      <c r="B242" s="44"/>
      <c r="C242" s="44"/>
      <c r="D242" s="44"/>
      <c r="E242" s="44"/>
      <c r="F242" s="44"/>
      <c r="G242" s="44"/>
      <c r="H242" s="44"/>
      <c r="I242" s="44"/>
      <c r="J242" s="44" t="str">
        <f aca="false">IF(AND(MOVIMIENTOS!$A242&lt;&gt;"",COUNTIF(MOVIMIENTOS!$A$5:$A241,MOVIMIENTOS!$A242)=0),COUNT(J$4:J241)+1,"")</f>
        <v/>
      </c>
      <c r="K242" s="47" t="n">
        <f aca="false">MOVIMIENTOS!$A242</f>
        <v>0</v>
      </c>
      <c r="L242" s="44"/>
      <c r="M242" s="44"/>
      <c r="N242" s="44"/>
    </row>
    <row r="243" customFormat="false" ht="15" hidden="false" customHeight="true" outlineLevel="0" collapsed="false">
      <c r="A243" s="44"/>
      <c r="B243" s="44"/>
      <c r="C243" s="44"/>
      <c r="D243" s="44"/>
      <c r="E243" s="44"/>
      <c r="F243" s="44"/>
      <c r="G243" s="44"/>
      <c r="H243" s="44"/>
      <c r="I243" s="44"/>
      <c r="J243" s="44" t="str">
        <f aca="false">IF(AND(MOVIMIENTOS!$A243&lt;&gt;"",COUNTIF(MOVIMIENTOS!$A$5:$A242,MOVIMIENTOS!$A243)=0),COUNT(J$4:J242)+1,"")</f>
        <v/>
      </c>
      <c r="K243" s="47" t="n">
        <f aca="false">MOVIMIENTOS!$A243</f>
        <v>0</v>
      </c>
      <c r="L243" s="44"/>
      <c r="M243" s="44"/>
      <c r="N243" s="44"/>
    </row>
    <row r="244" customFormat="false" ht="15" hidden="false" customHeight="true" outlineLevel="0" collapsed="false">
      <c r="A244" s="44"/>
      <c r="B244" s="44"/>
      <c r="C244" s="44"/>
      <c r="D244" s="44"/>
      <c r="E244" s="44"/>
      <c r="F244" s="44"/>
      <c r="G244" s="44"/>
      <c r="H244" s="44"/>
      <c r="I244" s="44"/>
      <c r="J244" s="44" t="str">
        <f aca="false">IF(AND(MOVIMIENTOS!$A244&lt;&gt;"",COUNTIF(MOVIMIENTOS!$A$5:$A243,MOVIMIENTOS!$A244)=0),COUNT(J$4:J243)+1,"")</f>
        <v/>
      </c>
      <c r="K244" s="47" t="n">
        <f aca="false">MOVIMIENTOS!$A244</f>
        <v>0</v>
      </c>
      <c r="L244" s="44"/>
      <c r="M244" s="44"/>
      <c r="N244" s="44"/>
    </row>
    <row r="245" customFormat="false" ht="15" hidden="false" customHeight="true" outlineLevel="0" collapsed="false">
      <c r="A245" s="44"/>
      <c r="B245" s="44"/>
      <c r="C245" s="44"/>
      <c r="D245" s="44"/>
      <c r="E245" s="44"/>
      <c r="F245" s="44"/>
      <c r="G245" s="44"/>
      <c r="H245" s="44"/>
      <c r="I245" s="44"/>
      <c r="J245" s="44" t="str">
        <f aca="false">IF(AND(MOVIMIENTOS!$A245&lt;&gt;"",COUNTIF(MOVIMIENTOS!$A$5:$A244,MOVIMIENTOS!$A245)=0),COUNT(J$4:J244)+1,"")</f>
        <v/>
      </c>
      <c r="K245" s="47" t="n">
        <f aca="false">MOVIMIENTOS!$A245</f>
        <v>0</v>
      </c>
      <c r="L245" s="44"/>
      <c r="M245" s="44"/>
      <c r="N245" s="44"/>
    </row>
    <row r="246" customFormat="false" ht="15" hidden="false" customHeight="true" outlineLevel="0" collapsed="false">
      <c r="A246" s="44"/>
      <c r="B246" s="44"/>
      <c r="C246" s="44"/>
      <c r="D246" s="44"/>
      <c r="E246" s="44"/>
      <c r="F246" s="44"/>
      <c r="G246" s="44"/>
      <c r="H246" s="44"/>
      <c r="I246" s="44"/>
      <c r="J246" s="44" t="str">
        <f aca="false">IF(AND(MOVIMIENTOS!$A246&lt;&gt;"",COUNTIF(MOVIMIENTOS!$A$5:$A245,MOVIMIENTOS!$A246)=0),COUNT(J$4:J245)+1,"")</f>
        <v/>
      </c>
      <c r="K246" s="47" t="n">
        <f aca="false">MOVIMIENTOS!$A246</f>
        <v>0</v>
      </c>
      <c r="L246" s="44"/>
      <c r="M246" s="44"/>
      <c r="N246" s="44"/>
    </row>
    <row r="247" customFormat="false" ht="15" hidden="false" customHeight="true" outlineLevel="0" collapsed="false">
      <c r="A247" s="44"/>
      <c r="B247" s="44"/>
      <c r="C247" s="44"/>
      <c r="D247" s="44"/>
      <c r="E247" s="44"/>
      <c r="F247" s="44"/>
      <c r="G247" s="44"/>
      <c r="H247" s="44"/>
      <c r="I247" s="44"/>
      <c r="J247" s="44" t="str">
        <f aca="false">IF(AND(MOVIMIENTOS!$A247&lt;&gt;"",COUNTIF(MOVIMIENTOS!$A$5:$A246,MOVIMIENTOS!$A247)=0),COUNT(J$4:J246)+1,"")</f>
        <v/>
      </c>
      <c r="K247" s="47" t="n">
        <f aca="false">MOVIMIENTOS!$A247</f>
        <v>0</v>
      </c>
      <c r="L247" s="44"/>
      <c r="M247" s="44"/>
      <c r="N247" s="44"/>
    </row>
    <row r="248" customFormat="false" ht="15" hidden="false" customHeight="true" outlineLevel="0" collapsed="false">
      <c r="A248" s="44"/>
      <c r="B248" s="44"/>
      <c r="C248" s="44"/>
      <c r="D248" s="44"/>
      <c r="E248" s="44"/>
      <c r="F248" s="44"/>
      <c r="G248" s="44"/>
      <c r="H248" s="44"/>
      <c r="I248" s="44"/>
      <c r="J248" s="44" t="str">
        <f aca="false">IF(AND(MOVIMIENTOS!$A248&lt;&gt;"",COUNTIF(MOVIMIENTOS!$A$5:$A247,MOVIMIENTOS!$A248)=0),COUNT(J$4:J247)+1,"")</f>
        <v/>
      </c>
      <c r="K248" s="47" t="n">
        <f aca="false">MOVIMIENTOS!$A248</f>
        <v>0</v>
      </c>
      <c r="L248" s="44"/>
      <c r="M248" s="44"/>
      <c r="N248" s="44"/>
    </row>
    <row r="249" customFormat="false" ht="15" hidden="false" customHeight="true" outlineLevel="0" collapsed="false">
      <c r="A249" s="44"/>
      <c r="B249" s="44"/>
      <c r="C249" s="44"/>
      <c r="D249" s="44"/>
      <c r="E249" s="44"/>
      <c r="F249" s="44"/>
      <c r="G249" s="44"/>
      <c r="H249" s="44"/>
      <c r="I249" s="44"/>
      <c r="J249" s="44" t="str">
        <f aca="false">IF(AND(MOVIMIENTOS!$A249&lt;&gt;"",COUNTIF(MOVIMIENTOS!$A$5:$A248,MOVIMIENTOS!$A249)=0),COUNT(J$4:J248)+1,"")</f>
        <v/>
      </c>
      <c r="K249" s="47" t="n">
        <f aca="false">MOVIMIENTOS!$A249</f>
        <v>0</v>
      </c>
      <c r="L249" s="44"/>
      <c r="M249" s="44"/>
      <c r="N249" s="44"/>
    </row>
    <row r="250" customFormat="false" ht="15" hidden="false" customHeight="true" outlineLevel="0" collapsed="false">
      <c r="A250" s="44"/>
      <c r="B250" s="44"/>
      <c r="C250" s="44"/>
      <c r="D250" s="44"/>
      <c r="E250" s="44"/>
      <c r="F250" s="44"/>
      <c r="G250" s="44"/>
      <c r="H250" s="44"/>
      <c r="I250" s="44"/>
      <c r="J250" s="44" t="str">
        <f aca="false">IF(AND(MOVIMIENTOS!$A250&lt;&gt;"",COUNTIF(MOVIMIENTOS!$A$5:$A249,MOVIMIENTOS!$A250)=0),COUNT(J$4:J249)+1,"")</f>
        <v/>
      </c>
      <c r="K250" s="47" t="n">
        <f aca="false">MOVIMIENTOS!$A250</f>
        <v>0</v>
      </c>
      <c r="L250" s="44"/>
      <c r="M250" s="44"/>
      <c r="N250" s="44"/>
    </row>
    <row r="251" customFormat="false" ht="15" hidden="false" customHeight="true" outlineLevel="0" collapsed="false">
      <c r="A251" s="44"/>
      <c r="B251" s="44"/>
      <c r="C251" s="44"/>
      <c r="D251" s="44"/>
      <c r="E251" s="44"/>
      <c r="F251" s="44"/>
      <c r="G251" s="44"/>
      <c r="H251" s="44"/>
      <c r="I251" s="44"/>
      <c r="J251" s="44" t="str">
        <f aca="false">IF(AND(MOVIMIENTOS!$A251&lt;&gt;"",COUNTIF(MOVIMIENTOS!$A$5:$A250,MOVIMIENTOS!$A251)=0),COUNT(J$4:J250)+1,"")</f>
        <v/>
      </c>
      <c r="K251" s="47" t="n">
        <f aca="false">MOVIMIENTOS!$A251</f>
        <v>0</v>
      </c>
      <c r="L251" s="44"/>
      <c r="M251" s="44"/>
      <c r="N251" s="44"/>
    </row>
    <row r="252" customFormat="false" ht="15" hidden="false" customHeight="true" outlineLevel="0" collapsed="false">
      <c r="A252" s="44"/>
      <c r="B252" s="44"/>
      <c r="C252" s="44"/>
      <c r="D252" s="44"/>
      <c r="E252" s="44"/>
      <c r="F252" s="44"/>
      <c r="G252" s="44"/>
      <c r="H252" s="44"/>
      <c r="I252" s="44"/>
      <c r="J252" s="44" t="str">
        <f aca="false">IF(AND(MOVIMIENTOS!$A252&lt;&gt;"",COUNTIF(MOVIMIENTOS!$A$5:$A251,MOVIMIENTOS!$A252)=0),COUNT(J$4:J251)+1,"")</f>
        <v/>
      </c>
      <c r="K252" s="47" t="n">
        <f aca="false">MOVIMIENTOS!$A252</f>
        <v>0</v>
      </c>
      <c r="L252" s="44"/>
      <c r="M252" s="44"/>
      <c r="N252" s="44"/>
    </row>
    <row r="253" customFormat="false" ht="15" hidden="false" customHeight="true" outlineLevel="0" collapsed="false">
      <c r="A253" s="44"/>
      <c r="B253" s="44"/>
      <c r="C253" s="44"/>
      <c r="D253" s="44"/>
      <c r="E253" s="44"/>
      <c r="F253" s="44"/>
      <c r="G253" s="44"/>
      <c r="H253" s="44"/>
      <c r="I253" s="44"/>
      <c r="J253" s="44" t="str">
        <f aca="false">IF(AND(MOVIMIENTOS!$A253&lt;&gt;"",COUNTIF(MOVIMIENTOS!$A$5:$A252,MOVIMIENTOS!$A253)=0),COUNT(J$4:J252)+1,"")</f>
        <v/>
      </c>
      <c r="K253" s="47" t="n">
        <f aca="false">MOVIMIENTOS!$A253</f>
        <v>0</v>
      </c>
      <c r="L253" s="44"/>
      <c r="M253" s="44"/>
      <c r="N253" s="44"/>
    </row>
    <row r="254" customFormat="false" ht="15" hidden="false" customHeight="true" outlineLevel="0" collapsed="false">
      <c r="A254" s="44"/>
      <c r="B254" s="44"/>
      <c r="C254" s="44"/>
      <c r="D254" s="44"/>
      <c r="E254" s="44"/>
      <c r="F254" s="44"/>
      <c r="G254" s="44"/>
      <c r="H254" s="44"/>
      <c r="I254" s="44"/>
      <c r="J254" s="44" t="str">
        <f aca="false">IF(AND(MOVIMIENTOS!$A254&lt;&gt;"",COUNTIF(MOVIMIENTOS!$A$5:$A253,MOVIMIENTOS!$A254)=0),COUNT(J$4:J253)+1,"")</f>
        <v/>
      </c>
      <c r="K254" s="47" t="n">
        <f aca="false">MOVIMIENTOS!$A254</f>
        <v>0</v>
      </c>
      <c r="L254" s="44"/>
      <c r="M254" s="44"/>
      <c r="N254" s="44"/>
    </row>
    <row r="255" customFormat="false" ht="15" hidden="false" customHeight="true" outlineLevel="0" collapsed="false">
      <c r="A255" s="44"/>
      <c r="B255" s="44"/>
      <c r="C255" s="44"/>
      <c r="D255" s="44"/>
      <c r="E255" s="44"/>
      <c r="F255" s="44"/>
      <c r="G255" s="44"/>
      <c r="H255" s="44"/>
      <c r="I255" s="44"/>
      <c r="J255" s="44" t="str">
        <f aca="false">IF(AND(MOVIMIENTOS!$A255&lt;&gt;"",COUNTIF(MOVIMIENTOS!$A$5:$A254,MOVIMIENTOS!$A255)=0),COUNT(J$4:J254)+1,"")</f>
        <v/>
      </c>
      <c r="K255" s="47" t="n">
        <f aca="false">MOVIMIENTOS!$A255</f>
        <v>0</v>
      </c>
      <c r="L255" s="44"/>
      <c r="M255" s="44"/>
      <c r="N255" s="44"/>
    </row>
    <row r="256" customFormat="false" ht="15" hidden="false" customHeight="true" outlineLevel="0" collapsed="false">
      <c r="A256" s="44"/>
      <c r="B256" s="44"/>
      <c r="C256" s="44"/>
      <c r="D256" s="44"/>
      <c r="E256" s="44"/>
      <c r="F256" s="44"/>
      <c r="G256" s="44"/>
      <c r="H256" s="44"/>
      <c r="I256" s="44"/>
      <c r="J256" s="44" t="str">
        <f aca="false">IF(AND(MOVIMIENTOS!$A256&lt;&gt;"",COUNTIF(MOVIMIENTOS!$A$5:$A255,MOVIMIENTOS!$A256)=0),COUNT(J$4:J255)+1,"")</f>
        <v/>
      </c>
      <c r="K256" s="47" t="n">
        <f aca="false">MOVIMIENTOS!$A256</f>
        <v>0</v>
      </c>
      <c r="L256" s="44"/>
      <c r="M256" s="44"/>
      <c r="N256" s="44"/>
    </row>
    <row r="257" customFormat="false" ht="15" hidden="false" customHeight="true" outlineLevel="0" collapsed="false">
      <c r="A257" s="44"/>
      <c r="B257" s="44"/>
      <c r="C257" s="44"/>
      <c r="D257" s="44"/>
      <c r="E257" s="44"/>
      <c r="F257" s="44"/>
      <c r="G257" s="44"/>
      <c r="H257" s="44"/>
      <c r="I257" s="44"/>
      <c r="J257" s="44" t="str">
        <f aca="false">IF(AND(MOVIMIENTOS!$A257&lt;&gt;"",COUNTIF(MOVIMIENTOS!$A$5:$A256,MOVIMIENTOS!$A257)=0),COUNT(J$4:J256)+1,"")</f>
        <v/>
      </c>
      <c r="K257" s="47" t="n">
        <f aca="false">MOVIMIENTOS!$A257</f>
        <v>0</v>
      </c>
      <c r="L257" s="44"/>
      <c r="M257" s="44"/>
      <c r="N257" s="44"/>
    </row>
    <row r="258" customFormat="false" ht="15" hidden="false" customHeight="true" outlineLevel="0" collapsed="false">
      <c r="A258" s="44"/>
      <c r="B258" s="44"/>
      <c r="C258" s="44"/>
      <c r="D258" s="44"/>
      <c r="E258" s="44"/>
      <c r="F258" s="44"/>
      <c r="G258" s="44"/>
      <c r="H258" s="44"/>
      <c r="I258" s="44"/>
      <c r="J258" s="44" t="str">
        <f aca="false">IF(AND(MOVIMIENTOS!$A258&lt;&gt;"",COUNTIF(MOVIMIENTOS!$A$5:$A257,MOVIMIENTOS!$A258)=0),COUNT(J$4:J257)+1,"")</f>
        <v/>
      </c>
      <c r="K258" s="47" t="n">
        <f aca="false">MOVIMIENTOS!$A258</f>
        <v>0</v>
      </c>
      <c r="L258" s="44"/>
      <c r="M258" s="44"/>
      <c r="N258" s="44"/>
    </row>
    <row r="259" customFormat="false" ht="15" hidden="false" customHeight="true" outlineLevel="0" collapsed="false">
      <c r="A259" s="44"/>
      <c r="B259" s="44"/>
      <c r="C259" s="44"/>
      <c r="D259" s="44"/>
      <c r="E259" s="44"/>
      <c r="F259" s="44"/>
      <c r="G259" s="44"/>
      <c r="H259" s="44"/>
      <c r="I259" s="44"/>
      <c r="J259" s="44" t="str">
        <f aca="false">IF(AND(MOVIMIENTOS!$A259&lt;&gt;"",COUNTIF(MOVIMIENTOS!$A$5:$A258,MOVIMIENTOS!$A259)=0),COUNT(J$4:J258)+1,"")</f>
        <v/>
      </c>
      <c r="K259" s="47" t="n">
        <f aca="false">MOVIMIENTOS!$A259</f>
        <v>0</v>
      </c>
      <c r="L259" s="44"/>
      <c r="M259" s="44"/>
      <c r="N259" s="44"/>
    </row>
    <row r="260" customFormat="false" ht="15" hidden="false" customHeight="true" outlineLevel="0" collapsed="false">
      <c r="A260" s="44"/>
      <c r="B260" s="44"/>
      <c r="C260" s="44"/>
      <c r="D260" s="44"/>
      <c r="E260" s="44"/>
      <c r="F260" s="44"/>
      <c r="G260" s="44"/>
      <c r="H260" s="44"/>
      <c r="I260" s="44"/>
      <c r="J260" s="44" t="str">
        <f aca="false">IF(AND(MOVIMIENTOS!$A260&lt;&gt;"",COUNTIF(MOVIMIENTOS!$A$5:$A259,MOVIMIENTOS!$A260)=0),COUNT(J$4:J259)+1,"")</f>
        <v/>
      </c>
      <c r="K260" s="47" t="n">
        <f aca="false">MOVIMIENTOS!$A260</f>
        <v>0</v>
      </c>
      <c r="L260" s="44"/>
      <c r="M260" s="44"/>
      <c r="N260" s="44"/>
    </row>
    <row r="261" customFormat="false" ht="15" hidden="false" customHeight="true" outlineLevel="0" collapsed="false">
      <c r="A261" s="44"/>
      <c r="B261" s="44"/>
      <c r="C261" s="44"/>
      <c r="D261" s="44"/>
      <c r="E261" s="44"/>
      <c r="F261" s="44"/>
      <c r="G261" s="44"/>
      <c r="H261" s="44"/>
      <c r="I261" s="44"/>
      <c r="J261" s="44" t="str">
        <f aca="false">IF(AND(MOVIMIENTOS!$A261&lt;&gt;"",COUNTIF(MOVIMIENTOS!$A$5:$A260,MOVIMIENTOS!$A261)=0),COUNT(J$4:J260)+1,"")</f>
        <v/>
      </c>
      <c r="K261" s="47" t="n">
        <f aca="false">MOVIMIENTOS!$A261</f>
        <v>0</v>
      </c>
      <c r="L261" s="44"/>
      <c r="M261" s="44"/>
      <c r="N261" s="44"/>
    </row>
    <row r="262" customFormat="false" ht="15" hidden="false" customHeight="true" outlineLevel="0" collapsed="false">
      <c r="A262" s="44"/>
      <c r="B262" s="44"/>
      <c r="C262" s="44"/>
      <c r="D262" s="44"/>
      <c r="E262" s="44"/>
      <c r="F262" s="44"/>
      <c r="G262" s="44"/>
      <c r="H262" s="44"/>
      <c r="I262" s="44"/>
      <c r="J262" s="44" t="str">
        <f aca="false">IF(AND(MOVIMIENTOS!$A262&lt;&gt;"",COUNTIF(MOVIMIENTOS!$A$5:$A261,MOVIMIENTOS!$A262)=0),COUNT(J$4:J261)+1,"")</f>
        <v/>
      </c>
      <c r="K262" s="47" t="n">
        <f aca="false">MOVIMIENTOS!$A262</f>
        <v>0</v>
      </c>
      <c r="L262" s="44"/>
      <c r="M262" s="44"/>
      <c r="N262" s="44"/>
    </row>
    <row r="263" customFormat="false" ht="15" hidden="false" customHeight="true" outlineLevel="0" collapsed="false">
      <c r="A263" s="44"/>
      <c r="B263" s="44"/>
      <c r="C263" s="44"/>
      <c r="D263" s="44"/>
      <c r="E263" s="44"/>
      <c r="F263" s="44"/>
      <c r="G263" s="44"/>
      <c r="H263" s="44"/>
      <c r="I263" s="44"/>
      <c r="J263" s="44" t="str">
        <f aca="false">IF(AND(MOVIMIENTOS!$A263&lt;&gt;"",COUNTIF(MOVIMIENTOS!$A$5:$A262,MOVIMIENTOS!$A263)=0),COUNT(J$4:J262)+1,"")</f>
        <v/>
      </c>
      <c r="K263" s="47" t="n">
        <f aca="false">MOVIMIENTOS!$A263</f>
        <v>0</v>
      </c>
      <c r="L263" s="44"/>
      <c r="M263" s="44"/>
      <c r="N263" s="44"/>
    </row>
    <row r="264" customFormat="false" ht="15" hidden="false" customHeight="true" outlineLevel="0" collapsed="false">
      <c r="A264" s="44"/>
      <c r="B264" s="44"/>
      <c r="C264" s="44"/>
      <c r="D264" s="44"/>
      <c r="E264" s="44"/>
      <c r="F264" s="44"/>
      <c r="G264" s="44"/>
      <c r="H264" s="44"/>
      <c r="I264" s="44"/>
      <c r="J264" s="44" t="str">
        <f aca="false">IF(AND(MOVIMIENTOS!$A264&lt;&gt;"",COUNTIF(MOVIMIENTOS!$A$5:$A263,MOVIMIENTOS!$A264)=0),COUNT(J$4:J263)+1,"")</f>
        <v/>
      </c>
      <c r="K264" s="47" t="n">
        <f aca="false">MOVIMIENTOS!$A264</f>
        <v>0</v>
      </c>
      <c r="L264" s="44"/>
      <c r="M264" s="44"/>
      <c r="N264" s="44"/>
    </row>
    <row r="265" customFormat="false" ht="15" hidden="false" customHeight="true" outlineLevel="0" collapsed="false">
      <c r="A265" s="44"/>
      <c r="B265" s="44"/>
      <c r="C265" s="44"/>
      <c r="D265" s="44"/>
      <c r="E265" s="44"/>
      <c r="F265" s="44"/>
      <c r="G265" s="44"/>
      <c r="H265" s="44"/>
      <c r="I265" s="44"/>
      <c r="J265" s="44" t="str">
        <f aca="false">IF(AND(MOVIMIENTOS!$A265&lt;&gt;"",COUNTIF(MOVIMIENTOS!$A$5:$A264,MOVIMIENTOS!$A265)=0),COUNT(J$4:J264)+1,"")</f>
        <v/>
      </c>
      <c r="K265" s="47" t="n">
        <f aca="false">MOVIMIENTOS!$A265</f>
        <v>0</v>
      </c>
      <c r="L265" s="44"/>
      <c r="M265" s="44"/>
      <c r="N265" s="44"/>
    </row>
    <row r="266" customFormat="false" ht="15" hidden="false" customHeight="true" outlineLevel="0" collapsed="false">
      <c r="A266" s="44"/>
      <c r="B266" s="44"/>
      <c r="C266" s="44"/>
      <c r="D266" s="44"/>
      <c r="E266" s="44"/>
      <c r="F266" s="44"/>
      <c r="G266" s="44"/>
      <c r="H266" s="44"/>
      <c r="I266" s="44"/>
      <c r="J266" s="44" t="str">
        <f aca="false">IF(AND(MOVIMIENTOS!$A266&lt;&gt;"",COUNTIF(MOVIMIENTOS!$A$5:$A265,MOVIMIENTOS!$A266)=0),COUNT(J$4:J265)+1,"")</f>
        <v/>
      </c>
      <c r="K266" s="47" t="n">
        <f aca="false">MOVIMIENTOS!$A266</f>
        <v>0</v>
      </c>
      <c r="L266" s="44"/>
      <c r="M266" s="44"/>
      <c r="N266" s="44"/>
    </row>
    <row r="267" customFormat="false" ht="15" hidden="false" customHeight="true" outlineLevel="0" collapsed="false">
      <c r="A267" s="44"/>
      <c r="B267" s="44"/>
      <c r="C267" s="44"/>
      <c r="D267" s="44"/>
      <c r="E267" s="44"/>
      <c r="F267" s="44"/>
      <c r="G267" s="44"/>
      <c r="H267" s="44"/>
      <c r="I267" s="44"/>
      <c r="J267" s="44" t="str">
        <f aca="false">IF(AND(MOVIMIENTOS!$A267&lt;&gt;"",COUNTIF(MOVIMIENTOS!$A$5:$A266,MOVIMIENTOS!$A267)=0),COUNT(J$4:J266)+1,"")</f>
        <v/>
      </c>
      <c r="K267" s="47" t="n">
        <f aca="false">MOVIMIENTOS!$A267</f>
        <v>0</v>
      </c>
      <c r="L267" s="44"/>
      <c r="M267" s="44"/>
      <c r="N267" s="44"/>
    </row>
    <row r="268" customFormat="false" ht="15" hidden="false" customHeight="true" outlineLevel="0" collapsed="false">
      <c r="A268" s="44"/>
      <c r="B268" s="44"/>
      <c r="C268" s="44"/>
      <c r="D268" s="44"/>
      <c r="E268" s="44"/>
      <c r="F268" s="44"/>
      <c r="G268" s="44"/>
      <c r="H268" s="44"/>
      <c r="I268" s="44"/>
      <c r="J268" s="44" t="str">
        <f aca="false">IF(AND(MOVIMIENTOS!$A268&lt;&gt;"",COUNTIF(MOVIMIENTOS!$A$5:$A267,MOVIMIENTOS!$A268)=0),COUNT(J$4:J267)+1,"")</f>
        <v/>
      </c>
      <c r="K268" s="47" t="n">
        <f aca="false">MOVIMIENTOS!$A268</f>
        <v>0</v>
      </c>
      <c r="L268" s="44"/>
      <c r="M268" s="44"/>
      <c r="N268" s="44"/>
    </row>
    <row r="269" customFormat="false" ht="15" hidden="false" customHeight="true" outlineLevel="0" collapsed="false">
      <c r="A269" s="44"/>
      <c r="B269" s="44"/>
      <c r="C269" s="44"/>
      <c r="D269" s="44"/>
      <c r="E269" s="44"/>
      <c r="F269" s="44"/>
      <c r="G269" s="44"/>
      <c r="H269" s="44"/>
      <c r="I269" s="44"/>
      <c r="J269" s="44" t="str">
        <f aca="false">IF(AND(MOVIMIENTOS!$A269&lt;&gt;"",COUNTIF(MOVIMIENTOS!$A$5:$A268,MOVIMIENTOS!$A269)=0),COUNT(J$4:J268)+1,"")</f>
        <v/>
      </c>
      <c r="K269" s="47" t="n">
        <f aca="false">MOVIMIENTOS!$A269</f>
        <v>0</v>
      </c>
      <c r="L269" s="44"/>
      <c r="M269" s="44"/>
      <c r="N269" s="44"/>
    </row>
    <row r="270" customFormat="false" ht="15" hidden="false" customHeight="true" outlineLevel="0" collapsed="false">
      <c r="A270" s="44"/>
      <c r="B270" s="44"/>
      <c r="C270" s="44"/>
      <c r="D270" s="44"/>
      <c r="E270" s="44"/>
      <c r="F270" s="44"/>
      <c r="G270" s="44"/>
      <c r="H270" s="44"/>
      <c r="I270" s="44"/>
      <c r="J270" s="44" t="str">
        <f aca="false">IF(AND(MOVIMIENTOS!$A270&lt;&gt;"",COUNTIF(MOVIMIENTOS!$A$5:$A269,MOVIMIENTOS!$A270)=0),COUNT(J$4:J269)+1,"")</f>
        <v/>
      </c>
      <c r="K270" s="47" t="n">
        <f aca="false">MOVIMIENTOS!$A270</f>
        <v>0</v>
      </c>
      <c r="L270" s="44"/>
      <c r="M270" s="44"/>
      <c r="N270" s="44"/>
    </row>
    <row r="271" customFormat="false" ht="15" hidden="false" customHeight="true" outlineLevel="0" collapsed="false">
      <c r="A271" s="44"/>
      <c r="B271" s="44"/>
      <c r="C271" s="44"/>
      <c r="D271" s="44"/>
      <c r="E271" s="44"/>
      <c r="F271" s="44"/>
      <c r="G271" s="44"/>
      <c r="H271" s="44"/>
      <c r="I271" s="44"/>
      <c r="J271" s="44" t="str">
        <f aca="false">IF(AND(MOVIMIENTOS!$A271&lt;&gt;"",COUNTIF(MOVIMIENTOS!$A$5:$A270,MOVIMIENTOS!$A271)=0),COUNT(J$4:J270)+1,"")</f>
        <v/>
      </c>
      <c r="K271" s="47" t="n">
        <f aca="false">MOVIMIENTOS!$A271</f>
        <v>0</v>
      </c>
      <c r="L271" s="44"/>
      <c r="M271" s="44"/>
      <c r="N271" s="44"/>
    </row>
    <row r="272" customFormat="false" ht="15" hidden="false" customHeight="true" outlineLevel="0" collapsed="false">
      <c r="A272" s="44"/>
      <c r="B272" s="44"/>
      <c r="C272" s="44"/>
      <c r="D272" s="44"/>
      <c r="E272" s="44"/>
      <c r="F272" s="44"/>
      <c r="G272" s="44"/>
      <c r="H272" s="44"/>
      <c r="I272" s="44"/>
      <c r="J272" s="44" t="str">
        <f aca="false">IF(AND(MOVIMIENTOS!$A272&lt;&gt;"",COUNTIF(MOVIMIENTOS!$A$5:$A271,MOVIMIENTOS!$A272)=0),COUNT(J$4:J271)+1,"")</f>
        <v/>
      </c>
      <c r="K272" s="47" t="n">
        <f aca="false">MOVIMIENTOS!$A272</f>
        <v>0</v>
      </c>
      <c r="L272" s="44"/>
      <c r="M272" s="44"/>
      <c r="N272" s="44"/>
    </row>
    <row r="273" customFormat="false" ht="15" hidden="false" customHeight="true" outlineLevel="0" collapsed="false">
      <c r="A273" s="44"/>
      <c r="B273" s="44"/>
      <c r="C273" s="44"/>
      <c r="D273" s="44"/>
      <c r="E273" s="44"/>
      <c r="F273" s="44"/>
      <c r="G273" s="44"/>
      <c r="H273" s="44"/>
      <c r="I273" s="44"/>
      <c r="J273" s="44" t="str">
        <f aca="false">IF(AND(MOVIMIENTOS!$A273&lt;&gt;"",COUNTIF(MOVIMIENTOS!$A$5:$A272,MOVIMIENTOS!$A273)=0),COUNT(J$4:J272)+1,"")</f>
        <v/>
      </c>
      <c r="K273" s="47" t="n">
        <f aca="false">MOVIMIENTOS!$A273</f>
        <v>0</v>
      </c>
      <c r="L273" s="44"/>
      <c r="M273" s="44"/>
      <c r="N273" s="44"/>
    </row>
    <row r="274" customFormat="false" ht="15" hidden="false" customHeight="true" outlineLevel="0" collapsed="false">
      <c r="A274" s="44"/>
      <c r="B274" s="44"/>
      <c r="C274" s="44"/>
      <c r="D274" s="44"/>
      <c r="E274" s="44"/>
      <c r="F274" s="44"/>
      <c r="G274" s="44"/>
      <c r="H274" s="44"/>
      <c r="I274" s="44"/>
      <c r="J274" s="44" t="str">
        <f aca="false">IF(AND(MOVIMIENTOS!$A274&lt;&gt;"",COUNTIF(MOVIMIENTOS!$A$5:$A273,MOVIMIENTOS!$A274)=0),COUNT(J$4:J273)+1,"")</f>
        <v/>
      </c>
      <c r="K274" s="47" t="n">
        <f aca="false">MOVIMIENTOS!$A274</f>
        <v>0</v>
      </c>
      <c r="L274" s="44"/>
      <c r="M274" s="44"/>
      <c r="N274" s="44"/>
    </row>
    <row r="275" customFormat="false" ht="15" hidden="false" customHeight="true" outlineLevel="0" collapsed="false">
      <c r="A275" s="44"/>
      <c r="B275" s="44"/>
      <c r="C275" s="44"/>
      <c r="D275" s="44"/>
      <c r="E275" s="44"/>
      <c r="F275" s="44"/>
      <c r="G275" s="44"/>
      <c r="H275" s="44"/>
      <c r="I275" s="44"/>
      <c r="J275" s="44" t="str">
        <f aca="false">IF(AND(MOVIMIENTOS!$A275&lt;&gt;"",COUNTIF(MOVIMIENTOS!$A$5:$A274,MOVIMIENTOS!$A275)=0),COUNT(J$4:J274)+1,"")</f>
        <v/>
      </c>
      <c r="K275" s="47" t="n">
        <f aca="false">MOVIMIENTOS!$A275</f>
        <v>0</v>
      </c>
      <c r="L275" s="44"/>
      <c r="M275" s="44"/>
      <c r="N275" s="44"/>
    </row>
    <row r="276" customFormat="false" ht="15" hidden="false" customHeight="true" outlineLevel="0" collapsed="false">
      <c r="A276" s="44"/>
      <c r="B276" s="44"/>
      <c r="C276" s="44"/>
      <c r="D276" s="44"/>
      <c r="E276" s="44"/>
      <c r="F276" s="44"/>
      <c r="G276" s="44"/>
      <c r="H276" s="44"/>
      <c r="I276" s="44"/>
      <c r="J276" s="44" t="str">
        <f aca="false">IF(AND(MOVIMIENTOS!$A276&lt;&gt;"",COUNTIF(MOVIMIENTOS!$A$5:$A275,MOVIMIENTOS!$A276)=0),COUNT(J$4:J275)+1,"")</f>
        <v/>
      </c>
      <c r="K276" s="47" t="n">
        <f aca="false">MOVIMIENTOS!$A276</f>
        <v>0</v>
      </c>
      <c r="L276" s="44"/>
      <c r="M276" s="44"/>
      <c r="N276" s="44"/>
    </row>
    <row r="277" customFormat="false" ht="15" hidden="false" customHeight="true" outlineLevel="0" collapsed="false">
      <c r="A277" s="44"/>
      <c r="B277" s="44"/>
      <c r="C277" s="44"/>
      <c r="D277" s="44"/>
      <c r="E277" s="44"/>
      <c r="F277" s="44"/>
      <c r="G277" s="44"/>
      <c r="H277" s="44"/>
      <c r="I277" s="44"/>
      <c r="J277" s="44" t="str">
        <f aca="false">IF(AND(MOVIMIENTOS!$A277&lt;&gt;"",COUNTIF(MOVIMIENTOS!$A$5:$A276,MOVIMIENTOS!$A277)=0),COUNT(J$4:J276)+1,"")</f>
        <v/>
      </c>
      <c r="K277" s="47" t="n">
        <f aca="false">MOVIMIENTOS!$A277</f>
        <v>0</v>
      </c>
      <c r="L277" s="44"/>
      <c r="M277" s="44"/>
      <c r="N277" s="44"/>
    </row>
    <row r="278" customFormat="false" ht="15" hidden="false" customHeight="true" outlineLevel="0" collapsed="false">
      <c r="A278" s="44"/>
      <c r="B278" s="44"/>
      <c r="C278" s="44"/>
      <c r="D278" s="44"/>
      <c r="E278" s="44"/>
      <c r="F278" s="44"/>
      <c r="G278" s="44"/>
      <c r="H278" s="44"/>
      <c r="I278" s="44"/>
      <c r="J278" s="44" t="str">
        <f aca="false">IF(AND(MOVIMIENTOS!$A278&lt;&gt;"",COUNTIF(MOVIMIENTOS!$A$5:$A277,MOVIMIENTOS!$A278)=0),COUNT(J$4:J277)+1,"")</f>
        <v/>
      </c>
      <c r="K278" s="47" t="n">
        <f aca="false">MOVIMIENTOS!$A278</f>
        <v>0</v>
      </c>
      <c r="L278" s="44"/>
      <c r="M278" s="44"/>
      <c r="N278" s="44"/>
    </row>
    <row r="279" customFormat="false" ht="15" hidden="false" customHeight="true" outlineLevel="0" collapsed="false">
      <c r="A279" s="44"/>
      <c r="B279" s="44"/>
      <c r="C279" s="44"/>
      <c r="D279" s="44"/>
      <c r="E279" s="44"/>
      <c r="F279" s="44"/>
      <c r="G279" s="44"/>
      <c r="H279" s="44"/>
      <c r="I279" s="44"/>
      <c r="J279" s="44" t="str">
        <f aca="false">IF(AND(MOVIMIENTOS!$A279&lt;&gt;"",COUNTIF(MOVIMIENTOS!$A$5:$A278,MOVIMIENTOS!$A279)=0),COUNT(J$4:J278)+1,"")</f>
        <v/>
      </c>
      <c r="K279" s="47" t="n">
        <f aca="false">MOVIMIENTOS!$A279</f>
        <v>0</v>
      </c>
      <c r="L279" s="44"/>
      <c r="M279" s="44"/>
      <c r="N279" s="44"/>
    </row>
    <row r="280" customFormat="false" ht="15" hidden="false" customHeight="true" outlineLevel="0" collapsed="false">
      <c r="A280" s="44"/>
      <c r="B280" s="44"/>
      <c r="C280" s="44"/>
      <c r="D280" s="44"/>
      <c r="E280" s="44"/>
      <c r="F280" s="44"/>
      <c r="G280" s="44"/>
      <c r="H280" s="44"/>
      <c r="I280" s="44"/>
      <c r="J280" s="44" t="str">
        <f aca="false">IF(AND(MOVIMIENTOS!$A280&lt;&gt;"",COUNTIF(MOVIMIENTOS!$A$5:$A279,MOVIMIENTOS!$A280)=0),COUNT(J$4:J279)+1,"")</f>
        <v/>
      </c>
      <c r="K280" s="47" t="n">
        <f aca="false">MOVIMIENTOS!$A280</f>
        <v>0</v>
      </c>
      <c r="L280" s="44"/>
      <c r="M280" s="44"/>
      <c r="N280" s="44"/>
    </row>
    <row r="281" customFormat="false" ht="15" hidden="false" customHeight="true" outlineLevel="0" collapsed="false">
      <c r="A281" s="44"/>
      <c r="B281" s="44"/>
      <c r="C281" s="44"/>
      <c r="D281" s="44"/>
      <c r="E281" s="44"/>
      <c r="F281" s="44"/>
      <c r="G281" s="44"/>
      <c r="H281" s="44"/>
      <c r="I281" s="44"/>
      <c r="J281" s="44" t="str">
        <f aca="false">IF(AND(MOVIMIENTOS!$A281&lt;&gt;"",COUNTIF(MOVIMIENTOS!$A$5:$A280,MOVIMIENTOS!$A281)=0),COUNT(J$4:J280)+1,"")</f>
        <v/>
      </c>
      <c r="K281" s="47" t="n">
        <f aca="false">MOVIMIENTOS!$A281</f>
        <v>0</v>
      </c>
      <c r="L281" s="44"/>
      <c r="M281" s="44"/>
      <c r="N281" s="44"/>
    </row>
    <row r="282" customFormat="false" ht="15" hidden="false" customHeight="true" outlineLevel="0" collapsed="false">
      <c r="A282" s="44"/>
      <c r="B282" s="44"/>
      <c r="C282" s="44"/>
      <c r="D282" s="44"/>
      <c r="E282" s="44"/>
      <c r="F282" s="44"/>
      <c r="G282" s="44"/>
      <c r="H282" s="44"/>
      <c r="I282" s="44"/>
      <c r="J282" s="44" t="str">
        <f aca="false">IF(AND(MOVIMIENTOS!$A282&lt;&gt;"",COUNTIF(MOVIMIENTOS!$A$5:$A281,MOVIMIENTOS!$A282)=0),COUNT(J$4:J281)+1,"")</f>
        <v/>
      </c>
      <c r="K282" s="47" t="n">
        <f aca="false">MOVIMIENTOS!$A282</f>
        <v>0</v>
      </c>
      <c r="L282" s="44"/>
      <c r="M282" s="44"/>
      <c r="N282" s="44"/>
    </row>
    <row r="283" customFormat="false" ht="15" hidden="false" customHeight="true" outlineLevel="0" collapsed="false">
      <c r="A283" s="44"/>
      <c r="B283" s="44"/>
      <c r="C283" s="44"/>
      <c r="D283" s="44"/>
      <c r="E283" s="44"/>
      <c r="F283" s="44"/>
      <c r="G283" s="44"/>
      <c r="H283" s="44"/>
      <c r="I283" s="44"/>
      <c r="J283" s="44" t="str">
        <f aca="false">IF(AND(MOVIMIENTOS!$A283&lt;&gt;"",COUNTIF(MOVIMIENTOS!$A$5:$A282,MOVIMIENTOS!$A283)=0),COUNT(J$4:J282)+1,"")</f>
        <v/>
      </c>
      <c r="K283" s="47" t="n">
        <f aca="false">MOVIMIENTOS!$A283</f>
        <v>0</v>
      </c>
      <c r="L283" s="44"/>
      <c r="M283" s="44"/>
      <c r="N283" s="44"/>
    </row>
    <row r="284" customFormat="false" ht="15" hidden="false" customHeight="true" outlineLevel="0" collapsed="false">
      <c r="A284" s="44"/>
      <c r="B284" s="44"/>
      <c r="C284" s="44"/>
      <c r="D284" s="44"/>
      <c r="E284" s="44"/>
      <c r="F284" s="44"/>
      <c r="G284" s="44"/>
      <c r="H284" s="44"/>
      <c r="I284" s="44"/>
      <c r="J284" s="44" t="str">
        <f aca="false">IF(AND(MOVIMIENTOS!$A284&lt;&gt;"",COUNTIF(MOVIMIENTOS!$A$5:$A283,MOVIMIENTOS!$A284)=0),COUNT(J$4:J283)+1,"")</f>
        <v/>
      </c>
      <c r="K284" s="47" t="n">
        <f aca="false">MOVIMIENTOS!$A284</f>
        <v>0</v>
      </c>
      <c r="L284" s="44"/>
      <c r="M284" s="44"/>
      <c r="N284" s="44"/>
    </row>
    <row r="285" customFormat="false" ht="15" hidden="false" customHeight="true" outlineLevel="0" collapsed="false">
      <c r="A285" s="44"/>
      <c r="B285" s="44"/>
      <c r="C285" s="44"/>
      <c r="D285" s="44"/>
      <c r="E285" s="44"/>
      <c r="F285" s="44"/>
      <c r="G285" s="44"/>
      <c r="H285" s="44"/>
      <c r="I285" s="44"/>
      <c r="J285" s="44" t="str">
        <f aca="false">IF(AND(MOVIMIENTOS!$A285&lt;&gt;"",COUNTIF(MOVIMIENTOS!$A$5:$A284,MOVIMIENTOS!$A285)=0),COUNT(J$4:J284)+1,"")</f>
        <v/>
      </c>
      <c r="K285" s="47" t="n">
        <f aca="false">MOVIMIENTOS!$A285</f>
        <v>0</v>
      </c>
      <c r="L285" s="44"/>
      <c r="M285" s="44"/>
      <c r="N285" s="44"/>
    </row>
    <row r="286" customFormat="false" ht="15" hidden="false" customHeight="true" outlineLevel="0" collapsed="false">
      <c r="A286" s="44"/>
      <c r="B286" s="44"/>
      <c r="C286" s="44"/>
      <c r="D286" s="44"/>
      <c r="E286" s="44"/>
      <c r="F286" s="44"/>
      <c r="G286" s="44"/>
      <c r="H286" s="44"/>
      <c r="I286" s="44"/>
      <c r="J286" s="44" t="str">
        <f aca="false">IF(AND(MOVIMIENTOS!$A286&lt;&gt;"",COUNTIF(MOVIMIENTOS!$A$5:$A285,MOVIMIENTOS!$A286)=0),COUNT(J$4:J285)+1,"")</f>
        <v/>
      </c>
      <c r="K286" s="47" t="n">
        <f aca="false">MOVIMIENTOS!$A286</f>
        <v>0</v>
      </c>
      <c r="L286" s="44"/>
      <c r="M286" s="44"/>
      <c r="N286" s="44"/>
    </row>
    <row r="287" customFormat="false" ht="15" hidden="false" customHeight="true" outlineLevel="0" collapsed="false">
      <c r="A287" s="44"/>
      <c r="B287" s="44"/>
      <c r="C287" s="44"/>
      <c r="D287" s="44"/>
      <c r="E287" s="44"/>
      <c r="F287" s="44"/>
      <c r="G287" s="44"/>
      <c r="H287" s="44"/>
      <c r="I287" s="44"/>
      <c r="J287" s="44" t="str">
        <f aca="false">IF(AND(MOVIMIENTOS!$A287&lt;&gt;"",COUNTIF(MOVIMIENTOS!$A$5:$A286,MOVIMIENTOS!$A287)=0),COUNT(J$4:J286)+1,"")</f>
        <v/>
      </c>
      <c r="K287" s="47" t="n">
        <f aca="false">MOVIMIENTOS!$A287</f>
        <v>0</v>
      </c>
      <c r="L287" s="44"/>
      <c r="M287" s="44"/>
      <c r="N287" s="44"/>
    </row>
    <row r="288" customFormat="false" ht="15" hidden="false" customHeight="true" outlineLevel="0" collapsed="false">
      <c r="A288" s="44"/>
      <c r="B288" s="44"/>
      <c r="C288" s="44"/>
      <c r="D288" s="44"/>
      <c r="E288" s="44"/>
      <c r="F288" s="44"/>
      <c r="G288" s="44"/>
      <c r="H288" s="44"/>
      <c r="I288" s="44"/>
      <c r="J288" s="44" t="str">
        <f aca="false">IF(AND(MOVIMIENTOS!$A288&lt;&gt;"",COUNTIF(MOVIMIENTOS!$A$5:$A287,MOVIMIENTOS!$A288)=0),COUNT(J$4:J287)+1,"")</f>
        <v/>
      </c>
      <c r="K288" s="47" t="n">
        <f aca="false">MOVIMIENTOS!$A288</f>
        <v>0</v>
      </c>
      <c r="L288" s="44"/>
      <c r="M288" s="44"/>
      <c r="N288" s="44"/>
    </row>
    <row r="289" customFormat="false" ht="15" hidden="false" customHeight="true" outlineLevel="0" collapsed="false">
      <c r="A289" s="44"/>
      <c r="B289" s="44"/>
      <c r="C289" s="44"/>
      <c r="D289" s="44"/>
      <c r="E289" s="44"/>
      <c r="F289" s="44"/>
      <c r="G289" s="44"/>
      <c r="H289" s="44"/>
      <c r="I289" s="44"/>
      <c r="J289" s="44" t="str">
        <f aca="false">IF(AND(MOVIMIENTOS!$A289&lt;&gt;"",COUNTIF(MOVIMIENTOS!$A$5:$A288,MOVIMIENTOS!$A289)=0),COUNT(J$4:J288)+1,"")</f>
        <v/>
      </c>
      <c r="K289" s="47" t="n">
        <f aca="false">MOVIMIENTOS!$A289</f>
        <v>0</v>
      </c>
      <c r="L289" s="44"/>
      <c r="M289" s="44"/>
      <c r="N289" s="44"/>
    </row>
    <row r="290" customFormat="false" ht="15" hidden="false" customHeight="true" outlineLevel="0" collapsed="false">
      <c r="A290" s="44"/>
      <c r="B290" s="44"/>
      <c r="C290" s="44"/>
      <c r="D290" s="44"/>
      <c r="E290" s="44"/>
      <c r="F290" s="44"/>
      <c r="G290" s="44"/>
      <c r="H290" s="44"/>
      <c r="I290" s="44"/>
      <c r="J290" s="44" t="str">
        <f aca="false">IF(AND(MOVIMIENTOS!$A290&lt;&gt;"",COUNTIF(MOVIMIENTOS!$A$5:$A289,MOVIMIENTOS!$A290)=0),COUNT(J$4:J289)+1,"")</f>
        <v/>
      </c>
      <c r="K290" s="47" t="n">
        <f aca="false">MOVIMIENTOS!$A290</f>
        <v>0</v>
      </c>
      <c r="L290" s="44"/>
      <c r="M290" s="44"/>
      <c r="N290" s="44"/>
    </row>
    <row r="291" customFormat="false" ht="15" hidden="false" customHeight="true" outlineLevel="0" collapsed="false">
      <c r="A291" s="44"/>
      <c r="B291" s="44"/>
      <c r="C291" s="44"/>
      <c r="D291" s="44"/>
      <c r="E291" s="44"/>
      <c r="F291" s="44"/>
      <c r="G291" s="44"/>
      <c r="H291" s="44"/>
      <c r="I291" s="44"/>
      <c r="J291" s="44" t="str">
        <f aca="false">IF(AND(MOVIMIENTOS!$A291&lt;&gt;"",COUNTIF(MOVIMIENTOS!$A$5:$A290,MOVIMIENTOS!$A291)=0),COUNT(J$4:J290)+1,"")</f>
        <v/>
      </c>
      <c r="K291" s="47" t="n">
        <f aca="false">MOVIMIENTOS!$A291</f>
        <v>0</v>
      </c>
      <c r="L291" s="44"/>
      <c r="M291" s="44"/>
      <c r="N291" s="44"/>
    </row>
    <row r="292" customFormat="false" ht="15" hidden="false" customHeight="true" outlineLevel="0" collapsed="false">
      <c r="A292" s="44"/>
      <c r="B292" s="44"/>
      <c r="C292" s="44"/>
      <c r="D292" s="44"/>
      <c r="E292" s="44"/>
      <c r="F292" s="44"/>
      <c r="G292" s="44"/>
      <c r="H292" s="44"/>
      <c r="I292" s="44"/>
      <c r="J292" s="44" t="str">
        <f aca="false">IF(AND(MOVIMIENTOS!$A292&lt;&gt;"",COUNTIF(MOVIMIENTOS!$A$5:$A291,MOVIMIENTOS!$A292)=0),COUNT(J$4:J291)+1,"")</f>
        <v/>
      </c>
      <c r="K292" s="47" t="n">
        <f aca="false">MOVIMIENTOS!$A292</f>
        <v>0</v>
      </c>
      <c r="L292" s="44"/>
      <c r="M292" s="44"/>
      <c r="N292" s="44"/>
    </row>
    <row r="293" customFormat="false" ht="15" hidden="false" customHeight="true" outlineLevel="0" collapsed="false">
      <c r="A293" s="44"/>
      <c r="B293" s="44"/>
      <c r="C293" s="44"/>
      <c r="D293" s="44"/>
      <c r="E293" s="44"/>
      <c r="F293" s="44"/>
      <c r="G293" s="44"/>
      <c r="H293" s="44"/>
      <c r="I293" s="44"/>
      <c r="J293" s="44" t="str">
        <f aca="false">IF(AND(MOVIMIENTOS!$A293&lt;&gt;"",COUNTIF(MOVIMIENTOS!$A$5:$A292,MOVIMIENTOS!$A293)=0),COUNT(J$4:J292)+1,"")</f>
        <v/>
      </c>
      <c r="K293" s="47" t="n">
        <f aca="false">MOVIMIENTOS!$A293</f>
        <v>0</v>
      </c>
      <c r="L293" s="44"/>
      <c r="M293" s="44"/>
      <c r="N293" s="44"/>
    </row>
    <row r="294" customFormat="false" ht="15" hidden="false" customHeight="true" outlineLevel="0" collapsed="false">
      <c r="A294" s="44"/>
      <c r="B294" s="44"/>
      <c r="C294" s="44"/>
      <c r="D294" s="44"/>
      <c r="E294" s="44"/>
      <c r="F294" s="44"/>
      <c r="G294" s="44"/>
      <c r="H294" s="44"/>
      <c r="I294" s="44"/>
      <c r="J294" s="44" t="str">
        <f aca="false">IF(AND(MOVIMIENTOS!$A294&lt;&gt;"",COUNTIF(MOVIMIENTOS!$A$5:$A293,MOVIMIENTOS!$A294)=0),COUNT(J$4:J293)+1,"")</f>
        <v/>
      </c>
      <c r="K294" s="47" t="n">
        <f aca="false">MOVIMIENTOS!$A294</f>
        <v>0</v>
      </c>
      <c r="L294" s="44"/>
      <c r="M294" s="44"/>
      <c r="N294" s="44"/>
    </row>
    <row r="295" customFormat="false" ht="15" hidden="false" customHeight="true" outlineLevel="0" collapsed="false">
      <c r="A295" s="44"/>
      <c r="B295" s="44"/>
      <c r="C295" s="44"/>
      <c r="D295" s="44"/>
      <c r="E295" s="44"/>
      <c r="F295" s="44"/>
      <c r="G295" s="44"/>
      <c r="H295" s="44"/>
      <c r="I295" s="44"/>
      <c r="J295" s="44" t="str">
        <f aca="false">IF(AND(MOVIMIENTOS!$A295&lt;&gt;"",COUNTIF(MOVIMIENTOS!$A$5:$A294,MOVIMIENTOS!$A295)=0),COUNT(J$4:J294)+1,"")</f>
        <v/>
      </c>
      <c r="K295" s="47" t="n">
        <f aca="false">MOVIMIENTOS!$A295</f>
        <v>0</v>
      </c>
      <c r="L295" s="44"/>
      <c r="M295" s="44"/>
      <c r="N295" s="44"/>
    </row>
    <row r="296" customFormat="false" ht="15" hidden="false" customHeight="true" outlineLevel="0" collapsed="false">
      <c r="A296" s="44"/>
      <c r="B296" s="44"/>
      <c r="C296" s="44"/>
      <c r="D296" s="44"/>
      <c r="E296" s="44"/>
      <c r="F296" s="44"/>
      <c r="G296" s="44"/>
      <c r="H296" s="44"/>
      <c r="I296" s="44"/>
      <c r="J296" s="44" t="str">
        <f aca="false">IF(AND(MOVIMIENTOS!$A296&lt;&gt;"",COUNTIF(MOVIMIENTOS!$A$5:$A295,MOVIMIENTOS!$A296)=0),COUNT(J$4:J295)+1,"")</f>
        <v/>
      </c>
      <c r="K296" s="47" t="n">
        <f aca="false">MOVIMIENTOS!$A296</f>
        <v>0</v>
      </c>
      <c r="L296" s="44"/>
      <c r="M296" s="44"/>
      <c r="N296" s="44"/>
    </row>
    <row r="297" customFormat="false" ht="15" hidden="false" customHeight="true" outlineLevel="0" collapsed="false">
      <c r="A297" s="44"/>
      <c r="B297" s="44"/>
      <c r="C297" s="44"/>
      <c r="D297" s="44"/>
      <c r="E297" s="44"/>
      <c r="F297" s="44"/>
      <c r="G297" s="44"/>
      <c r="H297" s="44"/>
      <c r="I297" s="44"/>
      <c r="J297" s="44" t="str">
        <f aca="false">IF(AND(MOVIMIENTOS!$A297&lt;&gt;"",COUNTIF(MOVIMIENTOS!$A$5:$A296,MOVIMIENTOS!$A297)=0),COUNT(J$4:J296)+1,"")</f>
        <v/>
      </c>
      <c r="K297" s="47" t="n">
        <f aca="false">MOVIMIENTOS!$A297</f>
        <v>0</v>
      </c>
      <c r="L297" s="44"/>
      <c r="M297" s="44"/>
      <c r="N297" s="44"/>
    </row>
    <row r="298" customFormat="false" ht="15" hidden="false" customHeight="true" outlineLevel="0" collapsed="false">
      <c r="A298" s="44"/>
      <c r="B298" s="44"/>
      <c r="C298" s="44"/>
      <c r="D298" s="44"/>
      <c r="E298" s="44"/>
      <c r="F298" s="44"/>
      <c r="G298" s="44"/>
      <c r="H298" s="44"/>
      <c r="I298" s="44"/>
      <c r="J298" s="44" t="str">
        <f aca="false">IF(AND(MOVIMIENTOS!$A298&lt;&gt;"",COUNTIF(MOVIMIENTOS!$A$5:$A297,MOVIMIENTOS!$A298)=0),COUNT(J$4:J297)+1,"")</f>
        <v/>
      </c>
      <c r="K298" s="47" t="n">
        <f aca="false">MOVIMIENTOS!$A298</f>
        <v>0</v>
      </c>
      <c r="L298" s="44"/>
      <c r="M298" s="44"/>
      <c r="N298" s="44"/>
    </row>
    <row r="299" customFormat="false" ht="15" hidden="false" customHeight="true" outlineLevel="0" collapsed="false">
      <c r="A299" s="44"/>
      <c r="B299" s="44"/>
      <c r="C299" s="44"/>
      <c r="D299" s="44"/>
      <c r="E299" s="44"/>
      <c r="F299" s="44"/>
      <c r="G299" s="44"/>
      <c r="H299" s="44"/>
      <c r="I299" s="44"/>
      <c r="J299" s="44" t="str">
        <f aca="false">IF(AND(MOVIMIENTOS!$A299&lt;&gt;"",COUNTIF(MOVIMIENTOS!$A$5:$A298,MOVIMIENTOS!$A299)=0),COUNT(J$4:J298)+1,"")</f>
        <v/>
      </c>
      <c r="K299" s="47" t="n">
        <f aca="false">MOVIMIENTOS!$A299</f>
        <v>0</v>
      </c>
      <c r="L299" s="44"/>
      <c r="M299" s="44"/>
      <c r="N299" s="44"/>
    </row>
    <row r="300" customFormat="false" ht="15" hidden="false" customHeight="true" outlineLevel="0" collapsed="false">
      <c r="A300" s="44"/>
      <c r="B300" s="44"/>
      <c r="C300" s="44"/>
      <c r="D300" s="44"/>
      <c r="E300" s="44"/>
      <c r="F300" s="44"/>
      <c r="G300" s="44"/>
      <c r="H300" s="44"/>
      <c r="I300" s="44"/>
      <c r="J300" s="44" t="str">
        <f aca="false">IF(AND(MOVIMIENTOS!$A300&lt;&gt;"",COUNTIF(MOVIMIENTOS!$A$5:$A299,MOVIMIENTOS!$A300)=0),COUNT(J$4:J299)+1,"")</f>
        <v/>
      </c>
      <c r="K300" s="47" t="n">
        <f aca="false">MOVIMIENTOS!$A300</f>
        <v>0</v>
      </c>
      <c r="L300" s="44"/>
      <c r="M300" s="44"/>
      <c r="N300" s="44"/>
    </row>
    <row r="301" customFormat="false" ht="15" hidden="false" customHeight="true" outlineLevel="0" collapsed="false">
      <c r="A301" s="44"/>
      <c r="B301" s="44"/>
      <c r="C301" s="44"/>
      <c r="D301" s="44"/>
      <c r="E301" s="44"/>
      <c r="F301" s="44"/>
      <c r="G301" s="44"/>
      <c r="H301" s="44"/>
      <c r="I301" s="44"/>
      <c r="J301" s="44" t="str">
        <f aca="false">IF(AND(MOVIMIENTOS!$A301&lt;&gt;"",COUNTIF(MOVIMIENTOS!$A$5:$A300,MOVIMIENTOS!$A301)=0),COUNT(J$4:J300)+1,"")</f>
        <v/>
      </c>
      <c r="K301" s="47" t="n">
        <f aca="false">MOVIMIENTOS!$A301</f>
        <v>0</v>
      </c>
      <c r="L301" s="44"/>
      <c r="M301" s="44"/>
      <c r="N301" s="44"/>
    </row>
    <row r="302" customFormat="false" ht="15" hidden="false" customHeight="true" outlineLevel="0" collapsed="false">
      <c r="A302" s="44"/>
      <c r="B302" s="44"/>
      <c r="C302" s="44"/>
      <c r="D302" s="44"/>
      <c r="E302" s="44"/>
      <c r="F302" s="44"/>
      <c r="G302" s="44"/>
      <c r="H302" s="44"/>
      <c r="I302" s="44"/>
      <c r="J302" s="44" t="str">
        <f aca="false">IF(AND(MOVIMIENTOS!$A302&lt;&gt;"",COUNTIF(MOVIMIENTOS!$A$5:$A301,MOVIMIENTOS!$A302)=0),COUNT(J$4:J301)+1,"")</f>
        <v/>
      </c>
      <c r="K302" s="47" t="n">
        <f aca="false">MOVIMIENTOS!$A302</f>
        <v>0</v>
      </c>
      <c r="L302" s="44"/>
      <c r="M302" s="44"/>
      <c r="N302" s="44"/>
    </row>
    <row r="303" customFormat="false" ht="15" hidden="false" customHeight="true" outlineLevel="0" collapsed="false">
      <c r="A303" s="44"/>
      <c r="B303" s="44"/>
      <c r="C303" s="44"/>
      <c r="D303" s="44"/>
      <c r="E303" s="44"/>
      <c r="F303" s="44"/>
      <c r="G303" s="44"/>
      <c r="H303" s="44"/>
      <c r="I303" s="44"/>
      <c r="J303" s="44" t="str">
        <f aca="false">IF(AND(MOVIMIENTOS!$A303&lt;&gt;"",COUNTIF(MOVIMIENTOS!$A$5:$A302,MOVIMIENTOS!$A303)=0),COUNT(J$4:J302)+1,"")</f>
        <v/>
      </c>
      <c r="K303" s="47" t="n">
        <f aca="false">MOVIMIENTOS!$A303</f>
        <v>0</v>
      </c>
      <c r="L303" s="44"/>
      <c r="M303" s="44"/>
      <c r="N303" s="44"/>
    </row>
    <row r="304" customFormat="false" ht="15" hidden="false" customHeight="true" outlineLevel="0" collapsed="false">
      <c r="A304" s="44"/>
      <c r="B304" s="44"/>
      <c r="C304" s="44"/>
      <c r="D304" s="44"/>
      <c r="E304" s="44"/>
      <c r="F304" s="44"/>
      <c r="G304" s="44"/>
      <c r="H304" s="44"/>
      <c r="I304" s="44"/>
      <c r="J304" s="44" t="str">
        <f aca="false">IF(AND(MOVIMIENTOS!$A304&lt;&gt;"",COUNTIF(MOVIMIENTOS!$A$5:$A303,MOVIMIENTOS!$A304)=0),COUNT(J$4:J303)+1,"")</f>
        <v/>
      </c>
      <c r="K304" s="47" t="n">
        <f aca="false">MOVIMIENTOS!$A304</f>
        <v>0</v>
      </c>
      <c r="L304" s="44"/>
      <c r="M304" s="44"/>
      <c r="N304" s="44"/>
    </row>
    <row r="305" customFormat="false" ht="15" hidden="false" customHeight="true" outlineLevel="0" collapsed="false">
      <c r="A305" s="44"/>
      <c r="B305" s="44"/>
      <c r="C305" s="44"/>
      <c r="D305" s="44"/>
      <c r="E305" s="44"/>
      <c r="F305" s="44"/>
      <c r="G305" s="44"/>
      <c r="H305" s="44"/>
      <c r="I305" s="44"/>
      <c r="J305" s="44" t="str">
        <f aca="false">IF(AND(MOVIMIENTOS!$A305&lt;&gt;"",COUNTIF(MOVIMIENTOS!$A$5:$A304,MOVIMIENTOS!$A305)=0),COUNT(J$4:J304)+1,"")</f>
        <v/>
      </c>
      <c r="K305" s="47" t="n">
        <f aca="false">MOVIMIENTOS!$A305</f>
        <v>0</v>
      </c>
      <c r="L305" s="44"/>
      <c r="M305" s="44"/>
      <c r="N305" s="44"/>
    </row>
    <row r="306" customFormat="false" ht="15" hidden="false" customHeight="true" outlineLevel="0" collapsed="false">
      <c r="A306" s="44"/>
      <c r="B306" s="44"/>
      <c r="C306" s="44"/>
      <c r="D306" s="44"/>
      <c r="E306" s="44"/>
      <c r="F306" s="44"/>
      <c r="G306" s="44"/>
      <c r="H306" s="44"/>
      <c r="I306" s="44"/>
      <c r="J306" s="44" t="str">
        <f aca="false">IF(AND(MOVIMIENTOS!$A306&lt;&gt;"",COUNTIF(MOVIMIENTOS!$A$5:$A305,MOVIMIENTOS!$A306)=0),COUNT(J$4:J305)+1,"")</f>
        <v/>
      </c>
      <c r="K306" s="47" t="n">
        <f aca="false">MOVIMIENTOS!$A306</f>
        <v>0</v>
      </c>
      <c r="L306" s="44"/>
      <c r="M306" s="44"/>
      <c r="N306" s="44"/>
    </row>
    <row r="307" customFormat="false" ht="15" hidden="false" customHeight="true" outlineLevel="0" collapsed="false">
      <c r="A307" s="44"/>
      <c r="B307" s="44"/>
      <c r="C307" s="44"/>
      <c r="D307" s="44"/>
      <c r="E307" s="44"/>
      <c r="F307" s="44"/>
      <c r="G307" s="44"/>
      <c r="H307" s="44"/>
      <c r="I307" s="44"/>
      <c r="J307" s="44" t="str">
        <f aca="false">IF(AND(MOVIMIENTOS!$A307&lt;&gt;"",COUNTIF(MOVIMIENTOS!$A$5:$A306,MOVIMIENTOS!$A307)=0),COUNT(J$4:J306)+1,"")</f>
        <v/>
      </c>
      <c r="K307" s="47" t="n">
        <f aca="false">MOVIMIENTOS!$A307</f>
        <v>0</v>
      </c>
      <c r="L307" s="44"/>
      <c r="M307" s="44"/>
      <c r="N307" s="44"/>
    </row>
    <row r="308" customFormat="false" ht="15" hidden="false" customHeight="true" outlineLevel="0" collapsed="false">
      <c r="A308" s="44"/>
      <c r="B308" s="44"/>
      <c r="C308" s="44"/>
      <c r="D308" s="44"/>
      <c r="E308" s="44"/>
      <c r="F308" s="44"/>
      <c r="G308" s="44"/>
      <c r="H308" s="44"/>
      <c r="I308" s="44"/>
      <c r="J308" s="44" t="str">
        <f aca="false">IF(AND(MOVIMIENTOS!$A308&lt;&gt;"",COUNTIF(MOVIMIENTOS!$A$5:$A307,MOVIMIENTOS!$A308)=0),COUNT(J$4:J307)+1,"")</f>
        <v/>
      </c>
      <c r="K308" s="47" t="n">
        <f aca="false">MOVIMIENTOS!$A308</f>
        <v>0</v>
      </c>
      <c r="L308" s="44"/>
      <c r="M308" s="44"/>
      <c r="N308" s="44"/>
    </row>
    <row r="309" customFormat="false" ht="15" hidden="false" customHeight="true" outlineLevel="0" collapsed="false">
      <c r="A309" s="44"/>
      <c r="B309" s="44"/>
      <c r="C309" s="44"/>
      <c r="D309" s="44"/>
      <c r="E309" s="44"/>
      <c r="F309" s="44"/>
      <c r="G309" s="44"/>
      <c r="H309" s="44"/>
      <c r="I309" s="44"/>
      <c r="J309" s="44" t="str">
        <f aca="false">IF(AND(MOVIMIENTOS!$A309&lt;&gt;"",COUNTIF(MOVIMIENTOS!$A$5:$A308,MOVIMIENTOS!$A309)=0),COUNT(J$4:J308)+1,"")</f>
        <v/>
      </c>
      <c r="K309" s="47" t="n">
        <f aca="false">MOVIMIENTOS!$A309</f>
        <v>0</v>
      </c>
      <c r="L309" s="44"/>
      <c r="M309" s="44"/>
      <c r="N309" s="44"/>
    </row>
    <row r="310" customFormat="false" ht="15" hidden="false" customHeight="true" outlineLevel="0" collapsed="false">
      <c r="A310" s="44"/>
      <c r="B310" s="44"/>
      <c r="C310" s="44"/>
      <c r="D310" s="44"/>
      <c r="E310" s="44"/>
      <c r="F310" s="44"/>
      <c r="G310" s="44"/>
      <c r="H310" s="44"/>
      <c r="I310" s="44"/>
      <c r="J310" s="44" t="str">
        <f aca="false">IF(AND(MOVIMIENTOS!$A310&lt;&gt;"",COUNTIF(MOVIMIENTOS!$A$5:$A309,MOVIMIENTOS!$A310)=0),COUNT(J$4:J309)+1,"")</f>
        <v/>
      </c>
      <c r="K310" s="47" t="n">
        <f aca="false">MOVIMIENTOS!$A310</f>
        <v>0</v>
      </c>
      <c r="L310" s="44"/>
      <c r="M310" s="44"/>
      <c r="N310" s="44"/>
    </row>
    <row r="311" customFormat="false" ht="15" hidden="false" customHeight="true" outlineLevel="0" collapsed="false">
      <c r="A311" s="44"/>
      <c r="B311" s="44"/>
      <c r="C311" s="44"/>
      <c r="D311" s="44"/>
      <c r="E311" s="44"/>
      <c r="F311" s="44"/>
      <c r="G311" s="44"/>
      <c r="H311" s="44"/>
      <c r="I311" s="44"/>
      <c r="J311" s="44" t="str">
        <f aca="false">IF(AND(MOVIMIENTOS!$A311&lt;&gt;"",COUNTIF(MOVIMIENTOS!$A$5:$A310,MOVIMIENTOS!$A311)=0),COUNT(J$4:J310)+1,"")</f>
        <v/>
      </c>
      <c r="K311" s="47" t="n">
        <f aca="false">MOVIMIENTOS!$A311</f>
        <v>0</v>
      </c>
      <c r="L311" s="44"/>
      <c r="M311" s="44"/>
      <c r="N311" s="44"/>
    </row>
    <row r="312" customFormat="false" ht="15" hidden="false" customHeight="true" outlineLevel="0" collapsed="false">
      <c r="A312" s="44"/>
      <c r="B312" s="44"/>
      <c r="C312" s="44"/>
      <c r="D312" s="44"/>
      <c r="E312" s="44"/>
      <c r="F312" s="44"/>
      <c r="G312" s="44"/>
      <c r="H312" s="44"/>
      <c r="I312" s="44"/>
      <c r="J312" s="44" t="str">
        <f aca="false">IF(AND(MOVIMIENTOS!$A312&lt;&gt;"",COUNTIF(MOVIMIENTOS!$A$5:$A311,MOVIMIENTOS!$A312)=0),COUNT(J$4:J311)+1,"")</f>
        <v/>
      </c>
      <c r="K312" s="47" t="n">
        <f aca="false">MOVIMIENTOS!$A312</f>
        <v>0</v>
      </c>
      <c r="L312" s="44"/>
      <c r="M312" s="44"/>
      <c r="N312" s="44"/>
    </row>
    <row r="313" customFormat="false" ht="15" hidden="false" customHeight="true" outlineLevel="0" collapsed="false">
      <c r="A313" s="44"/>
      <c r="B313" s="44"/>
      <c r="C313" s="44"/>
      <c r="D313" s="44"/>
      <c r="E313" s="44"/>
      <c r="F313" s="44"/>
      <c r="G313" s="44"/>
      <c r="H313" s="44"/>
      <c r="I313" s="44"/>
      <c r="J313" s="44" t="str">
        <f aca="false">IF(AND(MOVIMIENTOS!$A313&lt;&gt;"",COUNTIF(MOVIMIENTOS!$A$5:$A312,MOVIMIENTOS!$A313)=0),COUNT(J$4:J312)+1,"")</f>
        <v/>
      </c>
      <c r="K313" s="47" t="n">
        <f aca="false">MOVIMIENTOS!$A313</f>
        <v>0</v>
      </c>
      <c r="L313" s="44"/>
      <c r="M313" s="44"/>
      <c r="N313" s="44"/>
    </row>
    <row r="314" customFormat="false" ht="15" hidden="false" customHeight="true" outlineLevel="0" collapsed="false">
      <c r="A314" s="44"/>
      <c r="B314" s="44"/>
      <c r="C314" s="44"/>
      <c r="D314" s="44"/>
      <c r="E314" s="44"/>
      <c r="F314" s="44"/>
      <c r="G314" s="44"/>
      <c r="H314" s="44"/>
      <c r="I314" s="44"/>
      <c r="J314" s="44" t="str">
        <f aca="false">IF(AND(MOVIMIENTOS!$A314&lt;&gt;"",COUNTIF(MOVIMIENTOS!$A$5:$A313,MOVIMIENTOS!$A314)=0),COUNT(J$4:J313)+1,"")</f>
        <v/>
      </c>
      <c r="K314" s="47" t="n">
        <f aca="false">MOVIMIENTOS!$A314</f>
        <v>0</v>
      </c>
      <c r="L314" s="44"/>
      <c r="M314" s="44"/>
      <c r="N314" s="44"/>
    </row>
    <row r="315" customFormat="false" ht="15" hidden="false" customHeight="true" outlineLevel="0" collapsed="false">
      <c r="A315" s="44"/>
      <c r="B315" s="44"/>
      <c r="C315" s="44"/>
      <c r="D315" s="44"/>
      <c r="E315" s="44"/>
      <c r="F315" s="44"/>
      <c r="G315" s="44"/>
      <c r="H315" s="44"/>
      <c r="I315" s="44"/>
      <c r="J315" s="44" t="str">
        <f aca="false">IF(AND(MOVIMIENTOS!$A315&lt;&gt;"",COUNTIF(MOVIMIENTOS!$A$5:$A314,MOVIMIENTOS!$A315)=0),COUNT(J$4:J314)+1,"")</f>
        <v/>
      </c>
      <c r="K315" s="47" t="n">
        <f aca="false">MOVIMIENTOS!$A315</f>
        <v>0</v>
      </c>
      <c r="L315" s="44"/>
      <c r="M315" s="44"/>
      <c r="N315" s="44"/>
    </row>
    <row r="316" customFormat="false" ht="15" hidden="false" customHeight="true" outlineLevel="0" collapsed="false">
      <c r="A316" s="44"/>
      <c r="B316" s="44"/>
      <c r="C316" s="44"/>
      <c r="D316" s="44"/>
      <c r="E316" s="44"/>
      <c r="F316" s="44"/>
      <c r="G316" s="44"/>
      <c r="H316" s="44"/>
      <c r="I316" s="44"/>
      <c r="J316" s="44" t="str">
        <f aca="false">IF(AND(MOVIMIENTOS!$A316&lt;&gt;"",COUNTIF(MOVIMIENTOS!$A$5:$A315,MOVIMIENTOS!$A316)=0),COUNT(J$4:J315)+1,"")</f>
        <v/>
      </c>
      <c r="K316" s="47" t="n">
        <f aca="false">MOVIMIENTOS!$A316</f>
        <v>0</v>
      </c>
      <c r="L316" s="44"/>
      <c r="M316" s="44"/>
      <c r="N316" s="44"/>
    </row>
    <row r="317" customFormat="false" ht="15" hidden="false" customHeight="true" outlineLevel="0" collapsed="false">
      <c r="A317" s="44"/>
      <c r="B317" s="44"/>
      <c r="C317" s="44"/>
      <c r="D317" s="44"/>
      <c r="E317" s="44"/>
      <c r="F317" s="44"/>
      <c r="G317" s="44"/>
      <c r="H317" s="44"/>
      <c r="I317" s="44"/>
      <c r="J317" s="44" t="str">
        <f aca="false">IF(AND(MOVIMIENTOS!$A317&lt;&gt;"",COUNTIF(MOVIMIENTOS!$A$5:$A316,MOVIMIENTOS!$A317)=0),COUNT(J$4:J316)+1,"")</f>
        <v/>
      </c>
      <c r="K317" s="47" t="n">
        <f aca="false">MOVIMIENTOS!$A317</f>
        <v>0</v>
      </c>
      <c r="L317" s="44"/>
      <c r="M317" s="44"/>
      <c r="N317" s="44"/>
    </row>
    <row r="318" customFormat="false" ht="15" hidden="false" customHeight="true" outlineLevel="0" collapsed="false">
      <c r="A318" s="44"/>
      <c r="B318" s="44"/>
      <c r="C318" s="44"/>
      <c r="D318" s="44"/>
      <c r="E318" s="44"/>
      <c r="F318" s="44"/>
      <c r="G318" s="44"/>
      <c r="H318" s="44"/>
      <c r="I318" s="44"/>
      <c r="J318" s="44" t="str">
        <f aca="false">IF(AND(MOVIMIENTOS!$A318&lt;&gt;"",COUNTIF(MOVIMIENTOS!$A$5:$A317,MOVIMIENTOS!$A318)=0),COUNT(J$4:J317)+1,"")</f>
        <v/>
      </c>
      <c r="K318" s="47" t="n">
        <f aca="false">MOVIMIENTOS!$A318</f>
        <v>0</v>
      </c>
      <c r="L318" s="44"/>
      <c r="M318" s="44"/>
      <c r="N318" s="44"/>
    </row>
    <row r="319" customFormat="false" ht="15" hidden="false" customHeight="true" outlineLevel="0" collapsed="false">
      <c r="A319" s="44"/>
      <c r="B319" s="44"/>
      <c r="C319" s="44"/>
      <c r="D319" s="44"/>
      <c r="E319" s="44"/>
      <c r="F319" s="44"/>
      <c r="G319" s="44"/>
      <c r="H319" s="44"/>
      <c r="I319" s="44"/>
      <c r="J319" s="44" t="str">
        <f aca="false">IF(AND(MOVIMIENTOS!$A319&lt;&gt;"",COUNTIF(MOVIMIENTOS!$A$5:$A318,MOVIMIENTOS!$A319)=0),COUNT(J$4:J318)+1,"")</f>
        <v/>
      </c>
      <c r="K319" s="47" t="n">
        <f aca="false">MOVIMIENTOS!$A319</f>
        <v>0</v>
      </c>
      <c r="L319" s="44"/>
      <c r="M319" s="44"/>
      <c r="N319" s="44"/>
    </row>
    <row r="320" customFormat="false" ht="15" hidden="false" customHeight="true" outlineLevel="0" collapsed="false">
      <c r="A320" s="44"/>
      <c r="B320" s="44"/>
      <c r="C320" s="44"/>
      <c r="D320" s="44"/>
      <c r="E320" s="44"/>
      <c r="F320" s="44"/>
      <c r="G320" s="44"/>
      <c r="H320" s="44"/>
      <c r="I320" s="44"/>
      <c r="J320" s="44" t="str">
        <f aca="false">IF(AND(MOVIMIENTOS!$A320&lt;&gt;"",COUNTIF(MOVIMIENTOS!$A$5:$A319,MOVIMIENTOS!$A320)=0),COUNT(J$4:J319)+1,"")</f>
        <v/>
      </c>
      <c r="K320" s="47" t="n">
        <f aca="false">MOVIMIENTOS!$A320</f>
        <v>0</v>
      </c>
      <c r="L320" s="44"/>
      <c r="M320" s="44"/>
      <c r="N320" s="44"/>
    </row>
    <row r="321" customFormat="false" ht="15" hidden="false" customHeight="true" outlineLevel="0" collapsed="false">
      <c r="A321" s="44"/>
      <c r="B321" s="44"/>
      <c r="C321" s="44"/>
      <c r="D321" s="44"/>
      <c r="E321" s="44"/>
      <c r="F321" s="44"/>
      <c r="G321" s="44"/>
      <c r="H321" s="44"/>
      <c r="I321" s="44"/>
      <c r="J321" s="44" t="str">
        <f aca="false">IF(AND(MOVIMIENTOS!$A321&lt;&gt;"",COUNTIF(MOVIMIENTOS!$A$5:$A320,MOVIMIENTOS!$A321)=0),COUNT(J$4:J320)+1,"")</f>
        <v/>
      </c>
      <c r="K321" s="47" t="n">
        <f aca="false">MOVIMIENTOS!$A321</f>
        <v>0</v>
      </c>
      <c r="L321" s="44"/>
      <c r="M321" s="44"/>
      <c r="N321" s="44"/>
    </row>
    <row r="322" customFormat="false" ht="15" hidden="false" customHeight="true" outlineLevel="0" collapsed="false">
      <c r="A322" s="44"/>
      <c r="B322" s="44"/>
      <c r="C322" s="44"/>
      <c r="D322" s="44"/>
      <c r="E322" s="44"/>
      <c r="F322" s="44"/>
      <c r="G322" s="44"/>
      <c r="H322" s="44"/>
      <c r="I322" s="44"/>
      <c r="J322" s="44" t="str">
        <f aca="false">IF(AND(MOVIMIENTOS!$A322&lt;&gt;"",COUNTIF(MOVIMIENTOS!$A$5:$A321,MOVIMIENTOS!$A322)=0),COUNT(J$4:J321)+1,"")</f>
        <v/>
      </c>
      <c r="K322" s="47" t="n">
        <f aca="false">MOVIMIENTOS!$A322</f>
        <v>0</v>
      </c>
      <c r="L322" s="44"/>
      <c r="M322" s="44"/>
      <c r="N322" s="44"/>
    </row>
    <row r="323" customFormat="false" ht="15" hidden="false" customHeight="true" outlineLevel="0" collapsed="false">
      <c r="A323" s="44"/>
      <c r="B323" s="44"/>
      <c r="C323" s="44"/>
      <c r="D323" s="44"/>
      <c r="E323" s="44"/>
      <c r="F323" s="44"/>
      <c r="G323" s="44"/>
      <c r="H323" s="44"/>
      <c r="I323" s="44"/>
      <c r="J323" s="44" t="str">
        <f aca="false">IF(AND(MOVIMIENTOS!$A323&lt;&gt;"",COUNTIF(MOVIMIENTOS!$A$5:$A322,MOVIMIENTOS!$A323)=0),COUNT(J$4:J322)+1,"")</f>
        <v/>
      </c>
      <c r="K323" s="47" t="n">
        <f aca="false">MOVIMIENTOS!$A323</f>
        <v>0</v>
      </c>
      <c r="L323" s="44"/>
      <c r="M323" s="44"/>
      <c r="N323" s="44"/>
    </row>
    <row r="324" customFormat="false" ht="15" hidden="false" customHeight="true" outlineLevel="0" collapsed="false">
      <c r="A324" s="44"/>
      <c r="B324" s="44"/>
      <c r="C324" s="44"/>
      <c r="D324" s="44"/>
      <c r="E324" s="44"/>
      <c r="F324" s="44"/>
      <c r="G324" s="44"/>
      <c r="H324" s="44"/>
      <c r="I324" s="44"/>
      <c r="J324" s="44" t="str">
        <f aca="false">IF(AND(MOVIMIENTOS!$A324&lt;&gt;"",COUNTIF(MOVIMIENTOS!$A$5:$A323,MOVIMIENTOS!$A324)=0),COUNT(J$4:J323)+1,"")</f>
        <v/>
      </c>
      <c r="K324" s="47" t="n">
        <f aca="false">MOVIMIENTOS!$A324</f>
        <v>0</v>
      </c>
      <c r="L324" s="44"/>
      <c r="M324" s="44"/>
      <c r="N324" s="44"/>
    </row>
    <row r="325" customFormat="false" ht="15" hidden="false" customHeight="true" outlineLevel="0" collapsed="false">
      <c r="A325" s="44"/>
      <c r="B325" s="44"/>
      <c r="C325" s="44"/>
      <c r="D325" s="44"/>
      <c r="E325" s="44"/>
      <c r="F325" s="44"/>
      <c r="G325" s="44"/>
      <c r="H325" s="44"/>
      <c r="I325" s="44"/>
      <c r="J325" s="44" t="str">
        <f aca="false">IF(AND(MOVIMIENTOS!$A325&lt;&gt;"",COUNTIF(MOVIMIENTOS!$A$5:$A324,MOVIMIENTOS!$A325)=0),COUNT(J$4:J324)+1,"")</f>
        <v/>
      </c>
      <c r="K325" s="47" t="n">
        <f aca="false">MOVIMIENTOS!$A325</f>
        <v>0</v>
      </c>
      <c r="L325" s="44"/>
      <c r="M325" s="44"/>
      <c r="N325" s="44"/>
    </row>
    <row r="326" customFormat="false" ht="15" hidden="false" customHeight="true" outlineLevel="0" collapsed="false">
      <c r="A326" s="44"/>
      <c r="B326" s="44"/>
      <c r="C326" s="44"/>
      <c r="D326" s="44"/>
      <c r="E326" s="44"/>
      <c r="F326" s="44"/>
      <c r="G326" s="44"/>
      <c r="H326" s="44"/>
      <c r="I326" s="44"/>
      <c r="J326" s="44" t="str">
        <f aca="false">IF(AND(MOVIMIENTOS!$A326&lt;&gt;"",COUNTIF(MOVIMIENTOS!$A$5:$A325,MOVIMIENTOS!$A326)=0),COUNT(J$4:J325)+1,"")</f>
        <v/>
      </c>
      <c r="K326" s="47" t="n">
        <f aca="false">MOVIMIENTOS!$A326</f>
        <v>0</v>
      </c>
      <c r="L326" s="44"/>
      <c r="M326" s="44"/>
      <c r="N326" s="44"/>
    </row>
    <row r="327" customFormat="false" ht="15" hidden="false" customHeight="true" outlineLevel="0" collapsed="false">
      <c r="A327" s="44"/>
      <c r="B327" s="44"/>
      <c r="C327" s="44"/>
      <c r="D327" s="44"/>
      <c r="E327" s="44"/>
      <c r="F327" s="44"/>
      <c r="G327" s="44"/>
      <c r="H327" s="44"/>
      <c r="I327" s="44"/>
      <c r="J327" s="44" t="str">
        <f aca="false">IF(AND(MOVIMIENTOS!$A327&lt;&gt;"",COUNTIF(MOVIMIENTOS!$A$5:$A326,MOVIMIENTOS!$A327)=0),COUNT(J$4:J326)+1,"")</f>
        <v/>
      </c>
      <c r="K327" s="47" t="n">
        <f aca="false">MOVIMIENTOS!$A327</f>
        <v>0</v>
      </c>
      <c r="L327" s="44"/>
      <c r="M327" s="44"/>
      <c r="N327" s="44"/>
    </row>
    <row r="328" customFormat="false" ht="15" hidden="false" customHeight="true" outlineLevel="0" collapsed="false">
      <c r="A328" s="44"/>
      <c r="B328" s="44"/>
      <c r="C328" s="44"/>
      <c r="D328" s="44"/>
      <c r="E328" s="44"/>
      <c r="F328" s="44"/>
      <c r="G328" s="44"/>
      <c r="H328" s="44"/>
      <c r="I328" s="44"/>
      <c r="J328" s="44" t="str">
        <f aca="false">IF(AND(MOVIMIENTOS!$A328&lt;&gt;"",COUNTIF(MOVIMIENTOS!$A$5:$A327,MOVIMIENTOS!$A328)=0),COUNT(J$4:J327)+1,"")</f>
        <v/>
      </c>
      <c r="K328" s="47" t="n">
        <f aca="false">MOVIMIENTOS!$A328</f>
        <v>0</v>
      </c>
      <c r="L328" s="44"/>
      <c r="M328" s="44"/>
      <c r="N328" s="44"/>
    </row>
    <row r="329" customFormat="false" ht="15" hidden="false" customHeight="true" outlineLevel="0" collapsed="false">
      <c r="A329" s="44"/>
      <c r="B329" s="44"/>
      <c r="C329" s="44"/>
      <c r="D329" s="44"/>
      <c r="E329" s="44"/>
      <c r="F329" s="44"/>
      <c r="G329" s="44"/>
      <c r="H329" s="44"/>
      <c r="I329" s="44"/>
      <c r="J329" s="44" t="str">
        <f aca="false">IF(AND(MOVIMIENTOS!$A329&lt;&gt;"",COUNTIF(MOVIMIENTOS!$A$5:$A328,MOVIMIENTOS!$A329)=0),COUNT(J$4:J328)+1,"")</f>
        <v/>
      </c>
      <c r="K329" s="47" t="n">
        <f aca="false">MOVIMIENTOS!$A329</f>
        <v>0</v>
      </c>
      <c r="L329" s="44"/>
      <c r="M329" s="44"/>
      <c r="N329" s="44"/>
    </row>
    <row r="330" customFormat="false" ht="15" hidden="false" customHeight="true" outlineLevel="0" collapsed="false">
      <c r="A330" s="44"/>
      <c r="B330" s="44"/>
      <c r="C330" s="44"/>
      <c r="D330" s="44"/>
      <c r="E330" s="44"/>
      <c r="F330" s="44"/>
      <c r="G330" s="44"/>
      <c r="H330" s="44"/>
      <c r="I330" s="44"/>
      <c r="J330" s="44" t="str">
        <f aca="false">IF(AND(MOVIMIENTOS!$A330&lt;&gt;"",COUNTIF(MOVIMIENTOS!$A$5:$A329,MOVIMIENTOS!$A330)=0),COUNT(J$4:J329)+1,"")</f>
        <v/>
      </c>
      <c r="K330" s="47" t="n">
        <f aca="false">MOVIMIENTOS!$A330</f>
        <v>0</v>
      </c>
      <c r="L330" s="44"/>
      <c r="M330" s="44"/>
      <c r="N330" s="44"/>
    </row>
    <row r="331" customFormat="false" ht="15" hidden="false" customHeight="true" outlineLevel="0" collapsed="false">
      <c r="A331" s="44"/>
      <c r="B331" s="44"/>
      <c r="C331" s="44"/>
      <c r="D331" s="44"/>
      <c r="E331" s="44"/>
      <c r="F331" s="44"/>
      <c r="G331" s="44"/>
      <c r="H331" s="44"/>
      <c r="I331" s="44"/>
      <c r="J331" s="44" t="str">
        <f aca="false">IF(AND(MOVIMIENTOS!$A331&lt;&gt;"",COUNTIF(MOVIMIENTOS!$A$5:$A330,MOVIMIENTOS!$A331)=0),COUNT(J$4:J330)+1,"")</f>
        <v/>
      </c>
      <c r="K331" s="47" t="n">
        <f aca="false">MOVIMIENTOS!$A331</f>
        <v>0</v>
      </c>
      <c r="L331" s="44"/>
      <c r="M331" s="44"/>
      <c r="N331" s="44"/>
    </row>
    <row r="332" customFormat="false" ht="15" hidden="false" customHeight="true" outlineLevel="0" collapsed="false">
      <c r="A332" s="44"/>
      <c r="B332" s="44"/>
      <c r="C332" s="44"/>
      <c r="D332" s="44"/>
      <c r="E332" s="44"/>
      <c r="F332" s="44"/>
      <c r="G332" s="44"/>
      <c r="H332" s="44"/>
      <c r="I332" s="44"/>
      <c r="J332" s="44" t="str">
        <f aca="false">IF(AND(MOVIMIENTOS!$A332&lt;&gt;"",COUNTIF(MOVIMIENTOS!$A$5:$A331,MOVIMIENTOS!$A332)=0),COUNT(J$4:J331)+1,"")</f>
        <v/>
      </c>
      <c r="K332" s="47" t="n">
        <f aca="false">MOVIMIENTOS!$A332</f>
        <v>0</v>
      </c>
      <c r="L332" s="44"/>
      <c r="M332" s="44"/>
      <c r="N332" s="44"/>
    </row>
    <row r="333" customFormat="false" ht="15" hidden="false" customHeight="true" outlineLevel="0" collapsed="false">
      <c r="A333" s="44"/>
      <c r="B333" s="44"/>
      <c r="C333" s="44"/>
      <c r="D333" s="44"/>
      <c r="E333" s="44"/>
      <c r="F333" s="44"/>
      <c r="G333" s="44"/>
      <c r="H333" s="44"/>
      <c r="I333" s="44"/>
      <c r="J333" s="44" t="str">
        <f aca="false">IF(AND(MOVIMIENTOS!$A333&lt;&gt;"",COUNTIF(MOVIMIENTOS!$A$5:$A332,MOVIMIENTOS!$A333)=0),COUNT(J$4:J332)+1,"")</f>
        <v/>
      </c>
      <c r="K333" s="47" t="n">
        <f aca="false">MOVIMIENTOS!$A333</f>
        <v>0</v>
      </c>
      <c r="L333" s="44"/>
      <c r="M333" s="44"/>
      <c r="N333" s="44"/>
    </row>
    <row r="334" customFormat="false" ht="15" hidden="false" customHeight="true" outlineLevel="0" collapsed="false">
      <c r="A334" s="44"/>
      <c r="B334" s="44"/>
      <c r="C334" s="44"/>
      <c r="D334" s="44"/>
      <c r="E334" s="44"/>
      <c r="F334" s="44"/>
      <c r="G334" s="44"/>
      <c r="H334" s="44"/>
      <c r="I334" s="44"/>
      <c r="J334" s="44" t="str">
        <f aca="false">IF(AND(MOVIMIENTOS!$A334&lt;&gt;"",COUNTIF(MOVIMIENTOS!$A$5:$A333,MOVIMIENTOS!$A334)=0),COUNT(J$4:J333)+1,"")</f>
        <v/>
      </c>
      <c r="K334" s="47" t="n">
        <f aca="false">MOVIMIENTOS!$A334</f>
        <v>0</v>
      </c>
      <c r="L334" s="44"/>
      <c r="M334" s="44"/>
      <c r="N334" s="44"/>
    </row>
    <row r="335" customFormat="false" ht="15" hidden="false" customHeight="true" outlineLevel="0" collapsed="false">
      <c r="A335" s="44"/>
      <c r="B335" s="44"/>
      <c r="C335" s="44"/>
      <c r="D335" s="44"/>
      <c r="E335" s="44"/>
      <c r="F335" s="44"/>
      <c r="G335" s="44"/>
      <c r="H335" s="44"/>
      <c r="I335" s="44"/>
      <c r="J335" s="44" t="str">
        <f aca="false">IF(AND(MOVIMIENTOS!$A335&lt;&gt;"",COUNTIF(MOVIMIENTOS!$A$5:$A334,MOVIMIENTOS!$A335)=0),COUNT(J$4:J334)+1,"")</f>
        <v/>
      </c>
      <c r="K335" s="47" t="n">
        <f aca="false">MOVIMIENTOS!$A335</f>
        <v>0</v>
      </c>
      <c r="L335" s="44"/>
      <c r="M335" s="44"/>
      <c r="N335" s="44"/>
    </row>
    <row r="336" customFormat="false" ht="15" hidden="false" customHeight="true" outlineLevel="0" collapsed="false">
      <c r="A336" s="44"/>
      <c r="B336" s="44"/>
      <c r="C336" s="44"/>
      <c r="D336" s="44"/>
      <c r="E336" s="44"/>
      <c r="F336" s="44"/>
      <c r="G336" s="44"/>
      <c r="H336" s="44"/>
      <c r="I336" s="44"/>
      <c r="J336" s="44" t="str">
        <f aca="false">IF(AND(MOVIMIENTOS!$A336&lt;&gt;"",COUNTIF(MOVIMIENTOS!$A$5:$A335,MOVIMIENTOS!$A336)=0),COUNT(J$4:J335)+1,"")</f>
        <v/>
      </c>
      <c r="K336" s="47" t="n">
        <f aca="false">MOVIMIENTOS!$A336</f>
        <v>0</v>
      </c>
      <c r="L336" s="44"/>
      <c r="M336" s="44"/>
      <c r="N336" s="44"/>
    </row>
    <row r="337" customFormat="false" ht="15" hidden="false" customHeight="true" outlineLevel="0" collapsed="false">
      <c r="A337" s="44"/>
      <c r="B337" s="44"/>
      <c r="C337" s="44"/>
      <c r="D337" s="44"/>
      <c r="E337" s="44"/>
      <c r="F337" s="44"/>
      <c r="G337" s="44"/>
      <c r="H337" s="44"/>
      <c r="I337" s="44"/>
      <c r="J337" s="44" t="str">
        <f aca="false">IF(AND(MOVIMIENTOS!$A337&lt;&gt;"",COUNTIF(MOVIMIENTOS!$A$5:$A336,MOVIMIENTOS!$A337)=0),COUNT(J$4:J336)+1,"")</f>
        <v/>
      </c>
      <c r="K337" s="47" t="n">
        <f aca="false">MOVIMIENTOS!$A337</f>
        <v>0</v>
      </c>
      <c r="L337" s="44"/>
      <c r="M337" s="44"/>
      <c r="N337" s="44"/>
    </row>
    <row r="338" customFormat="false" ht="15" hidden="false" customHeight="true" outlineLevel="0" collapsed="false">
      <c r="A338" s="44"/>
      <c r="B338" s="44"/>
      <c r="C338" s="44"/>
      <c r="D338" s="44"/>
      <c r="E338" s="44"/>
      <c r="F338" s="44"/>
      <c r="G338" s="44"/>
      <c r="H338" s="44"/>
      <c r="I338" s="44"/>
      <c r="J338" s="44" t="str">
        <f aca="false">IF(AND(MOVIMIENTOS!$A338&lt;&gt;"",COUNTIF(MOVIMIENTOS!$A$5:$A337,MOVIMIENTOS!$A338)=0),COUNT(J$4:J337)+1,"")</f>
        <v/>
      </c>
      <c r="K338" s="47" t="n">
        <f aca="false">MOVIMIENTOS!$A338</f>
        <v>0</v>
      </c>
      <c r="L338" s="44"/>
      <c r="M338" s="44"/>
      <c r="N338" s="44"/>
    </row>
    <row r="339" customFormat="false" ht="15" hidden="false" customHeight="true" outlineLevel="0" collapsed="false">
      <c r="A339" s="44"/>
      <c r="B339" s="44"/>
      <c r="C339" s="44"/>
      <c r="D339" s="44"/>
      <c r="E339" s="44"/>
      <c r="F339" s="44"/>
      <c r="G339" s="44"/>
      <c r="H339" s="44"/>
      <c r="I339" s="44"/>
      <c r="J339" s="44" t="str">
        <f aca="false">IF(AND(MOVIMIENTOS!$A339&lt;&gt;"",COUNTIF(MOVIMIENTOS!$A$5:$A338,MOVIMIENTOS!$A339)=0),COUNT(J$4:J338)+1,"")</f>
        <v/>
      </c>
      <c r="K339" s="47" t="n">
        <f aca="false">MOVIMIENTOS!$A339</f>
        <v>0</v>
      </c>
      <c r="L339" s="44"/>
      <c r="M339" s="44"/>
      <c r="N339" s="44"/>
    </row>
    <row r="340" customFormat="false" ht="15" hidden="false" customHeight="true" outlineLevel="0" collapsed="false">
      <c r="A340" s="44"/>
      <c r="B340" s="44"/>
      <c r="C340" s="44"/>
      <c r="D340" s="44"/>
      <c r="E340" s="44"/>
      <c r="F340" s="44"/>
      <c r="G340" s="44"/>
      <c r="H340" s="44"/>
      <c r="I340" s="44"/>
      <c r="J340" s="44" t="str">
        <f aca="false">IF(AND(MOVIMIENTOS!$A340&lt;&gt;"",COUNTIF(MOVIMIENTOS!$A$5:$A339,MOVIMIENTOS!$A340)=0),COUNT(J$4:J339)+1,"")</f>
        <v/>
      </c>
      <c r="K340" s="47" t="n">
        <f aca="false">MOVIMIENTOS!$A340</f>
        <v>0</v>
      </c>
      <c r="L340" s="44"/>
      <c r="M340" s="44"/>
      <c r="N340" s="44"/>
    </row>
    <row r="341" customFormat="false" ht="15" hidden="false" customHeight="true" outlineLevel="0" collapsed="false">
      <c r="A341" s="44"/>
      <c r="B341" s="44"/>
      <c r="C341" s="44"/>
      <c r="D341" s="44"/>
      <c r="E341" s="44"/>
      <c r="F341" s="44"/>
      <c r="G341" s="44"/>
      <c r="H341" s="44"/>
      <c r="I341" s="44"/>
      <c r="J341" s="44" t="str">
        <f aca="false">IF(AND(MOVIMIENTOS!$A341&lt;&gt;"",COUNTIF(MOVIMIENTOS!$A$5:$A340,MOVIMIENTOS!$A341)=0),COUNT(J$4:J340)+1,"")</f>
        <v/>
      </c>
      <c r="K341" s="47" t="n">
        <f aca="false">MOVIMIENTOS!$A341</f>
        <v>0</v>
      </c>
      <c r="L341" s="44"/>
      <c r="M341" s="44"/>
      <c r="N341" s="44"/>
    </row>
    <row r="342" customFormat="false" ht="15" hidden="false" customHeight="true" outlineLevel="0" collapsed="false">
      <c r="A342" s="44"/>
      <c r="B342" s="44"/>
      <c r="C342" s="44"/>
      <c r="D342" s="44"/>
      <c r="E342" s="44"/>
      <c r="F342" s="44"/>
      <c r="G342" s="44"/>
      <c r="H342" s="44"/>
      <c r="I342" s="44"/>
      <c r="J342" s="44" t="str">
        <f aca="false">IF(AND(MOVIMIENTOS!$A342&lt;&gt;"",COUNTIF(MOVIMIENTOS!$A$5:$A341,MOVIMIENTOS!$A342)=0),COUNT(J$4:J341)+1,"")</f>
        <v/>
      </c>
      <c r="K342" s="47" t="n">
        <f aca="false">MOVIMIENTOS!$A342</f>
        <v>0</v>
      </c>
      <c r="L342" s="44"/>
      <c r="M342" s="44"/>
      <c r="N342" s="44"/>
    </row>
    <row r="343" customFormat="false" ht="15" hidden="false" customHeight="true" outlineLevel="0" collapsed="false">
      <c r="A343" s="44"/>
      <c r="B343" s="44"/>
      <c r="C343" s="44"/>
      <c r="D343" s="44"/>
      <c r="E343" s="44"/>
      <c r="F343" s="44"/>
      <c r="G343" s="44"/>
      <c r="H343" s="44"/>
      <c r="I343" s="44"/>
      <c r="J343" s="44" t="str">
        <f aca="false">IF(AND(MOVIMIENTOS!$A343&lt;&gt;"",COUNTIF(MOVIMIENTOS!$A$5:$A342,MOVIMIENTOS!$A343)=0),COUNT(J$4:J342)+1,"")</f>
        <v/>
      </c>
      <c r="K343" s="47" t="n">
        <f aca="false">MOVIMIENTOS!$A343</f>
        <v>0</v>
      </c>
      <c r="L343" s="44"/>
      <c r="M343" s="44"/>
      <c r="N343" s="44"/>
    </row>
    <row r="344" customFormat="false" ht="15" hidden="false" customHeight="true" outlineLevel="0" collapsed="false">
      <c r="A344" s="44"/>
      <c r="B344" s="44"/>
      <c r="C344" s="44"/>
      <c r="D344" s="44"/>
      <c r="E344" s="44"/>
      <c r="F344" s="44"/>
      <c r="G344" s="44"/>
      <c r="H344" s="44"/>
      <c r="I344" s="44"/>
      <c r="J344" s="44" t="str">
        <f aca="false">IF(AND(MOVIMIENTOS!$A344&lt;&gt;"",COUNTIF(MOVIMIENTOS!$A$5:$A343,MOVIMIENTOS!$A344)=0),COUNT(J$4:J343)+1,"")</f>
        <v/>
      </c>
      <c r="K344" s="47" t="n">
        <f aca="false">MOVIMIENTOS!$A344</f>
        <v>0</v>
      </c>
      <c r="L344" s="44"/>
      <c r="M344" s="44"/>
      <c r="N344" s="44"/>
    </row>
    <row r="345" customFormat="false" ht="15" hidden="false" customHeight="true" outlineLevel="0" collapsed="false">
      <c r="A345" s="44"/>
      <c r="B345" s="44"/>
      <c r="C345" s="44"/>
      <c r="D345" s="44"/>
      <c r="E345" s="44"/>
      <c r="F345" s="44"/>
      <c r="G345" s="44"/>
      <c r="H345" s="44"/>
      <c r="I345" s="44"/>
      <c r="J345" s="44" t="str">
        <f aca="false">IF(AND(MOVIMIENTOS!$A345&lt;&gt;"",COUNTIF(MOVIMIENTOS!$A$5:$A344,MOVIMIENTOS!$A345)=0),COUNT(J$4:J344)+1,"")</f>
        <v/>
      </c>
      <c r="K345" s="47" t="n">
        <f aca="false">MOVIMIENTOS!$A345</f>
        <v>0</v>
      </c>
      <c r="L345" s="44"/>
      <c r="M345" s="44"/>
      <c r="N345" s="44"/>
    </row>
    <row r="346" customFormat="false" ht="15" hidden="false" customHeight="true" outlineLevel="0" collapsed="false">
      <c r="A346" s="44"/>
      <c r="B346" s="44"/>
      <c r="C346" s="44"/>
      <c r="D346" s="44"/>
      <c r="E346" s="44"/>
      <c r="F346" s="44"/>
      <c r="G346" s="44"/>
      <c r="H346" s="44"/>
      <c r="I346" s="44"/>
      <c r="J346" s="44" t="str">
        <f aca="false">IF(AND(MOVIMIENTOS!$A346&lt;&gt;"",COUNTIF(MOVIMIENTOS!$A$5:$A345,MOVIMIENTOS!$A346)=0),COUNT(J$4:J345)+1,"")</f>
        <v/>
      </c>
      <c r="K346" s="47" t="n">
        <f aca="false">MOVIMIENTOS!$A346</f>
        <v>0</v>
      </c>
      <c r="L346" s="44"/>
      <c r="M346" s="44"/>
      <c r="N346" s="44"/>
    </row>
    <row r="347" customFormat="false" ht="15" hidden="false" customHeight="true" outlineLevel="0" collapsed="false">
      <c r="A347" s="44"/>
      <c r="B347" s="44"/>
      <c r="C347" s="44"/>
      <c r="D347" s="44"/>
      <c r="E347" s="44"/>
      <c r="F347" s="44"/>
      <c r="G347" s="44"/>
      <c r="H347" s="44"/>
      <c r="I347" s="44"/>
      <c r="J347" s="44" t="str">
        <f aca="false">IF(AND(MOVIMIENTOS!$A347&lt;&gt;"",COUNTIF(MOVIMIENTOS!$A$5:$A346,MOVIMIENTOS!$A347)=0),COUNT(J$4:J346)+1,"")</f>
        <v/>
      </c>
      <c r="K347" s="47" t="n">
        <f aca="false">MOVIMIENTOS!$A347</f>
        <v>0</v>
      </c>
      <c r="L347" s="44"/>
      <c r="M347" s="44"/>
      <c r="N347" s="44"/>
    </row>
    <row r="348" customFormat="false" ht="15" hidden="false" customHeight="true" outlineLevel="0" collapsed="false">
      <c r="A348" s="44"/>
      <c r="B348" s="44"/>
      <c r="C348" s="44"/>
      <c r="D348" s="44"/>
      <c r="E348" s="44"/>
      <c r="F348" s="44"/>
      <c r="G348" s="44"/>
      <c r="H348" s="44"/>
      <c r="I348" s="44"/>
      <c r="J348" s="44" t="str">
        <f aca="false">IF(AND(MOVIMIENTOS!$A348&lt;&gt;"",COUNTIF(MOVIMIENTOS!$A$5:$A347,MOVIMIENTOS!$A348)=0),COUNT(J$4:J347)+1,"")</f>
        <v/>
      </c>
      <c r="K348" s="47" t="n">
        <f aca="false">MOVIMIENTOS!$A348</f>
        <v>0</v>
      </c>
      <c r="L348" s="44"/>
      <c r="M348" s="44"/>
      <c r="N348" s="44"/>
    </row>
    <row r="349" customFormat="false" ht="15" hidden="false" customHeight="true" outlineLevel="0" collapsed="false">
      <c r="A349" s="44"/>
      <c r="B349" s="44"/>
      <c r="C349" s="44"/>
      <c r="D349" s="44"/>
      <c r="E349" s="44"/>
      <c r="F349" s="44"/>
      <c r="G349" s="44"/>
      <c r="H349" s="44"/>
      <c r="I349" s="44"/>
      <c r="J349" s="44" t="str">
        <f aca="false">IF(AND(MOVIMIENTOS!$A349&lt;&gt;"",COUNTIF(MOVIMIENTOS!$A$5:$A348,MOVIMIENTOS!$A349)=0),COUNT(J$4:J348)+1,"")</f>
        <v/>
      </c>
      <c r="K349" s="47" t="n">
        <f aca="false">MOVIMIENTOS!$A349</f>
        <v>0</v>
      </c>
      <c r="L349" s="44"/>
      <c r="M349" s="44"/>
      <c r="N349" s="44"/>
    </row>
    <row r="350" customFormat="false" ht="15" hidden="false" customHeight="true" outlineLevel="0" collapsed="false">
      <c r="A350" s="44"/>
      <c r="B350" s="44"/>
      <c r="C350" s="44"/>
      <c r="D350" s="44"/>
      <c r="E350" s="44"/>
      <c r="F350" s="44"/>
      <c r="G350" s="44"/>
      <c r="H350" s="44"/>
      <c r="I350" s="44"/>
      <c r="J350" s="44" t="str">
        <f aca="false">IF(AND(MOVIMIENTOS!$A350&lt;&gt;"",COUNTIF(MOVIMIENTOS!$A$5:$A349,MOVIMIENTOS!$A350)=0),COUNT(J$4:J349)+1,"")</f>
        <v/>
      </c>
      <c r="K350" s="47" t="n">
        <f aca="false">MOVIMIENTOS!$A350</f>
        <v>0</v>
      </c>
      <c r="L350" s="44"/>
      <c r="M350" s="44"/>
      <c r="N350" s="44"/>
    </row>
    <row r="351" customFormat="false" ht="15" hidden="false" customHeight="true" outlineLevel="0" collapsed="false">
      <c r="A351" s="44"/>
      <c r="B351" s="44"/>
      <c r="C351" s="44"/>
      <c r="D351" s="44"/>
      <c r="E351" s="44"/>
      <c r="F351" s="44"/>
      <c r="G351" s="44"/>
      <c r="H351" s="44"/>
      <c r="I351" s="44"/>
      <c r="J351" s="44" t="str">
        <f aca="false">IF(AND(MOVIMIENTOS!$A351&lt;&gt;"",COUNTIF(MOVIMIENTOS!$A$5:$A350,MOVIMIENTOS!$A351)=0),COUNT(J$4:J350)+1,"")</f>
        <v/>
      </c>
      <c r="K351" s="47" t="n">
        <f aca="false">MOVIMIENTOS!$A351</f>
        <v>0</v>
      </c>
      <c r="L351" s="44"/>
      <c r="M351" s="44"/>
      <c r="N351" s="44"/>
    </row>
    <row r="352" customFormat="false" ht="15" hidden="false" customHeight="true" outlineLevel="0" collapsed="false">
      <c r="A352" s="44"/>
      <c r="B352" s="44"/>
      <c r="C352" s="44"/>
      <c r="D352" s="44"/>
      <c r="E352" s="44"/>
      <c r="F352" s="44"/>
      <c r="G352" s="44"/>
      <c r="H352" s="44"/>
      <c r="I352" s="44"/>
      <c r="J352" s="44" t="str">
        <f aca="false">IF(AND(MOVIMIENTOS!$A352&lt;&gt;"",COUNTIF(MOVIMIENTOS!$A$5:$A351,MOVIMIENTOS!$A352)=0),COUNT(J$4:J351)+1,"")</f>
        <v/>
      </c>
      <c r="K352" s="47" t="n">
        <f aca="false">MOVIMIENTOS!$A352</f>
        <v>0</v>
      </c>
      <c r="L352" s="44"/>
      <c r="M352" s="44"/>
      <c r="N352" s="44"/>
    </row>
    <row r="353" customFormat="false" ht="15" hidden="false" customHeight="true" outlineLevel="0" collapsed="false">
      <c r="A353" s="44"/>
      <c r="B353" s="44"/>
      <c r="C353" s="44"/>
      <c r="D353" s="44"/>
      <c r="E353" s="44"/>
      <c r="F353" s="44"/>
      <c r="G353" s="44"/>
      <c r="H353" s="44"/>
      <c r="I353" s="44"/>
      <c r="J353" s="44" t="str">
        <f aca="false">IF(AND(MOVIMIENTOS!$A353&lt;&gt;"",COUNTIF(MOVIMIENTOS!$A$5:$A352,MOVIMIENTOS!$A353)=0),COUNT(J$4:J352)+1,"")</f>
        <v/>
      </c>
      <c r="K353" s="47" t="n">
        <f aca="false">MOVIMIENTOS!$A353</f>
        <v>0</v>
      </c>
      <c r="L353" s="44"/>
      <c r="M353" s="44"/>
      <c r="N353" s="44"/>
    </row>
    <row r="354" customFormat="false" ht="15" hidden="false" customHeight="true" outlineLevel="0" collapsed="false">
      <c r="A354" s="44"/>
      <c r="B354" s="44"/>
      <c r="C354" s="44"/>
      <c r="D354" s="44"/>
      <c r="E354" s="44"/>
      <c r="F354" s="44"/>
      <c r="G354" s="44"/>
      <c r="H354" s="44"/>
      <c r="I354" s="44"/>
      <c r="J354" s="44" t="str">
        <f aca="false">IF(AND(MOVIMIENTOS!$A354&lt;&gt;"",COUNTIF(MOVIMIENTOS!$A$5:$A353,MOVIMIENTOS!$A354)=0),COUNT(J$4:J353)+1,"")</f>
        <v/>
      </c>
      <c r="K354" s="47" t="n">
        <f aca="false">MOVIMIENTOS!$A354</f>
        <v>0</v>
      </c>
      <c r="L354" s="44"/>
      <c r="M354" s="44"/>
      <c r="N354" s="44"/>
    </row>
    <row r="355" customFormat="false" ht="15" hidden="false" customHeight="true" outlineLevel="0" collapsed="false">
      <c r="A355" s="44"/>
      <c r="B355" s="44"/>
      <c r="C355" s="44"/>
      <c r="D355" s="44"/>
      <c r="E355" s="44"/>
      <c r="F355" s="44"/>
      <c r="G355" s="44"/>
      <c r="H355" s="44"/>
      <c r="I355" s="44"/>
      <c r="J355" s="44" t="str">
        <f aca="false">IF(AND(MOVIMIENTOS!$A355&lt;&gt;"",COUNTIF(MOVIMIENTOS!$A$5:$A354,MOVIMIENTOS!$A355)=0),COUNT(J$4:J354)+1,"")</f>
        <v/>
      </c>
      <c r="K355" s="47" t="n">
        <f aca="false">MOVIMIENTOS!$A355</f>
        <v>0</v>
      </c>
      <c r="L355" s="44"/>
      <c r="M355" s="44"/>
      <c r="N355" s="44"/>
    </row>
    <row r="356" customFormat="false" ht="15" hidden="false" customHeight="true" outlineLevel="0" collapsed="false">
      <c r="A356" s="44"/>
      <c r="B356" s="44"/>
      <c r="C356" s="44"/>
      <c r="D356" s="44"/>
      <c r="E356" s="44"/>
      <c r="F356" s="44"/>
      <c r="G356" s="44"/>
      <c r="H356" s="44"/>
      <c r="I356" s="44"/>
      <c r="J356" s="44" t="str">
        <f aca="false">IF(AND(MOVIMIENTOS!$A356&lt;&gt;"",COUNTIF(MOVIMIENTOS!$A$5:$A355,MOVIMIENTOS!$A356)=0),COUNT(J$4:J355)+1,"")</f>
        <v/>
      </c>
      <c r="K356" s="47" t="n">
        <f aca="false">MOVIMIENTOS!$A356</f>
        <v>0</v>
      </c>
      <c r="L356" s="44"/>
      <c r="M356" s="44"/>
      <c r="N356" s="44"/>
    </row>
    <row r="357" customFormat="false" ht="15" hidden="false" customHeight="true" outlineLevel="0" collapsed="false">
      <c r="A357" s="44"/>
      <c r="B357" s="44"/>
      <c r="C357" s="44"/>
      <c r="D357" s="44"/>
      <c r="E357" s="44"/>
      <c r="F357" s="44"/>
      <c r="G357" s="44"/>
      <c r="H357" s="44"/>
      <c r="I357" s="44"/>
      <c r="J357" s="44" t="str">
        <f aca="false">IF(AND(MOVIMIENTOS!$A357&lt;&gt;"",COUNTIF(MOVIMIENTOS!$A$5:$A356,MOVIMIENTOS!$A357)=0),COUNT(J$4:J356)+1,"")</f>
        <v/>
      </c>
      <c r="K357" s="47" t="n">
        <f aca="false">MOVIMIENTOS!$A357</f>
        <v>0</v>
      </c>
      <c r="L357" s="44"/>
      <c r="M357" s="44"/>
      <c r="N357" s="44"/>
    </row>
    <row r="358" customFormat="false" ht="15" hidden="false" customHeight="true" outlineLevel="0" collapsed="false">
      <c r="A358" s="44"/>
      <c r="B358" s="44"/>
      <c r="C358" s="44"/>
      <c r="D358" s="44"/>
      <c r="E358" s="44"/>
      <c r="F358" s="44"/>
      <c r="G358" s="44"/>
      <c r="H358" s="44"/>
      <c r="I358" s="44"/>
      <c r="J358" s="44" t="str">
        <f aca="false">IF(AND(MOVIMIENTOS!$A358&lt;&gt;"",COUNTIF(MOVIMIENTOS!$A$5:$A357,MOVIMIENTOS!$A358)=0),COUNT(J$4:J357)+1,"")</f>
        <v/>
      </c>
      <c r="K358" s="47" t="n">
        <f aca="false">MOVIMIENTOS!$A358</f>
        <v>0</v>
      </c>
      <c r="L358" s="44"/>
      <c r="M358" s="44"/>
      <c r="N358" s="44"/>
    </row>
    <row r="359" customFormat="false" ht="15" hidden="false" customHeight="true" outlineLevel="0" collapsed="false">
      <c r="A359" s="44"/>
      <c r="B359" s="44"/>
      <c r="C359" s="44"/>
      <c r="D359" s="44"/>
      <c r="E359" s="44"/>
      <c r="F359" s="44"/>
      <c r="G359" s="44"/>
      <c r="H359" s="44"/>
      <c r="I359" s="44"/>
      <c r="J359" s="44" t="str">
        <f aca="false">IF(AND(MOVIMIENTOS!$A359&lt;&gt;"",COUNTIF(MOVIMIENTOS!$A$5:$A358,MOVIMIENTOS!$A359)=0),COUNT(J$4:J358)+1,"")</f>
        <v/>
      </c>
      <c r="K359" s="47" t="n">
        <f aca="false">MOVIMIENTOS!$A359</f>
        <v>0</v>
      </c>
      <c r="L359" s="44"/>
      <c r="M359" s="44"/>
      <c r="N359" s="44"/>
    </row>
    <row r="360" customFormat="false" ht="15" hidden="false" customHeight="true" outlineLevel="0" collapsed="false">
      <c r="A360" s="44"/>
      <c r="B360" s="44"/>
      <c r="C360" s="44"/>
      <c r="D360" s="44"/>
      <c r="E360" s="44"/>
      <c r="F360" s="44"/>
      <c r="G360" s="44"/>
      <c r="H360" s="44"/>
      <c r="I360" s="44"/>
      <c r="J360" s="44" t="str">
        <f aca="false">IF(AND(MOVIMIENTOS!$A360&lt;&gt;"",COUNTIF(MOVIMIENTOS!$A$5:$A359,MOVIMIENTOS!$A360)=0),COUNT(J$4:J359)+1,"")</f>
        <v/>
      </c>
      <c r="K360" s="47" t="n">
        <f aca="false">MOVIMIENTOS!$A360</f>
        <v>0</v>
      </c>
      <c r="L360" s="44"/>
      <c r="M360" s="44"/>
      <c r="N360" s="44"/>
    </row>
    <row r="361" customFormat="false" ht="15" hidden="false" customHeight="true" outlineLevel="0" collapsed="false">
      <c r="A361" s="44"/>
      <c r="B361" s="44"/>
      <c r="C361" s="44"/>
      <c r="D361" s="44"/>
      <c r="E361" s="44"/>
      <c r="F361" s="44"/>
      <c r="G361" s="44"/>
      <c r="H361" s="44"/>
      <c r="I361" s="44"/>
      <c r="J361" s="44" t="str">
        <f aca="false">IF(AND(MOVIMIENTOS!$A361&lt;&gt;"",COUNTIF(MOVIMIENTOS!$A$5:$A360,MOVIMIENTOS!$A361)=0),COUNT(J$4:J360)+1,"")</f>
        <v/>
      </c>
      <c r="K361" s="47" t="n">
        <f aca="false">MOVIMIENTOS!$A361</f>
        <v>0</v>
      </c>
      <c r="L361" s="44"/>
      <c r="M361" s="44"/>
      <c r="N361" s="44"/>
    </row>
    <row r="362" customFormat="false" ht="15" hidden="false" customHeight="true" outlineLevel="0" collapsed="false">
      <c r="A362" s="44"/>
      <c r="B362" s="44"/>
      <c r="C362" s="44"/>
      <c r="D362" s="44"/>
      <c r="E362" s="44"/>
      <c r="F362" s="44"/>
      <c r="G362" s="44"/>
      <c r="H362" s="44"/>
      <c r="I362" s="44"/>
      <c r="J362" s="44" t="str">
        <f aca="false">IF(AND(MOVIMIENTOS!$A362&lt;&gt;"",COUNTIF(MOVIMIENTOS!$A$5:$A361,MOVIMIENTOS!$A362)=0),COUNT(J$4:J361)+1,"")</f>
        <v/>
      </c>
      <c r="K362" s="47" t="n">
        <f aca="false">MOVIMIENTOS!$A362</f>
        <v>0</v>
      </c>
      <c r="L362" s="44"/>
      <c r="M362" s="44"/>
      <c r="N362" s="44"/>
    </row>
    <row r="363" customFormat="false" ht="15" hidden="false" customHeight="true" outlineLevel="0" collapsed="false">
      <c r="A363" s="44"/>
      <c r="B363" s="44"/>
      <c r="C363" s="44"/>
      <c r="D363" s="44"/>
      <c r="E363" s="44"/>
      <c r="F363" s="44"/>
      <c r="G363" s="44"/>
      <c r="H363" s="44"/>
      <c r="I363" s="44"/>
      <c r="J363" s="44" t="str">
        <f aca="false">IF(AND(MOVIMIENTOS!$A363&lt;&gt;"",COUNTIF(MOVIMIENTOS!$A$5:$A362,MOVIMIENTOS!$A363)=0),COUNT(J$4:J362)+1,"")</f>
        <v/>
      </c>
      <c r="K363" s="47" t="n">
        <f aca="false">MOVIMIENTOS!$A363</f>
        <v>0</v>
      </c>
      <c r="L363" s="44"/>
      <c r="M363" s="44"/>
      <c r="N363" s="44"/>
    </row>
    <row r="364" customFormat="false" ht="15" hidden="false" customHeight="true" outlineLevel="0" collapsed="false">
      <c r="A364" s="44"/>
      <c r="B364" s="44"/>
      <c r="C364" s="44"/>
      <c r="D364" s="44"/>
      <c r="E364" s="44"/>
      <c r="F364" s="44"/>
      <c r="G364" s="44"/>
      <c r="H364" s="44"/>
      <c r="I364" s="44"/>
      <c r="J364" s="44" t="str">
        <f aca="false">IF(AND(MOVIMIENTOS!$A364&lt;&gt;"",COUNTIF(MOVIMIENTOS!$A$5:$A363,MOVIMIENTOS!$A364)=0),COUNT(J$4:J363)+1,"")</f>
        <v/>
      </c>
      <c r="K364" s="47" t="n">
        <f aca="false">MOVIMIENTOS!$A364</f>
        <v>0</v>
      </c>
      <c r="L364" s="44"/>
      <c r="M364" s="44"/>
      <c r="N364" s="44"/>
    </row>
    <row r="365" customFormat="false" ht="15" hidden="false" customHeight="true" outlineLevel="0" collapsed="false">
      <c r="A365" s="44"/>
      <c r="B365" s="44"/>
      <c r="C365" s="44"/>
      <c r="D365" s="44"/>
      <c r="E365" s="44"/>
      <c r="F365" s="44"/>
      <c r="G365" s="44"/>
      <c r="H365" s="44"/>
      <c r="I365" s="44"/>
      <c r="J365" s="44" t="str">
        <f aca="false">IF(AND(MOVIMIENTOS!$A365&lt;&gt;"",COUNTIF(MOVIMIENTOS!$A$5:$A364,MOVIMIENTOS!$A365)=0),COUNT(J$4:J364)+1,"")</f>
        <v/>
      </c>
      <c r="K365" s="47" t="n">
        <f aca="false">MOVIMIENTOS!$A365</f>
        <v>0</v>
      </c>
      <c r="L365" s="44"/>
      <c r="M365" s="44"/>
      <c r="N365" s="44"/>
    </row>
    <row r="366" customFormat="false" ht="15" hidden="false" customHeight="true" outlineLevel="0" collapsed="false">
      <c r="A366" s="44"/>
      <c r="B366" s="44"/>
      <c r="C366" s="44"/>
      <c r="D366" s="44"/>
      <c r="E366" s="44"/>
      <c r="F366" s="44"/>
      <c r="G366" s="44"/>
      <c r="H366" s="44"/>
      <c r="I366" s="44"/>
      <c r="J366" s="44" t="str">
        <f aca="false">IF(AND(MOVIMIENTOS!$A366&lt;&gt;"",COUNTIF(MOVIMIENTOS!$A$5:$A365,MOVIMIENTOS!$A366)=0),COUNT(J$4:J365)+1,"")</f>
        <v/>
      </c>
      <c r="K366" s="47" t="n">
        <f aca="false">MOVIMIENTOS!$A366</f>
        <v>0</v>
      </c>
      <c r="L366" s="44"/>
      <c r="M366" s="44"/>
      <c r="N366" s="44"/>
    </row>
    <row r="367" customFormat="false" ht="15" hidden="false" customHeight="true" outlineLevel="0" collapsed="false">
      <c r="A367" s="44"/>
      <c r="B367" s="44"/>
      <c r="C367" s="44"/>
      <c r="D367" s="44"/>
      <c r="E367" s="44"/>
      <c r="F367" s="44"/>
      <c r="G367" s="44"/>
      <c r="H367" s="44"/>
      <c r="I367" s="44"/>
      <c r="J367" s="44" t="str">
        <f aca="false">IF(AND(MOVIMIENTOS!$A367&lt;&gt;"",COUNTIF(MOVIMIENTOS!$A$5:$A366,MOVIMIENTOS!$A367)=0),COUNT(J$4:J366)+1,"")</f>
        <v/>
      </c>
      <c r="K367" s="47" t="n">
        <f aca="false">MOVIMIENTOS!$A367</f>
        <v>0</v>
      </c>
      <c r="L367" s="44"/>
      <c r="M367" s="44"/>
      <c r="N367" s="44"/>
    </row>
    <row r="368" customFormat="false" ht="15" hidden="false" customHeight="true" outlineLevel="0" collapsed="false">
      <c r="A368" s="44"/>
      <c r="B368" s="44"/>
      <c r="C368" s="44"/>
      <c r="D368" s="44"/>
      <c r="E368" s="44"/>
      <c r="F368" s="44"/>
      <c r="G368" s="44"/>
      <c r="H368" s="44"/>
      <c r="I368" s="44"/>
      <c r="J368" s="44" t="str">
        <f aca="false">IF(AND(MOVIMIENTOS!$A368&lt;&gt;"",COUNTIF(MOVIMIENTOS!$A$5:$A367,MOVIMIENTOS!$A368)=0),COUNT(J$4:J367)+1,"")</f>
        <v/>
      </c>
      <c r="K368" s="47" t="n">
        <f aca="false">MOVIMIENTOS!$A368</f>
        <v>0</v>
      </c>
      <c r="L368" s="44"/>
      <c r="M368" s="44"/>
      <c r="N368" s="44"/>
    </row>
    <row r="369" customFormat="false" ht="15" hidden="false" customHeight="true" outlineLevel="0" collapsed="false">
      <c r="A369" s="44"/>
      <c r="B369" s="44"/>
      <c r="C369" s="44"/>
      <c r="D369" s="44"/>
      <c r="E369" s="44"/>
      <c r="F369" s="44"/>
      <c r="G369" s="44"/>
      <c r="H369" s="44"/>
      <c r="I369" s="44"/>
      <c r="J369" s="44" t="str">
        <f aca="false">IF(AND(MOVIMIENTOS!$A369&lt;&gt;"",COUNTIF(MOVIMIENTOS!$A$5:$A368,MOVIMIENTOS!$A369)=0),COUNT(J$4:J368)+1,"")</f>
        <v/>
      </c>
      <c r="K369" s="47" t="n">
        <f aca="false">MOVIMIENTOS!$A369</f>
        <v>0</v>
      </c>
      <c r="L369" s="44"/>
      <c r="M369" s="44"/>
      <c r="N369" s="44"/>
    </row>
    <row r="370" customFormat="false" ht="15" hidden="false" customHeight="true" outlineLevel="0" collapsed="false">
      <c r="A370" s="44"/>
      <c r="B370" s="44"/>
      <c r="C370" s="44"/>
      <c r="D370" s="44"/>
      <c r="E370" s="44"/>
      <c r="F370" s="44"/>
      <c r="G370" s="44"/>
      <c r="H370" s="44"/>
      <c r="I370" s="44"/>
      <c r="J370" s="44" t="str">
        <f aca="false">IF(AND(MOVIMIENTOS!$A370&lt;&gt;"",COUNTIF(MOVIMIENTOS!$A$5:$A369,MOVIMIENTOS!$A370)=0),COUNT(J$4:J369)+1,"")</f>
        <v/>
      </c>
      <c r="K370" s="47" t="n">
        <f aca="false">MOVIMIENTOS!$A370</f>
        <v>0</v>
      </c>
      <c r="L370" s="44"/>
      <c r="M370" s="44"/>
      <c r="N370" s="44"/>
    </row>
    <row r="371" customFormat="false" ht="15" hidden="false" customHeight="true" outlineLevel="0" collapsed="false">
      <c r="A371" s="44"/>
      <c r="B371" s="44"/>
      <c r="C371" s="44"/>
      <c r="D371" s="44"/>
      <c r="E371" s="44"/>
      <c r="F371" s="44"/>
      <c r="G371" s="44"/>
      <c r="H371" s="44"/>
      <c r="I371" s="44"/>
      <c r="J371" s="44" t="str">
        <f aca="false">IF(AND(MOVIMIENTOS!$A371&lt;&gt;"",COUNTIF(MOVIMIENTOS!$A$5:$A370,MOVIMIENTOS!$A371)=0),COUNT(J$4:J370)+1,"")</f>
        <v/>
      </c>
      <c r="K371" s="47" t="n">
        <f aca="false">MOVIMIENTOS!$A371</f>
        <v>0</v>
      </c>
      <c r="L371" s="44"/>
      <c r="M371" s="44"/>
      <c r="N371" s="44"/>
    </row>
    <row r="372" customFormat="false" ht="15" hidden="false" customHeight="true" outlineLevel="0" collapsed="false">
      <c r="A372" s="44"/>
      <c r="B372" s="44"/>
      <c r="C372" s="44"/>
      <c r="D372" s="44"/>
      <c r="E372" s="44"/>
      <c r="F372" s="44"/>
      <c r="G372" s="44"/>
      <c r="H372" s="44"/>
      <c r="I372" s="44"/>
      <c r="J372" s="44" t="str">
        <f aca="false">IF(AND(MOVIMIENTOS!$A372&lt;&gt;"",COUNTIF(MOVIMIENTOS!$A$5:$A371,MOVIMIENTOS!$A372)=0),COUNT(J$4:J371)+1,"")</f>
        <v/>
      </c>
      <c r="K372" s="47" t="n">
        <f aca="false">MOVIMIENTOS!$A372</f>
        <v>0</v>
      </c>
      <c r="L372" s="44"/>
      <c r="M372" s="44"/>
      <c r="N372" s="44"/>
    </row>
    <row r="373" customFormat="false" ht="15" hidden="false" customHeight="true" outlineLevel="0" collapsed="false">
      <c r="A373" s="44"/>
      <c r="B373" s="44"/>
      <c r="C373" s="44"/>
      <c r="D373" s="44"/>
      <c r="E373" s="44"/>
      <c r="F373" s="44"/>
      <c r="G373" s="44"/>
      <c r="H373" s="44"/>
      <c r="I373" s="44"/>
      <c r="J373" s="44" t="str">
        <f aca="false">IF(AND(MOVIMIENTOS!$A373&lt;&gt;"",COUNTIF(MOVIMIENTOS!$A$5:$A372,MOVIMIENTOS!$A373)=0),COUNT(J$4:J372)+1,"")</f>
        <v/>
      </c>
      <c r="K373" s="47" t="n">
        <f aca="false">MOVIMIENTOS!$A373</f>
        <v>0</v>
      </c>
      <c r="L373" s="44"/>
      <c r="M373" s="44"/>
      <c r="N373" s="44"/>
    </row>
    <row r="374" customFormat="false" ht="15" hidden="false" customHeight="true" outlineLevel="0" collapsed="false">
      <c r="A374" s="44"/>
      <c r="B374" s="44"/>
      <c r="C374" s="44"/>
      <c r="D374" s="44"/>
      <c r="E374" s="44"/>
      <c r="F374" s="44"/>
      <c r="G374" s="44"/>
      <c r="H374" s="44"/>
      <c r="I374" s="44"/>
      <c r="J374" s="44" t="str">
        <f aca="false">IF(AND(MOVIMIENTOS!$A374&lt;&gt;"",COUNTIF(MOVIMIENTOS!$A$5:$A373,MOVIMIENTOS!$A374)=0),COUNT(J$4:J373)+1,"")</f>
        <v/>
      </c>
      <c r="K374" s="47" t="n">
        <f aca="false">MOVIMIENTOS!$A374</f>
        <v>0</v>
      </c>
      <c r="L374" s="44"/>
      <c r="M374" s="44"/>
      <c r="N374" s="44"/>
    </row>
    <row r="375" customFormat="false" ht="15" hidden="false" customHeight="true" outlineLevel="0" collapsed="false">
      <c r="A375" s="44"/>
      <c r="B375" s="44"/>
      <c r="C375" s="44"/>
      <c r="D375" s="44"/>
      <c r="E375" s="44"/>
      <c r="F375" s="44"/>
      <c r="G375" s="44"/>
      <c r="H375" s="44"/>
      <c r="I375" s="44"/>
      <c r="J375" s="44" t="str">
        <f aca="false">IF(AND(MOVIMIENTOS!$A375&lt;&gt;"",COUNTIF(MOVIMIENTOS!$A$5:$A374,MOVIMIENTOS!$A375)=0),COUNT(J$4:J374)+1,"")</f>
        <v/>
      </c>
      <c r="K375" s="47" t="n">
        <f aca="false">MOVIMIENTOS!$A375</f>
        <v>0</v>
      </c>
      <c r="L375" s="44"/>
      <c r="M375" s="44"/>
      <c r="N375" s="44"/>
    </row>
    <row r="376" customFormat="false" ht="15" hidden="false" customHeight="true" outlineLevel="0" collapsed="false">
      <c r="A376" s="44"/>
      <c r="B376" s="44"/>
      <c r="C376" s="44"/>
      <c r="D376" s="44"/>
      <c r="E376" s="44"/>
      <c r="F376" s="44"/>
      <c r="G376" s="44"/>
      <c r="H376" s="44"/>
      <c r="I376" s="44"/>
      <c r="J376" s="44" t="str">
        <f aca="false">IF(AND(MOVIMIENTOS!$A376&lt;&gt;"",COUNTIF(MOVIMIENTOS!$A$5:$A375,MOVIMIENTOS!$A376)=0),COUNT(J$4:J375)+1,"")</f>
        <v/>
      </c>
      <c r="K376" s="47" t="n">
        <f aca="false">MOVIMIENTOS!$A376</f>
        <v>0</v>
      </c>
      <c r="L376" s="44"/>
      <c r="M376" s="44"/>
      <c r="N376" s="44"/>
    </row>
    <row r="377" customFormat="false" ht="15" hidden="false" customHeight="true" outlineLevel="0" collapsed="false">
      <c r="A377" s="44"/>
      <c r="B377" s="44"/>
      <c r="C377" s="44"/>
      <c r="D377" s="44"/>
      <c r="E377" s="44"/>
      <c r="F377" s="44"/>
      <c r="G377" s="44"/>
      <c r="H377" s="44"/>
      <c r="I377" s="44"/>
      <c r="J377" s="44" t="str">
        <f aca="false">IF(AND(MOVIMIENTOS!$A377&lt;&gt;"",COUNTIF(MOVIMIENTOS!$A$5:$A376,MOVIMIENTOS!$A377)=0),COUNT(J$4:J376)+1,"")</f>
        <v/>
      </c>
      <c r="K377" s="47" t="n">
        <f aca="false">MOVIMIENTOS!$A377</f>
        <v>0</v>
      </c>
      <c r="L377" s="44"/>
      <c r="M377" s="44"/>
      <c r="N377" s="44"/>
    </row>
    <row r="378" customFormat="false" ht="15" hidden="false" customHeight="true" outlineLevel="0" collapsed="false">
      <c r="A378" s="44"/>
      <c r="B378" s="44"/>
      <c r="C378" s="44"/>
      <c r="D378" s="44"/>
      <c r="E378" s="44"/>
      <c r="F378" s="44"/>
      <c r="G378" s="44"/>
      <c r="H378" s="44"/>
      <c r="I378" s="44"/>
      <c r="J378" s="44" t="str">
        <f aca="false">IF(AND(MOVIMIENTOS!$A378&lt;&gt;"",COUNTIF(MOVIMIENTOS!$A$5:$A377,MOVIMIENTOS!$A378)=0),COUNT(J$4:J377)+1,"")</f>
        <v/>
      </c>
      <c r="K378" s="47" t="n">
        <f aca="false">MOVIMIENTOS!$A378</f>
        <v>0</v>
      </c>
      <c r="L378" s="44"/>
      <c r="M378" s="44"/>
      <c r="N378" s="44"/>
    </row>
    <row r="379" customFormat="false" ht="15" hidden="false" customHeight="true" outlineLevel="0" collapsed="false">
      <c r="A379" s="44"/>
      <c r="B379" s="44"/>
      <c r="C379" s="44"/>
      <c r="D379" s="44"/>
      <c r="E379" s="44"/>
      <c r="F379" s="44"/>
      <c r="G379" s="44"/>
      <c r="H379" s="44"/>
      <c r="I379" s="44"/>
      <c r="J379" s="44" t="str">
        <f aca="false">IF(AND(MOVIMIENTOS!$A379&lt;&gt;"",COUNTIF(MOVIMIENTOS!$A$5:$A378,MOVIMIENTOS!$A379)=0),COUNT(J$4:J378)+1,"")</f>
        <v/>
      </c>
      <c r="K379" s="47" t="n">
        <f aca="false">MOVIMIENTOS!$A379</f>
        <v>0</v>
      </c>
      <c r="L379" s="44"/>
      <c r="M379" s="44"/>
      <c r="N379" s="44"/>
    </row>
    <row r="380" customFormat="false" ht="15" hidden="false" customHeight="true" outlineLevel="0" collapsed="false">
      <c r="A380" s="44"/>
      <c r="B380" s="44"/>
      <c r="C380" s="44"/>
      <c r="D380" s="44"/>
      <c r="E380" s="44"/>
      <c r="F380" s="44"/>
      <c r="G380" s="44"/>
      <c r="H380" s="44"/>
      <c r="I380" s="44"/>
      <c r="J380" s="44" t="str">
        <f aca="false">IF(AND(MOVIMIENTOS!$A380&lt;&gt;"",COUNTIF(MOVIMIENTOS!$A$5:$A379,MOVIMIENTOS!$A380)=0),COUNT(J$4:J379)+1,"")</f>
        <v/>
      </c>
      <c r="K380" s="47" t="n">
        <f aca="false">MOVIMIENTOS!$A380</f>
        <v>0</v>
      </c>
      <c r="L380" s="44"/>
      <c r="M380" s="44"/>
      <c r="N380" s="44"/>
    </row>
    <row r="381" customFormat="false" ht="15" hidden="false" customHeight="true" outlineLevel="0" collapsed="false">
      <c r="A381" s="44"/>
      <c r="B381" s="44"/>
      <c r="C381" s="44"/>
      <c r="D381" s="44"/>
      <c r="E381" s="44"/>
      <c r="F381" s="44"/>
      <c r="G381" s="44"/>
      <c r="H381" s="44"/>
      <c r="I381" s="44"/>
      <c r="J381" s="44" t="str">
        <f aca="false">IF(AND(MOVIMIENTOS!$A381&lt;&gt;"",COUNTIF(MOVIMIENTOS!$A$5:$A380,MOVIMIENTOS!$A381)=0),COUNT(J$4:J380)+1,"")</f>
        <v/>
      </c>
      <c r="K381" s="47" t="n">
        <f aca="false">MOVIMIENTOS!$A381</f>
        <v>0</v>
      </c>
      <c r="L381" s="44"/>
      <c r="M381" s="44"/>
      <c r="N381" s="44"/>
    </row>
    <row r="382" customFormat="false" ht="15" hidden="false" customHeight="true" outlineLevel="0" collapsed="false">
      <c r="A382" s="44"/>
      <c r="B382" s="44"/>
      <c r="C382" s="44"/>
      <c r="D382" s="44"/>
      <c r="E382" s="44"/>
      <c r="F382" s="44"/>
      <c r="G382" s="44"/>
      <c r="H382" s="44"/>
      <c r="I382" s="44"/>
      <c r="J382" s="44" t="str">
        <f aca="false">IF(AND(MOVIMIENTOS!$A382&lt;&gt;"",COUNTIF(MOVIMIENTOS!$A$5:$A381,MOVIMIENTOS!$A382)=0),COUNT(J$4:J381)+1,"")</f>
        <v/>
      </c>
      <c r="K382" s="47" t="n">
        <f aca="false">MOVIMIENTOS!$A382</f>
        <v>0</v>
      </c>
      <c r="L382" s="44"/>
      <c r="M382" s="44"/>
      <c r="N382" s="44"/>
    </row>
    <row r="383" customFormat="false" ht="15" hidden="false" customHeight="true" outlineLevel="0" collapsed="false">
      <c r="A383" s="44"/>
      <c r="B383" s="44"/>
      <c r="C383" s="44"/>
      <c r="D383" s="44"/>
      <c r="E383" s="44"/>
      <c r="F383" s="44"/>
      <c r="G383" s="44"/>
      <c r="H383" s="44"/>
      <c r="I383" s="44"/>
      <c r="J383" s="44" t="str">
        <f aca="false">IF(AND(MOVIMIENTOS!$A383&lt;&gt;"",COUNTIF(MOVIMIENTOS!$A$5:$A382,MOVIMIENTOS!$A383)=0),COUNT(J$4:J382)+1,"")</f>
        <v/>
      </c>
      <c r="K383" s="47" t="n">
        <f aca="false">MOVIMIENTOS!$A383</f>
        <v>0</v>
      </c>
      <c r="L383" s="44"/>
      <c r="M383" s="44"/>
      <c r="N383" s="44"/>
    </row>
    <row r="384" customFormat="false" ht="15" hidden="false" customHeight="true" outlineLevel="0" collapsed="false">
      <c r="A384" s="44"/>
      <c r="B384" s="44"/>
      <c r="C384" s="44"/>
      <c r="D384" s="44"/>
      <c r="E384" s="44"/>
      <c r="F384" s="44"/>
      <c r="G384" s="44"/>
      <c r="H384" s="44"/>
      <c r="I384" s="44"/>
      <c r="J384" s="44" t="str">
        <f aca="false">IF(AND(MOVIMIENTOS!$A384&lt;&gt;"",COUNTIF(MOVIMIENTOS!$A$5:$A383,MOVIMIENTOS!$A384)=0),COUNT(J$4:J383)+1,"")</f>
        <v/>
      </c>
      <c r="K384" s="47" t="n">
        <f aca="false">MOVIMIENTOS!$A384</f>
        <v>0</v>
      </c>
      <c r="L384" s="44"/>
      <c r="M384" s="44"/>
      <c r="N384" s="44"/>
    </row>
    <row r="385" customFormat="false" ht="15" hidden="false" customHeight="true" outlineLevel="0" collapsed="false">
      <c r="A385" s="44"/>
      <c r="B385" s="44"/>
      <c r="C385" s="44"/>
      <c r="D385" s="44"/>
      <c r="E385" s="44"/>
      <c r="F385" s="44"/>
      <c r="G385" s="44"/>
      <c r="H385" s="44"/>
      <c r="I385" s="44"/>
      <c r="J385" s="44" t="str">
        <f aca="false">IF(AND(MOVIMIENTOS!$A385&lt;&gt;"",COUNTIF(MOVIMIENTOS!$A$5:$A384,MOVIMIENTOS!$A385)=0),COUNT(J$4:J384)+1,"")</f>
        <v/>
      </c>
      <c r="K385" s="47" t="n">
        <f aca="false">MOVIMIENTOS!$A385</f>
        <v>0</v>
      </c>
      <c r="L385" s="44"/>
      <c r="M385" s="44"/>
      <c r="N385" s="44"/>
    </row>
    <row r="386" customFormat="false" ht="15" hidden="false" customHeight="true" outlineLevel="0" collapsed="false">
      <c r="A386" s="44"/>
      <c r="B386" s="44"/>
      <c r="C386" s="44"/>
      <c r="D386" s="44"/>
      <c r="E386" s="44"/>
      <c r="F386" s="44"/>
      <c r="G386" s="44"/>
      <c r="H386" s="44"/>
      <c r="I386" s="44"/>
      <c r="J386" s="44" t="str">
        <f aca="false">IF(AND(MOVIMIENTOS!$A386&lt;&gt;"",COUNTIF(MOVIMIENTOS!$A$5:$A385,MOVIMIENTOS!$A386)=0),COUNT(J$4:J385)+1,"")</f>
        <v/>
      </c>
      <c r="K386" s="47" t="n">
        <f aca="false">MOVIMIENTOS!$A386</f>
        <v>0</v>
      </c>
      <c r="L386" s="44"/>
      <c r="M386" s="44"/>
      <c r="N386" s="44"/>
    </row>
    <row r="387" customFormat="false" ht="15" hidden="false" customHeight="true" outlineLevel="0" collapsed="false">
      <c r="A387" s="44"/>
      <c r="B387" s="44"/>
      <c r="C387" s="44"/>
      <c r="D387" s="44"/>
      <c r="E387" s="44"/>
      <c r="F387" s="44"/>
      <c r="G387" s="44"/>
      <c r="H387" s="44"/>
      <c r="I387" s="44"/>
      <c r="J387" s="44" t="str">
        <f aca="false">IF(AND(MOVIMIENTOS!$A387&lt;&gt;"",COUNTIF(MOVIMIENTOS!$A$5:$A386,MOVIMIENTOS!$A387)=0),COUNT(J$4:J386)+1,"")</f>
        <v/>
      </c>
      <c r="K387" s="47" t="n">
        <f aca="false">MOVIMIENTOS!$A387</f>
        <v>0</v>
      </c>
      <c r="L387" s="44"/>
      <c r="M387" s="44"/>
      <c r="N387" s="44"/>
    </row>
    <row r="388" customFormat="false" ht="15" hidden="false" customHeight="true" outlineLevel="0" collapsed="false">
      <c r="A388" s="44"/>
      <c r="B388" s="44"/>
      <c r="C388" s="44"/>
      <c r="D388" s="44"/>
      <c r="E388" s="44"/>
      <c r="F388" s="44"/>
      <c r="G388" s="44"/>
      <c r="H388" s="44"/>
      <c r="I388" s="44"/>
      <c r="J388" s="44" t="str">
        <f aca="false">IF(AND(MOVIMIENTOS!$A388&lt;&gt;"",COUNTIF(MOVIMIENTOS!$A$5:$A387,MOVIMIENTOS!$A388)=0),COUNT(J$4:J387)+1,"")</f>
        <v/>
      </c>
      <c r="K388" s="47" t="n">
        <f aca="false">MOVIMIENTOS!$A388</f>
        <v>0</v>
      </c>
      <c r="L388" s="44"/>
      <c r="M388" s="44"/>
      <c r="N388" s="44"/>
    </row>
    <row r="389" customFormat="false" ht="15" hidden="false" customHeight="true" outlineLevel="0" collapsed="false">
      <c r="A389" s="44"/>
      <c r="B389" s="44"/>
      <c r="C389" s="44"/>
      <c r="D389" s="44"/>
      <c r="E389" s="44"/>
      <c r="F389" s="44"/>
      <c r="G389" s="44"/>
      <c r="H389" s="44"/>
      <c r="I389" s="44"/>
      <c r="J389" s="44" t="str">
        <f aca="false">IF(AND(MOVIMIENTOS!$A389&lt;&gt;"",COUNTIF(MOVIMIENTOS!$A$5:$A388,MOVIMIENTOS!$A389)=0),COUNT(J$4:J388)+1,"")</f>
        <v/>
      </c>
      <c r="K389" s="47" t="n">
        <f aca="false">MOVIMIENTOS!$A389</f>
        <v>0</v>
      </c>
      <c r="L389" s="44"/>
      <c r="M389" s="44"/>
      <c r="N389" s="44"/>
    </row>
    <row r="390" customFormat="false" ht="15" hidden="false" customHeight="true" outlineLevel="0" collapsed="false">
      <c r="A390" s="44"/>
      <c r="B390" s="44"/>
      <c r="C390" s="44"/>
      <c r="D390" s="44"/>
      <c r="E390" s="44"/>
      <c r="F390" s="44"/>
      <c r="G390" s="44"/>
      <c r="H390" s="44"/>
      <c r="I390" s="44"/>
      <c r="J390" s="44" t="str">
        <f aca="false">IF(AND(MOVIMIENTOS!$A390&lt;&gt;"",COUNTIF(MOVIMIENTOS!$A$5:$A389,MOVIMIENTOS!$A390)=0),COUNT(J$4:J389)+1,"")</f>
        <v/>
      </c>
      <c r="K390" s="47" t="n">
        <f aca="false">MOVIMIENTOS!$A390</f>
        <v>0</v>
      </c>
      <c r="L390" s="44"/>
      <c r="M390" s="44"/>
      <c r="N390" s="44"/>
    </row>
    <row r="391" customFormat="false" ht="15" hidden="false" customHeight="true" outlineLevel="0" collapsed="false">
      <c r="A391" s="44"/>
      <c r="B391" s="44"/>
      <c r="C391" s="44"/>
      <c r="D391" s="44"/>
      <c r="E391" s="44"/>
      <c r="F391" s="44"/>
      <c r="G391" s="44"/>
      <c r="H391" s="44"/>
      <c r="I391" s="44"/>
      <c r="J391" s="44" t="str">
        <f aca="false">IF(AND(MOVIMIENTOS!$A391&lt;&gt;"",COUNTIF(MOVIMIENTOS!$A$5:$A390,MOVIMIENTOS!$A391)=0),COUNT(J$4:J390)+1,"")</f>
        <v/>
      </c>
      <c r="K391" s="47" t="n">
        <f aca="false">MOVIMIENTOS!$A391</f>
        <v>0</v>
      </c>
      <c r="L391" s="44"/>
      <c r="M391" s="44"/>
      <c r="N391" s="44"/>
    </row>
    <row r="392" customFormat="false" ht="15" hidden="false" customHeight="true" outlineLevel="0" collapsed="false">
      <c r="A392" s="44"/>
      <c r="B392" s="44"/>
      <c r="C392" s="44"/>
      <c r="D392" s="44"/>
      <c r="E392" s="44"/>
      <c r="F392" s="44"/>
      <c r="G392" s="44"/>
      <c r="H392" s="44"/>
      <c r="I392" s="44"/>
      <c r="J392" s="44" t="str">
        <f aca="false">IF(AND(MOVIMIENTOS!$A392&lt;&gt;"",COUNTIF(MOVIMIENTOS!$A$5:$A391,MOVIMIENTOS!$A392)=0),COUNT(J$4:J391)+1,"")</f>
        <v/>
      </c>
      <c r="K392" s="47" t="n">
        <f aca="false">MOVIMIENTOS!$A392</f>
        <v>0</v>
      </c>
      <c r="L392" s="44"/>
      <c r="M392" s="44"/>
      <c r="N392" s="44"/>
    </row>
    <row r="393" customFormat="false" ht="15" hidden="false" customHeight="true" outlineLevel="0" collapsed="false">
      <c r="A393" s="44"/>
      <c r="B393" s="44"/>
      <c r="C393" s="44"/>
      <c r="D393" s="44"/>
      <c r="E393" s="44"/>
      <c r="F393" s="44"/>
      <c r="G393" s="44"/>
      <c r="H393" s="44"/>
      <c r="I393" s="44"/>
      <c r="J393" s="44" t="str">
        <f aca="false">IF(AND(MOVIMIENTOS!$A393&lt;&gt;"",COUNTIF(MOVIMIENTOS!$A$5:$A392,MOVIMIENTOS!$A393)=0),COUNT(J$4:J392)+1,"")</f>
        <v/>
      </c>
      <c r="K393" s="47" t="n">
        <f aca="false">MOVIMIENTOS!$A393</f>
        <v>0</v>
      </c>
      <c r="L393" s="44"/>
      <c r="M393" s="44"/>
      <c r="N393" s="44"/>
    </row>
    <row r="394" customFormat="false" ht="15" hidden="false" customHeight="true" outlineLevel="0" collapsed="false">
      <c r="A394" s="44"/>
      <c r="B394" s="44"/>
      <c r="C394" s="44"/>
      <c r="D394" s="44"/>
      <c r="E394" s="44"/>
      <c r="F394" s="44"/>
      <c r="G394" s="44"/>
      <c r="H394" s="44"/>
      <c r="I394" s="44"/>
      <c r="J394" s="44" t="str">
        <f aca="false">IF(AND(MOVIMIENTOS!$A394&lt;&gt;"",COUNTIF(MOVIMIENTOS!$A$5:$A393,MOVIMIENTOS!$A394)=0),COUNT(J$4:J393)+1,"")</f>
        <v/>
      </c>
      <c r="K394" s="47" t="n">
        <f aca="false">MOVIMIENTOS!$A394</f>
        <v>0</v>
      </c>
      <c r="L394" s="44"/>
      <c r="M394" s="44"/>
      <c r="N394" s="44"/>
    </row>
    <row r="395" customFormat="false" ht="15" hidden="false" customHeight="true" outlineLevel="0" collapsed="false">
      <c r="A395" s="44"/>
      <c r="B395" s="44"/>
      <c r="C395" s="44"/>
      <c r="D395" s="44"/>
      <c r="E395" s="44"/>
      <c r="F395" s="44"/>
      <c r="G395" s="44"/>
      <c r="H395" s="44"/>
      <c r="I395" s="44"/>
      <c r="J395" s="44" t="str">
        <f aca="false">IF(AND(MOVIMIENTOS!$A395&lt;&gt;"",COUNTIF(MOVIMIENTOS!$A$5:$A394,MOVIMIENTOS!$A395)=0),COUNT(J$4:J394)+1,"")</f>
        <v/>
      </c>
      <c r="K395" s="47" t="n">
        <f aca="false">MOVIMIENTOS!$A395</f>
        <v>0</v>
      </c>
      <c r="L395" s="44"/>
      <c r="M395" s="44"/>
      <c r="N395" s="44"/>
    </row>
    <row r="396" customFormat="false" ht="15" hidden="false" customHeight="true" outlineLevel="0" collapsed="false">
      <c r="A396" s="44"/>
      <c r="B396" s="44"/>
      <c r="C396" s="44"/>
      <c r="D396" s="44"/>
      <c r="E396" s="44"/>
      <c r="F396" s="44"/>
      <c r="G396" s="44"/>
      <c r="H396" s="44"/>
      <c r="I396" s="44"/>
      <c r="J396" s="44" t="str">
        <f aca="false">IF(AND(MOVIMIENTOS!$A396&lt;&gt;"",COUNTIF(MOVIMIENTOS!$A$5:$A395,MOVIMIENTOS!$A396)=0),COUNT(J$4:J395)+1,"")</f>
        <v/>
      </c>
      <c r="K396" s="47" t="n">
        <f aca="false">MOVIMIENTOS!$A396</f>
        <v>0</v>
      </c>
      <c r="L396" s="44"/>
      <c r="M396" s="44"/>
      <c r="N396" s="44"/>
    </row>
    <row r="397" customFormat="false" ht="15" hidden="false" customHeight="true" outlineLevel="0" collapsed="false">
      <c r="A397" s="44"/>
      <c r="B397" s="44"/>
      <c r="C397" s="44"/>
      <c r="D397" s="44"/>
      <c r="E397" s="44"/>
      <c r="F397" s="44"/>
      <c r="G397" s="44"/>
      <c r="H397" s="44"/>
      <c r="I397" s="44"/>
      <c r="J397" s="44" t="str">
        <f aca="false">IF(AND(MOVIMIENTOS!$A397&lt;&gt;"",COUNTIF(MOVIMIENTOS!$A$5:$A396,MOVIMIENTOS!$A397)=0),COUNT(J$4:J396)+1,"")</f>
        <v/>
      </c>
      <c r="K397" s="47" t="n">
        <f aca="false">MOVIMIENTOS!$A397</f>
        <v>0</v>
      </c>
      <c r="L397" s="44"/>
      <c r="M397" s="44"/>
      <c r="N397" s="44"/>
    </row>
    <row r="398" customFormat="false" ht="15" hidden="false" customHeight="true" outlineLevel="0" collapsed="false">
      <c r="A398" s="44"/>
      <c r="B398" s="44"/>
      <c r="C398" s="44"/>
      <c r="D398" s="44"/>
      <c r="E398" s="44"/>
      <c r="F398" s="44"/>
      <c r="G398" s="44"/>
      <c r="H398" s="44"/>
      <c r="I398" s="44"/>
      <c r="J398" s="44" t="str">
        <f aca="false">IF(AND(MOVIMIENTOS!$A398&lt;&gt;"",COUNTIF(MOVIMIENTOS!$A$5:$A397,MOVIMIENTOS!$A398)=0),COUNT(J$4:J397)+1,"")</f>
        <v/>
      </c>
      <c r="K398" s="47" t="n">
        <f aca="false">MOVIMIENTOS!$A398</f>
        <v>0</v>
      </c>
      <c r="L398" s="44"/>
      <c r="M398" s="44"/>
      <c r="N398" s="44"/>
    </row>
    <row r="399" customFormat="false" ht="15" hidden="false" customHeight="true" outlineLevel="0" collapsed="false">
      <c r="A399" s="44"/>
      <c r="B399" s="44"/>
      <c r="C399" s="44"/>
      <c r="D399" s="44"/>
      <c r="E399" s="44"/>
      <c r="F399" s="44"/>
      <c r="G399" s="44"/>
      <c r="H399" s="44"/>
      <c r="I399" s="44"/>
      <c r="J399" s="44" t="str">
        <f aca="false">IF(AND(MOVIMIENTOS!$A399&lt;&gt;"",COUNTIF(MOVIMIENTOS!$A$5:$A398,MOVIMIENTOS!$A399)=0),COUNT(J$4:J398)+1,"")</f>
        <v/>
      </c>
      <c r="K399" s="47" t="n">
        <f aca="false">MOVIMIENTOS!$A399</f>
        <v>0</v>
      </c>
      <c r="L399" s="44"/>
      <c r="M399" s="44"/>
      <c r="N399" s="44"/>
    </row>
    <row r="400" customFormat="false" ht="15" hidden="false" customHeight="true" outlineLevel="0" collapsed="false">
      <c r="A400" s="44"/>
      <c r="B400" s="44"/>
      <c r="C400" s="44"/>
      <c r="D400" s="44"/>
      <c r="E400" s="44"/>
      <c r="F400" s="44"/>
      <c r="G400" s="44"/>
      <c r="H400" s="44"/>
      <c r="I400" s="44"/>
      <c r="J400" s="44" t="str">
        <f aca="false">IF(AND(MOVIMIENTOS!$A400&lt;&gt;"",COUNTIF(MOVIMIENTOS!$A$5:$A399,MOVIMIENTOS!$A400)=0),COUNT(J$4:J399)+1,"")</f>
        <v/>
      </c>
      <c r="K400" s="47" t="n">
        <f aca="false">MOVIMIENTOS!$A400</f>
        <v>0</v>
      </c>
      <c r="L400" s="44"/>
      <c r="M400" s="44"/>
      <c r="N400" s="44"/>
    </row>
  </sheetData>
  <mergeCells count="2">
    <mergeCell ref="A1:H1"/>
    <mergeCell ref="A2:H2"/>
  </mergeCells>
  <conditionalFormatting sqref="A5:H69">
    <cfRule type="expression" priority="2" aboveAverage="0" equalAverage="0" bottom="0" percent="0" rank="0" text="" dxfId="36">
      <formula>AND($A5&lt;&gt;"",A6="")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0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S8" activeCellId="0" sqref="S8"/>
    </sheetView>
  </sheetViews>
  <sheetFormatPr defaultColWidth="8.6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2"/>
    <col collapsed="false" customWidth="true" hidden="false" outlineLevel="0" max="5" min="3" style="0" width="12"/>
    <col collapsed="false" customWidth="true" hidden="false" outlineLevel="0" max="6" min="6" style="0" width="30"/>
    <col collapsed="false" customWidth="true" hidden="false" outlineLevel="0" max="7" min="7" style="0" width="13"/>
    <col collapsed="false" customWidth="true" hidden="true" outlineLevel="0" max="16" min="10" style="0" width="13"/>
  </cols>
  <sheetData>
    <row r="1" customFormat="false" ht="21.75" hidden="false" customHeight="true" outlineLevel="0" collapsed="false">
      <c r="A1" s="1" t="s">
        <v>76</v>
      </c>
      <c r="B1" s="1"/>
      <c r="C1" s="1"/>
      <c r="D1" s="1"/>
      <c r="E1" s="1"/>
      <c r="F1" s="1"/>
      <c r="G1" s="1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</row>
    <row r="2" customFormat="false" ht="15" hidden="false" customHeight="true" outlineLevel="0" collapsed="false">
      <c r="A2" s="2" t="s">
        <v>77</v>
      </c>
      <c r="B2" s="2"/>
      <c r="C2" s="2"/>
      <c r="D2" s="2"/>
      <c r="E2" s="2"/>
      <c r="F2" s="2"/>
      <c r="G2" s="2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</row>
    <row r="3" customFormat="false" ht="15" hidden="false" customHeight="true" outlineLevel="0" collapsed="false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</row>
    <row r="4" customFormat="false" ht="15" hidden="false" customHeight="true" outlineLevel="0" collapsed="false">
      <c r="A4" s="44"/>
      <c r="B4" s="44"/>
      <c r="C4" s="48" t="s">
        <v>78</v>
      </c>
      <c r="D4" s="49" t="s">
        <v>79</v>
      </c>
      <c r="E4" s="50" t="s">
        <v>80</v>
      </c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</row>
    <row r="5" customFormat="false" ht="30" hidden="false" customHeight="true" outlineLevel="0" collapsed="false">
      <c r="A5" s="3" t="s">
        <v>2</v>
      </c>
      <c r="B5" s="3" t="s">
        <v>81</v>
      </c>
      <c r="C5" s="3" t="s">
        <v>82</v>
      </c>
      <c r="D5" s="3" t="s">
        <v>83</v>
      </c>
      <c r="E5" s="3" t="s">
        <v>84</v>
      </c>
      <c r="F5" s="3" t="s">
        <v>85</v>
      </c>
      <c r="G5" s="3" t="s">
        <v>86</v>
      </c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</row>
    <row r="6" customFormat="false" ht="33.75" hidden="false" customHeight="true" outlineLevel="0" collapsed="false">
      <c r="A6" s="51" t="n">
        <v>46214</v>
      </c>
      <c r="B6" s="52" t="s">
        <v>87</v>
      </c>
      <c r="C6" s="53" t="n">
        <f aca="false">SUMPRODUCT((MOVIMIENTOS!$A$5:$A$400=DATE(2026,7,11))*(MOVIMIENTOS!$B$5:$B$400="COMPRA")*MOVIMIENTOS!$I$5:$I$400)</f>
        <v>0</v>
      </c>
      <c r="D6" s="53" t="n">
        <f aca="false">SUMPRODUCT((MOVIMIENTOS!$A$5:$A$400=DATE(2026,7,11))*(MOVIMIENTOS!$B$5:$B$400="PROCESO")*MOVIMIENTOS!$I$5:$I$400)</f>
        <v>0</v>
      </c>
      <c r="E6" s="53" t="n">
        <f aca="false">SUMPRODUCT((MOVIMIENTOS!$A$5:$A$400=DATE(2026,7,11))*((MOVIMIENTOS!$B$5:$B$400="ENVÍO A SUPESA")+(MOVIMIENTOS!$B$5:$B$400="ENVÍO A TOTTUS")+(MOVIMIENTOS!$B$5:$B$400="ENVIO A TOTTUS"))*MOVIMIENTOS!$I$5:$I$400)</f>
        <v>0</v>
      </c>
      <c r="F6" s="52" t="str">
        <f aca="false">"Selección: "&amp;TEXT(SUMPRODUCT((MOVIMIENTOS!$A$5:$A$400=DATE(2026,7,11))*(MOVIMIENTOS!$B$5:$B$400="PROCESO")*(MOVIMIENTOS!$C$5:$C$400&lt;&gt;"Chancho")*MOVIMIENTOS!$I$5:$I$400),"#,##0")&amp;" kg  ·  Chancho: "&amp;TEXT(SUMPRODUCT((MOVIMIENTOS!$A$5:$A$400=DATE(2026,7,11))*(MOVIMIENTOS!$B$5:$B$400="PROCESO")*(MOVIMIENTOS!$C$5:$C$400="Chancho")*MOVIMIENTOS!$I$5:$I$400),"#,##0")&amp;" kg"&amp;IF(C6&gt;0,"  ·  "&amp;TEXT(D6/C6,"0%")&amp;" del ingreso","")</f>
        <v>Selección: 0 kg  ·  Chancho: 0 kg</v>
      </c>
      <c r="G6" s="53" t="n">
        <f aca="false">N(G8)</f>
        <v>166</v>
      </c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</row>
    <row r="7" customFormat="false" ht="15" hidden="false" customHeight="true" outlineLevel="0" collapsed="false">
      <c r="A7" s="45" t="n">
        <v>46214</v>
      </c>
      <c r="B7" s="54" t="s">
        <v>10</v>
      </c>
      <c r="C7" s="46" t="n">
        <f aca="false">N(MOVIMIENTOS!$I5)+N(MOVIMIENTOS!$I6)</f>
        <v>47</v>
      </c>
      <c r="D7" s="46"/>
      <c r="E7" s="46"/>
      <c r="F7" s="54" t="s">
        <v>88</v>
      </c>
      <c r="G7" s="46" t="n">
        <f aca="false">N(0)+N(C7)-N(E7)</f>
        <v>47</v>
      </c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</row>
    <row r="8" customFormat="false" ht="15" hidden="false" customHeight="true" outlineLevel="0" collapsed="false">
      <c r="A8" s="45" t="n">
        <v>46214</v>
      </c>
      <c r="B8" s="54" t="s">
        <v>89</v>
      </c>
      <c r="C8" s="46" t="n">
        <f aca="false">N(MOVIMIENTOS!$I7)</f>
        <v>119</v>
      </c>
      <c r="D8" s="46"/>
      <c r="E8" s="46"/>
      <c r="F8" s="54" t="str">
        <f aca="false">TRIM(IF(MOVIMIENTOS!$G7&lt;&gt;"",MOVIMIENTOS!$G7&amp;"  ","")&amp;IF(N(MOVIMIENTOS!$E7)&gt;0,MOVIMIENTOS!$E7&amp;" "&amp;MOVIMIENTOS!$D7&amp;"  ","")&amp;IF(MOVIMIENTOS!$H7&lt;&gt;"",MOVIMIENTOS!$H7,""))</f>
        <v>7 jabas</v>
      </c>
      <c r="G8" s="46" t="n">
        <f aca="false">N(G7)+N(C8)-N(E8)</f>
        <v>166</v>
      </c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</row>
    <row r="9" customFormat="false" ht="33.75" hidden="false" customHeight="true" outlineLevel="0" collapsed="false">
      <c r="A9" s="51" t="n">
        <v>46215</v>
      </c>
      <c r="B9" s="52" t="s">
        <v>87</v>
      </c>
      <c r="C9" s="53" t="n">
        <f aca="false">SUMPRODUCT((MOVIMIENTOS!$A$5:$A$400=DATE(2026,7,12))*(MOVIMIENTOS!$B$5:$B$400="COMPRA")*MOVIMIENTOS!$I$5:$I$400)</f>
        <v>2910</v>
      </c>
      <c r="D9" s="53" t="n">
        <f aca="false">SUMPRODUCT((MOVIMIENTOS!$A$5:$A$400=DATE(2026,7,12))*(MOVIMIENTOS!$B$5:$B$400="PROCESO")*MOVIMIENTOS!$I$5:$I$400)</f>
        <v>2957</v>
      </c>
      <c r="E9" s="53" t="n">
        <f aca="false">SUMPRODUCT((MOVIMIENTOS!$A$5:$A$400=DATE(2026,7,12))*((MOVIMIENTOS!$B$5:$B$400="ENVÍO A SUPESA")+(MOVIMIENTOS!$B$5:$B$400="ENVÍO A TOTTUS")+(MOVIMIENTOS!$B$5:$B$400="ENVIO A TOTTUS"))*MOVIMIENTOS!$I$5:$I$400)</f>
        <v>2121</v>
      </c>
      <c r="F9" s="52" t="str">
        <f aca="false">"Selección: "&amp;TEXT(SUMPRODUCT((MOVIMIENTOS!$A$5:$A$400=DATE(2026,7,12))*(MOVIMIENTOS!$B$5:$B$400="PROCESO")*(MOVIMIENTOS!$C$5:$C$400&lt;&gt;"Chancho")*MOVIMIENTOS!$I$5:$I$400),"#,##0")&amp;" kg  ·  Chancho: "&amp;TEXT(SUMPRODUCT((MOVIMIENTOS!$A$5:$A$400=DATE(2026,7,12))*(MOVIMIENTOS!$B$5:$B$400="PROCESO")*(MOVIMIENTOS!$C$5:$C$400="Chancho")*MOVIMIENTOS!$I$5:$I$400),"#,##0")&amp;" kg"&amp;IF(C9&gt;0,"  ·  "&amp;TEXT(D9/C9,"0%")&amp;" del ingreso","")</f>
        <v>Selección: 2,375 kg  ·  Chancho: 582 kg  ·  102% del ingreso</v>
      </c>
      <c r="G9" s="53" t="n">
        <f aca="false">N(G13)</f>
        <v>373</v>
      </c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</row>
    <row r="10" customFormat="false" ht="33.75" hidden="false" customHeight="true" outlineLevel="0" collapsed="false">
      <c r="A10" s="55" t="n">
        <v>46215</v>
      </c>
      <c r="B10" s="56" t="s">
        <v>90</v>
      </c>
      <c r="C10" s="57" t="n">
        <f aca="false">N(MOVIMIENTOS!$I9)</f>
        <v>2910</v>
      </c>
      <c r="D10" s="57"/>
      <c r="E10" s="57"/>
      <c r="F10" s="56" t="str">
        <f aca="false">TRIM(IF(MOVIMIENTOS!$G9&lt;&gt;"",MOVIMIENTOS!$G9&amp;"  ","")&amp;IF(N(MOVIMIENTOS!$E9)&gt;0,MOVIMIENTOS!$E9&amp;" "&amp;MOVIMIENTOS!$D9&amp;"  ","")&amp;IF(MOVIMIENTOS!$H9&lt;&gt;"",MOVIMIENTOS!$H9,""))</f>
        <v>30 sacos peso aprox 95 kg/saco</v>
      </c>
      <c r="G10" s="57" t="n">
        <f aca="false">N(G8)+N(C10)-N(E10)</f>
        <v>3076</v>
      </c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</row>
    <row r="11" customFormat="false" ht="15" hidden="false" customHeight="true" outlineLevel="0" collapsed="false">
      <c r="A11" s="58" t="n">
        <v>46215</v>
      </c>
      <c r="B11" s="59" t="s">
        <v>91</v>
      </c>
      <c r="C11" s="60"/>
      <c r="D11" s="60" t="n">
        <f aca="false">SUMPRODUCT((MOVIMIENTOS!$A$5:$A$400=DATE(2026,7,12))*(MOVIMIENTOS!$B$5:$B$400="PROCESO")*(MOVIMIENTOS!$C$5:$C$400&lt;&gt;"Chancho")*MOVIMIENTOS!$I$5:$I$400)</f>
        <v>2375</v>
      </c>
      <c r="E11" s="60"/>
      <c r="F11" s="59" t="s">
        <v>92</v>
      </c>
      <c r="G11" s="60" t="n">
        <f aca="false">N(G10)</f>
        <v>3076</v>
      </c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</row>
    <row r="12" customFormat="false" ht="15" hidden="false" customHeight="true" outlineLevel="0" collapsed="false">
      <c r="A12" s="45" t="n">
        <v>46215</v>
      </c>
      <c r="B12" s="54" t="s">
        <v>93</v>
      </c>
      <c r="C12" s="46"/>
      <c r="D12" s="46" t="n">
        <f aca="false">N(MOVIMIENTOS!$I14)</f>
        <v>582</v>
      </c>
      <c r="E12" s="46" t="n">
        <f aca="false">N(MOVIMIENTOS!$I14)</f>
        <v>582</v>
      </c>
      <c r="F12" s="54" t="str">
        <f aca="false">TRIM(IF(MOVIMIENTOS!$G14&lt;&gt;"",MOVIMIENTOS!$G14&amp;"  ","")&amp;IF(N(MOVIMIENTOS!$E14)&gt;0,MOVIMIENTOS!$E14&amp;" "&amp;MOVIMIENTOS!$D14&amp;"  ","")&amp;IF(MOVIMIENTOS!$H14&lt;&gt;"",MOVIMIENTOS!$H14,""))</f>
        <v>6 sacos</v>
      </c>
      <c r="G12" s="46" t="n">
        <f aca="false">N(G11)+N(C12)-N(E12)</f>
        <v>2494</v>
      </c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</row>
    <row r="13" customFormat="false" ht="15" hidden="false" customHeight="true" outlineLevel="0" collapsed="false">
      <c r="A13" s="45" t="n">
        <v>46215</v>
      </c>
      <c r="B13" s="54" t="s">
        <v>23</v>
      </c>
      <c r="C13" s="46"/>
      <c r="D13" s="46"/>
      <c r="E13" s="46" t="n">
        <f aca="false">N(MOVIMIENTOS!$I15)+N(MOVIMIENTOS!$I16)+N(MOVIMIENTOS!$I17)+N(MOVIMIENTOS!$I18)</f>
        <v>2121</v>
      </c>
      <c r="F13" s="54" t="s">
        <v>94</v>
      </c>
      <c r="G13" s="46" t="n">
        <f aca="false">N(G12)+N(C13)-N(E13)</f>
        <v>373</v>
      </c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</row>
    <row r="14" customFormat="false" ht="33.75" hidden="false" customHeight="true" outlineLevel="0" collapsed="false">
      <c r="A14" s="51" t="n">
        <v>46216</v>
      </c>
      <c r="B14" s="52" t="s">
        <v>87</v>
      </c>
      <c r="C14" s="53" t="n">
        <f aca="false">SUMPRODUCT((MOVIMIENTOS!$A$5:$A$400=DATE(2026,7,13))*(MOVIMIENTOS!$B$5:$B$400="COMPRA")*MOVIMIENTOS!$I$5:$I$400)</f>
        <v>3880</v>
      </c>
      <c r="D14" s="53" t="n">
        <f aca="false">SUMPRODUCT((MOVIMIENTOS!$A$5:$A$400=DATE(2026,7,13))*(MOVIMIENTOS!$B$5:$B$400="PROCESO")*MOVIMIENTOS!$I$5:$I$400)</f>
        <v>4071</v>
      </c>
      <c r="E14" s="53" t="n">
        <f aca="false">SUMPRODUCT((MOVIMIENTOS!$A$5:$A$400=DATE(2026,7,13))*((MOVIMIENTOS!$B$5:$B$400="ENVÍO A SUPESA")+(MOVIMIENTOS!$B$5:$B$400="ENVÍO A TOTTUS")+(MOVIMIENTOS!$B$5:$B$400="ENVIO A TOTTUS"))*MOVIMIENTOS!$I$5:$I$400)</f>
        <v>3056</v>
      </c>
      <c r="F14" s="52" t="str">
        <f aca="false">"Selección: "&amp;TEXT(SUMPRODUCT((MOVIMIENTOS!$A$5:$A$400=DATE(2026,7,13))*(MOVIMIENTOS!$B$5:$B$400="PROCESO")*(MOVIMIENTOS!$C$5:$C$400&lt;&gt;"Chancho")*MOVIMIENTOS!$I$5:$I$400),"#,##0")&amp;" kg  ·  Chancho: "&amp;TEXT(SUMPRODUCT((MOVIMIENTOS!$A$5:$A$400=DATE(2026,7,13))*(MOVIMIENTOS!$B$5:$B$400="PROCESO")*(MOVIMIENTOS!$C$5:$C$400="Chancho")*MOVIMIENTOS!$I$5:$I$400),"#,##0")&amp;" kg"&amp;IF(C14&gt;0,"  ·  "&amp;TEXT(D14/C14,"0%")&amp;" del ingreso","")</f>
        <v>Selección: 3,877 kg  ·  Chancho: 194 kg  ·  105% del ingreso</v>
      </c>
      <c r="G14" s="53" t="n">
        <f aca="false">N(G18)</f>
        <v>1003</v>
      </c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</row>
    <row r="15" customFormat="false" ht="15" hidden="false" customHeight="true" outlineLevel="0" collapsed="false">
      <c r="A15" s="55" t="n">
        <v>46216</v>
      </c>
      <c r="B15" s="56" t="s">
        <v>90</v>
      </c>
      <c r="C15" s="57" t="n">
        <f aca="false">N(MOVIMIENTOS!$I19)</f>
        <v>3880</v>
      </c>
      <c r="D15" s="57"/>
      <c r="E15" s="57"/>
      <c r="F15" s="56" t="str">
        <f aca="false">TRIM(IF(MOVIMIENTOS!$G19&lt;&gt;"",MOVIMIENTOS!$G19&amp;"  ","")&amp;IF(N(MOVIMIENTOS!$E19)&gt;0,MOVIMIENTOS!$E19&amp;" "&amp;MOVIMIENTOS!$D19&amp;"  ","")&amp;IF(MOVIMIENTOS!$H19&lt;&gt;"",MOVIMIENTOS!$H19,""))</f>
        <v>40 sacos peso aprox 95 kg/saco</v>
      </c>
      <c r="G15" s="57" t="n">
        <f aca="false">N(G13)+N(C15)-N(E15)</f>
        <v>4253</v>
      </c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</row>
    <row r="16" customFormat="false" ht="15" hidden="false" customHeight="true" outlineLevel="0" collapsed="false">
      <c r="A16" s="58" t="n">
        <v>46216</v>
      </c>
      <c r="B16" s="59" t="s">
        <v>91</v>
      </c>
      <c r="C16" s="60"/>
      <c r="D16" s="60" t="n">
        <f aca="false">SUMPRODUCT((MOVIMIENTOS!$A$5:$A$400=DATE(2026,7,13))*(MOVIMIENTOS!$B$5:$B$400="PROCESO")*(MOVIMIENTOS!$C$5:$C$400&lt;&gt;"Chancho")*MOVIMIENTOS!$I$5:$I$400)</f>
        <v>3877</v>
      </c>
      <c r="E16" s="60"/>
      <c r="F16" s="59" t="s">
        <v>95</v>
      </c>
      <c r="G16" s="60" t="n">
        <f aca="false">N(G15)</f>
        <v>4253</v>
      </c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</row>
    <row r="17" customFormat="false" ht="15" hidden="false" customHeight="true" outlineLevel="0" collapsed="false">
      <c r="A17" s="45" t="n">
        <v>46216</v>
      </c>
      <c r="B17" s="54" t="s">
        <v>93</v>
      </c>
      <c r="C17" s="46"/>
      <c r="D17" s="46" t="n">
        <f aca="false">N(MOVIMIENTOS!$I24)</f>
        <v>194</v>
      </c>
      <c r="E17" s="46" t="n">
        <f aca="false">N(MOVIMIENTOS!$I24)</f>
        <v>194</v>
      </c>
      <c r="F17" s="54" t="str">
        <f aca="false">TRIM(IF(MOVIMIENTOS!$G24&lt;&gt;"",MOVIMIENTOS!$G24&amp;"  ","")&amp;IF(N(MOVIMIENTOS!$E24)&gt;0,MOVIMIENTOS!$E24&amp;" "&amp;MOVIMIENTOS!$D24&amp;"  ","")&amp;IF(MOVIMIENTOS!$H24&lt;&gt;"",MOVIMIENTOS!$H24,""))</f>
        <v>2 sacos</v>
      </c>
      <c r="G17" s="46" t="n">
        <f aca="false">N(G16)+N(C17)-N(E17)</f>
        <v>4059</v>
      </c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</row>
    <row r="18" customFormat="false" ht="33.75" hidden="false" customHeight="true" outlineLevel="0" collapsed="false">
      <c r="A18" s="45" t="n">
        <v>46216</v>
      </c>
      <c r="B18" s="54" t="s">
        <v>23</v>
      </c>
      <c r="C18" s="46"/>
      <c r="D18" s="46"/>
      <c r="E18" s="46" t="n">
        <f aca="false">N(MOVIMIENTOS!$I25)+N(MOVIMIENTOS!$I26)+N(MOVIMIENTOS!$I27)+N(MOVIMIENTOS!$I28)</f>
        <v>3056</v>
      </c>
      <c r="F18" s="54" t="s">
        <v>96</v>
      </c>
      <c r="G18" s="46" t="n">
        <f aca="false">N(G17)+N(C18)-N(E18)</f>
        <v>1003</v>
      </c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</row>
    <row r="19" customFormat="false" ht="33.75" hidden="false" customHeight="true" outlineLevel="0" collapsed="false">
      <c r="A19" s="51" t="n">
        <v>46217</v>
      </c>
      <c r="B19" s="52" t="s">
        <v>87</v>
      </c>
      <c r="C19" s="53" t="n">
        <f aca="false">SUMPRODUCT((MOVIMIENTOS!$A$5:$A$400=DATE(2026,7,14))*(MOVIMIENTOS!$B$5:$B$400="COMPRA")*MOVIMIENTOS!$I$5:$I$400)</f>
        <v>3880</v>
      </c>
      <c r="D19" s="53" t="n">
        <f aca="false">SUMPRODUCT((MOVIMIENTOS!$A$5:$A$400=DATE(2026,7,14))*(MOVIMIENTOS!$B$5:$B$400="PROCESO")*MOVIMIENTOS!$I$5:$I$400)</f>
        <v>3813</v>
      </c>
      <c r="E19" s="53" t="n">
        <f aca="false">SUMPRODUCT((MOVIMIENTOS!$A$5:$A$400=DATE(2026,7,14))*((MOVIMIENTOS!$B$5:$B$400="ENVÍO A SUPESA")+(MOVIMIENTOS!$B$5:$B$400="ENVÍO A TOTTUS")+(MOVIMIENTOS!$B$5:$B$400="ENVIO A TOTTUS"))*MOVIMIENTOS!$I$5:$I$400)</f>
        <v>3379</v>
      </c>
      <c r="F19" s="52" t="str">
        <f aca="false">"Selección: "&amp;TEXT(SUMPRODUCT((MOVIMIENTOS!$A$5:$A$400=DATE(2026,7,14))*(MOVIMIENTOS!$B$5:$B$400="PROCESO")*(MOVIMIENTOS!$C$5:$C$400&lt;&gt;"Chancho")*MOVIMIENTOS!$I$5:$I$400),"#,##0")&amp;" kg  ·  Chancho: "&amp;TEXT(SUMPRODUCT((MOVIMIENTOS!$A$5:$A$400=DATE(2026,7,14))*(MOVIMIENTOS!$B$5:$B$400="PROCESO")*(MOVIMIENTOS!$C$5:$C$400="Chancho")*MOVIMIENTOS!$I$5:$I$400),"#,##0")&amp;" kg"&amp;IF(C19&gt;0,"  ·  "&amp;TEXT(D19/C19,"0%")&amp;" del ingreso","")</f>
        <v>Selección: 3,134 kg  ·  Chancho: 679 kg  ·  98% del ingreso</v>
      </c>
      <c r="G19" s="53" t="n">
        <f aca="false">N(G23)</f>
        <v>825</v>
      </c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</row>
    <row r="20" customFormat="false" ht="15" hidden="false" customHeight="true" outlineLevel="0" collapsed="false">
      <c r="A20" s="55" t="n">
        <v>46217</v>
      </c>
      <c r="B20" s="56" t="s">
        <v>90</v>
      </c>
      <c r="C20" s="57" t="n">
        <f aca="false">N(MOVIMIENTOS!$I29)</f>
        <v>3880</v>
      </c>
      <c r="D20" s="57"/>
      <c r="E20" s="57"/>
      <c r="F20" s="56" t="str">
        <f aca="false">TRIM(IF(MOVIMIENTOS!$G29&lt;&gt;"",MOVIMIENTOS!$G29&amp;"  ","")&amp;IF(N(MOVIMIENTOS!$E29)&gt;0,MOVIMIENTOS!$E29&amp;" "&amp;MOVIMIENTOS!$D29&amp;"  ","")&amp;IF(MOVIMIENTOS!$H29&lt;&gt;"",MOVIMIENTOS!$H29,""))</f>
        <v>40 sacos peso aprox 95 kg/saco</v>
      </c>
      <c r="G20" s="57" t="n">
        <f aca="false">N(G18)+N(C20)-N(E20)</f>
        <v>4883</v>
      </c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</row>
    <row r="21" customFormat="false" ht="15" hidden="false" customHeight="true" outlineLevel="0" collapsed="false">
      <c r="A21" s="58" t="n">
        <v>46217</v>
      </c>
      <c r="B21" s="59" t="s">
        <v>91</v>
      </c>
      <c r="C21" s="60"/>
      <c r="D21" s="60" t="n">
        <f aca="false">SUMPRODUCT((MOVIMIENTOS!$A$5:$A$400=DATE(2026,7,14))*(MOVIMIENTOS!$B$5:$B$400="PROCESO")*(MOVIMIENTOS!$C$5:$C$400&lt;&gt;"Chancho")*MOVIMIENTOS!$I$5:$I$400)</f>
        <v>3134</v>
      </c>
      <c r="E21" s="60"/>
      <c r="F21" s="59" t="s">
        <v>97</v>
      </c>
      <c r="G21" s="60" t="n">
        <f aca="false">N(G20)</f>
        <v>4883</v>
      </c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</row>
    <row r="22" customFormat="false" ht="15" hidden="false" customHeight="true" outlineLevel="0" collapsed="false">
      <c r="A22" s="45" t="n">
        <v>46217</v>
      </c>
      <c r="B22" s="54" t="s">
        <v>93</v>
      </c>
      <c r="C22" s="46"/>
      <c r="D22" s="46" t="n">
        <f aca="false">N(MOVIMIENTOS!$I34)</f>
        <v>679</v>
      </c>
      <c r="E22" s="46" t="n">
        <f aca="false">N(MOVIMIENTOS!$I34)</f>
        <v>679</v>
      </c>
      <c r="F22" s="54" t="str">
        <f aca="false">TRIM(IF(MOVIMIENTOS!$G34&lt;&gt;"",MOVIMIENTOS!$G34&amp;"  ","")&amp;IF(N(MOVIMIENTOS!$E34)&gt;0,MOVIMIENTOS!$E34&amp;" "&amp;MOVIMIENTOS!$D34&amp;"  ","")&amp;IF(MOVIMIENTOS!$H34&lt;&gt;"",MOVIMIENTOS!$H34,""))</f>
        <v>7 sacos</v>
      </c>
      <c r="G22" s="46" t="n">
        <f aca="false">N(G21)+N(C22)-N(E22)</f>
        <v>4204</v>
      </c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</row>
    <row r="23" customFormat="false" ht="15" hidden="false" customHeight="true" outlineLevel="0" collapsed="false">
      <c r="A23" s="45" t="n">
        <v>46217</v>
      </c>
      <c r="B23" s="54" t="s">
        <v>23</v>
      </c>
      <c r="C23" s="46"/>
      <c r="D23" s="46"/>
      <c r="E23" s="46" t="n">
        <f aca="false">N(MOVIMIENTOS!$I35)+N(MOVIMIENTOS!$I36)+N(MOVIMIENTOS!$I37)+N(MOVIMIENTOS!$I38)</f>
        <v>3379</v>
      </c>
      <c r="F23" s="54" t="s">
        <v>98</v>
      </c>
      <c r="G23" s="46" t="n">
        <f aca="false">N(G22)+N(C23)-N(E23)</f>
        <v>825</v>
      </c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</row>
    <row r="24" customFormat="false" ht="33.75" hidden="false" customHeight="true" outlineLevel="0" collapsed="false">
      <c r="A24" s="51" t="n">
        <v>46218</v>
      </c>
      <c r="B24" s="52" t="s">
        <v>87</v>
      </c>
      <c r="C24" s="53" t="n">
        <f aca="false">SUMPRODUCT((MOVIMIENTOS!$A$5:$A$400=DATE(2026,7,15))*(MOVIMIENTOS!$B$5:$B$400="COMPRA")*MOVIMIENTOS!$I$5:$I$400)</f>
        <v>3880</v>
      </c>
      <c r="D24" s="53" t="n">
        <f aca="false">SUMPRODUCT((MOVIMIENTOS!$A$5:$A$400=DATE(2026,7,15))*(MOVIMIENTOS!$B$5:$B$400="PROCESO")*MOVIMIENTOS!$I$5:$I$400)</f>
        <v>3834</v>
      </c>
      <c r="E24" s="53" t="n">
        <f aca="false">SUMPRODUCT((MOVIMIENTOS!$A$5:$A$400=DATE(2026,7,15))*((MOVIMIENTOS!$B$5:$B$400="ENVÍO A SUPESA")+(MOVIMIENTOS!$B$5:$B$400="ENVÍO A TOTTUS")+(MOVIMIENTOS!$B$5:$B$400="ENVIO A TOTTUS"))*MOVIMIENTOS!$I$5:$I$400)</f>
        <v>2971</v>
      </c>
      <c r="F24" s="52" t="str">
        <f aca="false">"Selección: "&amp;TEXT(SUMPRODUCT((MOVIMIENTOS!$A$5:$A$400=DATE(2026,7,15))*(MOVIMIENTOS!$B$5:$B$400="PROCESO")*(MOVIMIENTOS!$C$5:$C$400&lt;&gt;"Chancho")*MOVIMIENTOS!$I$5:$I$400),"#,##0")&amp;" kg  ·  Chancho: "&amp;TEXT(SUMPRODUCT((MOVIMIENTOS!$A$5:$A$400=DATE(2026,7,15))*(MOVIMIENTOS!$B$5:$B$400="PROCESO")*(MOVIMIENTOS!$C$5:$C$400="Chancho")*MOVIMIENTOS!$I$5:$I$400),"#,##0")&amp;" kg"&amp;IF(C24&gt;0,"  ·  "&amp;TEXT(D24/C24,"0%")&amp;" del ingreso","")</f>
        <v>Selección: 3,349 kg  ·  Chancho: 485 kg  ·  99% del ingreso</v>
      </c>
      <c r="G24" s="53" t="n">
        <f aca="false">N(G29)</f>
        <v>1249</v>
      </c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</row>
    <row r="25" customFormat="false" ht="15" hidden="false" customHeight="true" outlineLevel="0" collapsed="false">
      <c r="A25" s="55" t="n">
        <v>46218</v>
      </c>
      <c r="B25" s="56" t="s">
        <v>90</v>
      </c>
      <c r="C25" s="57" t="n">
        <f aca="false">N(MOVIMIENTOS!$I39)</f>
        <v>3880</v>
      </c>
      <c r="D25" s="57"/>
      <c r="E25" s="57"/>
      <c r="F25" s="56" t="str">
        <f aca="false">TRIM(IF(MOVIMIENTOS!$G39&lt;&gt;"",MOVIMIENTOS!$G39&amp;"  ","")&amp;IF(N(MOVIMIENTOS!$E39)&gt;0,MOVIMIENTOS!$E39&amp;" "&amp;MOVIMIENTOS!$D39&amp;"  ","")&amp;IF(MOVIMIENTOS!$H39&lt;&gt;"",MOVIMIENTOS!$H39,""))</f>
        <v>40 sacos peso aprox 95 kg/saco</v>
      </c>
      <c r="G25" s="57" t="n">
        <f aca="false">N(G23)+N(C25)-N(E25)</f>
        <v>4705</v>
      </c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</row>
    <row r="26" customFormat="false" ht="33.75" hidden="false" customHeight="true" outlineLevel="0" collapsed="false">
      <c r="A26" s="58" t="n">
        <v>46218</v>
      </c>
      <c r="B26" s="59" t="s">
        <v>91</v>
      </c>
      <c r="C26" s="60"/>
      <c r="D26" s="60" t="n">
        <f aca="false">SUMPRODUCT((MOVIMIENTOS!$A$5:$A$400=DATE(2026,7,15))*(MOVIMIENTOS!$B$5:$B$400="PROCESO")*(MOVIMIENTOS!$C$5:$C$400&lt;&gt;"Chancho")*MOVIMIENTOS!$I$5:$I$400)</f>
        <v>3349</v>
      </c>
      <c r="E26" s="60"/>
      <c r="F26" s="59" t="s">
        <v>99</v>
      </c>
      <c r="G26" s="60" t="n">
        <f aca="false">N(G25)</f>
        <v>4705</v>
      </c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</row>
    <row r="27" customFormat="false" ht="15" hidden="false" customHeight="true" outlineLevel="0" collapsed="false">
      <c r="A27" s="45" t="n">
        <v>46218</v>
      </c>
      <c r="B27" s="54" t="s">
        <v>93</v>
      </c>
      <c r="C27" s="46"/>
      <c r="D27" s="46" t="n">
        <f aca="false">N(MOVIMIENTOS!$I44)</f>
        <v>485</v>
      </c>
      <c r="E27" s="46" t="n">
        <f aca="false">N(MOVIMIENTOS!$I44)</f>
        <v>485</v>
      </c>
      <c r="F27" s="54" t="str">
        <f aca="false">TRIM(IF(MOVIMIENTOS!$G44&lt;&gt;"",MOVIMIENTOS!$G44&amp;"  ","")&amp;IF(N(MOVIMIENTOS!$E44)&gt;0,MOVIMIENTOS!$E44&amp;" "&amp;MOVIMIENTOS!$D44&amp;"  ","")&amp;IF(MOVIMIENTOS!$H44&lt;&gt;"",MOVIMIENTOS!$H44,""))</f>
        <v>5 sacos</v>
      </c>
      <c r="G27" s="46" t="n">
        <f aca="false">N(G26)+N(C27)-N(E27)</f>
        <v>4220</v>
      </c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</row>
    <row r="28" customFormat="false" ht="15" hidden="false" customHeight="true" outlineLevel="0" collapsed="false">
      <c r="A28" s="45" t="n">
        <v>46218</v>
      </c>
      <c r="B28" s="54" t="s">
        <v>23</v>
      </c>
      <c r="C28" s="46"/>
      <c r="D28" s="46"/>
      <c r="E28" s="46" t="n">
        <f aca="false">N(MOVIMIENTOS!$I45)+N(MOVIMIENTOS!$I46)+N(MOVIMIENTOS!$I47)+N(MOVIMIENTOS!$I48)</f>
        <v>2971</v>
      </c>
      <c r="F28" s="54" t="s">
        <v>100</v>
      </c>
      <c r="G28" s="46" t="n">
        <f aca="false">N(G27)+N(C28)-N(E28)</f>
        <v>1249</v>
      </c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customFormat="false" ht="15" hidden="false" customHeight="true" outlineLevel="0" collapsed="false">
      <c r="A29" s="45" t="n">
        <v>46218</v>
      </c>
      <c r="B29" s="54" t="s">
        <v>28</v>
      </c>
      <c r="C29" s="46"/>
      <c r="D29" s="46"/>
      <c r="E29" s="46"/>
      <c r="F29" s="54" t="str">
        <f aca="false">TRIM(IF(MOVIMIENTOS!$G49&lt;&gt;"",MOVIMIENTOS!$G49&amp;"  ","")&amp;IF(N(MOVIMIENTOS!$E49)&gt;0,MOVIMIENTOS!$E49&amp;" "&amp;MOVIMIENTOS!$D49&amp;"  ","")&amp;IF(MOVIMIENTOS!$H49&lt;&gt;"",MOVIMIENTOS!$H49,""))</f>
        <v>TCK002-724 35 sacos</v>
      </c>
      <c r="G29" s="46" t="n">
        <f aca="false">N(G28)+N(C29)-N(E29)</f>
        <v>1249</v>
      </c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</row>
    <row r="30" customFormat="false" ht="33.75" hidden="false" customHeight="true" outlineLevel="0" collapsed="false">
      <c r="A30" s="51" t="n">
        <v>46219</v>
      </c>
      <c r="B30" s="52" t="s">
        <v>87</v>
      </c>
      <c r="C30" s="53" t="n">
        <f aca="false">SUMPRODUCT((MOVIMIENTOS!$A$5:$A$400=DATE(2026,7,16))*(MOVIMIENTOS!$B$5:$B$400="COMPRA")*MOVIMIENTOS!$I$5:$I$400)</f>
        <v>3880</v>
      </c>
      <c r="D30" s="53" t="n">
        <f aca="false">SUMPRODUCT((MOVIMIENTOS!$A$5:$A$400=DATE(2026,7,16))*(MOVIMIENTOS!$B$5:$B$400="PROCESO")*MOVIMIENTOS!$I$5:$I$400)</f>
        <v>3782</v>
      </c>
      <c r="E30" s="53" t="n">
        <f aca="false">SUMPRODUCT((MOVIMIENTOS!$A$5:$A$400=DATE(2026,7,16))*((MOVIMIENTOS!$B$5:$B$400="ENVÍO A SUPESA")+(MOVIMIENTOS!$B$5:$B$400="ENVÍO A TOTTUS")+(MOVIMIENTOS!$B$5:$B$400="ENVIO A TOTTUS"))*MOVIMIENTOS!$I$5:$I$400)</f>
        <v>3302</v>
      </c>
      <c r="F30" s="52" t="str">
        <f aca="false">"Selección: "&amp;TEXT(SUMPRODUCT((MOVIMIENTOS!$A$5:$A$400=DATE(2026,7,16))*(MOVIMIENTOS!$B$5:$B$400="PROCESO")*(MOVIMIENTOS!$C$5:$C$400&lt;&gt;"Chancho")*MOVIMIENTOS!$I$5:$I$400),"#,##0")&amp;" kg  ·  Chancho: "&amp;TEXT(SUMPRODUCT((MOVIMIENTOS!$A$5:$A$400=DATE(2026,7,16))*(MOVIMIENTOS!$B$5:$B$400="PROCESO")*(MOVIMIENTOS!$C$5:$C$400="Chancho")*MOVIMIENTOS!$I$5:$I$400),"#,##0")&amp;" kg"&amp;IF(C30&gt;0,"  ·  "&amp;TEXT(D30/C30,"0%")&amp;" del ingreso","")</f>
        <v>Selección: 3,394 kg  ·  Chancho: 388 kg  ·  97% del ingreso</v>
      </c>
      <c r="G30" s="53" t="n">
        <f aca="false">N(G34)</f>
        <v>1439</v>
      </c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</row>
    <row r="31" customFormat="false" ht="15" hidden="false" customHeight="true" outlineLevel="0" collapsed="false">
      <c r="A31" s="55" t="n">
        <v>46219</v>
      </c>
      <c r="B31" s="56" t="s">
        <v>90</v>
      </c>
      <c r="C31" s="57" t="n">
        <f aca="false">N(MOVIMIENTOS!$I50)</f>
        <v>3880</v>
      </c>
      <c r="D31" s="57"/>
      <c r="E31" s="57"/>
      <c r="F31" s="56" t="str">
        <f aca="false">TRIM(IF(MOVIMIENTOS!$G50&lt;&gt;"",MOVIMIENTOS!$G50&amp;"  ","")&amp;IF(N(MOVIMIENTOS!$E50)&gt;0,MOVIMIENTOS!$E50&amp;" "&amp;MOVIMIENTOS!$D50&amp;"  ","")&amp;IF(MOVIMIENTOS!$H50&lt;&gt;"",MOVIMIENTOS!$H50,""))</f>
        <v>40 sacos peso aprox 95 kg/saco</v>
      </c>
      <c r="G31" s="57" t="n">
        <f aca="false">N(G29)+N(C31)-N(E31)</f>
        <v>5129</v>
      </c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</row>
    <row r="32" customFormat="false" ht="15" hidden="false" customHeight="true" outlineLevel="0" collapsed="false">
      <c r="A32" s="58" t="n">
        <v>46219</v>
      </c>
      <c r="B32" s="59" t="s">
        <v>91</v>
      </c>
      <c r="C32" s="60"/>
      <c r="D32" s="60" t="n">
        <f aca="false">SUMPRODUCT((MOVIMIENTOS!$A$5:$A$400=DATE(2026,7,16))*(MOVIMIENTOS!$B$5:$B$400="PROCESO")*(MOVIMIENTOS!$C$5:$C$400&lt;&gt;"Chancho")*MOVIMIENTOS!$I$5:$I$400)</f>
        <v>3394</v>
      </c>
      <c r="E32" s="60"/>
      <c r="F32" s="59" t="s">
        <v>101</v>
      </c>
      <c r="G32" s="60" t="n">
        <f aca="false">N(G31)</f>
        <v>5129</v>
      </c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</row>
    <row r="33" customFormat="false" ht="15" hidden="false" customHeight="true" outlineLevel="0" collapsed="false">
      <c r="A33" s="45" t="n">
        <v>46219</v>
      </c>
      <c r="B33" s="54" t="s">
        <v>93</v>
      </c>
      <c r="C33" s="46"/>
      <c r="D33" s="46" t="n">
        <f aca="false">N(MOVIMIENTOS!$I55)</f>
        <v>388</v>
      </c>
      <c r="E33" s="46" t="n">
        <f aca="false">N(MOVIMIENTOS!$I55)</f>
        <v>388</v>
      </c>
      <c r="F33" s="54" t="str">
        <f aca="false">TRIM(IF(MOVIMIENTOS!$G55&lt;&gt;"",MOVIMIENTOS!$G55&amp;"  ","")&amp;IF(N(MOVIMIENTOS!$E55)&gt;0,MOVIMIENTOS!$E55&amp;" "&amp;MOVIMIENTOS!$D55&amp;"  ","")&amp;IF(MOVIMIENTOS!$H55&lt;&gt;"",MOVIMIENTOS!$H55,""))</f>
        <v>4 sacos</v>
      </c>
      <c r="G33" s="46" t="n">
        <f aca="false">N(G32)+N(C33)-N(E33)</f>
        <v>4741</v>
      </c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</row>
    <row r="34" customFormat="false" ht="33.75" hidden="false" customHeight="true" outlineLevel="0" collapsed="false">
      <c r="A34" s="45" t="n">
        <v>46219</v>
      </c>
      <c r="B34" s="54" t="s">
        <v>23</v>
      </c>
      <c r="C34" s="46"/>
      <c r="D34" s="46"/>
      <c r="E34" s="46" t="n">
        <f aca="false">N(MOVIMIENTOS!$I56)+N(MOVIMIENTOS!$I57)+N(MOVIMIENTOS!$I58)+N(MOVIMIENTOS!$I59)</f>
        <v>3302</v>
      </c>
      <c r="F34" s="54" t="s">
        <v>102</v>
      </c>
      <c r="G34" s="46" t="n">
        <f aca="false">N(G33)+N(C34)-N(E34)</f>
        <v>1439</v>
      </c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</row>
    <row r="35" customFormat="false" ht="33.75" hidden="false" customHeight="true" outlineLevel="0" collapsed="false">
      <c r="A35" s="51" t="n">
        <v>46220</v>
      </c>
      <c r="B35" s="52" t="s">
        <v>87</v>
      </c>
      <c r="C35" s="53" t="n">
        <f aca="false">SUMPRODUCT((MOVIMIENTOS!$A$5:$A$400=DATE(2026,7,17))*(MOVIMIENTOS!$B$5:$B$400="COMPRA")*MOVIMIENTOS!$I$5:$I$400)</f>
        <v>6305</v>
      </c>
      <c r="D35" s="53" t="n">
        <f aca="false">SUMPRODUCT((MOVIMIENTOS!$A$5:$A$400=DATE(2026,7,17))*(MOVIMIENTOS!$B$5:$B$400="PROCESO")*MOVIMIENTOS!$I$5:$I$400)</f>
        <v>6169</v>
      </c>
      <c r="E35" s="53" t="n">
        <f aca="false">SUMPRODUCT((MOVIMIENTOS!$A$5:$A$400=DATE(2026,7,17))*((MOVIMIENTOS!$B$5:$B$400="ENVÍO A SUPESA")+(MOVIMIENTOS!$B$5:$B$400="ENVÍO A TOTTUS")+(MOVIMIENTOS!$B$5:$B$400="ENVIO A TOTTUS"))*MOVIMIENTOS!$I$5:$I$400)</f>
        <v>3413</v>
      </c>
      <c r="F35" s="52" t="str">
        <f aca="false">"Selección: "&amp;TEXT(SUMPRODUCT((MOVIMIENTOS!$A$5:$A$400=DATE(2026,7,17))*(MOVIMIENTOS!$B$5:$B$400="PROCESO")*(MOVIMIENTOS!$C$5:$C$400&lt;&gt;"Chancho")*MOVIMIENTOS!$I$5:$I$400),"#,##0")&amp;" kg  ·  Chancho: "&amp;TEXT(SUMPRODUCT((MOVIMIENTOS!$A$5:$A$400=DATE(2026,7,17))*(MOVIMIENTOS!$B$5:$B$400="PROCESO")*(MOVIMIENTOS!$C$5:$C$400="Chancho")*MOVIMIENTOS!$I$5:$I$400),"#,##0")&amp;" kg"&amp;IF(C35&gt;0,"  ·  "&amp;TEXT(D35/C35,"0%")&amp;" del ingreso","")</f>
        <v>Selección: 5,102 kg  ·  Chancho: 1,067 kg  ·  98% del ingreso</v>
      </c>
      <c r="G35" s="53" t="n">
        <f aca="false">N(G42)</f>
        <v>3264</v>
      </c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</row>
    <row r="36" customFormat="false" ht="15" hidden="false" customHeight="true" outlineLevel="0" collapsed="false">
      <c r="A36" s="55" t="n">
        <v>46220</v>
      </c>
      <c r="B36" s="56" t="s">
        <v>90</v>
      </c>
      <c r="C36" s="57" t="n">
        <f aca="false">N(MOVIMIENTOS!$I60)</f>
        <v>5820</v>
      </c>
      <c r="D36" s="57"/>
      <c r="E36" s="57"/>
      <c r="F36" s="56" t="str">
        <f aca="false">TRIM(IF(MOVIMIENTOS!$G60&lt;&gt;"",MOVIMIENTOS!$G60&amp;"  ","")&amp;IF(N(MOVIMIENTOS!$E60)&gt;0,MOVIMIENTOS!$E60&amp;" "&amp;MOVIMIENTOS!$D60&amp;"  ","")&amp;IF(MOVIMIENTOS!$H60&lt;&gt;"",MOVIMIENTOS!$H60,""))</f>
        <v>60 sacos peso aprox 95 kg/saco</v>
      </c>
      <c r="G36" s="57" t="n">
        <f aca="false">N(G34)+N(C36)-N(E36)</f>
        <v>7259</v>
      </c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</row>
    <row r="37" customFormat="false" ht="15" hidden="false" customHeight="true" outlineLevel="0" collapsed="false">
      <c r="A37" s="58" t="n">
        <v>46220</v>
      </c>
      <c r="B37" s="59" t="s">
        <v>91</v>
      </c>
      <c r="C37" s="60"/>
      <c r="D37" s="60" t="n">
        <f aca="false">SUMPRODUCT((MOVIMIENTOS!$A$5:$A$400=DATE(2026,7,17))*(MOVIMIENTOS!$B$5:$B$400="PROCESO")*(MOVIMIENTOS!$C$5:$C$400&lt;&gt;"Chancho")*MOVIMIENTOS!$I$5:$I$400)</f>
        <v>5102</v>
      </c>
      <c r="E37" s="60"/>
      <c r="F37" s="59" t="s">
        <v>103</v>
      </c>
      <c r="G37" s="60" t="n">
        <f aca="false">N(G36)</f>
        <v>7259</v>
      </c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</row>
    <row r="38" customFormat="false" ht="15" hidden="false" customHeight="true" outlineLevel="0" collapsed="false">
      <c r="A38" s="45" t="n">
        <v>46220</v>
      </c>
      <c r="B38" s="54" t="s">
        <v>93</v>
      </c>
      <c r="C38" s="46"/>
      <c r="D38" s="46" t="n">
        <f aca="false">N(MOVIMIENTOS!$I65)</f>
        <v>970</v>
      </c>
      <c r="E38" s="46" t="n">
        <f aca="false">N(MOVIMIENTOS!$I65)</f>
        <v>970</v>
      </c>
      <c r="F38" s="54" t="str">
        <f aca="false">TRIM(IF(MOVIMIENTOS!$G65&lt;&gt;"",MOVIMIENTOS!$G65&amp;"  ","")&amp;IF(N(MOVIMIENTOS!$E65)&gt;0,MOVIMIENTOS!$E65&amp;" "&amp;MOVIMIENTOS!$D65&amp;"  ","")&amp;IF(MOVIMIENTOS!$H65&lt;&gt;"",MOVIMIENTOS!$H65,""))</f>
        <v>10 sacos</v>
      </c>
      <c r="G38" s="46" t="n">
        <f aca="false">N(G37)+N(C38)-N(E38)</f>
        <v>6289</v>
      </c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</row>
    <row r="39" customFormat="false" ht="15" hidden="false" customHeight="true" outlineLevel="0" collapsed="false">
      <c r="A39" s="45" t="n">
        <v>46220</v>
      </c>
      <c r="B39" s="54" t="s">
        <v>23</v>
      </c>
      <c r="C39" s="46"/>
      <c r="D39" s="46"/>
      <c r="E39" s="46" t="n">
        <f aca="false">N(MOVIMIENTOS!$I66)+N(MOVIMIENTOS!$I67)+N(MOVIMIENTOS!$I68)+N(MOVIMIENTOS!$I69)</f>
        <v>3413</v>
      </c>
      <c r="F39" s="54" t="s">
        <v>104</v>
      </c>
      <c r="G39" s="46" t="n">
        <f aca="false">N(G38)+N(C39)-N(E39)</f>
        <v>2876</v>
      </c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</row>
    <row r="40" customFormat="false" ht="15" hidden="false" customHeight="true" outlineLevel="0" collapsed="false">
      <c r="A40" s="45" t="n">
        <v>46220</v>
      </c>
      <c r="B40" s="54" t="s">
        <v>28</v>
      </c>
      <c r="C40" s="46"/>
      <c r="D40" s="46"/>
      <c r="E40" s="46"/>
      <c r="F40" s="54" t="str">
        <f aca="false">TRIM(IF(MOVIMIENTOS!$G70&lt;&gt;"",MOVIMIENTOS!$G70&amp;"  ","")&amp;IF(N(MOVIMIENTOS!$E70)&gt;0,MOVIMIENTOS!$E70&amp;" "&amp;MOVIMIENTOS!$D70&amp;"  ","")&amp;IF(MOVIMIENTOS!$H70&lt;&gt;"",MOVIMIENTOS!$H70,""))</f>
        <v>TCK002-725 15 sacos</v>
      </c>
      <c r="G40" s="46" t="n">
        <f aca="false">N(G39)+N(C40)-N(E40)</f>
        <v>2876</v>
      </c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</row>
    <row r="41" customFormat="false" ht="15" hidden="false" customHeight="true" outlineLevel="0" collapsed="false">
      <c r="A41" s="55" t="n">
        <v>46220</v>
      </c>
      <c r="B41" s="56" t="s">
        <v>90</v>
      </c>
      <c r="C41" s="57" t="n">
        <f aca="false">N(MOVIMIENTOS!$I71)</f>
        <v>485</v>
      </c>
      <c r="D41" s="57"/>
      <c r="E41" s="57"/>
      <c r="F41" s="56" t="str">
        <f aca="false">TRIM(IF(MOVIMIENTOS!$G71&lt;&gt;"",MOVIMIENTOS!$G71&amp;"  ","")&amp;IF(N(MOVIMIENTOS!$E71)&gt;0,MOVIMIENTOS!$E71&amp;" "&amp;MOVIMIENTOS!$D71&amp;"  ","")&amp;IF(MOVIMIENTOS!$H71&lt;&gt;"",MOVIMIENTOS!$H71,""))</f>
        <v>5 sacos peso aprox 95 kg/saco</v>
      </c>
      <c r="G41" s="57" t="n">
        <f aca="false">N(G40)+N(C41)-N(E41)</f>
        <v>3361</v>
      </c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</row>
    <row r="42" customFormat="false" ht="15" hidden="false" customHeight="true" outlineLevel="0" collapsed="false">
      <c r="A42" s="45" t="n">
        <v>46220</v>
      </c>
      <c r="B42" s="54" t="s">
        <v>93</v>
      </c>
      <c r="C42" s="46"/>
      <c r="D42" s="46" t="n">
        <f aca="false">N(MOVIMIENTOS!$I74)</f>
        <v>97</v>
      </c>
      <c r="E42" s="46" t="n">
        <f aca="false">N(MOVIMIENTOS!$I74)</f>
        <v>97</v>
      </c>
      <c r="F42" s="54" t="str">
        <f aca="false">TRIM(IF(MOVIMIENTOS!$G74&lt;&gt;"",MOVIMIENTOS!$G74&amp;"  ","")&amp;IF(N(MOVIMIENTOS!$E74)&gt;0,MOVIMIENTOS!$E74&amp;" "&amp;MOVIMIENTOS!$D74&amp;"  ","")&amp;IF(MOVIMIENTOS!$H74&lt;&gt;"",MOVIMIENTOS!$H74,""))</f>
        <v>1 sacos</v>
      </c>
      <c r="G42" s="46" t="n">
        <f aca="false">N(G41)+N(C42)-N(E42)</f>
        <v>3264</v>
      </c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</row>
    <row r="43" customFormat="false" ht="33.75" hidden="false" customHeight="true" outlineLevel="0" collapsed="false">
      <c r="A43" s="51" t="n">
        <v>46221</v>
      </c>
      <c r="B43" s="52" t="s">
        <v>87</v>
      </c>
      <c r="C43" s="53" t="n">
        <f aca="false">SUMPRODUCT((MOVIMIENTOS!$A$5:$A$400=DATE(2026,7,18))*(MOVIMIENTOS!$B$5:$B$400="COMPRA")*MOVIMIENTOS!$I$5:$I$400)</f>
        <v>3201</v>
      </c>
      <c r="D43" s="53" t="n">
        <f aca="false">SUMPRODUCT((MOVIMIENTOS!$A$5:$A$400=DATE(2026,7,18))*(MOVIMIENTOS!$B$5:$B$400="PROCESO")*MOVIMIENTOS!$I$5:$I$400)</f>
        <v>3295</v>
      </c>
      <c r="E43" s="53" t="n">
        <f aca="false">SUMPRODUCT((MOVIMIENTOS!$A$5:$A$400=DATE(2026,7,18))*((MOVIMIENTOS!$B$5:$B$400="ENVÍO A SUPESA")+(MOVIMIENTOS!$B$5:$B$400="ENVÍO A TOTTUS")+(MOVIMIENTOS!$B$5:$B$400="ENVIO A TOTTUS"))*MOVIMIENTOS!$I$5:$I$400)</f>
        <v>3168</v>
      </c>
      <c r="F43" s="52" t="str">
        <f aca="false">"Selección: "&amp;TEXT(SUMPRODUCT((MOVIMIENTOS!$A$5:$A$400=DATE(2026,7,18))*(MOVIMIENTOS!$B$5:$B$400="PROCESO")*(MOVIMIENTOS!$C$5:$C$400&lt;&gt;"Chancho")*MOVIMIENTOS!$I$5:$I$400),"#,##0")&amp;" kg  ·  Chancho: "&amp;TEXT(SUMPRODUCT((MOVIMIENTOS!$A$5:$A$400=DATE(2026,7,18))*(MOVIMIENTOS!$B$5:$B$400="PROCESO")*(MOVIMIENTOS!$C$5:$C$400="Chancho")*MOVIMIENTOS!$I$5:$I$400),"#,##0")&amp;" kg"&amp;IF(C43&gt;0,"  ·  "&amp;TEXT(D43/C43,"0%")&amp;" del ingreso","")</f>
        <v>Selección: 2,325 kg  ·  Chancho: 970 kg  ·  103% del ingreso</v>
      </c>
      <c r="G43" s="53" t="n">
        <f aca="false">N(G48)</f>
        <v>2327</v>
      </c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</row>
    <row r="44" customFormat="false" ht="15" hidden="false" customHeight="true" outlineLevel="0" collapsed="false">
      <c r="A44" s="45" t="n">
        <v>46221</v>
      </c>
      <c r="B44" s="54" t="s">
        <v>23</v>
      </c>
      <c r="C44" s="46"/>
      <c r="D44" s="46"/>
      <c r="E44" s="46" t="n">
        <f aca="false">N(MOVIMIENTOS!$I75)+N(MOVIMIENTOS!$I76)+N(MOVIMIENTOS!$I77)+N(MOVIMIENTOS!$I78)</f>
        <v>3168</v>
      </c>
      <c r="F44" s="54" t="s">
        <v>105</v>
      </c>
      <c r="G44" s="46" t="n">
        <f aca="false">N(G42)+N(C44)-N(E44)</f>
        <v>96</v>
      </c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</row>
    <row r="45" customFormat="false" ht="15" hidden="false" customHeight="true" outlineLevel="0" collapsed="false">
      <c r="A45" s="58" t="n">
        <v>46221</v>
      </c>
      <c r="B45" s="59" t="s">
        <v>91</v>
      </c>
      <c r="C45" s="60"/>
      <c r="D45" s="60" t="n">
        <f aca="false">SUMPRODUCT((MOVIMIENTOS!$A$5:$A$400=DATE(2026,7,18))*(MOVIMIENTOS!$B$5:$B$400="PROCESO")*(MOVIMIENTOS!$C$5:$C$400&lt;&gt;"Chancho")*MOVIMIENTOS!$I$5:$I$400)</f>
        <v>2325</v>
      </c>
      <c r="E45" s="60"/>
      <c r="F45" s="59" t="s">
        <v>106</v>
      </c>
      <c r="G45" s="60" t="n">
        <f aca="false">N(G44)</f>
        <v>96</v>
      </c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</row>
    <row r="46" customFormat="false" ht="15" hidden="false" customHeight="true" outlineLevel="0" collapsed="false">
      <c r="A46" s="45" t="n">
        <v>46221</v>
      </c>
      <c r="B46" s="54" t="s">
        <v>93</v>
      </c>
      <c r="C46" s="46"/>
      <c r="D46" s="46" t="n">
        <f aca="false">N(MOVIMIENTOS!$I83)</f>
        <v>970</v>
      </c>
      <c r="E46" s="46" t="n">
        <f aca="false">N(MOVIMIENTOS!$I83)</f>
        <v>970</v>
      </c>
      <c r="F46" s="54" t="str">
        <f aca="false">TRIM(IF(MOVIMIENTOS!$G83&lt;&gt;"",MOVIMIENTOS!$G83&amp;"  ","")&amp;IF(N(MOVIMIENTOS!$E83)&gt;0,MOVIMIENTOS!$E83&amp;" "&amp;MOVIMIENTOS!$D83&amp;"  ","")&amp;IF(MOVIMIENTOS!$H83&lt;&gt;"",MOVIMIENTOS!$H83,""))</f>
        <v>10 sacos</v>
      </c>
      <c r="G46" s="46" t="n">
        <f aca="false">N(G45)+N(C46)-N(E46)</f>
        <v>-874</v>
      </c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</row>
    <row r="47" customFormat="false" ht="15" hidden="false" customHeight="true" outlineLevel="0" collapsed="false">
      <c r="A47" s="45" t="n">
        <v>46221</v>
      </c>
      <c r="B47" s="54" t="s">
        <v>107</v>
      </c>
      <c r="C47" s="46"/>
      <c r="D47" s="46"/>
      <c r="E47" s="46"/>
      <c r="F47" s="54" t="str">
        <f aca="false">MOVIMIENTOS!$E84&amp;" jaba(s) movida(s) para completar otras · no resta del Stock Kg"</f>
        <v>1 jaba(s) movida(s) para completar otras · no resta del Stock Kg</v>
      </c>
      <c r="G47" s="46" t="n">
        <f aca="false">N(G46)+N(C47)-N(E47)</f>
        <v>-874</v>
      </c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</row>
    <row r="48" customFormat="false" ht="15" hidden="false" customHeight="true" outlineLevel="0" collapsed="false">
      <c r="A48" s="55" t="n">
        <v>46221</v>
      </c>
      <c r="B48" s="56" t="s">
        <v>90</v>
      </c>
      <c r="C48" s="57" t="n">
        <f aca="false">N(MOVIMIENTOS!$I85)</f>
        <v>3201</v>
      </c>
      <c r="D48" s="57"/>
      <c r="E48" s="57"/>
      <c r="F48" s="56" t="str">
        <f aca="false">TRIM(IF(MOVIMIENTOS!$G85&lt;&gt;"",MOVIMIENTOS!$G85&amp;"  ","")&amp;IF(N(MOVIMIENTOS!$E85)&gt;0,MOVIMIENTOS!$E85&amp;" "&amp;MOVIMIENTOS!$D85&amp;"  ","")&amp;IF(MOVIMIENTOS!$H85&lt;&gt;"",MOVIMIENTOS!$H85,""))</f>
        <v>33 sacos Compra del sabado 18/07 (33 sacos)</v>
      </c>
      <c r="G48" s="57" t="n">
        <f aca="false">N(G47)+N(C48)-N(E48)</f>
        <v>2327</v>
      </c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</row>
    <row r="49" customFormat="false" ht="33.75" hidden="false" customHeight="true" outlineLevel="0" collapsed="false">
      <c r="A49" s="51" t="n">
        <v>46222</v>
      </c>
      <c r="B49" s="52" t="s">
        <v>87</v>
      </c>
      <c r="C49" s="53" t="n">
        <f aca="false">SUMPRODUCT((MOVIMIENTOS!$A$5:$A$400=DATE(2026,7,19))*(MOVIMIENTOS!$B$5:$B$400="COMPRA")*MOVIMIENTOS!$I$5:$I$400)</f>
        <v>1649</v>
      </c>
      <c r="D49" s="53" t="n">
        <f aca="false">SUMPRODUCT((MOVIMIENTOS!$A$5:$A$400=DATE(2026,7,19))*(MOVIMIENTOS!$B$5:$B$400="PROCESO")*MOVIMIENTOS!$I$5:$I$400)</f>
        <v>1469</v>
      </c>
      <c r="E49" s="53" t="n">
        <f aca="false">SUMPRODUCT((MOVIMIENTOS!$A$5:$A$400=DATE(2026,7,19))*((MOVIMIENTOS!$B$5:$B$400="ENVÍO A SUPESA")+(MOVIMIENTOS!$B$5:$B$400="ENVÍO A TOTTUS")+(MOVIMIENTOS!$B$5:$B$400="ENVIO A TOTTUS"))*MOVIMIENTOS!$I$5:$I$400)</f>
        <v>1883</v>
      </c>
      <c r="F49" s="52" t="str">
        <f aca="false">"Selección: "&amp;TEXT(SUMPRODUCT((MOVIMIENTOS!$A$5:$A$400=DATE(2026,7,19))*(MOVIMIENTOS!$B$5:$B$400="PROCESO")*(MOVIMIENTOS!$C$5:$C$400&lt;&gt;"Chancho")*MOVIMIENTOS!$I$5:$I$400),"#,##0")&amp;" kg  ·  Chancho: "&amp;TEXT(SUMPRODUCT((MOVIMIENTOS!$A$5:$A$400=DATE(2026,7,19))*(MOVIMIENTOS!$B$5:$B$400="PROCESO")*(MOVIMIENTOS!$C$5:$C$400="Chancho")*MOVIMIENTOS!$I$5:$I$400),"#,##0")&amp;" kg"&amp;IF(C49&gt;0,"  ·  "&amp;TEXT(D49/C49,"0%")&amp;" del ingreso","")</f>
        <v>Selección: 1,178 kg  ·  Chancho: 291 kg  ·  89% del ingreso</v>
      </c>
      <c r="G49" s="53" t="n">
        <f aca="false">N(G53)</f>
        <v>1802</v>
      </c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</row>
    <row r="50" customFormat="false" ht="15" hidden="false" customHeight="true" outlineLevel="0" collapsed="false">
      <c r="A50" s="58" t="n">
        <v>46222</v>
      </c>
      <c r="B50" s="59" t="s">
        <v>91</v>
      </c>
      <c r="C50" s="60"/>
      <c r="D50" s="60" t="n">
        <f aca="false">SUMPRODUCT((MOVIMIENTOS!$A$5:$A$400=DATE(2026,7,19))*(MOVIMIENTOS!$B$5:$B$400="PROCESO")*(MOVIMIENTOS!$C$5:$C$400&lt;&gt;"Chancho")*MOVIMIENTOS!$I$5:$I$400)</f>
        <v>1178</v>
      </c>
      <c r="E50" s="60"/>
      <c r="F50" s="59" t="s">
        <v>108</v>
      </c>
      <c r="G50" s="60" t="n">
        <f aca="false">N(G48)</f>
        <v>2327</v>
      </c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</row>
    <row r="51" customFormat="false" ht="33.75" hidden="false" customHeight="true" outlineLevel="0" collapsed="false">
      <c r="A51" s="45" t="n">
        <v>46222</v>
      </c>
      <c r="B51" s="54" t="s">
        <v>93</v>
      </c>
      <c r="C51" s="46"/>
      <c r="D51" s="46" t="n">
        <f aca="false">N(MOVIMIENTOS!$I90)</f>
        <v>291</v>
      </c>
      <c r="E51" s="46" t="n">
        <f aca="false">N(MOVIMIENTOS!$I90)</f>
        <v>291</v>
      </c>
      <c r="F51" s="54" t="str">
        <f aca="false">TRIM(IF(MOVIMIENTOS!$G90&lt;&gt;"",MOVIMIENTOS!$G90&amp;"  ","")&amp;IF(N(MOVIMIENTOS!$E90)&gt;0,MOVIMIENTOS!$E90&amp;" "&amp;MOVIMIENTOS!$D90&amp;"  ","")&amp;IF(MOVIMIENTOS!$H90&lt;&gt;"",MOVIMIENTOS!$H90,""))</f>
        <v>3 sacos</v>
      </c>
      <c r="G51" s="46" t="n">
        <f aca="false">N(G50)+N(C51)-N(E51)</f>
        <v>2036</v>
      </c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</row>
    <row r="52" customFormat="false" ht="15" hidden="false" customHeight="true" outlineLevel="0" collapsed="false">
      <c r="A52" s="45" t="n">
        <v>46222</v>
      </c>
      <c r="B52" s="54" t="s">
        <v>23</v>
      </c>
      <c r="C52" s="46"/>
      <c r="D52" s="46"/>
      <c r="E52" s="46" t="n">
        <f aca="false">N(MOVIMIENTOS!$I91)+N(MOVIMIENTOS!$I92)+N(MOVIMIENTOS!$I93)+N(MOVIMIENTOS!$I94)</f>
        <v>1883</v>
      </c>
      <c r="F52" s="54" t="s">
        <v>109</v>
      </c>
      <c r="G52" s="46" t="n">
        <f aca="false">N(G51)+N(C52)-N(E52)</f>
        <v>153</v>
      </c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</row>
    <row r="53" customFormat="false" ht="15" hidden="false" customHeight="true" outlineLevel="0" collapsed="false">
      <c r="A53" s="55" t="n">
        <v>46222</v>
      </c>
      <c r="B53" s="56" t="s">
        <v>90</v>
      </c>
      <c r="C53" s="57" t="n">
        <f aca="false">N(MOVIMIENTOS!$I95)</f>
        <v>1649</v>
      </c>
      <c r="D53" s="57"/>
      <c r="E53" s="57"/>
      <c r="F53" s="56" t="str">
        <f aca="false">TRIM(IF(MOVIMIENTOS!$G95&lt;&gt;"",MOVIMIENTOS!$G95&amp;"  ","")&amp;IF(N(MOVIMIENTOS!$E95)&gt;0,MOVIMIENTOS!$E95&amp;" "&amp;MOVIMIENTOS!$D95&amp;"  ","")&amp;IF(MOVIMIENTOS!$H95&lt;&gt;"",MOVIMIENTOS!$H95,""))</f>
        <v>17 sacos Compra del domingo 19/07 (17 sacos)</v>
      </c>
      <c r="G53" s="57" t="n">
        <f aca="false">N(G52)+N(C53)-N(E53)</f>
        <v>1802</v>
      </c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</row>
    <row r="54" customFormat="false" ht="33.75" hidden="false" customHeight="true" outlineLevel="0" collapsed="false">
      <c r="A54" s="51" t="n">
        <v>46223</v>
      </c>
      <c r="B54" s="52" t="s">
        <v>87</v>
      </c>
      <c r="C54" s="53" t="n">
        <f aca="false">SUMPRODUCT((MOVIMIENTOS!$A$5:$A$400=DATE(2026,7,20))*(MOVIMIENTOS!$B$5:$B$400="COMPRA")*MOVIMIENTOS!$I$5:$I$400)</f>
        <v>6790</v>
      </c>
      <c r="D54" s="53" t="n">
        <f aca="false">SUMPRODUCT((MOVIMIENTOS!$A$5:$A$400=DATE(2026,7,20))*(MOVIMIENTOS!$B$5:$B$400="PROCESO")*MOVIMIENTOS!$I$5:$I$400)</f>
        <v>4648.5</v>
      </c>
      <c r="E54" s="53" t="n">
        <f aca="false">SUMPRODUCT((MOVIMIENTOS!$A$5:$A$400=DATE(2026,7,20))*((MOVIMIENTOS!$B$5:$B$400="ENVÍO A SUPESA")+(MOVIMIENTOS!$B$5:$B$400="ENVÍO A TOTTUS")+(MOVIMIENTOS!$B$5:$B$400="ENVIO A TOTTUS"))*MOVIMIENTOS!$I$5:$I$400)</f>
        <v>3294</v>
      </c>
      <c r="F54" s="52" t="str">
        <f aca="false">"Selección: "&amp;TEXT(SUMPRODUCT((MOVIMIENTOS!$A$5:$A$400=DATE(2026,7,20))*(MOVIMIENTOS!$B$5:$B$400="PROCESO")*(MOVIMIENTOS!$C$5:$C$400&lt;&gt;"Chancho")*MOVIMIENTOS!$I$5:$I$400),"#,##0")&amp;" kg  ·  Chancho: "&amp;TEXT(SUMPRODUCT((MOVIMIENTOS!$A$5:$A$400=DATE(2026,7,20))*(MOVIMIENTOS!$B$5:$B$400="PROCESO")*(MOVIMIENTOS!$C$5:$C$400="Chancho")*MOVIMIENTOS!$I$5:$I$400),"#,##0")&amp;" kg"&amp;IF(C54&gt;0,"  ·  "&amp;TEXT(D54/C54,"0%")&amp;" del ingreso","")</f>
        <v>Selección: 4,018 kg  ·  Chancho: 631 kg  ·  68% del ingreso</v>
      </c>
      <c r="G54" s="53" t="n">
        <f aca="false">N(G62)</f>
        <v>4667.5</v>
      </c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</row>
    <row r="55" customFormat="false" ht="15" hidden="false" customHeight="true" outlineLevel="0" collapsed="false">
      <c r="A55" s="55" t="n">
        <v>46223</v>
      </c>
      <c r="B55" s="56" t="s">
        <v>90</v>
      </c>
      <c r="C55" s="57" t="n">
        <f aca="false">N(MOVIMIENTOS!$I96)</f>
        <v>4656</v>
      </c>
      <c r="D55" s="57"/>
      <c r="E55" s="57"/>
      <c r="F55" s="56" t="str">
        <f aca="false">TRIM(IF(MOVIMIENTOS!$G96&lt;&gt;"",MOVIMIENTOS!$G96&amp;"  ","")&amp;IF(N(MOVIMIENTOS!$E96)&gt;0,MOVIMIENTOS!$E96&amp;" "&amp;MOVIMIENTOS!$D96&amp;"  ","")&amp;IF(MOVIMIENTOS!$H96&lt;&gt;"",MOVIMIENTOS!$H96,""))</f>
        <v>48 sacos TOTAL 70 SACOS, LUNES PROCESO 48</v>
      </c>
      <c r="G55" s="57" t="n">
        <f aca="false">N(G53)+N(C55)-N(E55)</f>
        <v>6458</v>
      </c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</row>
    <row r="56" customFormat="false" ht="15" hidden="false" customHeight="true" outlineLevel="0" collapsed="false">
      <c r="A56" s="58" t="n">
        <v>46223</v>
      </c>
      <c r="B56" s="59" t="s">
        <v>91</v>
      </c>
      <c r="C56" s="60"/>
      <c r="D56" s="60" t="n">
        <f aca="false">SUMPRODUCT((MOVIMIENTOS!$A$5:$A$400=DATE(2026,7,20))*(MOVIMIENTOS!$B$5:$B$400="PROCESO")*(MOVIMIENTOS!$C$5:$C$400&lt;&gt;"Chancho")*MOVIMIENTOS!$I$5:$I$400)</f>
        <v>4018</v>
      </c>
      <c r="E56" s="60"/>
      <c r="F56" s="59" t="s">
        <v>110</v>
      </c>
      <c r="G56" s="60" t="n">
        <f aca="false">N(G55)</f>
        <v>6458</v>
      </c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</row>
    <row r="57" customFormat="false" ht="15" hidden="false" customHeight="true" outlineLevel="0" collapsed="false">
      <c r="A57" s="45" t="n">
        <v>46223</v>
      </c>
      <c r="B57" s="54" t="s">
        <v>93</v>
      </c>
      <c r="C57" s="46"/>
      <c r="D57" s="46" t="n">
        <f aca="false">N(MOVIMIENTOS!$I101)</f>
        <v>630.5</v>
      </c>
      <c r="E57" s="46" t="n">
        <f aca="false">N(MOVIMIENTOS!$I101)</f>
        <v>630.5</v>
      </c>
      <c r="F57" s="54" t="str">
        <f aca="false">TRIM(IF(MOVIMIENTOS!$G101&lt;&gt;"",MOVIMIENTOS!$G101&amp;"  ","")&amp;IF(N(MOVIMIENTOS!$E101)&gt;0,MOVIMIENTOS!$E101&amp;" "&amp;MOVIMIENTOS!$D101&amp;"  ","")&amp;IF(MOVIMIENTOS!$H101&lt;&gt;"",MOVIMIENTOS!$H101,""))</f>
        <v>6.5 sacos</v>
      </c>
      <c r="G57" s="46" t="n">
        <f aca="false">N(G56)+N(C57)-N(E57)</f>
        <v>5827.5</v>
      </c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</row>
    <row r="58" customFormat="false" ht="15" hidden="false" customHeight="true" outlineLevel="0" collapsed="false">
      <c r="A58" s="45" t="n">
        <v>46223</v>
      </c>
      <c r="B58" s="54" t="s">
        <v>23</v>
      </c>
      <c r="C58" s="46"/>
      <c r="D58" s="46"/>
      <c r="E58" s="46" t="n">
        <f aca="false">N(MOVIMIENTOS!$I102)+N(MOVIMIENTOS!$I103)+N(MOVIMIENTOS!$I104)+N(MOVIMIENTOS!$I105)</f>
        <v>3294</v>
      </c>
      <c r="F58" s="54" t="s">
        <v>111</v>
      </c>
      <c r="G58" s="46" t="n">
        <f aca="false">N(G57)+N(C58)-N(E58)</f>
        <v>2533.5</v>
      </c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</row>
    <row r="59" customFormat="false" ht="15" hidden="false" customHeight="true" outlineLevel="0" collapsed="false">
      <c r="A59" s="45" t="n">
        <v>46223</v>
      </c>
      <c r="B59" s="54" t="s">
        <v>28</v>
      </c>
      <c r="C59" s="46"/>
      <c r="D59" s="46"/>
      <c r="E59" s="46"/>
      <c r="F59" s="54" t="str">
        <f aca="false">TRIM(IF(MOVIMIENTOS!$G106&lt;&gt;"",MOVIMIENTOS!$G106&amp;"  ","")&amp;IF(N(MOVIMIENTOS!$E106)&gt;0,MOVIMIENTOS!$E106&amp;" "&amp;MOVIMIENTOS!$D106&amp;"  ","")&amp;IF(MOVIMIENTOS!$H106&lt;&gt;"",MOVIMIENTOS!$H106,""))</f>
        <v>TCK002-726 18 sacos</v>
      </c>
      <c r="G59" s="46" t="n">
        <f aca="false">N(G58)+N(C59)-N(E59)</f>
        <v>2533.5</v>
      </c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</row>
    <row r="60" customFormat="false" ht="15" hidden="false" customHeight="true" outlineLevel="0" collapsed="false">
      <c r="A60" s="55" t="n">
        <v>46223</v>
      </c>
      <c r="B60" s="56" t="s">
        <v>90</v>
      </c>
      <c r="C60" s="57" t="n">
        <f aca="false">N(MOVIMIENTOS!$I107)</f>
        <v>2134</v>
      </c>
      <c r="D60" s="57"/>
      <c r="E60" s="57"/>
      <c r="F60" s="56" t="str">
        <f aca="false">TRIM(IF(MOVIMIENTOS!$G107&lt;&gt;"",MOVIMIENTOS!$G107&amp;"  ","")&amp;IF(N(MOVIMIENTOS!$E107)&gt;0,MOVIMIENTOS!$E107&amp;" "&amp;MOVIMIENTOS!$D107&amp;"  ","")&amp;IF(MOVIMIENTOS!$H107&lt;&gt;"",MOVIMIENTOS!$H107,""))</f>
        <v>22 sacos peso aprox 95 kg/saco</v>
      </c>
      <c r="G60" s="57" t="n">
        <f aca="false">N(G59)+N(C60)-N(E60)</f>
        <v>4667.5</v>
      </c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</row>
    <row r="61" customFormat="false" ht="15" hidden="false" customHeight="true" outlineLevel="0" collapsed="false">
      <c r="A61" s="45" t="n">
        <v>46223</v>
      </c>
      <c r="B61" s="54" t="s">
        <v>112</v>
      </c>
      <c r="C61" s="46"/>
      <c r="D61" s="46"/>
      <c r="E61" s="46"/>
      <c r="F61" s="54" t="str">
        <f aca="false">MOVIMIENTOS!$E108&amp;" jaba(s) movida(s) para completar otras · no resta del Stock Kg"</f>
        <v>1 jaba(s) movida(s) para completar otras · no resta del Stock Kg</v>
      </c>
      <c r="G61" s="46" t="n">
        <f aca="false">N(G60)+N(C61)-N(E61)</f>
        <v>4667.5</v>
      </c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</row>
    <row r="62" customFormat="false" ht="33.75" hidden="false" customHeight="true" outlineLevel="0" collapsed="false">
      <c r="A62" s="45" t="n">
        <v>46223</v>
      </c>
      <c r="B62" s="54" t="s">
        <v>113</v>
      </c>
      <c r="C62" s="46"/>
      <c r="D62" s="46"/>
      <c r="E62" s="46"/>
      <c r="F62" s="54" t="str">
        <f aca="false">MOVIMIENTOS!$E109&amp;" jaba(s) movida(s) para completar otras · no resta del Stock Kg"</f>
        <v>1 jaba(s) movida(s) para completar otras · no resta del Stock Kg</v>
      </c>
      <c r="G62" s="46" t="n">
        <f aca="false">N(G61)+N(C62)-N(E62)</f>
        <v>4667.5</v>
      </c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</row>
    <row r="63" customFormat="false" ht="33.75" hidden="false" customHeight="true" outlineLevel="0" collapsed="false">
      <c r="A63" s="51" t="n">
        <v>46224</v>
      </c>
      <c r="B63" s="52" t="s">
        <v>87</v>
      </c>
      <c r="C63" s="53" t="n">
        <f aca="false">SUMPRODUCT((MOVIMIENTOS!$A$5:$A$400=DATE(2026,7,21))*(MOVIMIENTOS!$B$5:$B$400="COMPRA")*MOVIMIENTOS!$I$5:$I$400)</f>
        <v>6790</v>
      </c>
      <c r="D63" s="53" t="n">
        <f aca="false">SUMPRODUCT((MOVIMIENTOS!$A$5:$A$400=DATE(2026,7,21))*(MOVIMIENTOS!$B$5:$B$400="PROCESO")*MOVIMIENTOS!$I$5:$I$400)</f>
        <v>4879</v>
      </c>
      <c r="E63" s="53" t="n">
        <f aca="false">SUMPRODUCT((MOVIMIENTOS!$A$5:$A$400=DATE(2026,7,21))*((MOVIMIENTOS!$B$5:$B$400="ENVÍO A SUPESA")+(MOVIMIENTOS!$B$5:$B$400="ENVÍO A TOTTUS")+(MOVIMIENTOS!$B$5:$B$400="ENVIO A TOTTUS"))*MOVIMIENTOS!$I$5:$I$400)</f>
        <v>3260</v>
      </c>
      <c r="F63" s="52" t="str">
        <f aca="false">"Selección: "&amp;TEXT(SUMPRODUCT((MOVIMIENTOS!$A$5:$A$400=DATE(2026,7,21))*(MOVIMIENTOS!$B$5:$B$400="PROCESO")*(MOVIMIENTOS!$C$5:$C$400&lt;&gt;"Chancho")*MOVIMIENTOS!$I$5:$I$400),"#,##0")&amp;" kg  ·  Chancho: "&amp;TEXT(SUMPRODUCT((MOVIMIENTOS!$A$5:$A$400=DATE(2026,7,21))*(MOVIMIENTOS!$B$5:$B$400="PROCESO")*(MOVIMIENTOS!$C$5:$C$400="Chancho")*MOVIMIENTOS!$I$5:$I$400),"#,##0")&amp;" kg"&amp;IF(C63&gt;0,"  ·  "&amp;TEXT(D63/C63,"0%")&amp;" del ingreso","")</f>
        <v>Selección: 4,200 kg  ·  Chancho: 679 kg  ·  72% del ingreso</v>
      </c>
      <c r="G63" s="53" t="n">
        <f aca="false">N(G73)</f>
        <v>7535.5</v>
      </c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</row>
    <row r="64" customFormat="false" ht="15" hidden="false" customHeight="true" outlineLevel="0" collapsed="false">
      <c r="A64" s="58" t="n">
        <v>46224</v>
      </c>
      <c r="B64" s="59" t="s">
        <v>91</v>
      </c>
      <c r="C64" s="60"/>
      <c r="D64" s="60" t="n">
        <f aca="false">SUMPRODUCT((MOVIMIENTOS!$A$5:$A$400=DATE(2026,7,21))*(MOVIMIENTOS!$B$5:$B$400="PROCESO")*(MOVIMIENTOS!$C$5:$C$400&lt;&gt;"Chancho")*MOVIMIENTOS!$I$5:$I$400)</f>
        <v>4200</v>
      </c>
      <c r="E64" s="60"/>
      <c r="F64" s="59" t="s">
        <v>114</v>
      </c>
      <c r="G64" s="60" t="n">
        <f aca="false">N(G62)</f>
        <v>4667.5</v>
      </c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</row>
    <row r="65" customFormat="false" ht="15" hidden="false" customHeight="true" outlineLevel="0" collapsed="false">
      <c r="A65" s="45" t="n">
        <v>46224</v>
      </c>
      <c r="B65" s="54" t="s">
        <v>93</v>
      </c>
      <c r="C65" s="46"/>
      <c r="D65" s="46" t="n">
        <f aca="false">N(MOVIMIENTOS!$I112)</f>
        <v>291</v>
      </c>
      <c r="E65" s="46" t="n">
        <f aca="false">N(MOVIMIENTOS!$I112)</f>
        <v>291</v>
      </c>
      <c r="F65" s="54" t="str">
        <f aca="false">TRIM(IF(MOVIMIENTOS!$G112&lt;&gt;"",MOVIMIENTOS!$G112&amp;"  ","")&amp;IF(N(MOVIMIENTOS!$E112)&gt;0,MOVIMIENTOS!$E112&amp;" "&amp;MOVIMIENTOS!$D112&amp;"  ","")&amp;IF(MOVIMIENTOS!$H112&lt;&gt;"",MOVIMIENTOS!$H112,""))</f>
        <v>3 sacos</v>
      </c>
      <c r="G65" s="46" t="n">
        <f aca="false">N(G64)+N(C65)-N(E65)</f>
        <v>4376.5</v>
      </c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</row>
    <row r="66" customFormat="false" ht="15" hidden="false" customHeight="true" outlineLevel="0" collapsed="false">
      <c r="A66" s="55" t="n">
        <v>46224</v>
      </c>
      <c r="B66" s="56" t="s">
        <v>90</v>
      </c>
      <c r="C66" s="57" t="n">
        <f aca="false">N(MOVIMIENTOS!$I113)</f>
        <v>6790</v>
      </c>
      <c r="D66" s="57"/>
      <c r="E66" s="57"/>
      <c r="F66" s="56" t="str">
        <f aca="false">TRIM(IF(MOVIMIENTOS!$G113&lt;&gt;"",MOVIMIENTOS!$G113&amp;"  ","")&amp;IF(N(MOVIMIENTOS!$E113)&gt;0,MOVIMIENTOS!$E113&amp;" "&amp;MOVIMIENTOS!$D113&amp;"  ","")&amp;IF(MOVIMIENTOS!$H113&lt;&gt;"",MOVIMIENTOS!$H113,""))</f>
        <v>70 sacos peso aprox 95 kg/saco</v>
      </c>
      <c r="G66" s="57" t="n">
        <f aca="false">N(G65)+N(C66)-N(E66)</f>
        <v>11166.5</v>
      </c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</row>
    <row r="67" customFormat="false" ht="15" hidden="false" customHeight="true" outlineLevel="0" collapsed="false">
      <c r="A67" s="45" t="n">
        <v>46224</v>
      </c>
      <c r="B67" s="54" t="s">
        <v>93</v>
      </c>
      <c r="C67" s="46"/>
      <c r="D67" s="46" t="n">
        <f aca="false">N(MOVIMIENTOS!$I118)</f>
        <v>388</v>
      </c>
      <c r="E67" s="46" t="n">
        <f aca="false">N(MOVIMIENTOS!$I118)</f>
        <v>388</v>
      </c>
      <c r="F67" s="54" t="str">
        <f aca="false">TRIM(IF(MOVIMIENTOS!$G118&lt;&gt;"",MOVIMIENTOS!$G118&amp;"  ","")&amp;IF(N(MOVIMIENTOS!$E118)&gt;0,MOVIMIENTOS!$E118&amp;" "&amp;MOVIMIENTOS!$D118&amp;"  ","")&amp;IF(MOVIMIENTOS!$H118&lt;&gt;"",MOVIMIENTOS!$H118,""))</f>
        <v>4 sacos</v>
      </c>
      <c r="G67" s="46" t="n">
        <f aca="false">N(G66)+N(C67)-N(E67)</f>
        <v>10778.5</v>
      </c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</row>
    <row r="68" customFormat="false" ht="15" hidden="false" customHeight="true" outlineLevel="0" collapsed="false">
      <c r="A68" s="45" t="n">
        <v>46224</v>
      </c>
      <c r="B68" s="54" t="s">
        <v>23</v>
      </c>
      <c r="C68" s="46"/>
      <c r="D68" s="46"/>
      <c r="E68" s="46" t="n">
        <f aca="false">N(MOVIMIENTOS!$I119)+N(MOVIMIENTOS!$I120)+N(MOVIMIENTOS!$I121)+N(MOVIMIENTOS!$I122)</f>
        <v>3260</v>
      </c>
      <c r="F68" s="54" t="s">
        <v>115</v>
      </c>
      <c r="G68" s="46" t="n">
        <f aca="false">N(G67)+N(C68)-N(E68)</f>
        <v>7518.5</v>
      </c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</row>
    <row r="69" customFormat="false" ht="15" hidden="false" customHeight="true" outlineLevel="0" collapsed="false">
      <c r="A69" s="45" t="n">
        <v>46224</v>
      </c>
      <c r="B69" s="54" t="s">
        <v>116</v>
      </c>
      <c r="C69" s="46"/>
      <c r="D69" s="46"/>
      <c r="E69" s="46"/>
      <c r="F69" s="54" t="str">
        <f aca="false">MOVIMIENTOS!$E123&amp;" jabas rechazadas · van a reproceso (merma del día: "&amp;TEXT(SUMPRODUCT((MOVIMIENTOS!$A$5:$A$400=MOVIMIENTOS!$A123)*(MOVIMIENTOS!$B$5:$B$400="RECHAZO")*(MOVIMIENTOS!$D$5:$D$400="jabas")*MOVIMIENTOS!$E$5:$E$400*IFERROR(_xlfn.SWITCH(MOVIMIENTOS!$C$5:$C$400,"A",15,"P",18,"C",17,"M",17,0),0))-SUMPRODUCT((MOVIMIENTOS!$A$5:$A$400=MOVIMIENTOS!$A123)*(MOVIMIENTOS!$B$5:$B$400="REPROCESO")*MOVIMIENTOS!$I$5:$I$400),"+#,##0;-#,##0;0")&amp;" kg)"</f>
        <v>1 jabas rechazadas · van a reproceso (merma del día: +15 kg)</v>
      </c>
      <c r="G69" s="46" t="n">
        <f aca="false">N(G68)+N(C69)-N(E69)</f>
        <v>7518.5</v>
      </c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</row>
    <row r="70" customFormat="false" ht="15" hidden="false" customHeight="true" outlineLevel="0" collapsed="false">
      <c r="A70" s="45" t="n">
        <v>46224</v>
      </c>
      <c r="B70" s="54" t="s">
        <v>117</v>
      </c>
      <c r="C70" s="46"/>
      <c r="D70" s="46"/>
      <c r="E70" s="46"/>
      <c r="F70" s="54" t="str">
        <f aca="false">MOVIMIENTOS!$E124&amp;" jabas rechazadas · van a reproceso (merma del día: "&amp;TEXT(SUMPRODUCT((MOVIMIENTOS!$A$5:$A$400=MOVIMIENTOS!$A124)*(MOVIMIENTOS!$B$5:$B$400="RECHAZO")*(MOVIMIENTOS!$D$5:$D$400="jabas")*MOVIMIENTOS!$E$5:$E$400*IFERROR(_xlfn.SWITCH(MOVIMIENTOS!$C$5:$C$400,"A",15,"P",18,"C",17,"M",17,0),0))-SUMPRODUCT((MOVIMIENTOS!$A$5:$A$400=MOVIMIENTOS!$A124)*(MOVIMIENTOS!$B$5:$B$400="REPROCESO")*MOVIMIENTOS!$I$5:$I$400),"+#,##0;-#,##0;0")&amp;" kg)"</f>
        <v>1 jabas rechazadas · van a reproceso (merma del día: +15 kg)</v>
      </c>
      <c r="G70" s="46" t="n">
        <f aca="false">N(G69)+N(C70)-N(E70)</f>
        <v>7518.5</v>
      </c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</row>
    <row r="71" customFormat="false" ht="33.75" hidden="false" customHeight="true" outlineLevel="0" collapsed="false">
      <c r="A71" s="45" t="n">
        <v>46224</v>
      </c>
      <c r="B71" s="54" t="s">
        <v>107</v>
      </c>
      <c r="C71" s="46"/>
      <c r="D71" s="46"/>
      <c r="E71" s="46"/>
      <c r="F71" s="54" t="str">
        <f aca="false">MOVIMIENTOS!$E125&amp;" jaba(s) movida(s) para completar otras · no resta del Stock Kg"</f>
        <v>1 jaba(s) movida(s) para completar otras · no resta del Stock Kg</v>
      </c>
      <c r="G71" s="46" t="n">
        <f aca="false">N(G70)+N(C71)-N(E71)</f>
        <v>7518.5</v>
      </c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</row>
    <row r="72" customFormat="false" ht="33.75" hidden="false" customHeight="true" outlineLevel="0" collapsed="false">
      <c r="A72" s="45" t="n">
        <v>46224</v>
      </c>
      <c r="B72" s="54" t="s">
        <v>118</v>
      </c>
      <c r="C72" s="46"/>
      <c r="D72" s="46"/>
      <c r="E72" s="46"/>
      <c r="F72" s="54" t="str">
        <f aca="false">MOVIMIENTOS!$E126&amp;" jaba(s) movida(s) para completar otras · no resta del Stock Kg"</f>
        <v>1 jaba(s) movida(s) para completar otras · no resta del Stock Kg</v>
      </c>
      <c r="G72" s="46" t="n">
        <f aca="false">N(G71)+N(C72)-N(E72)</f>
        <v>7518.5</v>
      </c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</row>
    <row r="73" customFormat="false" ht="15" hidden="false" customHeight="true" outlineLevel="0" collapsed="false">
      <c r="A73" s="45" t="n">
        <v>46224</v>
      </c>
      <c r="B73" s="54" t="s">
        <v>43</v>
      </c>
      <c r="C73" s="46" t="n">
        <f aca="false">N(MOVIMIENTOS!$I127)</f>
        <v>17</v>
      </c>
      <c r="D73" s="46"/>
      <c r="E73" s="46"/>
      <c r="F73" s="54" t="str">
        <f aca="false">MOVIMIENTOS!$E127&amp;" kg recuperados (merma del día: "&amp;TEXT(SUMPRODUCT((MOVIMIENTOS!$A$5:$A$400=MOVIMIENTOS!$A127)*(MOVIMIENTOS!$B$5:$B$400="RECHAZO")*(MOVIMIENTOS!$D$5:$D$400="jabas")*MOVIMIENTOS!$E$5:$E$400*IFERROR(_xlfn.SWITCH(MOVIMIENTOS!$C$5:$C$400,"A",15,"P",18,"C",17,"M",17,0),0))-SUMPRODUCT((MOVIMIENTOS!$A$5:$A$400=MOVIMIENTOS!$A127)*(MOVIMIENTOS!$B$5:$B$400="REPROCESO")*MOVIMIENTOS!$I$5:$I$400),"+#,##0;-#,##0;0")&amp;" kg)"</f>
        <v>17 kg recuperados (merma del día: +15 kg)</v>
      </c>
      <c r="G73" s="46" t="n">
        <f aca="false">N(G72)+N(C73)-N(E73)</f>
        <v>7535.5</v>
      </c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</row>
    <row r="74" customFormat="false" ht="33.75" hidden="false" customHeight="true" outlineLevel="0" collapsed="false">
      <c r="A74" s="51" t="n">
        <v>46225</v>
      </c>
      <c r="B74" s="52" t="s">
        <v>87</v>
      </c>
      <c r="C74" s="53" t="n">
        <f aca="false">SUMPRODUCT((MOVIMIENTOS!$A$5:$A$400=DATE(2026,7,22))*(MOVIMIENTOS!$B$5:$B$400="COMPRA")*MOVIMIENTOS!$I$5:$I$400)</f>
        <v>3880</v>
      </c>
      <c r="D74" s="53" t="n">
        <f aca="false">SUMPRODUCT((MOVIMIENTOS!$A$5:$A$400=DATE(2026,7,22))*(MOVIMIENTOS!$B$5:$B$400="PROCESO")*MOVIMIENTOS!$I$5:$I$400)</f>
        <v>4025</v>
      </c>
      <c r="E74" s="53" t="n">
        <f aca="false">SUMPRODUCT((MOVIMIENTOS!$A$5:$A$400=DATE(2026,7,22))*((MOVIMIENTOS!$B$5:$B$400="ENVÍO A SUPESA")+(MOVIMIENTOS!$B$5:$B$400="ENVÍO A TOTTUS")+(MOVIMIENTOS!$B$5:$B$400="ENVIO A TOTTUS"))*MOVIMIENTOS!$I$5:$I$400)</f>
        <v>3294</v>
      </c>
      <c r="F74" s="52" t="str">
        <f aca="false">"Selección: "&amp;TEXT(SUMPRODUCT((MOVIMIENTOS!$A$5:$A$400=DATE(2026,7,22))*(MOVIMIENTOS!$B$5:$B$400="PROCESO")*(MOVIMIENTOS!$C$5:$C$400&lt;&gt;"Chancho")*MOVIMIENTOS!$I$5:$I$400),"#,##0")&amp;" kg  ·  Chancho: "&amp;TEXT(SUMPRODUCT((MOVIMIENTOS!$A$5:$A$400=DATE(2026,7,22))*(MOVIMIENTOS!$B$5:$B$400="PROCESO")*(MOVIMIENTOS!$C$5:$C$400="Chancho")*MOVIMIENTOS!$I$5:$I$400),"#,##0")&amp;" kg"&amp;IF(C74&gt;0,"  ·  "&amp;TEXT(D74/C74,"0%")&amp;" del ingreso","")</f>
        <v>Selección: 3,249 kg  ·  Chancho: 776 kg  ·  104% del ingreso</v>
      </c>
      <c r="G74" s="53" t="n">
        <f aca="false">N(G84)</f>
        <v>7457.5</v>
      </c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</row>
    <row r="75" customFormat="false" ht="15" hidden="false" customHeight="true" outlineLevel="0" collapsed="false">
      <c r="A75" s="58" t="n">
        <v>46225</v>
      </c>
      <c r="B75" s="59" t="s">
        <v>91</v>
      </c>
      <c r="C75" s="60"/>
      <c r="D75" s="60" t="n">
        <f aca="false">SUMPRODUCT((MOVIMIENTOS!$A$5:$A$400=DATE(2026,7,22))*(MOVIMIENTOS!$B$5:$B$400="PROCESO")*(MOVIMIENTOS!$C$5:$C$400&lt;&gt;"Chancho")*MOVIMIENTOS!$I$5:$I$400)</f>
        <v>3249</v>
      </c>
      <c r="E75" s="60"/>
      <c r="F75" s="59" t="s">
        <v>119</v>
      </c>
      <c r="G75" s="60" t="n">
        <f aca="false">N(G73)</f>
        <v>7535.5</v>
      </c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</row>
    <row r="76" customFormat="false" ht="15" hidden="false" customHeight="true" outlineLevel="0" collapsed="false">
      <c r="A76" s="45" t="n">
        <v>46225</v>
      </c>
      <c r="B76" s="54" t="s">
        <v>93</v>
      </c>
      <c r="C76" s="46"/>
      <c r="D76" s="46" t="n">
        <f aca="false">N(MOVIMIENTOS!$I132)</f>
        <v>776</v>
      </c>
      <c r="E76" s="46" t="n">
        <f aca="false">N(MOVIMIENTOS!$I132)</f>
        <v>776</v>
      </c>
      <c r="F76" s="54" t="str">
        <f aca="false">TRIM(IF(MOVIMIENTOS!$G132&lt;&gt;"",MOVIMIENTOS!$G132&amp;"  ","")&amp;IF(N(MOVIMIENTOS!$E132)&gt;0,MOVIMIENTOS!$E132&amp;" "&amp;MOVIMIENTOS!$D132&amp;"  ","")&amp;IF(MOVIMIENTOS!$H132&lt;&gt;"",MOVIMIENTOS!$H132,""))</f>
        <v>8 sacos</v>
      </c>
      <c r="G76" s="46" t="n">
        <f aca="false">N(G75)+N(C76)-N(E76)</f>
        <v>6759.5</v>
      </c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</row>
    <row r="77" customFormat="false" ht="15" hidden="false" customHeight="true" outlineLevel="0" collapsed="false">
      <c r="A77" s="45" t="n">
        <v>46225</v>
      </c>
      <c r="B77" s="54" t="s">
        <v>46</v>
      </c>
      <c r="C77" s="46"/>
      <c r="D77" s="46"/>
      <c r="E77" s="46" t="n">
        <f aca="false">N(MOVIMIENTOS!$I133)</f>
        <v>50</v>
      </c>
      <c r="F77" s="54" t="str">
        <f aca="false">TRIM(IF(MOVIMIENTOS!$G133&lt;&gt;"",MOVIMIENTOS!$G133&amp;"  ","")&amp;IF(N(MOVIMIENTOS!$E133)&gt;0,MOVIMIENTOS!$E133&amp;" "&amp;MOVIMIENTOS!$D133&amp;"  ","")&amp;IF(MOVIMIENTOS!$H133&lt;&gt;"",MOVIMIENTOS!$H133,""))</f>
        <v>50 kg</v>
      </c>
      <c r="G77" s="46" t="n">
        <f aca="false">N(G76)+N(C77)-N(E77)</f>
        <v>6709.5</v>
      </c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</row>
    <row r="78" customFormat="false" ht="15" hidden="false" customHeight="true" outlineLevel="0" collapsed="false">
      <c r="A78" s="45" t="n">
        <v>46225</v>
      </c>
      <c r="B78" s="54" t="s">
        <v>23</v>
      </c>
      <c r="C78" s="46"/>
      <c r="D78" s="46"/>
      <c r="E78" s="46" t="n">
        <f aca="false">N(MOVIMIENTOS!$I134)+N(MOVIMIENTOS!$I135)+N(MOVIMIENTOS!$I136)+N(MOVIMIENTOS!$I137)</f>
        <v>3294</v>
      </c>
      <c r="F78" s="54" t="s">
        <v>120</v>
      </c>
      <c r="G78" s="46" t="n">
        <f aca="false">N(G77)+N(C78)-N(E78)</f>
        <v>3415.5</v>
      </c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</row>
    <row r="79" customFormat="false" ht="33.75" hidden="false" customHeight="true" outlineLevel="0" collapsed="false">
      <c r="A79" s="45" t="n">
        <v>46225</v>
      </c>
      <c r="B79" s="54" t="s">
        <v>28</v>
      </c>
      <c r="C79" s="46"/>
      <c r="D79" s="46"/>
      <c r="E79" s="46"/>
      <c r="F79" s="54" t="str">
        <f aca="false">TRIM(IF(MOVIMIENTOS!$G138&lt;&gt;"",MOVIMIENTOS!$G138&amp;"  ","")&amp;IF(N(MOVIMIENTOS!$E138)&gt;0,MOVIMIENTOS!$E138&amp;" "&amp;MOVIMIENTOS!$D138&amp;"  ","")&amp;IF(MOVIMIENTOS!$H138&lt;&gt;"",MOVIMIENTOS!$H138,""))</f>
        <v>S/T 10 sacos</v>
      </c>
      <c r="G79" s="46" t="n">
        <f aca="false">N(G78)+N(C79)-N(E79)</f>
        <v>3415.5</v>
      </c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</row>
    <row r="80" customFormat="false" ht="15" hidden="false" customHeight="true" outlineLevel="0" collapsed="false">
      <c r="A80" s="45" t="n">
        <v>46225</v>
      </c>
      <c r="B80" s="54" t="s">
        <v>116</v>
      </c>
      <c r="C80" s="46"/>
      <c r="D80" s="46"/>
      <c r="E80" s="46"/>
      <c r="F80" s="54" t="str">
        <f aca="false">MOVIMIENTOS!$E139&amp;" jabas rechazadas · van a reproceso (merma del día: "&amp;TEXT(SUMPRODUCT((MOVIMIENTOS!$A$5:$A$400=MOVIMIENTOS!$A139)*(MOVIMIENTOS!$B$5:$B$400="RECHAZO")*(MOVIMIENTOS!$D$5:$D$400="jabas")*MOVIMIENTOS!$E$5:$E$400*IFERROR(_xlfn.SWITCH(MOVIMIENTOS!$C$5:$C$400,"A",15,"P",18,"C",17,"M",17,0),0))-SUMPRODUCT((MOVIMIENTOS!$A$5:$A$400=MOVIMIENTOS!$A139)*(MOVIMIENTOS!$B$5:$B$400="REPROCESO")*MOVIMIENTOS!$I$5:$I$400),"+#,##0;-#,##0;0")&amp;" kg)"</f>
        <v>1 jabas rechazadas · van a reproceso (merma del día: +6 kg)</v>
      </c>
      <c r="G80" s="46" t="n">
        <f aca="false">N(G79)+N(C80)-N(E80)</f>
        <v>3415.5</v>
      </c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</row>
    <row r="81" customFormat="false" ht="15" hidden="false" customHeight="true" outlineLevel="0" collapsed="false">
      <c r="A81" s="45" t="n">
        <v>46225</v>
      </c>
      <c r="B81" s="54" t="s">
        <v>121</v>
      </c>
      <c r="C81" s="46" t="n">
        <f aca="false">N(MOVIMIENTOS!$I140)</f>
        <v>153</v>
      </c>
      <c r="D81" s="46"/>
      <c r="E81" s="46"/>
      <c r="F81" s="54"/>
      <c r="G81" s="46" t="n">
        <f aca="false">N(G80)+N(C81)-N(E81)</f>
        <v>3568.5</v>
      </c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</row>
    <row r="82" customFormat="false" ht="15" hidden="false" customHeight="true" outlineLevel="0" collapsed="false">
      <c r="A82" s="45" t="n">
        <v>46225</v>
      </c>
      <c r="B82" s="54" t="s">
        <v>107</v>
      </c>
      <c r="C82" s="46"/>
      <c r="D82" s="46"/>
      <c r="E82" s="46"/>
      <c r="F82" s="54" t="str">
        <f aca="false">MOVIMIENTOS!$E141&amp;" jaba(s) movida(s) para completar otras · no resta del Stock Kg"</f>
        <v>1 jaba(s) movida(s) para completar otras · no resta del Stock Kg</v>
      </c>
      <c r="G82" s="46" t="n">
        <f aca="false">N(G81)+N(C82)-N(E82)</f>
        <v>3568.5</v>
      </c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</row>
    <row r="83" customFormat="false" ht="33.75" hidden="false" customHeight="true" outlineLevel="0" collapsed="false">
      <c r="A83" s="45" t="n">
        <v>46225</v>
      </c>
      <c r="B83" s="54" t="s">
        <v>43</v>
      </c>
      <c r="C83" s="46" t="n">
        <f aca="false">N(MOVIMIENTOS!$I142)</f>
        <v>9</v>
      </c>
      <c r="D83" s="46"/>
      <c r="E83" s="46"/>
      <c r="F83" s="54" t="str">
        <f aca="false">MOVIMIENTOS!$E142&amp;" kg recuperados (merma del día: "&amp;TEXT(SUMPRODUCT((MOVIMIENTOS!$A$5:$A$400=MOVIMIENTOS!$A142)*(MOVIMIENTOS!$B$5:$B$400="RECHAZO")*(MOVIMIENTOS!$D$5:$D$400="jabas")*MOVIMIENTOS!$E$5:$E$400*IFERROR(_xlfn.SWITCH(MOVIMIENTOS!$C$5:$C$400,"A",15,"P",18,"C",17,"M",17,0),0))-SUMPRODUCT((MOVIMIENTOS!$A$5:$A$400=MOVIMIENTOS!$A142)*(MOVIMIENTOS!$B$5:$B$400="REPROCESO")*MOVIMIENTOS!$I$5:$I$400),"+#,##0;-#,##0;0")&amp;" kg)"</f>
        <v>9 kg recuperados (merma del día: +6 kg)</v>
      </c>
      <c r="G83" s="46" t="n">
        <f aca="false">N(G82)+N(C83)-N(E83)</f>
        <v>3577.5</v>
      </c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</row>
    <row r="84" customFormat="false" ht="15" hidden="false" customHeight="true" outlineLevel="0" collapsed="false">
      <c r="A84" s="55" t="n">
        <v>46225</v>
      </c>
      <c r="B84" s="56" t="s">
        <v>90</v>
      </c>
      <c r="C84" s="57" t="n">
        <f aca="false">N(MOVIMIENTOS!$I143)</f>
        <v>3880</v>
      </c>
      <c r="D84" s="57"/>
      <c r="E84" s="57"/>
      <c r="F84" s="56" t="str">
        <f aca="false">TRIM(IF(MOVIMIENTOS!$G143&lt;&gt;"",MOVIMIENTOS!$G143&amp;"  ","")&amp;IF(N(MOVIMIENTOS!$E143)&gt;0,MOVIMIENTOS!$E143&amp;" "&amp;MOVIMIENTOS!$D143&amp;"  ","")&amp;IF(MOVIMIENTOS!$H143&lt;&gt;"",MOVIMIENTOS!$H143,""))</f>
        <v>40 sacos peso aprox 95 kg/saco</v>
      </c>
      <c r="G84" s="57" t="n">
        <f aca="false">N(G83)+N(C84)-N(E84)</f>
        <v>7457.5</v>
      </c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</row>
    <row r="85" customFormat="false" ht="33.75" hidden="false" customHeight="true" outlineLevel="0" collapsed="false">
      <c r="A85" s="51" t="n">
        <v>46226</v>
      </c>
      <c r="B85" s="52" t="s">
        <v>87</v>
      </c>
      <c r="C85" s="53" t="n">
        <f aca="false">SUMPRODUCT((MOVIMIENTOS!$A$5:$A$400=DATE(2026,7,23))*(MOVIMIENTOS!$B$5:$B$400="COMPRA")*MOVIMIENTOS!$I$5:$I$400)</f>
        <v>7760</v>
      </c>
      <c r="D85" s="53" t="n">
        <f aca="false">SUMPRODUCT((MOVIMIENTOS!$A$5:$A$400=DATE(2026,7,23))*(MOVIMIENTOS!$B$5:$B$400="PROCESO")*MOVIMIENTOS!$I$5:$I$400)</f>
        <v>3800.5</v>
      </c>
      <c r="E85" s="53" t="n">
        <f aca="false">SUMPRODUCT((MOVIMIENTOS!$A$5:$A$400=DATE(2026,7,23))*((MOVIMIENTOS!$B$5:$B$400="ENVÍO A SUPESA")+(MOVIMIENTOS!$B$5:$B$400="ENVÍO A TOTTUS")+(MOVIMIENTOS!$B$5:$B$400="ENVIO A TOTTUS"))*MOVIMIENTOS!$I$5:$I$400)</f>
        <v>3413</v>
      </c>
      <c r="F85" s="52" t="str">
        <f aca="false">"Selección: "&amp;TEXT(SUMPRODUCT((MOVIMIENTOS!$A$5:$A$400=DATE(2026,7,23))*(MOVIMIENTOS!$B$5:$B$400="PROCESO")*(MOVIMIENTOS!$C$5:$C$400&lt;&gt;"Chancho")*MOVIMIENTOS!$I$5:$I$400),"#,##0")&amp;" kg  ·  Chancho: "&amp;TEXT(SUMPRODUCT((MOVIMIENTOS!$A$5:$A$400=DATE(2026,7,23))*(MOVIMIENTOS!$B$5:$B$400="PROCESO")*(MOVIMIENTOS!$C$5:$C$400="Chancho")*MOVIMIENTOS!$I$5:$I$400),"#,##0")&amp;" kg"&amp;IF(C85&gt;0,"  ·  "&amp;TEXT(D85/C85,"0%")&amp;" del ingreso","")</f>
        <v>Selección: 3,170 kg  ·  Chancho: 631 kg  ·  49% del ingreso</v>
      </c>
      <c r="G85" s="53" t="n">
        <f aca="false">N(G90)</f>
        <v>11174</v>
      </c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</row>
    <row r="86" customFormat="false" ht="15" hidden="false" customHeight="true" outlineLevel="0" collapsed="false">
      <c r="A86" s="58" t="n">
        <v>46226</v>
      </c>
      <c r="B86" s="59" t="s">
        <v>91</v>
      </c>
      <c r="C86" s="60"/>
      <c r="D86" s="60" t="n">
        <f aca="false">SUMPRODUCT((MOVIMIENTOS!$A$5:$A$400=DATE(2026,7,23))*(MOVIMIENTOS!$B$5:$B$400="PROCESO")*(MOVIMIENTOS!$C$5:$C$400&lt;&gt;"Chancho")*MOVIMIENTOS!$I$5:$I$400)</f>
        <v>3170</v>
      </c>
      <c r="E86" s="60"/>
      <c r="F86" s="59" t="s">
        <v>122</v>
      </c>
      <c r="G86" s="60" t="n">
        <f aca="false">N(G84)</f>
        <v>7457.5</v>
      </c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</row>
    <row r="87" customFormat="false" ht="15" hidden="false" customHeight="true" outlineLevel="0" collapsed="false">
      <c r="A87" s="45" t="n">
        <v>46226</v>
      </c>
      <c r="B87" s="54" t="s">
        <v>93</v>
      </c>
      <c r="C87" s="46"/>
      <c r="D87" s="46" t="n">
        <f aca="false">N(MOVIMIENTOS!$I148)</f>
        <v>630.5</v>
      </c>
      <c r="E87" s="46" t="n">
        <f aca="false">N(MOVIMIENTOS!$I148)</f>
        <v>630.5</v>
      </c>
      <c r="F87" s="54" t="str">
        <f aca="false">TRIM(IF(MOVIMIENTOS!$G148&lt;&gt;"",MOVIMIENTOS!$G148&amp;"  ","")&amp;IF(N(MOVIMIENTOS!$E148)&gt;0,MOVIMIENTOS!$E148&amp;" "&amp;MOVIMIENTOS!$D148&amp;"  ","")&amp;IF(MOVIMIENTOS!$H148&lt;&gt;"",MOVIMIENTOS!$H148,""))</f>
        <v>6.5 sacos</v>
      </c>
      <c r="G87" s="46" t="n">
        <f aca="false">N(G86)+N(C87)-N(E87)</f>
        <v>6827</v>
      </c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</row>
    <row r="88" customFormat="false" ht="15" hidden="false" customHeight="true" outlineLevel="0" collapsed="false">
      <c r="A88" s="45" t="n">
        <v>46226</v>
      </c>
      <c r="B88" s="54" t="s">
        <v>23</v>
      </c>
      <c r="C88" s="46"/>
      <c r="D88" s="46"/>
      <c r="E88" s="46" t="n">
        <f aca="false">N(MOVIMIENTOS!$I149)+N(MOVIMIENTOS!$I150)+N(MOVIMIENTOS!$I151)+N(MOVIMIENTOS!$I152)</f>
        <v>3413</v>
      </c>
      <c r="F88" s="54" t="s">
        <v>123</v>
      </c>
      <c r="G88" s="46" t="n">
        <f aca="false">N(G87)+N(C88)-N(E88)</f>
        <v>3414</v>
      </c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</row>
    <row r="89" customFormat="false" ht="15" hidden="false" customHeight="true" outlineLevel="0" collapsed="false">
      <c r="A89" s="55" t="n">
        <v>46226</v>
      </c>
      <c r="B89" s="56" t="s">
        <v>90</v>
      </c>
      <c r="C89" s="57" t="n">
        <f aca="false">N(MOVIMIENTOS!$I153)</f>
        <v>4171</v>
      </c>
      <c r="D89" s="57"/>
      <c r="E89" s="57"/>
      <c r="F89" s="56" t="str">
        <f aca="false">TRIM(IF(MOVIMIENTOS!$G153&lt;&gt;"",MOVIMIENTOS!$G153&amp;"  ","")&amp;IF(N(MOVIMIENTOS!$E153)&gt;0,MOVIMIENTOS!$E153&amp;" "&amp;MOVIMIENTOS!$D153&amp;"  ","")&amp;IF(MOVIMIENTOS!$H153&lt;&gt;"",MOVIMIENTOS!$H153,""))</f>
        <v>43 sacos EN TOTAL SE COMPRARON 80 SACOS, 43 PROCESARON 24-07 Y 37 PROCESARAN SABADO 25</v>
      </c>
      <c r="G89" s="57" t="n">
        <f aca="false">N(G88)+N(C89)-N(E89)</f>
        <v>7585</v>
      </c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</row>
    <row r="90" customFormat="false" ht="33.75" hidden="false" customHeight="true" outlineLevel="0" collapsed="false">
      <c r="A90" s="55" t="n">
        <v>46226</v>
      </c>
      <c r="B90" s="56" t="s">
        <v>90</v>
      </c>
      <c r="C90" s="57" t="n">
        <f aca="false">N(MOVIMIENTOS!$I154)</f>
        <v>3589</v>
      </c>
      <c r="D90" s="57"/>
      <c r="E90" s="57"/>
      <c r="F90" s="56" t="str">
        <f aca="false">TRIM(IF(MOVIMIENTOS!$G154&lt;&gt;"",MOVIMIENTOS!$G154&amp;"  ","")&amp;IF(N(MOVIMIENTOS!$E154)&gt;0,MOVIMIENTOS!$E154&amp;" "&amp;MOVIMIENTOS!$D154&amp;"  ","")&amp;IF(MOVIMIENTOS!$H154&lt;&gt;"",MOVIMIENTOS!$H154,""))</f>
        <v>37 sacos peso aprox 95 kg/saco</v>
      </c>
      <c r="G90" s="57" t="n">
        <f aca="false">N(G89)+N(C90)-N(E90)</f>
        <v>11174</v>
      </c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</row>
    <row r="91" customFormat="false" ht="33.75" hidden="false" customHeight="true" outlineLevel="0" collapsed="false">
      <c r="A91" s="51" t="n">
        <v>46227</v>
      </c>
      <c r="B91" s="52" t="s">
        <v>87</v>
      </c>
      <c r="C91" s="53" t="n">
        <f aca="false">SUMPRODUCT((MOVIMIENTOS!$A$5:$A$400=DATE(2026,7,24))*(MOVIMIENTOS!$B$5:$B$400="COMPRA")*MOVIMIENTOS!$I$5:$I$400)</f>
        <v>0</v>
      </c>
      <c r="D91" s="53" t="n">
        <f aca="false">SUMPRODUCT((MOVIMIENTOS!$A$5:$A$400=DATE(2026,7,24))*(MOVIMIENTOS!$B$5:$B$400="PROCESO")*MOVIMIENTOS!$I$5:$I$400)</f>
        <v>3056</v>
      </c>
      <c r="E91" s="53" t="n">
        <f aca="false">SUMPRODUCT((MOVIMIENTOS!$A$5:$A$400=DATE(2026,7,24))*((MOVIMIENTOS!$B$5:$B$400="ENVÍO A SUPESA")+(MOVIMIENTOS!$B$5:$B$400="ENVÍO A TOTTUS")+(MOVIMIENTOS!$B$5:$B$400="ENVIO A TOTTUS"))*MOVIMIENTOS!$I$5:$I$400)</f>
        <v>3461</v>
      </c>
      <c r="F91" s="52" t="str">
        <f aca="false">"Selección: "&amp;TEXT(SUMPRODUCT((MOVIMIENTOS!$A$5:$A$400=DATE(2026,7,24))*(MOVIMIENTOS!$B$5:$B$400="PROCESO")*(MOVIMIENTOS!$C$5:$C$400&lt;&gt;"Chancho")*MOVIMIENTOS!$I$5:$I$400),"#,##0")&amp;" kg  ·  Chancho: "&amp;TEXT(SUMPRODUCT((MOVIMIENTOS!$A$5:$A$400=DATE(2026,7,24))*(MOVIMIENTOS!$B$5:$B$400="PROCESO")*(MOVIMIENTOS!$C$5:$C$400="Chancho")*MOVIMIENTOS!$I$5:$I$400),"#,##0")&amp;" kg"&amp;IF(C91&gt;0,"  ·  "&amp;TEXT(D91/C91,"0%")&amp;" del ingreso","")</f>
        <v>Selección: 2,474 kg  ·  Chancho: 582 kg</v>
      </c>
      <c r="G91" s="53" t="n">
        <f aca="false">N(G101)</f>
        <v>7152</v>
      </c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</row>
    <row r="92" customFormat="false" ht="33.75" hidden="false" customHeight="true" outlineLevel="0" collapsed="false">
      <c r="A92" s="58" t="n">
        <v>46227</v>
      </c>
      <c r="B92" s="59" t="s">
        <v>91</v>
      </c>
      <c r="C92" s="60"/>
      <c r="D92" s="60" t="n">
        <f aca="false">SUMPRODUCT((MOVIMIENTOS!$A$5:$A$400=DATE(2026,7,24))*(MOVIMIENTOS!$B$5:$B$400="PROCESO")*(MOVIMIENTOS!$C$5:$C$400&lt;&gt;"Chancho")*MOVIMIENTOS!$I$5:$I$400)</f>
        <v>2474</v>
      </c>
      <c r="E92" s="60"/>
      <c r="F92" s="59" t="s">
        <v>124</v>
      </c>
      <c r="G92" s="60" t="n">
        <f aca="false">N(G90)</f>
        <v>11174</v>
      </c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</row>
    <row r="93" customFormat="false" ht="15" hidden="false" customHeight="true" outlineLevel="0" collapsed="false">
      <c r="A93" s="45" t="n">
        <v>46227</v>
      </c>
      <c r="B93" s="54" t="s">
        <v>93</v>
      </c>
      <c r="C93" s="46"/>
      <c r="D93" s="46" t="n">
        <f aca="false">N(MOVIMIENTOS!$I159)</f>
        <v>582</v>
      </c>
      <c r="E93" s="46" t="n">
        <f aca="false">N(MOVIMIENTOS!$I159)</f>
        <v>582</v>
      </c>
      <c r="F93" s="54" t="str">
        <f aca="false">TRIM(IF(MOVIMIENTOS!$G159&lt;&gt;"",MOVIMIENTOS!$G159&amp;"  ","")&amp;IF(N(MOVIMIENTOS!$E159)&gt;0,MOVIMIENTOS!$E159&amp;" "&amp;MOVIMIENTOS!$D159&amp;"  ","")&amp;IF(MOVIMIENTOS!$H159&lt;&gt;"",MOVIMIENTOS!$H159,""))</f>
        <v>6 sacos</v>
      </c>
      <c r="G93" s="46" t="n">
        <f aca="false">N(G92)+N(C93)-N(E93)</f>
        <v>10592</v>
      </c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</row>
    <row r="94" customFormat="false" ht="15" hidden="false" customHeight="true" outlineLevel="0" collapsed="false">
      <c r="A94" s="45" t="n">
        <v>46227</v>
      </c>
      <c r="B94" s="54" t="s">
        <v>23</v>
      </c>
      <c r="C94" s="46"/>
      <c r="D94" s="46"/>
      <c r="E94" s="46" t="n">
        <f aca="false">N(MOVIMIENTOS!$I160)+N(MOVIMIENTOS!$I161)+N(MOVIMIENTOS!$I162)+N(MOVIMIENTOS!$I163)</f>
        <v>3413</v>
      </c>
      <c r="F94" s="54" t="s">
        <v>125</v>
      </c>
      <c r="G94" s="46" t="n">
        <f aca="false">N(G93)+N(C94)-N(E94)</f>
        <v>7179</v>
      </c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</row>
    <row r="95" customFormat="false" ht="15" hidden="false" customHeight="true" outlineLevel="0" collapsed="false">
      <c r="A95" s="45" t="n">
        <v>46227</v>
      </c>
      <c r="B95" s="54" t="s">
        <v>116</v>
      </c>
      <c r="C95" s="46"/>
      <c r="D95" s="46"/>
      <c r="E95" s="46"/>
      <c r="F95" s="54" t="str">
        <f aca="false">MOVIMIENTOS!$E164&amp;" jabas rechazadas · van a reproceso (merma del día: "&amp;TEXT(SUMPRODUCT((MOVIMIENTOS!$A$5:$A$400=MOVIMIENTOS!$A164)*(MOVIMIENTOS!$B$5:$B$400="RECHAZO")*(MOVIMIENTOS!$D$5:$D$400="jabas")*MOVIMIENTOS!$E$5:$E$400*IFERROR(_xlfn.SWITCH(MOVIMIENTOS!$C$5:$C$400,"A",15,"P",18,"C",17,"M",17,0),0))-SUMPRODUCT((MOVIMIENTOS!$A$5:$A$400=MOVIMIENTOS!$A164)*(MOVIMIENTOS!$B$5:$B$400="REPROCESO")*MOVIMIENTOS!$I$5:$I$400),"+#,##0;-#,##0;0")&amp;" kg)"</f>
        <v>1 jabas rechazadas · van a reproceso (merma del día: +11 kg)</v>
      </c>
      <c r="G95" s="46" t="n">
        <f aca="false">N(G94)+N(C95)-N(E95)</f>
        <v>7179</v>
      </c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</row>
    <row r="96" customFormat="false" ht="15" hidden="false" customHeight="true" outlineLevel="0" collapsed="false">
      <c r="A96" s="45" t="n">
        <v>46227</v>
      </c>
      <c r="B96" s="54" t="s">
        <v>43</v>
      </c>
      <c r="C96" s="46" t="n">
        <f aca="false">N(MOVIMIENTOS!$I165)</f>
        <v>11</v>
      </c>
      <c r="D96" s="46"/>
      <c r="E96" s="46"/>
      <c r="F96" s="54" t="str">
        <f aca="false">MOVIMIENTOS!$E165&amp;" kg recuperados (merma del día: "&amp;TEXT(SUMPRODUCT((MOVIMIENTOS!$A$5:$A$400=MOVIMIENTOS!$A165)*(MOVIMIENTOS!$B$5:$B$400="RECHAZO")*(MOVIMIENTOS!$D$5:$D$400="jabas")*MOVIMIENTOS!$E$5:$E$400*IFERROR(_xlfn.SWITCH(MOVIMIENTOS!$C$5:$C$400,"A",15,"P",18,"C",17,"M",17,0),0))-SUMPRODUCT((MOVIMIENTOS!$A$5:$A$400=MOVIMIENTOS!$A165)*(MOVIMIENTOS!$B$5:$B$400="REPROCESO")*MOVIMIENTOS!$I$5:$I$400),"+#,##0;-#,##0;0")&amp;" kg)"</f>
        <v>11 kg recuperados (merma del día: +11 kg)</v>
      </c>
      <c r="G96" s="46" t="n">
        <f aca="false">N(G95)+N(C96)-N(E96)</f>
        <v>7190</v>
      </c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</row>
    <row r="97" customFormat="false" ht="15" hidden="false" customHeight="true" outlineLevel="0" collapsed="false">
      <c r="A97" s="45" t="n">
        <v>46227</v>
      </c>
      <c r="B97" s="54" t="s">
        <v>117</v>
      </c>
      <c r="C97" s="46"/>
      <c r="D97" s="46"/>
      <c r="E97" s="46"/>
      <c r="F97" s="54" t="str">
        <f aca="false">MOVIMIENTOS!$E166&amp;" jabas rechazadas · van a reproceso (merma del día: "&amp;TEXT(SUMPRODUCT((MOVIMIENTOS!$A$5:$A$400=MOVIMIENTOS!$A166)*(MOVIMIENTOS!$B$5:$B$400="RECHAZO")*(MOVIMIENTOS!$D$5:$D$400="jabas")*MOVIMIENTOS!$E$5:$E$400*IFERROR(_xlfn.SWITCH(MOVIMIENTOS!$C$5:$C$400,"A",15,"P",18,"C",17,"M",17,0),0))-SUMPRODUCT((MOVIMIENTOS!$A$5:$A$400=MOVIMIENTOS!$A166)*(MOVIMIENTOS!$B$5:$B$400="REPROCESO")*MOVIMIENTOS!$I$5:$I$400),"+#,##0;-#,##0;0")&amp;" kg)"</f>
        <v>1 jabas rechazadas · van a reproceso (merma del día: +11 kg)</v>
      </c>
      <c r="G97" s="46" t="n">
        <f aca="false">N(G96)+N(C97)-N(E97)</f>
        <v>7190</v>
      </c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</row>
    <row r="98" customFormat="false" ht="15" hidden="false" customHeight="true" outlineLevel="0" collapsed="false">
      <c r="A98" s="45" t="n">
        <v>46227</v>
      </c>
      <c r="B98" s="54" t="s">
        <v>43</v>
      </c>
      <c r="C98" s="46" t="n">
        <f aca="false">N(MOVIMIENTOS!$I167)</f>
        <v>10</v>
      </c>
      <c r="D98" s="46"/>
      <c r="E98" s="46"/>
      <c r="F98" s="54" t="str">
        <f aca="false">MOVIMIENTOS!$E167&amp;" kg recuperados (merma del día: "&amp;TEXT(SUMPRODUCT((MOVIMIENTOS!$A$5:$A$400=MOVIMIENTOS!$A167)*(MOVIMIENTOS!$B$5:$B$400="RECHAZO")*(MOVIMIENTOS!$D$5:$D$400="jabas")*MOVIMIENTOS!$E$5:$E$400*IFERROR(_xlfn.SWITCH(MOVIMIENTOS!$C$5:$C$400,"A",15,"P",18,"C",17,"M",17,0),0))-SUMPRODUCT((MOVIMIENTOS!$A$5:$A$400=MOVIMIENTOS!$A167)*(MOVIMIENTOS!$B$5:$B$400="REPROCESO")*MOVIMIENTOS!$I$5:$I$400),"+#,##0;-#,##0;0")&amp;" kg)"</f>
        <v>10 kg recuperados (merma del día: +11 kg)</v>
      </c>
      <c r="G98" s="46" t="n">
        <f aca="false">N(G97)+N(C98)-N(E98)</f>
        <v>7200</v>
      </c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</row>
    <row r="99" customFormat="false" ht="15" hidden="false" customHeight="true" outlineLevel="0" collapsed="false">
      <c r="A99" s="45" t="n">
        <v>46227</v>
      </c>
      <c r="B99" s="54" t="s">
        <v>28</v>
      </c>
      <c r="C99" s="46"/>
      <c r="D99" s="46"/>
      <c r="E99" s="46"/>
      <c r="F99" s="54" t="str">
        <f aca="false">TRIM(IF(MOVIMIENTOS!$G168&lt;&gt;"",MOVIMIENTOS!$G168&amp;"  ","")&amp;IF(N(MOVIMIENTOS!$E168)&gt;0,MOVIMIENTOS!$E168&amp;" "&amp;MOVIMIENTOS!$D168&amp;"  ","")&amp;IF(MOVIMIENTOS!$H168&lt;&gt;"",MOVIMIENTOS!$H168,""))</f>
        <v>TCK002-729 9 sacos</v>
      </c>
      <c r="G99" s="46" t="n">
        <f aca="false">N(G98)+N(C99)-N(E99)</f>
        <v>7200</v>
      </c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</row>
    <row r="100" customFormat="false" ht="15" hidden="false" customHeight="true" outlineLevel="0" collapsed="false">
      <c r="A100" s="45" t="n">
        <v>46227</v>
      </c>
      <c r="B100" s="54" t="s">
        <v>28</v>
      </c>
      <c r="C100" s="46"/>
      <c r="D100" s="46"/>
      <c r="E100" s="46"/>
      <c r="F100" s="54" t="str">
        <f aca="false">TRIM(IF(MOVIMIENTOS!$G169&lt;&gt;"",MOVIMIENTOS!$G169&amp;"  ","")&amp;IF(N(MOVIMIENTOS!$E169)&gt;0,MOVIMIENTOS!$E169&amp;" "&amp;MOVIMIENTOS!$D169&amp;"  ","")&amp;IF(MOVIMIENTOS!$H169&lt;&gt;"",MOVIMIENTOS!$H169,""))</f>
        <v>1 sacos No hicieron ticket</v>
      </c>
      <c r="G100" s="46" t="n">
        <f aca="false">N(G99)+N(C100)-N(E100)</f>
        <v>7200</v>
      </c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</row>
    <row r="101" customFormat="false" ht="33.75" hidden="false" customHeight="true" outlineLevel="0" collapsed="false">
      <c r="A101" s="45" t="n">
        <v>46227</v>
      </c>
      <c r="B101" s="54" t="s">
        <v>126</v>
      </c>
      <c r="C101" s="46"/>
      <c r="D101" s="46"/>
      <c r="E101" s="46" t="n">
        <f aca="false">N(MOVIMIENTOS!$I170)</f>
        <v>48</v>
      </c>
      <c r="F101" s="54"/>
      <c r="G101" s="46" t="n">
        <f aca="false">N(G100)+N(C101)-N(E101)</f>
        <v>7152</v>
      </c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</row>
    <row r="102" customFormat="false" ht="33.75" hidden="false" customHeight="true" outlineLevel="0" collapsed="false">
      <c r="A102" s="51" t="n">
        <v>46228</v>
      </c>
      <c r="B102" s="52" t="s">
        <v>87</v>
      </c>
      <c r="C102" s="53" t="n">
        <f aca="false">SUMPRODUCT((MOVIMIENTOS!$A$5:$A$400=DATE(2026,7,25))*(MOVIMIENTOS!$B$5:$B$400="COMPRA")*MOVIMIENTOS!$I$5:$I$400)</f>
        <v>0</v>
      </c>
      <c r="D102" s="53" t="n">
        <f aca="false">SUMPRODUCT((MOVIMIENTOS!$A$5:$A$400=DATE(2026,7,25))*(MOVIMIENTOS!$B$5:$B$400="PROCESO")*MOVIMIENTOS!$I$5:$I$400)</f>
        <v>4813.5</v>
      </c>
      <c r="E102" s="53" t="n">
        <f aca="false">SUMPRODUCT((MOVIMIENTOS!$A$5:$A$400=DATE(2026,7,25))*((MOVIMIENTOS!$B$5:$B$400="ENVÍO A SUPESA")+(MOVIMIENTOS!$B$5:$B$400="ENVÍO A TOTTUS")+(MOVIMIENTOS!$B$5:$B$400="ENVIO A TOTTUS"))*MOVIMIENTOS!$I$5:$I$400)</f>
        <v>3168</v>
      </c>
      <c r="F102" s="52" t="str">
        <f aca="false">"Selección: "&amp;TEXT(SUMPRODUCT((MOVIMIENTOS!$A$5:$A$400=DATE(2026,7,25))*(MOVIMIENTOS!$B$5:$B$400="PROCESO")*(MOVIMIENTOS!$C$5:$C$400&lt;&gt;"Chancho")*MOVIMIENTOS!$I$5:$I$400),"#,##0")&amp;" kg  ·  Chancho: "&amp;TEXT(SUMPRODUCT((MOVIMIENTOS!$A$5:$A$400=DATE(2026,7,25))*(MOVIMIENTOS!$B$5:$B$400="PROCESO")*(MOVIMIENTOS!$C$5:$C$400="Chancho")*MOVIMIENTOS!$I$5:$I$400),"#,##0")&amp;" kg"&amp;IF(C102&gt;0,"  ·  "&amp;TEXT(D102/C102,"0%")&amp;" del ingreso","")</f>
        <v>Selección: 3,892 kg  ·  Chancho: 922 kg</v>
      </c>
      <c r="G102" s="53" t="n">
        <f aca="false">N(G105)</f>
        <v>3062.5</v>
      </c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</row>
    <row r="103" customFormat="false" ht="33.75" hidden="false" customHeight="true" outlineLevel="0" collapsed="false">
      <c r="A103" s="45" t="n">
        <v>46228</v>
      </c>
      <c r="B103" s="54" t="s">
        <v>23</v>
      </c>
      <c r="C103" s="46"/>
      <c r="D103" s="46"/>
      <c r="E103" s="46" t="n">
        <f aca="false">N(MOVIMIENTOS!$I171)+N(MOVIMIENTOS!$I172)+N(MOVIMIENTOS!$I173)+N(MOVIMIENTOS!$I174)</f>
        <v>3168</v>
      </c>
      <c r="F103" s="54" t="s">
        <v>127</v>
      </c>
      <c r="G103" s="46" t="n">
        <f aca="false">N(G101)+N(C103)-N(E103)</f>
        <v>3984</v>
      </c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</row>
    <row r="104" customFormat="false" ht="15" hidden="false" customHeight="true" outlineLevel="0" collapsed="false">
      <c r="A104" s="58" t="n">
        <v>46228</v>
      </c>
      <c r="B104" s="59" t="s">
        <v>91</v>
      </c>
      <c r="C104" s="60"/>
      <c r="D104" s="60" t="n">
        <f aca="false">SUMPRODUCT((MOVIMIENTOS!$A$5:$A$400=DATE(2026,7,25))*(MOVIMIENTOS!$B$5:$B$400="PROCESO")*(MOVIMIENTOS!$C$5:$C$400&lt;&gt;"Chancho")*MOVIMIENTOS!$I$5:$I$400)</f>
        <v>3892</v>
      </c>
      <c r="E104" s="60"/>
      <c r="F104" s="59" t="s">
        <v>128</v>
      </c>
      <c r="G104" s="60" t="n">
        <f aca="false">N(G103)</f>
        <v>3984</v>
      </c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</row>
    <row r="105" customFormat="false" ht="33.75" hidden="false" customHeight="true" outlineLevel="0" collapsed="false">
      <c r="A105" s="45" t="n">
        <v>46228</v>
      </c>
      <c r="B105" s="54" t="s">
        <v>93</v>
      </c>
      <c r="C105" s="46"/>
      <c r="D105" s="46" t="n">
        <f aca="false">N(MOVIMIENTOS!$I179)</f>
        <v>921.5</v>
      </c>
      <c r="E105" s="46" t="n">
        <f aca="false">N(MOVIMIENTOS!$I179)</f>
        <v>921.5</v>
      </c>
      <c r="F105" s="54" t="str">
        <f aca="false">TRIM(IF(MOVIMIENTOS!$G179&lt;&gt;"",MOVIMIENTOS!$G179&amp;"  ","")&amp;IF(N(MOVIMIENTOS!$E179)&gt;0,MOVIMIENTOS!$E179&amp;" "&amp;MOVIMIENTOS!$D179&amp;"  ","")&amp;IF(MOVIMIENTOS!$H179&lt;&gt;"",MOVIMIENTOS!$H179,""))</f>
        <v>9.5 sacos</v>
      </c>
      <c r="G105" s="46" t="n">
        <f aca="false">N(G104)+N(C105)-N(E105)</f>
        <v>3062.5</v>
      </c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</row>
    <row r="106" customFormat="false" ht="33.75" hidden="false" customHeight="true" outlineLevel="0" collapsed="false">
      <c r="A106" s="51" t="n">
        <v>46229</v>
      </c>
      <c r="B106" s="52" t="s">
        <v>87</v>
      </c>
      <c r="C106" s="53" t="n">
        <f aca="false">SUMPRODUCT((MOVIMIENTOS!$A$5:$A$400=DATE(2026,7,26))*(MOVIMIENTOS!$B$5:$B$400="COMPRA")*MOVIMIENTOS!$I$5:$I$400)</f>
        <v>0</v>
      </c>
      <c r="D106" s="53" t="n">
        <f aca="false">SUMPRODUCT((MOVIMIENTOS!$A$5:$A$400=DATE(2026,7,26))*(MOVIMIENTOS!$B$5:$B$400="PROCESO")*MOVIMIENTOS!$I$5:$I$400)</f>
        <v>0</v>
      </c>
      <c r="E106" s="53" t="n">
        <f aca="false">SUMPRODUCT((MOVIMIENTOS!$A$5:$A$400=DATE(2026,7,26))*((MOVIMIENTOS!$B$5:$B$400="ENVÍO A SUPESA")+(MOVIMIENTOS!$B$5:$B$400="ENVÍO A TOTTUS")+(MOVIMIENTOS!$B$5:$B$400="ENVIO A TOTTUS"))*MOVIMIENTOS!$I$5:$I$400)</f>
        <v>1407</v>
      </c>
      <c r="F106" s="52" t="str">
        <f aca="false">"Selección: "&amp;TEXT(SUMPRODUCT((MOVIMIENTOS!$A$5:$A$400=DATE(2026,7,26))*(MOVIMIENTOS!$B$5:$B$400="PROCESO")*(MOVIMIENTOS!$C$5:$C$400&lt;&gt;"Chancho")*MOVIMIENTOS!$I$5:$I$400),"#,##0")&amp;" kg  ·  Chancho: "&amp;TEXT(SUMPRODUCT((MOVIMIENTOS!$A$5:$A$400=DATE(2026,7,26))*(MOVIMIENTOS!$B$5:$B$400="PROCESO")*(MOVIMIENTOS!$C$5:$C$400="Chancho")*MOVIMIENTOS!$I$5:$I$400),"#,##0")&amp;" kg"&amp;IF(C106&gt;0,"  ·  "&amp;TEXT(D106/C106,"0%")&amp;" del ingreso","")</f>
        <v>Selección: 0 kg  ·  Chancho: 0 kg</v>
      </c>
      <c r="G106" s="53" t="n">
        <f aca="false">N(G107)</f>
        <v>1655.5</v>
      </c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</row>
    <row r="107" customFormat="false" ht="33.75" hidden="false" customHeight="true" outlineLevel="0" collapsed="false">
      <c r="A107" s="45" t="n">
        <v>46229</v>
      </c>
      <c r="B107" s="54" t="s">
        <v>23</v>
      </c>
      <c r="C107" s="46"/>
      <c r="D107" s="46"/>
      <c r="E107" s="46" t="n">
        <f aca="false">N(MOVIMIENTOS!$I180)+N(MOVIMIENTOS!$I181)+N(MOVIMIENTOS!$I182)</f>
        <v>1407</v>
      </c>
      <c r="F107" s="54" t="s">
        <v>129</v>
      </c>
      <c r="G107" s="46" t="n">
        <f aca="false">N(G105)+N(C107)-N(E107)</f>
        <v>1655.5</v>
      </c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</row>
    <row r="108" customFormat="false" ht="33.75" hidden="false" customHeight="true" outlineLevel="0" collapsed="false">
      <c r="A108" s="51" t="n">
        <v>46230</v>
      </c>
      <c r="B108" s="52" t="s">
        <v>87</v>
      </c>
      <c r="C108" s="53" t="n">
        <f aca="false">SUMPRODUCT((MOVIMIENTOS!$A$5:$A$400=DATE(2026,7,27))*(MOVIMIENTOS!$B$5:$B$400="COMPRA")*MOVIMIENTOS!$I$5:$I$400)</f>
        <v>4459</v>
      </c>
      <c r="D108" s="53" t="n">
        <f aca="false">SUMPRODUCT((MOVIMIENTOS!$A$5:$A$400=DATE(2026,7,27))*(MOVIMIENTOS!$B$5:$B$400="PROCESO")*MOVIMIENTOS!$I$5:$I$400)</f>
        <v>4128.5</v>
      </c>
      <c r="E108" s="53" t="n">
        <f aca="false">SUMPRODUCT((MOVIMIENTOS!$A$5:$A$400=DATE(2026,7,27))*((MOVIMIENTOS!$B$5:$B$400="ENVÍO A SUPESA")+(MOVIMIENTOS!$B$5:$B$400="ENVÍO A TOTTUS")+(MOVIMIENTOS!$B$5:$B$400="ENVIO A TOTTUS"))*MOVIMIENTOS!$I$5:$I$400)</f>
        <v>1339</v>
      </c>
      <c r="F108" s="52" t="str">
        <f aca="false">"Selección: "&amp;TEXT(SUMPRODUCT((MOVIMIENTOS!$A$5:$A$400=DATE(2026,7,27))*(MOVIMIENTOS!$B$5:$B$400="PROCESO")*(MOVIMIENTOS!$C$5:$C$400&lt;&gt;"Chancho")*MOVIMIENTOS!$I$5:$I$400),"#,##0")&amp;" kg  ·  Chancho: "&amp;TEXT(SUMPRODUCT((MOVIMIENTOS!$A$5:$A$400=DATE(2026,7,27))*(MOVIMIENTOS!$B$5:$B$400="PROCESO")*(MOVIMIENTOS!$C$5:$C$400="Chancho")*MOVIMIENTOS!$I$5:$I$400),"#,##0")&amp;" kg"&amp;IF(C108&gt;0,"  ·  "&amp;TEXT(D108/C108,"0%")&amp;" del ingreso","")</f>
        <v>Selección: 3,304 kg  ·  Chancho: 825 kg  ·  93% del ingreso</v>
      </c>
      <c r="G108" s="53" t="n">
        <f aca="false">N(G116)</f>
        <v>3958</v>
      </c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</row>
    <row r="109" customFormat="false" ht="33.75" hidden="false" customHeight="true" outlineLevel="0" collapsed="false">
      <c r="A109" s="55" t="n">
        <v>46230</v>
      </c>
      <c r="B109" s="56" t="s">
        <v>90</v>
      </c>
      <c r="C109" s="57" t="n">
        <f aca="false">N(MOVIMIENTOS!$I183)</f>
        <v>4459</v>
      </c>
      <c r="D109" s="57"/>
      <c r="E109" s="57"/>
      <c r="F109" s="56" t="str">
        <f aca="false">TRIM(IF(MOVIMIENTOS!$G183&lt;&gt;"",MOVIMIENTOS!$G183&amp;"  ","")&amp;IF(N(MOVIMIENTOS!$E183)&gt;0,MOVIMIENTOS!$E183&amp;" "&amp;MOVIMIENTOS!$D183&amp;"  ","")&amp;IF(MOVIMIENTOS!$H183&lt;&gt;"",MOVIMIENTOS!$H183,""))</f>
        <v>45 sacos Se compraron 100 sacos , solo se procesó 45</v>
      </c>
      <c r="G109" s="57" t="n">
        <f aca="false">N(G107)+N(C109)-N(E109)</f>
        <v>6114.5</v>
      </c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</row>
    <row r="110" customFormat="false" ht="15" hidden="false" customHeight="true" outlineLevel="0" collapsed="false">
      <c r="A110" s="58" t="n">
        <v>46230</v>
      </c>
      <c r="B110" s="59" t="s">
        <v>91</v>
      </c>
      <c r="C110" s="60"/>
      <c r="D110" s="60" t="n">
        <f aca="false">SUMPRODUCT((MOVIMIENTOS!$A$5:$A$400=DATE(2026,7,27))*(MOVIMIENTOS!$B$5:$B$400="PROCESO")*(MOVIMIENTOS!$C$5:$C$400&lt;&gt;"Chancho")*MOVIMIENTOS!$I$5:$I$400)</f>
        <v>3304</v>
      </c>
      <c r="E110" s="60"/>
      <c r="F110" s="59" t="s">
        <v>130</v>
      </c>
      <c r="G110" s="60" t="n">
        <f aca="false">N(G109)</f>
        <v>6114.5</v>
      </c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</row>
    <row r="111" customFormat="false" ht="15" hidden="false" customHeight="true" outlineLevel="0" collapsed="false">
      <c r="A111" s="45" t="n">
        <v>46230</v>
      </c>
      <c r="B111" s="54" t="s">
        <v>93</v>
      </c>
      <c r="C111" s="46"/>
      <c r="D111" s="46" t="n">
        <f aca="false">N(MOVIMIENTOS!$I188)</f>
        <v>824.5</v>
      </c>
      <c r="E111" s="46" t="n">
        <f aca="false">N(MOVIMIENTOS!$I188)</f>
        <v>824.5</v>
      </c>
      <c r="F111" s="54" t="str">
        <f aca="false">TRIM(IF(MOVIMIENTOS!$G188&lt;&gt;"",MOVIMIENTOS!$G188&amp;"  ","")&amp;IF(N(MOVIMIENTOS!$E188)&gt;0,MOVIMIENTOS!$E188&amp;" "&amp;MOVIMIENTOS!$D188&amp;"  ","")&amp;IF(MOVIMIENTOS!$H188&lt;&gt;"",MOVIMIENTOS!$H188,""))</f>
        <v>8.5 sacos</v>
      </c>
      <c r="G111" s="46" t="n">
        <f aca="false">N(G110)+N(C111)-N(E111)</f>
        <v>5290</v>
      </c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</row>
    <row r="112" customFormat="false" ht="15" hidden="false" customHeight="true" outlineLevel="0" collapsed="false">
      <c r="A112" s="45" t="n">
        <v>46230</v>
      </c>
      <c r="B112" s="54" t="s">
        <v>23</v>
      </c>
      <c r="C112" s="46"/>
      <c r="D112" s="46"/>
      <c r="E112" s="46" t="n">
        <f aca="false">N(MOVIMIENTOS!$I189)+N(MOVIMIENTOS!$I190)+N(MOVIMIENTOS!$I191)</f>
        <v>1339</v>
      </c>
      <c r="F112" s="54" t="s">
        <v>131</v>
      </c>
      <c r="G112" s="46" t="n">
        <f aca="false">N(G111)+N(C112)-N(E112)</f>
        <v>3951</v>
      </c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</row>
    <row r="113" customFormat="false" ht="15" hidden="false" customHeight="true" outlineLevel="0" collapsed="false">
      <c r="A113" s="45" t="n">
        <v>46230</v>
      </c>
      <c r="B113" s="54" t="s">
        <v>28</v>
      </c>
      <c r="C113" s="46"/>
      <c r="D113" s="46"/>
      <c r="E113" s="46"/>
      <c r="F113" s="54" t="str">
        <f aca="false">TRIM(IF(MOVIMIENTOS!$G192&lt;&gt;"",MOVIMIENTOS!$G192&amp;"  ","")&amp;IF(N(MOVIMIENTOS!$E192)&gt;0,MOVIMIENTOS!$E192&amp;" "&amp;MOVIMIENTOS!$D192&amp;"  ","")&amp;IF(MOVIMIENTOS!$H192&lt;&gt;"",MOVIMIENTOS!$H192,""))</f>
        <v>16 sacos informó Anthony</v>
      </c>
      <c r="G113" s="46" t="n">
        <f aca="false">N(G112)+N(C113)-N(E113)</f>
        <v>3951</v>
      </c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</row>
    <row r="114" customFormat="false" ht="27.75" hidden="false" customHeight="true" outlineLevel="0" collapsed="false">
      <c r="A114" s="45" t="n">
        <v>46230</v>
      </c>
      <c r="B114" s="54" t="s">
        <v>28</v>
      </c>
      <c r="C114" s="46"/>
      <c r="D114" s="46"/>
      <c r="E114" s="46"/>
      <c r="F114" s="54" t="str">
        <f aca="false">TRIM(IF(MOVIMIENTOS!$G193&lt;&gt;"",MOVIMIENTOS!$G193&amp;"  ","")&amp;IF(N(MOVIMIENTOS!$E193)&gt;0,MOVIMIENTOS!$E193&amp;" "&amp;MOVIMIENTOS!$D193&amp;"  ","")&amp;IF(MOVIMIENTOS!$H193&lt;&gt;"",MOVIMIENTOS!$H193,""))</f>
        <v>8.5 sacos Falta regularizar</v>
      </c>
      <c r="G114" s="46" t="n">
        <f aca="false">N(G113)+N(C114)-N(E114)</f>
        <v>3951</v>
      </c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</row>
    <row r="115" customFormat="false" ht="27.75" hidden="false" customHeight="true" outlineLevel="0" collapsed="false">
      <c r="A115" s="45" t="n">
        <v>46230</v>
      </c>
      <c r="B115" s="54" t="s">
        <v>116</v>
      </c>
      <c r="C115" s="46"/>
      <c r="D115" s="46"/>
      <c r="E115" s="46"/>
      <c r="F115" s="54" t="str">
        <f aca="false">MOVIMIENTOS!$E194&amp;" jabas rechazadas · van a reproceso (merma del día: "&amp;TEXT(SUMPRODUCT((MOVIMIENTOS!$A$5:$A$400=MOVIMIENTOS!$A194)*(MOVIMIENTOS!$B$5:$B$400="RECHAZO")*(MOVIMIENTOS!$D$5:$D$400="jabas")*MOVIMIENTOS!$E$5:$E$400*IFERROR(_xlfn.SWITCH(MOVIMIENTOS!$C$5:$C$400,"A",15,"P",18,"C",17,"M",17,0),0))-SUMPRODUCT((MOVIMIENTOS!$A$5:$A$400=MOVIMIENTOS!$A194)*(MOVIMIENTOS!$B$5:$B$400="REPROCESO")*MOVIMIENTOS!$I$5:$I$400),"+#,##0;-#,##0;0")&amp;" kg)"</f>
        <v>1 jabas rechazadas · van a reproceso (merma del día: +8 kg)</v>
      </c>
      <c r="G115" s="46" t="n">
        <f aca="false">N(G114)+N(C115)-N(E115)</f>
        <v>3951</v>
      </c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</row>
    <row r="116" customFormat="false" ht="33.75" hidden="false" customHeight="true" outlineLevel="0" collapsed="false">
      <c r="A116" s="45" t="n">
        <v>46230</v>
      </c>
      <c r="B116" s="54" t="s">
        <v>43</v>
      </c>
      <c r="C116" s="46" t="n">
        <f aca="false">N(MOVIMIENTOS!$I195)</f>
        <v>7</v>
      </c>
      <c r="D116" s="46"/>
      <c r="E116" s="46"/>
      <c r="F116" s="54" t="str">
        <f aca="false">MOVIMIENTOS!$E195&amp;" kg recuperados (merma del día: "&amp;TEXT(SUMPRODUCT((MOVIMIENTOS!$A$5:$A$400=MOVIMIENTOS!$A195)*(MOVIMIENTOS!$B$5:$B$400="RECHAZO")*(MOVIMIENTOS!$D$5:$D$400="jabas")*MOVIMIENTOS!$E$5:$E$400*IFERROR(_xlfn.SWITCH(MOVIMIENTOS!$C$5:$C$400,"A",15,"P",18,"C",17,"M",17,0),0))-SUMPRODUCT((MOVIMIENTOS!$A$5:$A$400=MOVIMIENTOS!$A195)*(MOVIMIENTOS!$B$5:$B$400="REPROCESO")*MOVIMIENTOS!$I$5:$I$400),"+#,##0;-#,##0;0")&amp;" kg)"</f>
        <v>7 kg recuperados (merma del día: +8 kg)</v>
      </c>
      <c r="G116" s="46" t="n">
        <f aca="false">N(G115)+N(C116)-N(E116)</f>
        <v>3958</v>
      </c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</row>
    <row r="117" customFormat="false" ht="33.75" hidden="false" customHeight="true" outlineLevel="0" collapsed="false">
      <c r="A117" s="51" t="n">
        <v>46231</v>
      </c>
      <c r="B117" s="52" t="s">
        <v>87</v>
      </c>
      <c r="C117" s="53" t="n">
        <f aca="false">SUMPRODUCT((MOVIMIENTOS!$A$5:$A$400=DATE(2026,7,28))*(MOVIMIENTOS!$B$5:$B$400="COMPRA")*MOVIMIENTOS!$I$5:$I$400)</f>
        <v>5451</v>
      </c>
      <c r="D117" s="53" t="n">
        <f aca="false">SUMPRODUCT((MOVIMIENTOS!$A$5:$A$400=DATE(2026,7,28))*(MOVIMIENTOS!$B$5:$B$400="PROCESO")*MOVIMIENTOS!$I$5:$I$400)</f>
        <v>5275.5</v>
      </c>
      <c r="E117" s="53" t="n">
        <f aca="false">SUMPRODUCT((MOVIMIENTOS!$A$5:$A$400=DATE(2026,7,28))*((MOVIMIENTOS!$B$5:$B$400="ENVÍO A SUPESA")+(MOVIMIENTOS!$B$5:$B$400="ENVÍO A TOTTUS")+(MOVIMIENTOS!$B$5:$B$400="ENVIO A TOTTUS"))*MOVIMIENTOS!$I$5:$I$400)</f>
        <v>3379</v>
      </c>
      <c r="F117" s="52" t="str">
        <f aca="false">"Selección: "&amp;TEXT(SUMPRODUCT((MOVIMIENTOS!$A$5:$A$400=DATE(2026,7,28))*(MOVIMIENTOS!$B$5:$B$400="PROCESO")*(MOVIMIENTOS!$C$5:$C$400&lt;&gt;"Chancho")*MOVIMIENTOS!$I$5:$I$400),"#,##0")&amp;" kg  ·  Chancho: "&amp;TEXT(SUMPRODUCT((MOVIMIENTOS!$A$5:$A$400=DATE(2026,7,28))*(MOVIMIENTOS!$B$5:$B$400="PROCESO")*(MOVIMIENTOS!$C$5:$C$400="Chancho")*MOVIMIENTOS!$I$5:$I$400),"#,##0")&amp;" kg"&amp;IF(C117&gt;0,"  ·  "&amp;TEXT(D117/C117,"0%")&amp;" del ingreso","")</f>
        <v>Selección: 3,869 kg  ·  Chancho: 1,407 kg  ·  97% del ingreso</v>
      </c>
      <c r="G117" s="53" t="n">
        <f aca="false">N(G121)</f>
        <v>4623.5</v>
      </c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</row>
    <row r="118" customFormat="false" ht="33.75" hidden="false" customHeight="true" outlineLevel="0" collapsed="false">
      <c r="A118" s="55" t="n">
        <v>46231</v>
      </c>
      <c r="B118" s="56" t="s">
        <v>90</v>
      </c>
      <c r="C118" s="57" t="n">
        <f aca="false">N(MOVIMIENTOS!$I196)</f>
        <v>5451</v>
      </c>
      <c r="D118" s="57"/>
      <c r="E118" s="57"/>
      <c r="F118" s="56" t="str">
        <f aca="false">TRIM(IF(MOVIMIENTOS!$G196&lt;&gt;"",MOVIMIENTOS!$G196&amp;"  ","")&amp;IF(N(MOVIMIENTOS!$E196)&gt;0,MOVIMIENTOS!$E196&amp;" "&amp;MOVIMIENTOS!$D196&amp;"  ","")&amp;IF(MOVIMIENTOS!$H196&lt;&gt;"",MOVIMIENTOS!$H196,""))</f>
        <v>55 sacos</v>
      </c>
      <c r="G118" s="57" t="n">
        <f aca="false">N(G116)+N(C118)-N(E118)</f>
        <v>9409</v>
      </c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</row>
    <row r="119" customFormat="false" ht="33.75" hidden="false" customHeight="true" outlineLevel="0" collapsed="false">
      <c r="A119" s="58" t="n">
        <v>46231</v>
      </c>
      <c r="B119" s="59" t="s">
        <v>91</v>
      </c>
      <c r="C119" s="60"/>
      <c r="D119" s="60" t="n">
        <f aca="false">SUMPRODUCT((MOVIMIENTOS!$A$5:$A$400=DATE(2026,7,28))*(MOVIMIENTOS!$B$5:$B$400="PROCESO")*(MOVIMIENTOS!$C$5:$C$400&lt;&gt;"Chancho")*MOVIMIENTOS!$I$5:$I$400)</f>
        <v>3869</v>
      </c>
      <c r="E119" s="60"/>
      <c r="F119" s="59" t="s">
        <v>132</v>
      </c>
      <c r="G119" s="60" t="n">
        <f aca="false">N(G118)</f>
        <v>9409</v>
      </c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</row>
    <row r="120" customFormat="false" ht="15" hidden="false" customHeight="true" outlineLevel="0" collapsed="false">
      <c r="A120" s="45" t="n">
        <v>46231</v>
      </c>
      <c r="B120" s="54" t="s">
        <v>93</v>
      </c>
      <c r="C120" s="46"/>
      <c r="D120" s="46" t="n">
        <f aca="false">N(MOVIMIENTOS!$I201)</f>
        <v>1406.5</v>
      </c>
      <c r="E120" s="46" t="n">
        <f aca="false">N(MOVIMIENTOS!$I201)</f>
        <v>1406.5</v>
      </c>
      <c r="F120" s="54" t="str">
        <f aca="false">TRIM(IF(MOVIMIENTOS!$G201&lt;&gt;"",MOVIMIENTOS!$G201&amp;"  ","")&amp;IF(N(MOVIMIENTOS!$E201)&gt;0,MOVIMIENTOS!$E201&amp;" "&amp;MOVIMIENTOS!$D201&amp;"  ","")&amp;IF(MOVIMIENTOS!$H201&lt;&gt;"",MOVIMIENTOS!$H201,""))</f>
        <v>14.5 sacos</v>
      </c>
      <c r="G120" s="46" t="n">
        <f aca="false">N(G119)+N(C120)-N(E120)</f>
        <v>8002.5</v>
      </c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</row>
    <row r="121" customFormat="false" ht="33.75" hidden="false" customHeight="true" outlineLevel="0" collapsed="false">
      <c r="A121" s="45" t="n">
        <v>46231</v>
      </c>
      <c r="B121" s="54" t="s">
        <v>23</v>
      </c>
      <c r="C121" s="46"/>
      <c r="D121" s="46"/>
      <c r="E121" s="46" t="n">
        <f aca="false">N(MOVIMIENTOS!$I202)+N(MOVIMIENTOS!$I203)+N(MOVIMIENTOS!$I204)+N(MOVIMIENTOS!$I205)</f>
        <v>3379</v>
      </c>
      <c r="F121" s="54" t="s">
        <v>133</v>
      </c>
      <c r="G121" s="46" t="n">
        <f aca="false">N(G120)+N(C121)-N(E121)</f>
        <v>4623.5</v>
      </c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</row>
    <row r="122" customFormat="false" ht="33.75" hidden="false" customHeight="true" outlineLevel="0" collapsed="false">
      <c r="A122" s="51" t="n">
        <v>46232</v>
      </c>
      <c r="B122" s="52" t="s">
        <v>87</v>
      </c>
      <c r="C122" s="53" t="n">
        <f aca="false">SUMPRODUCT((MOVIMIENTOS!$A$5:$A$400=DATE(2026,7,29))*(MOVIMIENTOS!$B$5:$B$400="COMPRA")*MOVIMIENTOS!$I$5:$I$400)</f>
        <v>0</v>
      </c>
      <c r="D122" s="53" t="n">
        <f aca="false">SUMPRODUCT((MOVIMIENTOS!$A$5:$A$400=DATE(2026,7,29))*(MOVIMIENTOS!$B$5:$B$400="PROCESO")*MOVIMIENTOS!$I$5:$I$400)</f>
        <v>0</v>
      </c>
      <c r="E122" s="53" t="n">
        <f aca="false">SUMPRODUCT((MOVIMIENTOS!$A$5:$A$400=DATE(2026,7,29))*((MOVIMIENTOS!$B$5:$B$400="ENVÍO A SUPESA")+(MOVIMIENTOS!$B$5:$B$400="ENVÍO A TOTTUS")+(MOVIMIENTOS!$B$5:$B$400="ENVIO A TOTTUS"))*MOVIMIENTOS!$I$5:$I$400)</f>
        <v>2794</v>
      </c>
      <c r="F122" s="52" t="str">
        <f aca="false">"Selección: "&amp;TEXT(SUMPRODUCT((MOVIMIENTOS!$A$5:$A$400=DATE(2026,7,29))*(MOVIMIENTOS!$B$5:$B$400="PROCESO")*(MOVIMIENTOS!$C$5:$C$400&lt;&gt;"Chancho")*MOVIMIENTOS!$I$5:$I$400),"#,##0")&amp;" kg  ·  Chancho: "&amp;TEXT(SUMPRODUCT((MOVIMIENTOS!$A$5:$A$400=DATE(2026,7,29))*(MOVIMIENTOS!$B$5:$B$400="PROCESO")*(MOVIMIENTOS!$C$5:$C$400="Chancho")*MOVIMIENTOS!$I$5:$I$400),"#,##0")&amp;" kg"&amp;IF(C122&gt;0,"  ·  "&amp;TEXT(D122/C122,"0%")&amp;" del ingreso","")</f>
        <v>Selección: 0 kg  ·  Chancho: 0 kg</v>
      </c>
      <c r="G122" s="53" t="n">
        <f aca="false">N(G124)</f>
        <v>1829.5</v>
      </c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</row>
    <row r="123" customFormat="false" ht="33.75" hidden="false" customHeight="true" outlineLevel="0" collapsed="false">
      <c r="A123" s="45" t="n">
        <v>46232</v>
      </c>
      <c r="B123" s="54" t="s">
        <v>23</v>
      </c>
      <c r="C123" s="46"/>
      <c r="D123" s="46"/>
      <c r="E123" s="46" t="n">
        <f aca="false">N(MOVIMIENTOS!$I206)+N(MOVIMIENTOS!$I207)+N(MOVIMIENTOS!$I208)+N(MOVIMIENTOS!$I209)</f>
        <v>2794</v>
      </c>
      <c r="F123" s="54" t="s">
        <v>134</v>
      </c>
      <c r="G123" s="46" t="n">
        <f aca="false">N(G121)+N(C123)-N(E123)</f>
        <v>1829.5</v>
      </c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</row>
    <row r="124" customFormat="false" ht="15" hidden="false" customHeight="true" outlineLevel="0" collapsed="false">
      <c r="A124" s="45" t="n">
        <v>46232</v>
      </c>
      <c r="B124" s="54" t="s">
        <v>28</v>
      </c>
      <c r="C124" s="46"/>
      <c r="D124" s="46"/>
      <c r="E124" s="46"/>
      <c r="F124" s="54" t="str">
        <f aca="false">TRIM(IF(MOVIMIENTOS!$G210&lt;&gt;"",MOVIMIENTOS!$G210&amp;"  ","")&amp;IF(N(MOVIMIENTOS!$E210)&gt;0,MOVIMIENTOS!$E210&amp;" "&amp;MOVIMIENTOS!$D210&amp;"  ","")&amp;IF(MOVIMIENTOS!$H210&lt;&gt;"",MOVIMIENTOS!$H210,""))</f>
        <v>TCK002-730 10 sacos</v>
      </c>
      <c r="G124" s="46" t="n">
        <f aca="false">N(G123)+N(C124)-N(E124)</f>
        <v>1829.5</v>
      </c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</row>
    <row r="125" customFormat="false" ht="33.75" hidden="false" customHeight="true" outlineLevel="0" collapsed="false">
      <c r="A125" s="51" t="n">
        <v>46233</v>
      </c>
      <c r="B125" s="52" t="s">
        <v>87</v>
      </c>
      <c r="C125" s="53" t="n">
        <f aca="false">SUMPRODUCT((MOVIMIENTOS!$A$5:$A$400=DATE(2026,7,30))*(MOVIMIENTOS!$B$5:$B$400="COMPRA")*MOVIMIENTOS!$I$5:$I$400)</f>
        <v>2910</v>
      </c>
      <c r="D125" s="53" t="n">
        <f aca="false">SUMPRODUCT((MOVIMIENTOS!$A$5:$A$400=DATE(2026,7,30))*(MOVIMIENTOS!$B$5:$B$400="PROCESO")*MOVIMIENTOS!$I$5:$I$400)</f>
        <v>2988</v>
      </c>
      <c r="E125" s="53" t="n">
        <f aca="false">SUMPRODUCT((MOVIMIENTOS!$A$5:$A$400=DATE(2026,7,30))*((MOVIMIENTOS!$B$5:$B$400="ENVÍO A SUPESA")+(MOVIMIENTOS!$B$5:$B$400="ENVÍO A TOTTUS")+(MOVIMIENTOS!$B$5:$B$400="ENVIO A TOTTUS"))*MOVIMIENTOS!$I$5:$I$400)</f>
        <v>3294</v>
      </c>
      <c r="F125" s="52" t="str">
        <f aca="false">"Selección: "&amp;TEXT(SUMPRODUCT((MOVIMIENTOS!$A$5:$A$400=DATE(2026,7,30))*(MOVIMIENTOS!$B$5:$B$400="PROCESO")*(MOVIMIENTOS!$C$5:$C$400&lt;&gt;"Chancho")*MOVIMIENTOS!$I$5:$I$400),"#,##0")&amp;" kg  ·  Chancho: "&amp;TEXT(SUMPRODUCT((MOVIMIENTOS!$A$5:$A$400=DATE(2026,7,30))*(MOVIMIENTOS!$B$5:$B$400="PROCESO")*(MOVIMIENTOS!$C$5:$C$400="Chancho")*MOVIMIENTOS!$I$5:$I$400),"#,##0")&amp;" kg"&amp;IF(C125&gt;0,"  ·  "&amp;TEXT(D125/C125,"0%")&amp;" del ingreso","")</f>
        <v>Selección: 2,503 kg  ·  Chancho: 485 kg  ·  103% del ingreso</v>
      </c>
      <c r="G125" s="53" t="n">
        <f aca="false">N(G130)</f>
        <v>960.5</v>
      </c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</row>
    <row r="126" customFormat="false" ht="15" hidden="false" customHeight="true" outlineLevel="0" collapsed="false">
      <c r="A126" s="55" t="n">
        <v>46233</v>
      </c>
      <c r="B126" s="56" t="s">
        <v>90</v>
      </c>
      <c r="C126" s="57" t="n">
        <f aca="false">N(MOVIMIENTOS!$I211)</f>
        <v>2910</v>
      </c>
      <c r="D126" s="57"/>
      <c r="E126" s="57"/>
      <c r="F126" s="56" t="str">
        <f aca="false">TRIM(IF(MOVIMIENTOS!$G211&lt;&gt;"",MOVIMIENTOS!$G211&amp;"  ","")&amp;IF(N(MOVIMIENTOS!$E211)&gt;0,MOVIMIENTOS!$E211&amp;" "&amp;MOVIMIENTOS!$D211&amp;"  ","")&amp;IF(MOVIMIENTOS!$H211&lt;&gt;"",MOVIMIENTOS!$H211,""))</f>
        <v>30 sacos se compró 100 sacos solo se procesó 30</v>
      </c>
      <c r="G126" s="57" t="n">
        <f aca="false">N(G124)+N(C126)-N(E126)</f>
        <v>4739.5</v>
      </c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</row>
    <row r="127" customFormat="false" ht="15" hidden="false" customHeight="true" outlineLevel="0" collapsed="false">
      <c r="A127" s="58" t="n">
        <v>46233</v>
      </c>
      <c r="B127" s="59" t="s">
        <v>91</v>
      </c>
      <c r="C127" s="60"/>
      <c r="D127" s="60" t="n">
        <f aca="false">SUMPRODUCT((MOVIMIENTOS!$A$5:$A$400=DATE(2026,7,30))*(MOVIMIENTOS!$B$5:$B$400="PROCESO")*(MOVIMIENTOS!$C$5:$C$400&lt;&gt;"Chancho")*MOVIMIENTOS!$I$5:$I$400)</f>
        <v>2503</v>
      </c>
      <c r="E127" s="60"/>
      <c r="F127" s="59" t="s">
        <v>135</v>
      </c>
      <c r="G127" s="60" t="n">
        <f aca="false">N(G126)</f>
        <v>4739.5</v>
      </c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</row>
    <row r="128" customFormat="false" ht="15" hidden="false" customHeight="true" outlineLevel="0" collapsed="false">
      <c r="A128" s="45" t="n">
        <v>46233</v>
      </c>
      <c r="B128" s="54" t="s">
        <v>93</v>
      </c>
      <c r="C128" s="46"/>
      <c r="D128" s="46" t="n">
        <f aca="false">N(MOVIMIENTOS!$I216)</f>
        <v>485</v>
      </c>
      <c r="E128" s="46" t="n">
        <f aca="false">N(MOVIMIENTOS!$I216)</f>
        <v>485</v>
      </c>
      <c r="F128" s="54" t="str">
        <f aca="false">TRIM(IF(MOVIMIENTOS!$G216&lt;&gt;"",MOVIMIENTOS!$G216&amp;"  ","")&amp;IF(N(MOVIMIENTOS!$E216)&gt;0,MOVIMIENTOS!$E216&amp;" "&amp;MOVIMIENTOS!$D216&amp;"  ","")&amp;IF(MOVIMIENTOS!$H216&lt;&gt;"",MOVIMIENTOS!$H216,""))</f>
        <v>5 sacos</v>
      </c>
      <c r="G128" s="46" t="n">
        <f aca="false">N(G127)+N(C128)-N(E128)</f>
        <v>4254.5</v>
      </c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</row>
    <row r="129" customFormat="false" ht="33.75" hidden="false" customHeight="true" outlineLevel="0" collapsed="false">
      <c r="A129" s="45" t="n">
        <v>46233</v>
      </c>
      <c r="B129" s="54" t="s">
        <v>118</v>
      </c>
      <c r="C129" s="46"/>
      <c r="D129" s="46"/>
      <c r="E129" s="46"/>
      <c r="F129" s="54" t="str">
        <f aca="false">MOVIMIENTOS!$E217&amp;" jaba(s) movida(s) para completar otras · no resta del Stock Kg"</f>
        <v>1 jaba(s) movida(s) para completar otras · no resta del Stock Kg</v>
      </c>
      <c r="G129" s="46" t="n">
        <f aca="false">N(G128)+N(C129)-N(E129)</f>
        <v>4254.5</v>
      </c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</row>
    <row r="130" customFormat="false" ht="15" hidden="false" customHeight="true" outlineLevel="0" collapsed="false">
      <c r="A130" s="45" t="n">
        <v>46233</v>
      </c>
      <c r="B130" s="54" t="s">
        <v>23</v>
      </c>
      <c r="C130" s="46"/>
      <c r="D130" s="46"/>
      <c r="E130" s="46" t="n">
        <f aca="false">N(MOVIMIENTOS!$I218)+N(MOVIMIENTOS!$I219)+N(MOVIMIENTOS!$I220)+N(MOVIMIENTOS!$I221)</f>
        <v>3294</v>
      </c>
      <c r="F130" s="54" t="s">
        <v>136</v>
      </c>
      <c r="G130" s="46" t="n">
        <f aca="false">N(G129)+N(C130)-N(E130)</f>
        <v>960.5</v>
      </c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</row>
    <row r="131" customFormat="false" ht="33.75" hidden="false" customHeight="true" outlineLevel="0" collapsed="false">
      <c r="A131" s="51" t="n">
        <v>46234</v>
      </c>
      <c r="B131" s="52" t="s">
        <v>87</v>
      </c>
      <c r="C131" s="53" t="n">
        <f aca="false">SUMPRODUCT((MOVIMIENTOS!$A$5:$A$400=DATE(2026,7,31))*(MOVIMIENTOS!$B$5:$B$400="COMPRA")*MOVIMIENTOS!$I$5:$I$400)</f>
        <v>6790</v>
      </c>
      <c r="D131" s="53" t="n">
        <f aca="false">SUMPRODUCT((MOVIMIENTOS!$A$5:$A$400=DATE(2026,7,31))*(MOVIMIENTOS!$B$5:$B$400="PROCESO")*MOVIMIENTOS!$I$5:$I$400)</f>
        <v>0</v>
      </c>
      <c r="E131" s="53" t="n">
        <f aca="false">SUMPRODUCT((MOVIMIENTOS!$A$5:$A$400=DATE(2026,7,31))*((MOVIMIENTOS!$B$5:$B$400="ENVÍO A SUPESA")+(MOVIMIENTOS!$B$5:$B$400="ENVÍO A TOTTUS")+(MOVIMIENTOS!$B$5:$B$400="ENVIO A TOTTUS"))*MOVIMIENTOS!$I$5:$I$400)</f>
        <v>0</v>
      </c>
      <c r="F131" s="52" t="str">
        <f aca="false">"Selección: "&amp;TEXT(SUMPRODUCT((MOVIMIENTOS!$A$5:$A$400=DATE(2026,7,31))*(MOVIMIENTOS!$B$5:$B$400="PROCESO")*(MOVIMIENTOS!$C$5:$C$400&lt;&gt;"Chancho")*MOVIMIENTOS!$I$5:$I$400),"#,##0")&amp;" kg  ·  Chancho: "&amp;TEXT(SUMPRODUCT((MOVIMIENTOS!$A$5:$A$400=DATE(2026,7,31))*(MOVIMIENTOS!$B$5:$B$400="PROCESO")*(MOVIMIENTOS!$C$5:$C$400="Chancho")*MOVIMIENTOS!$I$5:$I$400),"#,##0")&amp;" kg"&amp;IF(C131&gt;0,"  ·  "&amp;TEXT(D131/C131,"0%")&amp;" del ingreso","")</f>
        <v>Selección: 0 kg  ·  Chancho: 0 kg  ·  0% del ingreso</v>
      </c>
      <c r="G131" s="53" t="n">
        <f aca="false">N(G132)</f>
        <v>7750.5</v>
      </c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</row>
    <row r="132" customFormat="false" ht="27.75" hidden="false" customHeight="true" outlineLevel="0" collapsed="false">
      <c r="A132" s="55" t="n">
        <v>46234</v>
      </c>
      <c r="B132" s="56" t="s">
        <v>90</v>
      </c>
      <c r="C132" s="57" t="n">
        <f aca="false">N(MOVIMIENTOS!$I222)</f>
        <v>6790</v>
      </c>
      <c r="D132" s="57"/>
      <c r="E132" s="57"/>
      <c r="F132" s="56" t="str">
        <f aca="false">TRIM(IF(MOVIMIENTOS!$G222&lt;&gt;"",MOVIMIENTOS!$G222&amp;"  ","")&amp;IF(N(MOVIMIENTOS!$E222)&gt;0,MOVIMIENTOS!$E222&amp;" "&amp;MOVIMIENTOS!$D222&amp;"  ","")&amp;IF(MOVIMIENTOS!$H222&lt;&gt;"",MOVIMIENTOS!$H222,""))</f>
        <v>70 sacos Se compró el jue pero se va procesar vie</v>
      </c>
      <c r="G132" s="57" t="n">
        <f aca="false">N(G130)+N(C132)-N(E132)</f>
        <v>7750.5</v>
      </c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</row>
    <row r="133" customFormat="false" ht="15" hidden="false" customHeight="true" outlineLevel="0" collapsed="false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</row>
    <row r="134" customFormat="false" ht="15" hidden="false" customHeight="true" outlineLevel="0" collapsed="false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</row>
    <row r="135" customFormat="false" ht="15" hidden="false" customHeight="true" outlineLevel="0" collapsed="false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</row>
    <row r="136" customFormat="false" ht="15" hidden="false" customHeight="true" outlineLevel="0" collapsed="false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</row>
    <row r="137" customFormat="false" ht="15" hidden="false" customHeight="true" outlineLevel="0" collapsed="false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</row>
    <row r="138" customFormat="false" ht="15" hidden="false" customHeight="true" outlineLevel="0" collapsed="false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</row>
    <row r="139" customFormat="false" ht="15" hidden="false" customHeight="true" outlineLevel="0" collapsed="false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</row>
    <row r="140" customFormat="false" ht="15" hidden="false" customHeight="true" outlineLevel="0" collapsed="false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</row>
    <row r="141" customFormat="false" ht="15" hidden="false" customHeight="true" outlineLevel="0" collapsed="false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</row>
    <row r="142" customFormat="false" ht="15" hidden="false" customHeight="true" outlineLevel="0" collapsed="false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</row>
    <row r="143" customFormat="false" ht="33.75" hidden="false" customHeight="true" outlineLevel="0" collapsed="false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</row>
    <row r="144" customFormat="false" ht="15" hidden="false" customHeight="true" outlineLevel="0" collapsed="false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</row>
    <row r="145" customFormat="false" ht="15" hidden="false" customHeight="true" outlineLevel="0" collapsed="false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</row>
    <row r="146" customFormat="false" ht="15" hidden="false" customHeight="true" outlineLevel="0" collapsed="false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</row>
    <row r="147" customFormat="false" ht="15" hidden="false" customHeight="true" outlineLevel="0" collapsed="false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</row>
    <row r="148" customFormat="false" ht="15" hidden="false" customHeight="true" outlineLevel="0" collapsed="false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</row>
    <row r="149" customFormat="false" ht="15" hidden="false" customHeight="true" outlineLevel="0" collapsed="false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</row>
    <row r="150" customFormat="false" ht="33.75" hidden="false" customHeight="true" outlineLevel="0" collapsed="false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</row>
    <row r="151" customFormat="false" ht="15" hidden="false" customHeight="true" outlineLevel="0" collapsed="false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</row>
    <row r="152" customFormat="false" ht="15" hidden="false" customHeight="true" outlineLevel="0" collapsed="false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</row>
    <row r="153" customFormat="false" ht="15" hidden="false" customHeight="true" outlineLevel="0" collapsed="false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</row>
    <row r="154" customFormat="false" ht="33.75" hidden="false" customHeight="true" outlineLevel="0" collapsed="false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</row>
    <row r="155" customFormat="false" ht="15" hidden="false" customHeight="true" outlineLevel="0" collapsed="false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</row>
    <row r="156" customFormat="false" ht="15" hidden="false" customHeight="true" outlineLevel="0" collapsed="false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</row>
    <row r="157" customFormat="false" ht="15" hidden="false" customHeight="true" outlineLevel="0" collapsed="false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</row>
    <row r="158" customFormat="false" ht="15" hidden="false" customHeight="true" outlineLevel="0" collapsed="false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</row>
    <row r="159" customFormat="false" ht="15" hidden="false" customHeight="true" outlineLevel="0" collapsed="false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</row>
    <row r="160" customFormat="false" ht="15" hidden="false" customHeight="true" outlineLevel="0" collapsed="false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</row>
    <row r="161" customFormat="false" ht="15" hidden="false" customHeight="true" outlineLevel="0" collapsed="false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</row>
    <row r="162" customFormat="false" ht="15" hidden="false" customHeight="true" outlineLevel="0" collapsed="false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</row>
    <row r="163" customFormat="false" ht="15" hidden="false" customHeight="true" outlineLevel="0" collapsed="false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</row>
    <row r="164" customFormat="false" ht="15" hidden="false" customHeight="true" outlineLevel="0" collapsed="false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</row>
    <row r="165" customFormat="false" ht="33.75" hidden="false" customHeight="true" outlineLevel="0" collapsed="false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</row>
    <row r="166" customFormat="false" ht="15" hidden="false" customHeight="true" outlineLevel="0" collapsed="false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</row>
    <row r="167" customFormat="false" ht="15" hidden="false" customHeight="true" outlineLevel="0" collapsed="false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</row>
    <row r="168" customFormat="false" ht="15" hidden="false" customHeight="true" outlineLevel="0" collapsed="false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</row>
    <row r="169" customFormat="false" ht="15" hidden="false" customHeight="true" outlineLevel="0" collapsed="false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</row>
    <row r="170" customFormat="false" ht="15" hidden="false" customHeight="true" outlineLevel="0" collapsed="false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</row>
    <row r="171" customFormat="false" ht="15" hidden="false" customHeight="true" outlineLevel="0" collapsed="false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</row>
    <row r="172" customFormat="false" ht="15" hidden="false" customHeight="true" outlineLevel="0" collapsed="false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</row>
    <row r="173" customFormat="false" ht="33.75" hidden="false" customHeight="true" outlineLevel="0" collapsed="false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</row>
    <row r="174" customFormat="false" ht="15" hidden="false" customHeight="true" outlineLevel="0" collapsed="false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</row>
    <row r="175" customFormat="false" ht="15" hidden="false" customHeight="true" outlineLevel="0" collapsed="false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</row>
    <row r="176" customFormat="false" ht="15" hidden="false" customHeight="true" outlineLevel="0" collapsed="false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</row>
    <row r="177" customFormat="false" ht="15" hidden="false" customHeight="true" outlineLevel="0" collapsed="false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</row>
    <row r="178" customFormat="false" ht="15" hidden="false" customHeight="true" outlineLevel="0" collapsed="false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</row>
    <row r="179" customFormat="false" ht="15" hidden="false" customHeight="true" outlineLevel="0" collapsed="false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</row>
    <row r="180" customFormat="false" ht="15" hidden="false" customHeight="true" outlineLevel="0" collapsed="false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</row>
    <row r="181" customFormat="false" ht="15" hidden="false" customHeight="true" outlineLevel="0" collapsed="false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</row>
    <row r="182" customFormat="false" ht="15" hidden="false" customHeight="true" outlineLevel="0" collapsed="false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</row>
    <row r="183" customFormat="false" ht="15" hidden="false" customHeight="true" outlineLevel="0" collapsed="false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</row>
    <row r="184" customFormat="false" ht="15" hidden="false" customHeight="true" outlineLevel="0" collapsed="false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</row>
    <row r="185" customFormat="false" ht="15" hidden="false" customHeight="true" outlineLevel="0" collapsed="false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</row>
    <row r="186" customFormat="false" ht="15" hidden="false" customHeight="true" outlineLevel="0" collapsed="false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</row>
    <row r="187" customFormat="false" ht="15" hidden="false" customHeight="true" outlineLevel="0" collapsed="false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</row>
    <row r="188" customFormat="false" ht="15" hidden="false" customHeight="true" outlineLevel="0" collapsed="false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</row>
    <row r="189" customFormat="false" ht="15" hidden="false" customHeight="true" outlineLevel="0" collapsed="false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</row>
    <row r="190" customFormat="false" ht="15" hidden="false" customHeight="true" outlineLevel="0" collapsed="false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</row>
    <row r="191" customFormat="false" ht="15" hidden="false" customHeight="true" outlineLevel="0" collapsed="false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</row>
    <row r="192" customFormat="false" ht="15" hidden="false" customHeight="true" outlineLevel="0" collapsed="false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</row>
    <row r="193" customFormat="false" ht="15" hidden="false" customHeight="true" outlineLevel="0" collapsed="false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</row>
    <row r="194" customFormat="false" ht="15" hidden="false" customHeight="true" outlineLevel="0" collapsed="false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</row>
    <row r="195" customFormat="false" ht="15" hidden="false" customHeight="true" outlineLevel="0" collapsed="false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</row>
    <row r="196" customFormat="false" ht="15" hidden="false" customHeight="true" outlineLevel="0" collapsed="false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</row>
    <row r="197" customFormat="false" ht="15" hidden="false" customHeight="true" outlineLevel="0" collapsed="false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</row>
    <row r="198" customFormat="false" ht="15" hidden="false" customHeight="true" outlineLevel="0" collapsed="false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</row>
    <row r="199" customFormat="false" ht="15" hidden="false" customHeight="true" outlineLevel="0" collapsed="false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</row>
    <row r="200" customFormat="false" ht="15" hidden="false" customHeight="true" outlineLevel="0" collapsed="false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</row>
    <row r="201" customFormat="false" ht="15" hidden="false" customHeight="true" outlineLevel="0" collapsed="false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</row>
    <row r="202" customFormat="false" ht="15" hidden="false" customHeight="true" outlineLevel="0" collapsed="false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</row>
    <row r="203" customFormat="false" ht="15" hidden="false" customHeight="true" outlineLevel="0" collapsed="false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</row>
    <row r="204" customFormat="false" ht="15" hidden="false" customHeight="true" outlineLevel="0" collapsed="false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</row>
    <row r="205" customFormat="false" ht="15" hidden="false" customHeight="true" outlineLevel="0" collapsed="false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</row>
    <row r="206" customFormat="false" ht="15" hidden="false" customHeight="true" outlineLevel="0" collapsed="false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</row>
    <row r="207" customFormat="false" ht="15" hidden="false" customHeight="true" outlineLevel="0" collapsed="false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</row>
    <row r="208" customFormat="false" ht="15" hidden="false" customHeight="true" outlineLevel="0" collapsed="false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</row>
    <row r="209" customFormat="false" ht="15" hidden="false" customHeight="true" outlineLevel="0" collapsed="false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</row>
    <row r="210" customFormat="false" ht="15" hidden="false" customHeight="true" outlineLevel="0" collapsed="false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</row>
    <row r="211" customFormat="false" ht="15" hidden="false" customHeight="true" outlineLevel="0" collapsed="false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</row>
    <row r="212" customFormat="false" ht="15" hidden="false" customHeight="true" outlineLevel="0" collapsed="false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</row>
    <row r="213" customFormat="false" ht="15" hidden="false" customHeight="true" outlineLevel="0" collapsed="false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</row>
    <row r="214" customFormat="false" ht="15" hidden="false" customHeight="true" outlineLevel="0" collapsed="false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</row>
    <row r="215" customFormat="false" ht="15" hidden="false" customHeight="true" outlineLevel="0" collapsed="false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</row>
    <row r="216" customFormat="false" ht="15" hidden="false" customHeight="true" outlineLevel="0" collapsed="false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</row>
    <row r="217" customFormat="false" ht="15" hidden="false" customHeight="true" outlineLevel="0" collapsed="false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</row>
    <row r="218" customFormat="false" ht="15" hidden="false" customHeight="true" outlineLevel="0" collapsed="false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</row>
    <row r="219" customFormat="false" ht="15" hidden="false" customHeight="true" outlineLevel="0" collapsed="false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</row>
    <row r="220" customFormat="false" ht="15" hidden="false" customHeight="true" outlineLevel="0" collapsed="false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</row>
    <row r="221" customFormat="false" ht="15" hidden="false" customHeight="true" outlineLevel="0" collapsed="false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</row>
    <row r="222" customFormat="false" ht="15" hidden="false" customHeight="true" outlineLevel="0" collapsed="false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</row>
    <row r="223" customFormat="false" ht="15" hidden="false" customHeight="true" outlineLevel="0" collapsed="false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</row>
    <row r="224" customFormat="false" ht="15" hidden="false" customHeight="true" outlineLevel="0" collapsed="false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</row>
    <row r="225" customFormat="false" ht="15" hidden="false" customHeight="true" outlineLevel="0" collapsed="false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</row>
    <row r="226" customFormat="false" ht="15" hidden="false" customHeight="true" outlineLevel="0" collapsed="false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</row>
    <row r="227" customFormat="false" ht="15" hidden="false" customHeight="true" outlineLevel="0" collapsed="false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</row>
    <row r="228" customFormat="false" ht="15" hidden="false" customHeight="true" outlineLevel="0" collapsed="false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</row>
    <row r="229" customFormat="false" ht="15" hidden="false" customHeight="true" outlineLevel="0" collapsed="false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</row>
    <row r="230" customFormat="false" ht="15" hidden="false" customHeight="true" outlineLevel="0" collapsed="false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</row>
    <row r="231" customFormat="false" ht="15" hidden="false" customHeight="true" outlineLevel="0" collapsed="false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</row>
    <row r="232" customFormat="false" ht="15" hidden="false" customHeight="true" outlineLevel="0" collapsed="false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</row>
    <row r="233" customFormat="false" ht="15" hidden="false" customHeight="true" outlineLevel="0" collapsed="false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</row>
    <row r="234" customFormat="false" ht="15" hidden="false" customHeight="true" outlineLevel="0" collapsed="false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</row>
    <row r="235" customFormat="false" ht="15" hidden="false" customHeight="true" outlineLevel="0" collapsed="false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</row>
    <row r="236" customFormat="false" ht="15" hidden="false" customHeight="true" outlineLevel="0" collapsed="false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</row>
    <row r="237" customFormat="false" ht="15" hidden="false" customHeight="true" outlineLevel="0" collapsed="false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</row>
    <row r="238" customFormat="false" ht="15" hidden="false" customHeight="true" outlineLevel="0" collapsed="false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</row>
    <row r="239" customFormat="false" ht="15" hidden="false" customHeight="true" outlineLevel="0" collapsed="false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</row>
    <row r="240" customFormat="false" ht="15" hidden="false" customHeight="true" outlineLevel="0" collapsed="false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</row>
    <row r="241" customFormat="false" ht="15" hidden="false" customHeight="true" outlineLevel="0" collapsed="false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</row>
    <row r="242" customFormat="false" ht="15" hidden="false" customHeight="true" outlineLevel="0" collapsed="false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</row>
    <row r="243" customFormat="false" ht="15" hidden="false" customHeight="true" outlineLevel="0" collapsed="false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</row>
    <row r="244" customFormat="false" ht="15" hidden="false" customHeight="true" outlineLevel="0" collapsed="false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</row>
    <row r="245" customFormat="false" ht="15" hidden="false" customHeight="true" outlineLevel="0" collapsed="false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</row>
    <row r="246" customFormat="false" ht="15" hidden="false" customHeight="true" outlineLevel="0" collapsed="false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</row>
    <row r="247" customFormat="false" ht="15" hidden="false" customHeight="true" outlineLevel="0" collapsed="false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</row>
    <row r="248" customFormat="false" ht="15" hidden="false" customHeight="true" outlineLevel="0" collapsed="false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</row>
    <row r="249" customFormat="false" ht="15" hidden="false" customHeight="true" outlineLevel="0" collapsed="false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</row>
    <row r="250" customFormat="false" ht="15" hidden="false" customHeight="true" outlineLevel="0" collapsed="false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</row>
    <row r="251" customFormat="false" ht="15" hidden="false" customHeight="true" outlineLevel="0" collapsed="false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</row>
    <row r="252" customFormat="false" ht="15" hidden="false" customHeight="true" outlineLevel="0" collapsed="false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</row>
    <row r="253" customFormat="false" ht="15" hidden="false" customHeight="true" outlineLevel="0" collapsed="false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</row>
    <row r="254" customFormat="false" ht="15" hidden="false" customHeight="true" outlineLevel="0" collapsed="false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</row>
    <row r="255" customFormat="false" ht="15" hidden="false" customHeight="true" outlineLevel="0" collapsed="false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</row>
    <row r="256" customFormat="false" ht="15" hidden="false" customHeight="true" outlineLevel="0" collapsed="false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</row>
    <row r="257" customFormat="false" ht="15" hidden="false" customHeight="true" outlineLevel="0" collapsed="false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</row>
    <row r="258" customFormat="false" ht="15" hidden="false" customHeight="true" outlineLevel="0" collapsed="false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</row>
    <row r="259" customFormat="false" ht="15" hidden="false" customHeight="true" outlineLevel="0" collapsed="false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</row>
    <row r="260" customFormat="false" ht="15" hidden="false" customHeight="true" outlineLevel="0" collapsed="false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</row>
    <row r="261" customFormat="false" ht="15" hidden="false" customHeight="true" outlineLevel="0" collapsed="false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</row>
    <row r="262" customFormat="false" ht="15" hidden="false" customHeight="true" outlineLevel="0" collapsed="false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</row>
    <row r="263" customFormat="false" ht="15" hidden="false" customHeight="true" outlineLevel="0" collapsed="false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</row>
    <row r="264" customFormat="false" ht="15" hidden="false" customHeight="true" outlineLevel="0" collapsed="false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</row>
    <row r="265" customFormat="false" ht="15" hidden="false" customHeight="true" outlineLevel="0" collapsed="false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</row>
    <row r="266" customFormat="false" ht="15" hidden="false" customHeight="true" outlineLevel="0" collapsed="false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</row>
    <row r="267" customFormat="false" ht="15" hidden="false" customHeight="true" outlineLevel="0" collapsed="false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</row>
    <row r="268" customFormat="false" ht="15" hidden="false" customHeight="true" outlineLevel="0" collapsed="false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</row>
    <row r="269" customFormat="false" ht="15" hidden="false" customHeight="true" outlineLevel="0" collapsed="false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</row>
    <row r="270" customFormat="false" ht="15" hidden="false" customHeight="true" outlineLevel="0" collapsed="false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</row>
    <row r="271" customFormat="false" ht="15" hidden="false" customHeight="true" outlineLevel="0" collapsed="false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</row>
    <row r="272" customFormat="false" ht="15" hidden="false" customHeight="true" outlineLevel="0" collapsed="false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</row>
    <row r="273" customFormat="false" ht="15" hidden="false" customHeight="true" outlineLevel="0" collapsed="false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</row>
    <row r="274" customFormat="false" ht="15" hidden="false" customHeight="true" outlineLevel="0" collapsed="false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</row>
    <row r="275" customFormat="false" ht="15" hidden="false" customHeight="true" outlineLevel="0" collapsed="false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</row>
    <row r="276" customFormat="false" ht="15" hidden="false" customHeight="true" outlineLevel="0" collapsed="false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</row>
    <row r="277" customFormat="false" ht="15" hidden="false" customHeight="true" outlineLevel="0" collapsed="false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</row>
    <row r="278" customFormat="false" ht="15" hidden="false" customHeight="true" outlineLevel="0" collapsed="false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</row>
    <row r="279" customFormat="false" ht="15" hidden="false" customHeight="true" outlineLevel="0" collapsed="false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</row>
    <row r="280" customFormat="false" ht="15" hidden="false" customHeight="true" outlineLevel="0" collapsed="false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</row>
    <row r="281" customFormat="false" ht="15" hidden="false" customHeight="true" outlineLevel="0" collapsed="false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</row>
    <row r="282" customFormat="false" ht="15" hidden="false" customHeight="true" outlineLevel="0" collapsed="false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</row>
    <row r="283" customFormat="false" ht="15" hidden="false" customHeight="true" outlineLevel="0" collapsed="false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</row>
    <row r="284" customFormat="false" ht="15" hidden="false" customHeight="true" outlineLevel="0" collapsed="false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</row>
    <row r="285" customFormat="false" ht="15" hidden="false" customHeight="true" outlineLevel="0" collapsed="false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</row>
    <row r="286" customFormat="false" ht="15" hidden="false" customHeight="true" outlineLevel="0" collapsed="false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</row>
    <row r="287" customFormat="false" ht="15" hidden="false" customHeight="true" outlineLevel="0" collapsed="false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</row>
    <row r="288" customFormat="false" ht="15" hidden="false" customHeight="true" outlineLevel="0" collapsed="false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</row>
    <row r="289" customFormat="false" ht="15" hidden="false" customHeight="true" outlineLevel="0" collapsed="false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</row>
    <row r="290" customFormat="false" ht="15" hidden="false" customHeight="true" outlineLevel="0" collapsed="false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</row>
    <row r="291" customFormat="false" ht="15" hidden="false" customHeight="true" outlineLevel="0" collapsed="false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</row>
    <row r="292" customFormat="false" ht="15" hidden="false" customHeight="true" outlineLevel="0" collapsed="false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</row>
    <row r="293" customFormat="false" ht="15" hidden="false" customHeight="true" outlineLevel="0" collapsed="false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</row>
    <row r="294" customFormat="false" ht="15" hidden="false" customHeight="true" outlineLevel="0" collapsed="false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</row>
    <row r="295" customFormat="false" ht="15" hidden="false" customHeight="true" outlineLevel="0" collapsed="false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</row>
    <row r="296" customFormat="false" ht="15" hidden="false" customHeight="true" outlineLevel="0" collapsed="false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</row>
    <row r="297" customFormat="false" ht="15" hidden="false" customHeight="true" outlineLevel="0" collapsed="false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</row>
    <row r="298" customFormat="false" ht="15" hidden="false" customHeight="true" outlineLevel="0" collapsed="false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</row>
    <row r="299" customFormat="false" ht="15" hidden="false" customHeight="true" outlineLevel="0" collapsed="false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</row>
    <row r="300" customFormat="false" ht="15" hidden="false" customHeight="true" outlineLevel="0" collapsed="false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</row>
    <row r="301" customFormat="false" ht="15" hidden="false" customHeight="true" outlineLevel="0" collapsed="false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</row>
    <row r="302" customFormat="false" ht="15" hidden="false" customHeight="true" outlineLevel="0" collapsed="false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</row>
    <row r="303" customFormat="false" ht="15" hidden="false" customHeight="true" outlineLevel="0" collapsed="false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</row>
    <row r="304" customFormat="false" ht="15" hidden="false" customHeight="true" outlineLevel="0" collapsed="false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</row>
    <row r="305" customFormat="false" ht="15" hidden="false" customHeight="true" outlineLevel="0" collapsed="false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</row>
    <row r="306" customFormat="false" ht="15" hidden="false" customHeight="true" outlineLevel="0" collapsed="false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</row>
    <row r="307" customFormat="false" ht="15" hidden="false" customHeight="true" outlineLevel="0" collapsed="false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</row>
    <row r="308" customFormat="false" ht="15" hidden="false" customHeight="true" outlineLevel="0" collapsed="false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</row>
    <row r="309" customFormat="false" ht="15" hidden="false" customHeight="true" outlineLevel="0" collapsed="false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</row>
    <row r="310" customFormat="false" ht="15" hidden="false" customHeight="true" outlineLevel="0" collapsed="false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</row>
    <row r="311" customFormat="false" ht="15" hidden="false" customHeight="true" outlineLevel="0" collapsed="false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</row>
    <row r="312" customFormat="false" ht="15" hidden="false" customHeight="true" outlineLevel="0" collapsed="false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</row>
    <row r="313" customFormat="false" ht="15" hidden="false" customHeight="true" outlineLevel="0" collapsed="false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</row>
    <row r="314" customFormat="false" ht="15" hidden="false" customHeight="true" outlineLevel="0" collapsed="false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</row>
    <row r="315" customFormat="false" ht="15" hidden="false" customHeight="true" outlineLevel="0" collapsed="false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</row>
    <row r="316" customFormat="false" ht="15" hidden="false" customHeight="true" outlineLevel="0" collapsed="false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</row>
    <row r="317" customFormat="false" ht="15" hidden="false" customHeight="true" outlineLevel="0" collapsed="false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</row>
    <row r="318" customFormat="false" ht="15" hidden="false" customHeight="true" outlineLevel="0" collapsed="false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</row>
    <row r="319" customFormat="false" ht="15" hidden="false" customHeight="true" outlineLevel="0" collapsed="false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</row>
    <row r="320" customFormat="false" ht="15" hidden="false" customHeight="true" outlineLevel="0" collapsed="false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</row>
    <row r="321" customFormat="false" ht="15" hidden="false" customHeight="true" outlineLevel="0" collapsed="false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</row>
    <row r="322" customFormat="false" ht="15" hidden="false" customHeight="true" outlineLevel="0" collapsed="false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</row>
    <row r="323" customFormat="false" ht="15" hidden="false" customHeight="true" outlineLevel="0" collapsed="false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</row>
    <row r="324" customFormat="false" ht="15" hidden="false" customHeight="true" outlineLevel="0" collapsed="false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</row>
    <row r="325" customFormat="false" ht="15" hidden="false" customHeight="true" outlineLevel="0" collapsed="false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</row>
    <row r="326" customFormat="false" ht="15" hidden="false" customHeight="true" outlineLevel="0" collapsed="false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</row>
    <row r="327" customFormat="false" ht="15" hidden="false" customHeight="true" outlineLevel="0" collapsed="false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</row>
    <row r="328" customFormat="false" ht="15" hidden="false" customHeight="true" outlineLevel="0" collapsed="false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</row>
    <row r="329" customFormat="false" ht="15" hidden="false" customHeight="true" outlineLevel="0" collapsed="false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</row>
    <row r="330" customFormat="false" ht="15" hidden="false" customHeight="true" outlineLevel="0" collapsed="false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</row>
    <row r="331" customFormat="false" ht="15" hidden="false" customHeight="true" outlineLevel="0" collapsed="false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</row>
    <row r="332" customFormat="false" ht="15" hidden="false" customHeight="true" outlineLevel="0" collapsed="false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</row>
    <row r="333" customFormat="false" ht="15" hidden="false" customHeight="true" outlineLevel="0" collapsed="false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</row>
    <row r="334" customFormat="false" ht="15" hidden="false" customHeight="true" outlineLevel="0" collapsed="false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</row>
    <row r="335" customFormat="false" ht="15" hidden="false" customHeight="true" outlineLevel="0" collapsed="false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</row>
    <row r="336" customFormat="false" ht="15" hidden="false" customHeight="true" outlineLevel="0" collapsed="false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</row>
    <row r="337" customFormat="false" ht="15" hidden="false" customHeight="true" outlineLevel="0" collapsed="false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</row>
    <row r="338" customFormat="false" ht="15" hidden="false" customHeight="true" outlineLevel="0" collapsed="false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</row>
    <row r="339" customFormat="false" ht="15" hidden="false" customHeight="true" outlineLevel="0" collapsed="false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</row>
    <row r="340" customFormat="false" ht="15" hidden="false" customHeight="true" outlineLevel="0" collapsed="false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</row>
    <row r="341" customFormat="false" ht="15" hidden="false" customHeight="true" outlineLevel="0" collapsed="false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</row>
    <row r="342" customFormat="false" ht="15" hidden="false" customHeight="true" outlineLevel="0" collapsed="false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</row>
    <row r="343" customFormat="false" ht="15" hidden="false" customHeight="true" outlineLevel="0" collapsed="false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</row>
    <row r="344" customFormat="false" ht="15" hidden="false" customHeight="true" outlineLevel="0" collapsed="false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</row>
    <row r="345" customFormat="false" ht="15" hidden="false" customHeight="true" outlineLevel="0" collapsed="false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</row>
    <row r="346" customFormat="false" ht="15" hidden="false" customHeight="true" outlineLevel="0" collapsed="false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</row>
    <row r="347" customFormat="false" ht="15" hidden="false" customHeight="true" outlineLevel="0" collapsed="false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</row>
    <row r="348" customFormat="false" ht="15" hidden="false" customHeight="true" outlineLevel="0" collapsed="false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</row>
    <row r="349" customFormat="false" ht="15" hidden="false" customHeight="true" outlineLevel="0" collapsed="false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</row>
    <row r="350" customFormat="false" ht="15" hidden="false" customHeight="true" outlineLevel="0" collapsed="false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</row>
    <row r="351" customFormat="false" ht="15" hidden="false" customHeight="true" outlineLevel="0" collapsed="false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</row>
    <row r="352" customFormat="false" ht="15" hidden="false" customHeight="true" outlineLevel="0" collapsed="false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</row>
    <row r="353" customFormat="false" ht="15" hidden="false" customHeight="true" outlineLevel="0" collapsed="false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</row>
    <row r="354" customFormat="false" ht="15" hidden="false" customHeight="true" outlineLevel="0" collapsed="false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</row>
    <row r="355" customFormat="false" ht="15" hidden="false" customHeight="true" outlineLevel="0" collapsed="false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</row>
    <row r="356" customFormat="false" ht="15" hidden="false" customHeight="true" outlineLevel="0" collapsed="false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</row>
    <row r="357" customFormat="false" ht="15" hidden="false" customHeight="true" outlineLevel="0" collapsed="false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</row>
    <row r="358" customFormat="false" ht="15" hidden="false" customHeight="true" outlineLevel="0" collapsed="false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</row>
    <row r="359" customFormat="false" ht="15" hidden="false" customHeight="true" outlineLevel="0" collapsed="false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</row>
    <row r="360" customFormat="false" ht="15" hidden="false" customHeight="true" outlineLevel="0" collapsed="false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</row>
    <row r="361" customFormat="false" ht="15" hidden="false" customHeight="true" outlineLevel="0" collapsed="false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</row>
    <row r="362" customFormat="false" ht="15" hidden="false" customHeight="true" outlineLevel="0" collapsed="false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</row>
    <row r="363" customFormat="false" ht="15" hidden="false" customHeight="true" outlineLevel="0" collapsed="false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</row>
    <row r="364" customFormat="false" ht="15" hidden="false" customHeight="true" outlineLevel="0" collapsed="false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</row>
    <row r="365" customFormat="false" ht="15" hidden="false" customHeight="true" outlineLevel="0" collapsed="false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</row>
    <row r="366" customFormat="false" ht="15" hidden="false" customHeight="true" outlineLevel="0" collapsed="false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</row>
    <row r="367" customFormat="false" ht="15" hidden="false" customHeight="true" outlineLevel="0" collapsed="false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</row>
    <row r="368" customFormat="false" ht="15" hidden="false" customHeight="true" outlineLevel="0" collapsed="false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</row>
    <row r="369" customFormat="false" ht="15" hidden="false" customHeight="true" outlineLevel="0" collapsed="false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</row>
    <row r="370" customFormat="false" ht="15" hidden="false" customHeight="true" outlineLevel="0" collapsed="false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</row>
    <row r="371" customFormat="false" ht="15" hidden="false" customHeight="true" outlineLevel="0" collapsed="false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</row>
    <row r="372" customFormat="false" ht="15" hidden="false" customHeight="true" outlineLevel="0" collapsed="false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</row>
    <row r="373" customFormat="false" ht="15" hidden="false" customHeight="true" outlineLevel="0" collapsed="false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</row>
    <row r="374" customFormat="false" ht="15" hidden="false" customHeight="true" outlineLevel="0" collapsed="false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</row>
    <row r="375" customFormat="false" ht="15" hidden="false" customHeight="true" outlineLevel="0" collapsed="false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</row>
    <row r="376" customFormat="false" ht="15" hidden="false" customHeight="true" outlineLevel="0" collapsed="false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</row>
    <row r="377" customFormat="false" ht="15" hidden="false" customHeight="true" outlineLevel="0" collapsed="false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</row>
    <row r="378" customFormat="false" ht="15" hidden="false" customHeight="true" outlineLevel="0" collapsed="false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</row>
    <row r="379" customFormat="false" ht="15" hidden="false" customHeight="true" outlineLevel="0" collapsed="false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</row>
    <row r="380" customFormat="false" ht="15" hidden="false" customHeight="true" outlineLevel="0" collapsed="false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</row>
    <row r="381" customFormat="false" ht="15" hidden="false" customHeight="true" outlineLevel="0" collapsed="false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</row>
    <row r="382" customFormat="false" ht="15" hidden="false" customHeight="true" outlineLevel="0" collapsed="false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</row>
    <row r="383" customFormat="false" ht="15" hidden="false" customHeight="true" outlineLevel="0" collapsed="false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</row>
    <row r="384" customFormat="false" ht="15" hidden="false" customHeight="true" outlineLevel="0" collapsed="false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</row>
    <row r="385" customFormat="false" ht="15" hidden="false" customHeight="true" outlineLevel="0" collapsed="false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</row>
    <row r="386" customFormat="false" ht="15" hidden="false" customHeight="true" outlineLevel="0" collapsed="false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</row>
    <row r="387" customFormat="false" ht="15" hidden="false" customHeight="true" outlineLevel="0" collapsed="false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</row>
    <row r="388" customFormat="false" ht="15" hidden="false" customHeight="true" outlineLevel="0" collapsed="false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</row>
    <row r="389" customFormat="false" ht="15" hidden="false" customHeight="true" outlineLevel="0" collapsed="false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</row>
    <row r="390" customFormat="false" ht="15" hidden="false" customHeight="true" outlineLevel="0" collapsed="false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</row>
    <row r="391" customFormat="false" ht="15" hidden="false" customHeight="true" outlineLevel="0" collapsed="false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</row>
    <row r="392" customFormat="false" ht="15" hidden="false" customHeight="true" outlineLevel="0" collapsed="false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</row>
    <row r="393" customFormat="false" ht="15" hidden="false" customHeight="true" outlineLevel="0" collapsed="false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</row>
    <row r="394" customFormat="false" ht="15" hidden="false" customHeight="true" outlineLevel="0" collapsed="false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</row>
    <row r="395" customFormat="false" ht="15" hidden="false" customHeight="true" outlineLevel="0" collapsed="false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</row>
    <row r="396" customFormat="false" ht="15" hidden="false" customHeight="true" outlineLevel="0" collapsed="false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</row>
    <row r="397" customFormat="false" ht="15" hidden="false" customHeight="true" outlineLevel="0" collapsed="false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</row>
    <row r="398" customFormat="false" ht="15" hidden="false" customHeight="true" outlineLevel="0" collapsed="false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</row>
    <row r="399" customFormat="false" ht="15" hidden="false" customHeight="true" outlineLevel="0" collapsed="false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</row>
    <row r="400" customFormat="false" ht="15" hidden="false" customHeight="true" outlineLevel="0" collapsed="false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</row>
    <row r="401" customFormat="false" ht="15" hidden="false" customHeight="true" outlineLevel="0" collapsed="false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</row>
  </sheetData>
  <autoFilter ref="A5:G132"/>
  <mergeCells count="2">
    <mergeCell ref="A1:G1"/>
    <mergeCell ref="A2:G2"/>
  </mergeCells>
  <conditionalFormatting sqref="A6:G132">
    <cfRule type="expression" priority="2" aboveAverage="0" equalAverage="0" bottom="0" percent="0" rank="0" text="" dxfId="38">
      <formula>LEFT($B6,8)="APERTURA"</formula>
    </cfRule>
    <cfRule type="expression" priority="3" aboveAverage="0" equalAverage="0" bottom="0" percent="0" rank="0" text="" dxfId="39">
      <formula>$B6="INGRESO (compra)"</formula>
    </cfRule>
    <cfRule type="expression" priority="4" aboveAverage="0" equalAverage="0" bottom="0" percent="0" rank="0" text="" dxfId="40">
      <formula>LEFT($B6,4)="RECHA"</formula>
    </cfRule>
    <cfRule type="expression" priority="5" aboveAverage="0" equalAverage="0" bottom="0" percent="0" rank="0" text="" dxfId="41">
      <formula>$B6="REPROCESO"</formula>
    </cfRule>
    <cfRule type="expression" priority="6" aboveAverage="0" equalAverage="0" bottom="0" percent="0" rank="0" text="" dxfId="40">
      <formula>LEFT($B6,10)="DEVOLUCIÓN"</formula>
    </cfRule>
    <cfRule type="expression" priority="7" aboveAverage="0" equalAverage="0" bottom="0" percent="0" rank="0" text="" dxfId="42">
      <formula>$B6="MALOGRADO"</formula>
    </cfRule>
    <cfRule type="expression" priority="8" aboveAverage="0" equalAverage="0" bottom="0" percent="0" rank="0" text="" dxfId="43">
      <formula>LEFT($B6,5)="ENVÍO"</formula>
    </cfRule>
    <cfRule type="expression" priority="9" aboveAverage="0" equalAverage="0" bottom="0" percent="0" rank="0" text="" dxfId="44">
      <formula>$B6="CHANCHO (proceso)"</formula>
    </cfRule>
    <cfRule type="expression" priority="10" aboveAverage="0" equalAverage="0" bottom="0" percent="0" rank="0" text="" dxfId="44">
      <formula>$B6="VENTA CHANCHO"</formula>
    </cfRule>
    <cfRule type="expression" priority="11" aboveAverage="0" equalAverage="0" bottom="0" percent="0" rank="0" text="" dxfId="45">
      <formula>LEFT($B6,5)="VENTA"</formula>
    </cfRule>
    <cfRule type="expression" priority="12" aboveAverage="0" equalAverage="0" bottom="0" percent="0" rank="0" text="" dxfId="46">
      <formula>LEFT($B6,6)="REGALO"</formula>
    </cfRule>
    <cfRule type="expression" priority="13" aboveAverage="0" equalAverage="0" bottom="0" percent="0" rank="0" text="" dxfId="47">
      <formula>LEFT($B6,8)="TRASIEGO"</formula>
    </cfRule>
    <cfRule type="expression" priority="14" aboveAverage="0" equalAverage="0" bottom="0" percent="0" rank="0" text="" dxfId="38">
      <formula>LEFT($B6,6)="AJUSTE"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13" activeCellId="0" sqref="K13"/>
    </sheetView>
  </sheetViews>
  <sheetFormatPr defaultColWidth="8.66796875" defaultRowHeight="15" customHeight="false" zeroHeight="false" outlineLevelRow="0" outlineLevelCol="0"/>
  <sheetData>
    <row r="1" customFormat="false" ht="15" hidden="false" customHeight="true" outlineLevel="0" collapsed="false">
      <c r="A1" s="0" t="s">
        <v>4</v>
      </c>
      <c r="B1" s="0" t="s">
        <v>7</v>
      </c>
      <c r="D1" s="0" t="s">
        <v>137</v>
      </c>
      <c r="F1" s="0" t="s">
        <v>138</v>
      </c>
      <c r="H1" s="0" t="s">
        <v>139</v>
      </c>
    </row>
    <row r="2" customFormat="false" ht="15" hidden="false" customHeight="true" outlineLevel="0" collapsed="false">
      <c r="A2" s="0" t="s">
        <v>11</v>
      </c>
      <c r="B2" s="0" t="n">
        <v>15</v>
      </c>
      <c r="D2" s="0" t="s">
        <v>17</v>
      </c>
      <c r="F2" s="0" t="s">
        <v>11</v>
      </c>
      <c r="H2" s="0" t="s">
        <v>12</v>
      </c>
    </row>
    <row r="3" customFormat="false" ht="15" hidden="false" customHeight="true" outlineLevel="0" collapsed="false">
      <c r="A3" s="0" t="s">
        <v>21</v>
      </c>
      <c r="B3" s="0" t="n">
        <v>18</v>
      </c>
      <c r="D3" s="0" t="s">
        <v>20</v>
      </c>
      <c r="F3" s="0" t="s">
        <v>21</v>
      </c>
      <c r="H3" s="0" t="s">
        <v>16</v>
      </c>
    </row>
    <row r="4" customFormat="false" ht="15" hidden="false" customHeight="true" outlineLevel="0" collapsed="false">
      <c r="A4" s="0" t="s">
        <v>22</v>
      </c>
      <c r="B4" s="0" t="n">
        <v>17</v>
      </c>
      <c r="D4" s="0" t="s">
        <v>23</v>
      </c>
      <c r="F4" s="0" t="s">
        <v>22</v>
      </c>
      <c r="H4" s="0" t="s">
        <v>44</v>
      </c>
    </row>
    <row r="5" customFormat="false" ht="15" hidden="false" customHeight="true" outlineLevel="0" collapsed="false">
      <c r="A5" s="0" t="s">
        <v>13</v>
      </c>
      <c r="B5" s="0" t="n">
        <v>17</v>
      </c>
      <c r="D5" s="0" t="s">
        <v>126</v>
      </c>
      <c r="F5" s="0" t="s">
        <v>13</v>
      </c>
    </row>
    <row r="6" customFormat="false" ht="15" hidden="false" customHeight="true" outlineLevel="0" collapsed="false">
      <c r="A6" s="0" t="s">
        <v>15</v>
      </c>
      <c r="B6" s="0" t="n">
        <v>95</v>
      </c>
      <c r="D6" s="0" t="s">
        <v>140</v>
      </c>
      <c r="F6" s="0" t="s">
        <v>15</v>
      </c>
    </row>
    <row r="7" customFormat="false" ht="15" hidden="false" customHeight="true" outlineLevel="0" collapsed="false">
      <c r="D7" s="0" t="s">
        <v>28</v>
      </c>
      <c r="F7" s="0" t="s">
        <v>18</v>
      </c>
    </row>
    <row r="8" customFormat="false" ht="15" hidden="false" customHeight="true" outlineLevel="0" collapsed="false">
      <c r="D8" s="0" t="s">
        <v>141</v>
      </c>
      <c r="F8" s="0" t="s">
        <v>58</v>
      </c>
    </row>
    <row r="9" customFormat="false" ht="15" hidden="false" customHeight="true" outlineLevel="0" collapsed="false">
      <c r="A9" s="61" t="s">
        <v>142</v>
      </c>
      <c r="D9" s="0" t="s">
        <v>42</v>
      </c>
      <c r="F9" s="0" t="s">
        <v>143</v>
      </c>
    </row>
    <row r="10" customFormat="false" ht="15" hidden="false" customHeight="true" outlineLevel="0" collapsed="false">
      <c r="D10" s="0" t="s">
        <v>43</v>
      </c>
    </row>
    <row r="11" customFormat="false" ht="15" hidden="false" customHeight="true" outlineLevel="0" collapsed="false">
      <c r="D11" s="0" t="s">
        <v>49</v>
      </c>
    </row>
    <row r="12" customFormat="false" ht="15" hidden="false" customHeight="true" outlineLevel="0" collapsed="false">
      <c r="D12" s="0" t="s">
        <v>46</v>
      </c>
    </row>
    <row r="13" customFormat="false" ht="15" hidden="false" customHeight="true" outlineLevel="0" collapsed="false">
      <c r="D13" s="0" t="s">
        <v>144</v>
      </c>
    </row>
    <row r="14" customFormat="false" ht="15" hidden="false" customHeight="true" outlineLevel="0" collapsed="false">
      <c r="D14" s="0" t="s">
        <v>34</v>
      </c>
    </row>
    <row r="15" customFormat="false" ht="15" hidden="false" customHeight="true" outlineLevel="0" collapsed="false">
      <c r="D15" s="0" t="s">
        <v>10</v>
      </c>
    </row>
    <row r="16" customFormat="false" ht="15" hidden="false" customHeight="true" outlineLevel="0" collapsed="false">
      <c r="D16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2026-07-25T02:09:50Z</dcterms:created>
  <dc:creator>openpyxl</dc:creator>
  <dc:description/>
  <dc:language>en-US</dc:language>
  <cp:lastModifiedBy>Mirian Martinez Paredes</cp:lastModifiedBy>
  <dcterms:modified xsi:type="dcterms:W3CDTF">2026-07-31T01:47:22Z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