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mirianmartinez/Desktop/Agro Pacayales/GESTION COSTOS/"/>
    </mc:Choice>
  </mc:AlternateContent>
  <xr:revisionPtr revIDLastSave="0" documentId="13_ncr:1_{E531F328-5161-2E40-82B4-ABB37C2BF50C}" xr6:coauthVersionLast="47" xr6:coauthVersionMax="47" xr10:uidLastSave="{00000000-0000-0000-0000-000000000000}"/>
  <bookViews>
    <workbookView xWindow="4320" yWindow="600" windowWidth="24480" windowHeight="17400" tabRatio="500" xr2:uid="{00000000-000D-0000-FFFF-FFFF00000000}"/>
  </bookViews>
  <sheets>
    <sheet name="MOVIMIENTOS" sheetId="1" r:id="rId1"/>
    <sheet name="KARDEX" sheetId="2" r:id="rId2"/>
    <sheet name="SALDO DIARIO" sheetId="3" r:id="rId3"/>
    <sheet name="LISTAS" sheetId="5" r:id="rId4"/>
  </sheets>
  <definedNames>
    <definedName name="_xlnm._FilterDatabase" localSheetId="1" hidden="1">KARDEX!$A$5:$F$401</definedName>
    <definedName name="_xlnm._FilterDatabase" localSheetId="0" hidden="1">MOVIMIENTOS!$A$4:$H$400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00" i="3" l="1"/>
  <c r="J400" i="3"/>
  <c r="K399" i="3"/>
  <c r="J399" i="3"/>
  <c r="K398" i="3"/>
  <c r="J398" i="3"/>
  <c r="K397" i="3"/>
  <c r="J397" i="3"/>
  <c r="K396" i="3"/>
  <c r="J396" i="3"/>
  <c r="K395" i="3"/>
  <c r="J395" i="3"/>
  <c r="K394" i="3"/>
  <c r="J394" i="3"/>
  <c r="K393" i="3"/>
  <c r="J393" i="3"/>
  <c r="K392" i="3"/>
  <c r="J392" i="3"/>
  <c r="K391" i="3"/>
  <c r="J391" i="3"/>
  <c r="K390" i="3"/>
  <c r="J390" i="3"/>
  <c r="K389" i="3"/>
  <c r="J389" i="3"/>
  <c r="K388" i="3"/>
  <c r="J388" i="3"/>
  <c r="K387" i="3"/>
  <c r="J387" i="3"/>
  <c r="K386" i="3"/>
  <c r="J386" i="3"/>
  <c r="K385" i="3"/>
  <c r="J385" i="3"/>
  <c r="K384" i="3"/>
  <c r="J384" i="3"/>
  <c r="K383" i="3"/>
  <c r="J383" i="3"/>
  <c r="K382" i="3"/>
  <c r="J382" i="3"/>
  <c r="K381" i="3"/>
  <c r="J381" i="3"/>
  <c r="K380" i="3"/>
  <c r="J380" i="3"/>
  <c r="K379" i="3"/>
  <c r="J379" i="3"/>
  <c r="K378" i="3"/>
  <c r="J378" i="3"/>
  <c r="K377" i="3"/>
  <c r="J377" i="3"/>
  <c r="K376" i="3"/>
  <c r="J376" i="3"/>
  <c r="K375" i="3"/>
  <c r="J375" i="3"/>
  <c r="K374" i="3"/>
  <c r="J374" i="3"/>
  <c r="K373" i="3"/>
  <c r="J373" i="3"/>
  <c r="K372" i="3"/>
  <c r="J372" i="3"/>
  <c r="K371" i="3"/>
  <c r="J371" i="3"/>
  <c r="K370" i="3"/>
  <c r="J370" i="3"/>
  <c r="K369" i="3"/>
  <c r="J369" i="3"/>
  <c r="K368" i="3"/>
  <c r="J368" i="3"/>
  <c r="K367" i="3"/>
  <c r="J367" i="3"/>
  <c r="K366" i="3"/>
  <c r="J366" i="3"/>
  <c r="K365" i="3"/>
  <c r="J365" i="3"/>
  <c r="K364" i="3"/>
  <c r="J364" i="3"/>
  <c r="K363" i="3"/>
  <c r="J363" i="3"/>
  <c r="K362" i="3"/>
  <c r="J362" i="3"/>
  <c r="K361" i="3"/>
  <c r="J361" i="3"/>
  <c r="K360" i="3"/>
  <c r="J360" i="3"/>
  <c r="K359" i="3"/>
  <c r="J359" i="3"/>
  <c r="K358" i="3"/>
  <c r="J358" i="3"/>
  <c r="K357" i="3"/>
  <c r="J357" i="3"/>
  <c r="K356" i="3"/>
  <c r="J356" i="3"/>
  <c r="K355" i="3"/>
  <c r="J355" i="3"/>
  <c r="K354" i="3"/>
  <c r="J354" i="3"/>
  <c r="K353" i="3"/>
  <c r="J353" i="3"/>
  <c r="K352" i="3"/>
  <c r="J352" i="3"/>
  <c r="K351" i="3"/>
  <c r="J351" i="3"/>
  <c r="K350" i="3"/>
  <c r="J350" i="3"/>
  <c r="K349" i="3"/>
  <c r="J349" i="3"/>
  <c r="K348" i="3"/>
  <c r="J348" i="3"/>
  <c r="K347" i="3"/>
  <c r="J347" i="3"/>
  <c r="K346" i="3"/>
  <c r="J346" i="3"/>
  <c r="K345" i="3"/>
  <c r="J345" i="3"/>
  <c r="K344" i="3"/>
  <c r="J344" i="3"/>
  <c r="K343" i="3"/>
  <c r="J343" i="3"/>
  <c r="K342" i="3"/>
  <c r="J342" i="3"/>
  <c r="K341" i="3"/>
  <c r="J341" i="3"/>
  <c r="K340" i="3"/>
  <c r="J340" i="3"/>
  <c r="K339" i="3"/>
  <c r="J339" i="3"/>
  <c r="K338" i="3"/>
  <c r="J338" i="3"/>
  <c r="K337" i="3"/>
  <c r="J337" i="3"/>
  <c r="K336" i="3"/>
  <c r="J336" i="3"/>
  <c r="K335" i="3"/>
  <c r="J335" i="3"/>
  <c r="K334" i="3"/>
  <c r="J334" i="3"/>
  <c r="K333" i="3"/>
  <c r="J333" i="3"/>
  <c r="K332" i="3"/>
  <c r="J332" i="3"/>
  <c r="K331" i="3"/>
  <c r="J331" i="3"/>
  <c r="K330" i="3"/>
  <c r="J330" i="3"/>
  <c r="K329" i="3"/>
  <c r="J329" i="3"/>
  <c r="K328" i="3"/>
  <c r="J328" i="3"/>
  <c r="K327" i="3"/>
  <c r="J327" i="3"/>
  <c r="K326" i="3"/>
  <c r="J326" i="3"/>
  <c r="K325" i="3"/>
  <c r="J325" i="3"/>
  <c r="K324" i="3"/>
  <c r="J324" i="3"/>
  <c r="K323" i="3"/>
  <c r="J323" i="3"/>
  <c r="K322" i="3"/>
  <c r="J322" i="3"/>
  <c r="K321" i="3"/>
  <c r="J321" i="3"/>
  <c r="K320" i="3"/>
  <c r="J320" i="3"/>
  <c r="K319" i="3"/>
  <c r="J319" i="3"/>
  <c r="K318" i="3"/>
  <c r="J318" i="3"/>
  <c r="K317" i="3"/>
  <c r="J317" i="3"/>
  <c r="K316" i="3"/>
  <c r="J316" i="3"/>
  <c r="K315" i="3"/>
  <c r="J315" i="3"/>
  <c r="K314" i="3"/>
  <c r="J314" i="3"/>
  <c r="K313" i="3"/>
  <c r="J313" i="3"/>
  <c r="K312" i="3"/>
  <c r="J312" i="3"/>
  <c r="K311" i="3"/>
  <c r="J311" i="3"/>
  <c r="K310" i="3"/>
  <c r="J310" i="3"/>
  <c r="K309" i="3"/>
  <c r="J309" i="3"/>
  <c r="K308" i="3"/>
  <c r="J308" i="3"/>
  <c r="K307" i="3"/>
  <c r="J307" i="3"/>
  <c r="K306" i="3"/>
  <c r="J306" i="3"/>
  <c r="K305" i="3"/>
  <c r="J305" i="3"/>
  <c r="K304" i="3"/>
  <c r="J304" i="3"/>
  <c r="K303" i="3"/>
  <c r="J303" i="3"/>
  <c r="K302" i="3"/>
  <c r="J302" i="3"/>
  <c r="K301" i="3"/>
  <c r="J301" i="3"/>
  <c r="K300" i="3"/>
  <c r="J300" i="3"/>
  <c r="K299" i="3"/>
  <c r="J299" i="3"/>
  <c r="K298" i="3"/>
  <c r="J298" i="3"/>
  <c r="K297" i="3"/>
  <c r="J297" i="3"/>
  <c r="K296" i="3"/>
  <c r="J296" i="3"/>
  <c r="K295" i="3"/>
  <c r="J295" i="3"/>
  <c r="K294" i="3"/>
  <c r="J294" i="3"/>
  <c r="K293" i="3"/>
  <c r="J293" i="3"/>
  <c r="K292" i="3"/>
  <c r="J292" i="3"/>
  <c r="K291" i="3"/>
  <c r="J291" i="3"/>
  <c r="K290" i="3"/>
  <c r="J290" i="3"/>
  <c r="K289" i="3"/>
  <c r="J289" i="3"/>
  <c r="K288" i="3"/>
  <c r="J288" i="3"/>
  <c r="K287" i="3"/>
  <c r="J287" i="3"/>
  <c r="K286" i="3"/>
  <c r="J286" i="3"/>
  <c r="K285" i="3"/>
  <c r="J285" i="3"/>
  <c r="K284" i="3"/>
  <c r="J284" i="3"/>
  <c r="K283" i="3"/>
  <c r="J283" i="3"/>
  <c r="K282" i="3"/>
  <c r="J282" i="3"/>
  <c r="K281" i="3"/>
  <c r="J281" i="3"/>
  <c r="K280" i="3"/>
  <c r="J280" i="3"/>
  <c r="K279" i="3"/>
  <c r="J279" i="3"/>
  <c r="K278" i="3"/>
  <c r="J278" i="3"/>
  <c r="K277" i="3"/>
  <c r="J277" i="3"/>
  <c r="K276" i="3"/>
  <c r="J276" i="3"/>
  <c r="K275" i="3"/>
  <c r="J275" i="3"/>
  <c r="K274" i="3"/>
  <c r="J274" i="3"/>
  <c r="K273" i="3"/>
  <c r="J273" i="3"/>
  <c r="K272" i="3"/>
  <c r="J272" i="3"/>
  <c r="K271" i="3"/>
  <c r="J271" i="3"/>
  <c r="K270" i="3"/>
  <c r="J270" i="3"/>
  <c r="K269" i="3"/>
  <c r="J269" i="3"/>
  <c r="K268" i="3"/>
  <c r="J268" i="3"/>
  <c r="K267" i="3"/>
  <c r="J267" i="3"/>
  <c r="K266" i="3"/>
  <c r="J266" i="3"/>
  <c r="K265" i="3"/>
  <c r="J265" i="3"/>
  <c r="K264" i="3"/>
  <c r="J264" i="3"/>
  <c r="K263" i="3"/>
  <c r="J263" i="3"/>
  <c r="K262" i="3"/>
  <c r="J262" i="3"/>
  <c r="K261" i="3"/>
  <c r="J261" i="3"/>
  <c r="K260" i="3"/>
  <c r="J260" i="3"/>
  <c r="K259" i="3"/>
  <c r="J259" i="3"/>
  <c r="K258" i="3"/>
  <c r="J258" i="3"/>
  <c r="K257" i="3"/>
  <c r="J257" i="3"/>
  <c r="K256" i="3"/>
  <c r="J256" i="3"/>
  <c r="K255" i="3"/>
  <c r="J255" i="3"/>
  <c r="K254" i="3"/>
  <c r="J254" i="3"/>
  <c r="K253" i="3"/>
  <c r="J253" i="3"/>
  <c r="K252" i="3"/>
  <c r="J252" i="3"/>
  <c r="K251" i="3"/>
  <c r="J251" i="3"/>
  <c r="K250" i="3"/>
  <c r="J250" i="3"/>
  <c r="K249" i="3"/>
  <c r="J249" i="3"/>
  <c r="K248" i="3"/>
  <c r="J248" i="3"/>
  <c r="K247" i="3"/>
  <c r="J247" i="3"/>
  <c r="K246" i="3"/>
  <c r="J246" i="3"/>
  <c r="K245" i="3"/>
  <c r="J245" i="3"/>
  <c r="K244" i="3"/>
  <c r="J244" i="3"/>
  <c r="K243" i="3"/>
  <c r="J243" i="3"/>
  <c r="K242" i="3"/>
  <c r="J242" i="3"/>
  <c r="K241" i="3"/>
  <c r="J241" i="3"/>
  <c r="K240" i="3"/>
  <c r="J240" i="3"/>
  <c r="K239" i="3"/>
  <c r="J239" i="3"/>
  <c r="K238" i="3"/>
  <c r="J238" i="3"/>
  <c r="K237" i="3"/>
  <c r="J237" i="3"/>
  <c r="K236" i="3"/>
  <c r="J236" i="3"/>
  <c r="K235" i="3"/>
  <c r="J235" i="3"/>
  <c r="K234" i="3"/>
  <c r="J234" i="3"/>
  <c r="K233" i="3"/>
  <c r="J233" i="3"/>
  <c r="K232" i="3"/>
  <c r="J232" i="3"/>
  <c r="K231" i="3"/>
  <c r="J231" i="3"/>
  <c r="K230" i="3"/>
  <c r="J230" i="3"/>
  <c r="K229" i="3"/>
  <c r="J229" i="3"/>
  <c r="K228" i="3"/>
  <c r="J228" i="3"/>
  <c r="K227" i="3"/>
  <c r="J227" i="3"/>
  <c r="K226" i="3"/>
  <c r="J226" i="3"/>
  <c r="K225" i="3"/>
  <c r="J225" i="3"/>
  <c r="K224" i="3"/>
  <c r="J224" i="3"/>
  <c r="K223" i="3"/>
  <c r="J223" i="3"/>
  <c r="K222" i="3"/>
  <c r="J222" i="3"/>
  <c r="K221" i="3"/>
  <c r="J221" i="3"/>
  <c r="K220" i="3"/>
  <c r="J220" i="3"/>
  <c r="K219" i="3"/>
  <c r="J219" i="3"/>
  <c r="K218" i="3"/>
  <c r="J218" i="3"/>
  <c r="K217" i="3"/>
  <c r="J217" i="3"/>
  <c r="K216" i="3"/>
  <c r="J216" i="3"/>
  <c r="K215" i="3"/>
  <c r="J215" i="3"/>
  <c r="K214" i="3"/>
  <c r="J214" i="3"/>
  <c r="K213" i="3"/>
  <c r="J213" i="3"/>
  <c r="K212" i="3"/>
  <c r="J212" i="3"/>
  <c r="K211" i="3"/>
  <c r="J211" i="3"/>
  <c r="K210" i="3"/>
  <c r="J210" i="3"/>
  <c r="K209" i="3"/>
  <c r="J209" i="3"/>
  <c r="K208" i="3"/>
  <c r="J208" i="3"/>
  <c r="K207" i="3"/>
  <c r="J207" i="3"/>
  <c r="K206" i="3"/>
  <c r="J206" i="3"/>
  <c r="K205" i="3"/>
  <c r="J205" i="3"/>
  <c r="K204" i="3"/>
  <c r="J204" i="3"/>
  <c r="K203" i="3"/>
  <c r="J203" i="3"/>
  <c r="K202" i="3"/>
  <c r="J202" i="3"/>
  <c r="K201" i="3"/>
  <c r="J201" i="3"/>
  <c r="K200" i="3"/>
  <c r="J200" i="3"/>
  <c r="K199" i="3"/>
  <c r="J199" i="3"/>
  <c r="K198" i="3"/>
  <c r="J198" i="3"/>
  <c r="K197" i="3"/>
  <c r="J197" i="3"/>
  <c r="K196" i="3"/>
  <c r="J196" i="3"/>
  <c r="K195" i="3"/>
  <c r="J195" i="3"/>
  <c r="K194" i="3"/>
  <c r="J194" i="3"/>
  <c r="K193" i="3"/>
  <c r="J193" i="3"/>
  <c r="K192" i="3"/>
  <c r="J192" i="3"/>
  <c r="K191" i="3"/>
  <c r="J191" i="3"/>
  <c r="K190" i="3"/>
  <c r="J190" i="3"/>
  <c r="K189" i="3"/>
  <c r="J189" i="3"/>
  <c r="K188" i="3"/>
  <c r="J188" i="3"/>
  <c r="K187" i="3"/>
  <c r="J187" i="3"/>
  <c r="K186" i="3"/>
  <c r="J186" i="3"/>
  <c r="K185" i="3"/>
  <c r="J185" i="3"/>
  <c r="K184" i="3"/>
  <c r="J184" i="3"/>
  <c r="K183" i="3"/>
  <c r="J183" i="3"/>
  <c r="K182" i="3"/>
  <c r="J182" i="3"/>
  <c r="K181" i="3"/>
  <c r="J181" i="3"/>
  <c r="K180" i="3"/>
  <c r="J180" i="3"/>
  <c r="K179" i="3"/>
  <c r="J179" i="3"/>
  <c r="K178" i="3"/>
  <c r="J178" i="3"/>
  <c r="K177" i="3"/>
  <c r="J177" i="3"/>
  <c r="K176" i="3"/>
  <c r="J176" i="3"/>
  <c r="K175" i="3"/>
  <c r="J175" i="3"/>
  <c r="K174" i="3"/>
  <c r="J174" i="3"/>
  <c r="K173" i="3"/>
  <c r="J173" i="3"/>
  <c r="K172" i="3"/>
  <c r="J172" i="3"/>
  <c r="K171" i="3"/>
  <c r="J171" i="3"/>
  <c r="K170" i="3"/>
  <c r="J170" i="3"/>
  <c r="K169" i="3"/>
  <c r="J169" i="3"/>
  <c r="K168" i="3"/>
  <c r="J168" i="3"/>
  <c r="K167" i="3"/>
  <c r="J167" i="3"/>
  <c r="K166" i="3"/>
  <c r="J166" i="3"/>
  <c r="K165" i="3"/>
  <c r="J165" i="3"/>
  <c r="K164" i="3"/>
  <c r="J164" i="3"/>
  <c r="K163" i="3"/>
  <c r="J163" i="3"/>
  <c r="K162" i="3"/>
  <c r="J162" i="3"/>
  <c r="K161" i="3"/>
  <c r="J161" i="3"/>
  <c r="K160" i="3"/>
  <c r="J160" i="3"/>
  <c r="K159" i="3"/>
  <c r="J159" i="3"/>
  <c r="K158" i="3"/>
  <c r="J158" i="3"/>
  <c r="K157" i="3"/>
  <c r="J157" i="3"/>
  <c r="K156" i="3"/>
  <c r="J156" i="3"/>
  <c r="K155" i="3"/>
  <c r="J155" i="3"/>
  <c r="K154" i="3"/>
  <c r="J154" i="3"/>
  <c r="K153" i="3"/>
  <c r="J153" i="3"/>
  <c r="K152" i="3"/>
  <c r="J152" i="3"/>
  <c r="K151" i="3"/>
  <c r="J151" i="3"/>
  <c r="K150" i="3"/>
  <c r="J150" i="3"/>
  <c r="K149" i="3"/>
  <c r="K148" i="3"/>
  <c r="J148" i="3"/>
  <c r="K147" i="3"/>
  <c r="J147" i="3"/>
  <c r="K146" i="3"/>
  <c r="J146" i="3"/>
  <c r="K145" i="3"/>
  <c r="J145" i="3"/>
  <c r="K144" i="3"/>
  <c r="J144" i="3"/>
  <c r="K143" i="3"/>
  <c r="J143" i="3"/>
  <c r="K142" i="3"/>
  <c r="J142" i="3"/>
  <c r="K141" i="3"/>
  <c r="J141" i="3"/>
  <c r="K140" i="3"/>
  <c r="J140" i="3"/>
  <c r="K139" i="3"/>
  <c r="J139" i="3"/>
  <c r="K138" i="3"/>
  <c r="J138" i="3"/>
  <c r="K137" i="3"/>
  <c r="K136" i="3"/>
  <c r="J136" i="3"/>
  <c r="K135" i="3"/>
  <c r="J135" i="3"/>
  <c r="K134" i="3"/>
  <c r="J134" i="3"/>
  <c r="K133" i="3"/>
  <c r="J133" i="3"/>
  <c r="K132" i="3"/>
  <c r="J132" i="3"/>
  <c r="K131" i="3"/>
  <c r="J131" i="3"/>
  <c r="K130" i="3"/>
  <c r="J130" i="3"/>
  <c r="K129" i="3"/>
  <c r="J129" i="3"/>
  <c r="K128" i="3"/>
  <c r="J128" i="3"/>
  <c r="K127" i="3"/>
  <c r="J127" i="3"/>
  <c r="K126" i="3"/>
  <c r="J126" i="3"/>
  <c r="K125" i="3"/>
  <c r="J125" i="3"/>
  <c r="K124" i="3"/>
  <c r="J124" i="3"/>
  <c r="K123" i="3"/>
  <c r="J123" i="3"/>
  <c r="K122" i="3"/>
  <c r="J122" i="3"/>
  <c r="K121" i="3"/>
  <c r="K120" i="3"/>
  <c r="J120" i="3"/>
  <c r="K119" i="3"/>
  <c r="J119" i="3"/>
  <c r="K118" i="3"/>
  <c r="J118" i="3"/>
  <c r="K117" i="3"/>
  <c r="J117" i="3"/>
  <c r="K116" i="3"/>
  <c r="J116" i="3"/>
  <c r="K115" i="3"/>
  <c r="J115" i="3"/>
  <c r="K114" i="3"/>
  <c r="J114" i="3"/>
  <c r="K113" i="3"/>
  <c r="J113" i="3"/>
  <c r="K112" i="3"/>
  <c r="J112" i="3"/>
  <c r="K111" i="3"/>
  <c r="J111" i="3"/>
  <c r="K110" i="3"/>
  <c r="J110" i="3"/>
  <c r="K109" i="3"/>
  <c r="J109" i="3"/>
  <c r="K108" i="3"/>
  <c r="J108" i="3"/>
  <c r="K107" i="3"/>
  <c r="J107" i="3"/>
  <c r="K106" i="3"/>
  <c r="J106" i="3"/>
  <c r="K105" i="3"/>
  <c r="J105" i="3"/>
  <c r="K104" i="3"/>
  <c r="J104" i="3"/>
  <c r="K103" i="3"/>
  <c r="K102" i="3"/>
  <c r="J102" i="3"/>
  <c r="K101" i="3"/>
  <c r="J101" i="3"/>
  <c r="K100" i="3"/>
  <c r="J100" i="3"/>
  <c r="K99" i="3"/>
  <c r="J99" i="3"/>
  <c r="K98" i="3"/>
  <c r="J98" i="3"/>
  <c r="K97" i="3"/>
  <c r="J97" i="3"/>
  <c r="K96" i="3"/>
  <c r="J96" i="3"/>
  <c r="K95" i="3"/>
  <c r="J95" i="3"/>
  <c r="K94" i="3"/>
  <c r="J94" i="3"/>
  <c r="K93" i="3"/>
  <c r="J93" i="3"/>
  <c r="K92" i="3"/>
  <c r="J92" i="3"/>
  <c r="K91" i="3"/>
  <c r="J91" i="3"/>
  <c r="K90" i="3"/>
  <c r="J90" i="3"/>
  <c r="K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K78" i="3"/>
  <c r="J78" i="3"/>
  <c r="K77" i="3"/>
  <c r="J77" i="3"/>
  <c r="K76" i="3"/>
  <c r="J76" i="3"/>
  <c r="K75" i="3"/>
  <c r="J75" i="3"/>
  <c r="K74" i="3"/>
  <c r="K73" i="3"/>
  <c r="J73" i="3"/>
  <c r="K72" i="3"/>
  <c r="J72" i="3"/>
  <c r="K71" i="3"/>
  <c r="J71" i="3"/>
  <c r="K70" i="3"/>
  <c r="J70" i="3"/>
  <c r="K69" i="3"/>
  <c r="J69" i="3"/>
  <c r="K68" i="3"/>
  <c r="J68" i="3"/>
  <c r="K67" i="3"/>
  <c r="J67" i="3"/>
  <c r="K66" i="3"/>
  <c r="J66" i="3"/>
  <c r="K65" i="3"/>
  <c r="J65" i="3"/>
  <c r="K64" i="3"/>
  <c r="J64" i="3"/>
  <c r="K63" i="3"/>
  <c r="J63" i="3"/>
  <c r="K62" i="3"/>
  <c r="J62" i="3"/>
  <c r="K61" i="3"/>
  <c r="J61" i="3"/>
  <c r="K60" i="3"/>
  <c r="J60" i="3"/>
  <c r="K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K7" i="3"/>
  <c r="J7" i="3"/>
  <c r="K6" i="3"/>
  <c r="J6" i="3"/>
  <c r="K5" i="3"/>
  <c r="J5" i="3"/>
  <c r="A5" i="3"/>
  <c r="O401" i="2"/>
  <c r="L401" i="2"/>
  <c r="K401" i="2"/>
  <c r="J401" i="2"/>
  <c r="O400" i="2"/>
  <c r="L400" i="2"/>
  <c r="K400" i="2"/>
  <c r="J400" i="2"/>
  <c r="O399" i="2"/>
  <c r="L399" i="2"/>
  <c r="K399" i="2"/>
  <c r="J399" i="2"/>
  <c r="O398" i="2"/>
  <c r="L398" i="2"/>
  <c r="K398" i="2"/>
  <c r="J398" i="2"/>
  <c r="O397" i="2"/>
  <c r="L397" i="2"/>
  <c r="K397" i="2"/>
  <c r="J397" i="2"/>
  <c r="O396" i="2"/>
  <c r="L396" i="2"/>
  <c r="K396" i="2"/>
  <c r="J396" i="2"/>
  <c r="O395" i="2"/>
  <c r="L395" i="2"/>
  <c r="K395" i="2"/>
  <c r="J395" i="2"/>
  <c r="O394" i="2"/>
  <c r="L394" i="2"/>
  <c r="K394" i="2"/>
  <c r="J394" i="2"/>
  <c r="O393" i="2"/>
  <c r="L393" i="2"/>
  <c r="K393" i="2"/>
  <c r="J393" i="2"/>
  <c r="O392" i="2"/>
  <c r="L392" i="2"/>
  <c r="K392" i="2"/>
  <c r="J392" i="2"/>
  <c r="O391" i="2"/>
  <c r="L391" i="2"/>
  <c r="K391" i="2"/>
  <c r="J391" i="2"/>
  <c r="O390" i="2"/>
  <c r="L390" i="2"/>
  <c r="K390" i="2"/>
  <c r="J390" i="2"/>
  <c r="O389" i="2"/>
  <c r="L389" i="2"/>
  <c r="K389" i="2"/>
  <c r="J389" i="2"/>
  <c r="O388" i="2"/>
  <c r="L388" i="2"/>
  <c r="K388" i="2"/>
  <c r="J388" i="2"/>
  <c r="O387" i="2"/>
  <c r="L387" i="2"/>
  <c r="K387" i="2"/>
  <c r="J387" i="2"/>
  <c r="O386" i="2"/>
  <c r="L386" i="2"/>
  <c r="K386" i="2"/>
  <c r="J386" i="2"/>
  <c r="O385" i="2"/>
  <c r="L385" i="2"/>
  <c r="K385" i="2"/>
  <c r="J385" i="2"/>
  <c r="O384" i="2"/>
  <c r="L384" i="2"/>
  <c r="K384" i="2"/>
  <c r="J384" i="2"/>
  <c r="O383" i="2"/>
  <c r="L383" i="2"/>
  <c r="K383" i="2"/>
  <c r="J383" i="2"/>
  <c r="O382" i="2"/>
  <c r="L382" i="2"/>
  <c r="K382" i="2"/>
  <c r="J382" i="2"/>
  <c r="O381" i="2"/>
  <c r="L381" i="2"/>
  <c r="K381" i="2"/>
  <c r="J381" i="2"/>
  <c r="O380" i="2"/>
  <c r="L380" i="2"/>
  <c r="K380" i="2"/>
  <c r="J380" i="2"/>
  <c r="O379" i="2"/>
  <c r="L379" i="2"/>
  <c r="K379" i="2"/>
  <c r="J379" i="2"/>
  <c r="O378" i="2"/>
  <c r="L378" i="2"/>
  <c r="K378" i="2"/>
  <c r="J378" i="2"/>
  <c r="O377" i="2"/>
  <c r="L377" i="2"/>
  <c r="K377" i="2"/>
  <c r="J377" i="2"/>
  <c r="O376" i="2"/>
  <c r="L376" i="2"/>
  <c r="K376" i="2"/>
  <c r="J376" i="2"/>
  <c r="O375" i="2"/>
  <c r="L375" i="2"/>
  <c r="K375" i="2"/>
  <c r="J375" i="2"/>
  <c r="O374" i="2"/>
  <c r="L374" i="2"/>
  <c r="K374" i="2"/>
  <c r="J374" i="2"/>
  <c r="O373" i="2"/>
  <c r="L373" i="2"/>
  <c r="K373" i="2"/>
  <c r="J373" i="2"/>
  <c r="O372" i="2"/>
  <c r="L372" i="2"/>
  <c r="K372" i="2"/>
  <c r="J372" i="2"/>
  <c r="O371" i="2"/>
  <c r="L371" i="2"/>
  <c r="K371" i="2"/>
  <c r="J371" i="2"/>
  <c r="O370" i="2"/>
  <c r="L370" i="2"/>
  <c r="K370" i="2"/>
  <c r="J370" i="2"/>
  <c r="O369" i="2"/>
  <c r="L369" i="2"/>
  <c r="K369" i="2"/>
  <c r="J369" i="2"/>
  <c r="O368" i="2"/>
  <c r="L368" i="2"/>
  <c r="K368" i="2"/>
  <c r="J368" i="2"/>
  <c r="O367" i="2"/>
  <c r="L367" i="2"/>
  <c r="K367" i="2"/>
  <c r="J367" i="2"/>
  <c r="O366" i="2"/>
  <c r="L366" i="2"/>
  <c r="K366" i="2"/>
  <c r="J366" i="2"/>
  <c r="O365" i="2"/>
  <c r="L365" i="2"/>
  <c r="K365" i="2"/>
  <c r="J365" i="2"/>
  <c r="O364" i="2"/>
  <c r="L364" i="2"/>
  <c r="K364" i="2"/>
  <c r="J364" i="2"/>
  <c r="O363" i="2"/>
  <c r="L363" i="2"/>
  <c r="K363" i="2"/>
  <c r="J363" i="2"/>
  <c r="O362" i="2"/>
  <c r="L362" i="2"/>
  <c r="K362" i="2"/>
  <c r="J362" i="2"/>
  <c r="O361" i="2"/>
  <c r="L361" i="2"/>
  <c r="K361" i="2"/>
  <c r="J361" i="2"/>
  <c r="O360" i="2"/>
  <c r="L360" i="2"/>
  <c r="K360" i="2"/>
  <c r="J360" i="2"/>
  <c r="O359" i="2"/>
  <c r="L359" i="2"/>
  <c r="K359" i="2"/>
  <c r="J359" i="2"/>
  <c r="O358" i="2"/>
  <c r="L358" i="2"/>
  <c r="K358" i="2"/>
  <c r="J358" i="2"/>
  <c r="O357" i="2"/>
  <c r="L357" i="2"/>
  <c r="K357" i="2"/>
  <c r="J357" i="2"/>
  <c r="O356" i="2"/>
  <c r="L356" i="2"/>
  <c r="K356" i="2"/>
  <c r="J356" i="2"/>
  <c r="O355" i="2"/>
  <c r="L355" i="2"/>
  <c r="K355" i="2"/>
  <c r="J355" i="2"/>
  <c r="O354" i="2"/>
  <c r="L354" i="2"/>
  <c r="K354" i="2"/>
  <c r="J354" i="2"/>
  <c r="O353" i="2"/>
  <c r="L353" i="2"/>
  <c r="K353" i="2"/>
  <c r="J353" i="2"/>
  <c r="O352" i="2"/>
  <c r="L352" i="2"/>
  <c r="K352" i="2"/>
  <c r="J352" i="2"/>
  <c r="O351" i="2"/>
  <c r="L351" i="2"/>
  <c r="K351" i="2"/>
  <c r="J351" i="2"/>
  <c r="O350" i="2"/>
  <c r="L350" i="2"/>
  <c r="K350" i="2"/>
  <c r="J350" i="2"/>
  <c r="O349" i="2"/>
  <c r="L349" i="2"/>
  <c r="K349" i="2"/>
  <c r="J349" i="2"/>
  <c r="O348" i="2"/>
  <c r="L348" i="2"/>
  <c r="K348" i="2"/>
  <c r="J348" i="2"/>
  <c r="O347" i="2"/>
  <c r="L347" i="2"/>
  <c r="K347" i="2"/>
  <c r="J347" i="2"/>
  <c r="O346" i="2"/>
  <c r="L346" i="2"/>
  <c r="K346" i="2"/>
  <c r="J346" i="2"/>
  <c r="O345" i="2"/>
  <c r="L345" i="2"/>
  <c r="K345" i="2"/>
  <c r="J345" i="2"/>
  <c r="O344" i="2"/>
  <c r="L344" i="2"/>
  <c r="K344" i="2"/>
  <c r="J344" i="2"/>
  <c r="O343" i="2"/>
  <c r="L343" i="2"/>
  <c r="K343" i="2"/>
  <c r="J343" i="2"/>
  <c r="O342" i="2"/>
  <c r="L342" i="2"/>
  <c r="K342" i="2"/>
  <c r="J342" i="2"/>
  <c r="O341" i="2"/>
  <c r="L341" i="2"/>
  <c r="K341" i="2"/>
  <c r="J341" i="2"/>
  <c r="O340" i="2"/>
  <c r="L340" i="2"/>
  <c r="K340" i="2"/>
  <c r="J340" i="2"/>
  <c r="O339" i="2"/>
  <c r="L339" i="2"/>
  <c r="K339" i="2"/>
  <c r="J339" i="2"/>
  <c r="O338" i="2"/>
  <c r="L338" i="2"/>
  <c r="K338" i="2"/>
  <c r="J338" i="2"/>
  <c r="O337" i="2"/>
  <c r="L337" i="2"/>
  <c r="K337" i="2"/>
  <c r="J337" i="2"/>
  <c r="O336" i="2"/>
  <c r="L336" i="2"/>
  <c r="K336" i="2"/>
  <c r="J336" i="2"/>
  <c r="O335" i="2"/>
  <c r="L335" i="2"/>
  <c r="K335" i="2"/>
  <c r="J335" i="2"/>
  <c r="O334" i="2"/>
  <c r="L334" i="2"/>
  <c r="K334" i="2"/>
  <c r="J334" i="2"/>
  <c r="O333" i="2"/>
  <c r="L333" i="2"/>
  <c r="K333" i="2"/>
  <c r="J333" i="2"/>
  <c r="O332" i="2"/>
  <c r="L332" i="2"/>
  <c r="K332" i="2"/>
  <c r="J332" i="2"/>
  <c r="O331" i="2"/>
  <c r="L331" i="2"/>
  <c r="K331" i="2"/>
  <c r="J331" i="2"/>
  <c r="O330" i="2"/>
  <c r="L330" i="2"/>
  <c r="K330" i="2"/>
  <c r="J330" i="2"/>
  <c r="O329" i="2"/>
  <c r="L329" i="2"/>
  <c r="K329" i="2"/>
  <c r="J329" i="2"/>
  <c r="O328" i="2"/>
  <c r="L328" i="2"/>
  <c r="K328" i="2"/>
  <c r="J328" i="2"/>
  <c r="O327" i="2"/>
  <c r="L327" i="2"/>
  <c r="K327" i="2"/>
  <c r="J327" i="2"/>
  <c r="O326" i="2"/>
  <c r="L326" i="2"/>
  <c r="K326" i="2"/>
  <c r="J326" i="2"/>
  <c r="O325" i="2"/>
  <c r="L325" i="2"/>
  <c r="K325" i="2"/>
  <c r="J325" i="2"/>
  <c r="O324" i="2"/>
  <c r="L324" i="2"/>
  <c r="K324" i="2"/>
  <c r="J324" i="2"/>
  <c r="O323" i="2"/>
  <c r="L323" i="2"/>
  <c r="K323" i="2"/>
  <c r="J323" i="2"/>
  <c r="O322" i="2"/>
  <c r="L322" i="2"/>
  <c r="K322" i="2"/>
  <c r="J322" i="2"/>
  <c r="O321" i="2"/>
  <c r="L321" i="2"/>
  <c r="K321" i="2"/>
  <c r="J321" i="2"/>
  <c r="O320" i="2"/>
  <c r="L320" i="2"/>
  <c r="K320" i="2"/>
  <c r="J320" i="2"/>
  <c r="O319" i="2"/>
  <c r="L319" i="2"/>
  <c r="K319" i="2"/>
  <c r="J319" i="2"/>
  <c r="O318" i="2"/>
  <c r="L318" i="2"/>
  <c r="K318" i="2"/>
  <c r="J318" i="2"/>
  <c r="O317" i="2"/>
  <c r="L317" i="2"/>
  <c r="K317" i="2"/>
  <c r="J317" i="2"/>
  <c r="O316" i="2"/>
  <c r="L316" i="2"/>
  <c r="K316" i="2"/>
  <c r="J316" i="2"/>
  <c r="O315" i="2"/>
  <c r="L315" i="2"/>
  <c r="K315" i="2"/>
  <c r="J315" i="2"/>
  <c r="O314" i="2"/>
  <c r="L314" i="2"/>
  <c r="K314" i="2"/>
  <c r="J314" i="2"/>
  <c r="O313" i="2"/>
  <c r="L313" i="2"/>
  <c r="K313" i="2"/>
  <c r="J313" i="2"/>
  <c r="O312" i="2"/>
  <c r="L312" i="2"/>
  <c r="K312" i="2"/>
  <c r="J312" i="2"/>
  <c r="O311" i="2"/>
  <c r="L311" i="2"/>
  <c r="K311" i="2"/>
  <c r="J311" i="2"/>
  <c r="O310" i="2"/>
  <c r="L310" i="2"/>
  <c r="K310" i="2"/>
  <c r="J310" i="2"/>
  <c r="O309" i="2"/>
  <c r="L309" i="2"/>
  <c r="K309" i="2"/>
  <c r="J309" i="2"/>
  <c r="O308" i="2"/>
  <c r="L308" i="2"/>
  <c r="K308" i="2"/>
  <c r="J308" i="2"/>
  <c r="O307" i="2"/>
  <c r="L307" i="2"/>
  <c r="K307" i="2"/>
  <c r="J307" i="2"/>
  <c r="O306" i="2"/>
  <c r="L306" i="2"/>
  <c r="K306" i="2"/>
  <c r="J306" i="2"/>
  <c r="O305" i="2"/>
  <c r="L305" i="2"/>
  <c r="K305" i="2"/>
  <c r="J305" i="2"/>
  <c r="O304" i="2"/>
  <c r="L304" i="2"/>
  <c r="K304" i="2"/>
  <c r="J304" i="2"/>
  <c r="O303" i="2"/>
  <c r="L303" i="2"/>
  <c r="K303" i="2"/>
  <c r="J303" i="2"/>
  <c r="O302" i="2"/>
  <c r="L302" i="2"/>
  <c r="K302" i="2"/>
  <c r="J302" i="2"/>
  <c r="O301" i="2"/>
  <c r="L301" i="2"/>
  <c r="K301" i="2"/>
  <c r="J301" i="2"/>
  <c r="O300" i="2"/>
  <c r="L300" i="2"/>
  <c r="K300" i="2"/>
  <c r="J300" i="2"/>
  <c r="O299" i="2"/>
  <c r="L299" i="2"/>
  <c r="K299" i="2"/>
  <c r="J299" i="2"/>
  <c r="O298" i="2"/>
  <c r="L298" i="2"/>
  <c r="K298" i="2"/>
  <c r="J298" i="2"/>
  <c r="O297" i="2"/>
  <c r="L297" i="2"/>
  <c r="K297" i="2"/>
  <c r="J297" i="2"/>
  <c r="O296" i="2"/>
  <c r="L296" i="2"/>
  <c r="K296" i="2"/>
  <c r="J296" i="2"/>
  <c r="O295" i="2"/>
  <c r="L295" i="2"/>
  <c r="K295" i="2"/>
  <c r="J295" i="2"/>
  <c r="O294" i="2"/>
  <c r="L294" i="2"/>
  <c r="K294" i="2"/>
  <c r="J294" i="2"/>
  <c r="O293" i="2"/>
  <c r="L293" i="2"/>
  <c r="K293" i="2"/>
  <c r="J293" i="2"/>
  <c r="O292" i="2"/>
  <c r="L292" i="2"/>
  <c r="K292" i="2"/>
  <c r="J292" i="2"/>
  <c r="O291" i="2"/>
  <c r="L291" i="2"/>
  <c r="K291" i="2"/>
  <c r="J291" i="2"/>
  <c r="O290" i="2"/>
  <c r="L290" i="2"/>
  <c r="K290" i="2"/>
  <c r="J290" i="2"/>
  <c r="O289" i="2"/>
  <c r="L289" i="2"/>
  <c r="K289" i="2"/>
  <c r="J289" i="2"/>
  <c r="O288" i="2"/>
  <c r="L288" i="2"/>
  <c r="K288" i="2"/>
  <c r="J288" i="2"/>
  <c r="O287" i="2"/>
  <c r="L287" i="2"/>
  <c r="K287" i="2"/>
  <c r="J287" i="2"/>
  <c r="O286" i="2"/>
  <c r="L286" i="2"/>
  <c r="K286" i="2"/>
  <c r="J286" i="2"/>
  <c r="O285" i="2"/>
  <c r="L285" i="2"/>
  <c r="K285" i="2"/>
  <c r="J285" i="2"/>
  <c r="O284" i="2"/>
  <c r="L284" i="2"/>
  <c r="K284" i="2"/>
  <c r="J284" i="2"/>
  <c r="O283" i="2"/>
  <c r="L283" i="2"/>
  <c r="K283" i="2"/>
  <c r="J283" i="2"/>
  <c r="O282" i="2"/>
  <c r="L282" i="2"/>
  <c r="K282" i="2"/>
  <c r="J282" i="2"/>
  <c r="O281" i="2"/>
  <c r="L281" i="2"/>
  <c r="K281" i="2"/>
  <c r="J281" i="2"/>
  <c r="O280" i="2"/>
  <c r="L280" i="2"/>
  <c r="K280" i="2"/>
  <c r="J280" i="2"/>
  <c r="O279" i="2"/>
  <c r="L279" i="2"/>
  <c r="K279" i="2"/>
  <c r="J279" i="2"/>
  <c r="O278" i="2"/>
  <c r="L278" i="2"/>
  <c r="K278" i="2"/>
  <c r="J278" i="2"/>
  <c r="O277" i="2"/>
  <c r="L277" i="2"/>
  <c r="K277" i="2"/>
  <c r="J277" i="2"/>
  <c r="O276" i="2"/>
  <c r="L276" i="2"/>
  <c r="K276" i="2"/>
  <c r="J276" i="2"/>
  <c r="O275" i="2"/>
  <c r="L275" i="2"/>
  <c r="K275" i="2"/>
  <c r="J275" i="2"/>
  <c r="O274" i="2"/>
  <c r="L274" i="2"/>
  <c r="K274" i="2"/>
  <c r="J274" i="2"/>
  <c r="O273" i="2"/>
  <c r="L273" i="2"/>
  <c r="K273" i="2"/>
  <c r="J273" i="2"/>
  <c r="O272" i="2"/>
  <c r="L272" i="2"/>
  <c r="K272" i="2"/>
  <c r="J272" i="2"/>
  <c r="O271" i="2"/>
  <c r="L271" i="2"/>
  <c r="K271" i="2"/>
  <c r="J271" i="2"/>
  <c r="O270" i="2"/>
  <c r="L270" i="2"/>
  <c r="K270" i="2"/>
  <c r="J270" i="2"/>
  <c r="O269" i="2"/>
  <c r="L269" i="2"/>
  <c r="K269" i="2"/>
  <c r="J269" i="2"/>
  <c r="O268" i="2"/>
  <c r="L268" i="2"/>
  <c r="K268" i="2"/>
  <c r="J268" i="2"/>
  <c r="O267" i="2"/>
  <c r="L267" i="2"/>
  <c r="K267" i="2"/>
  <c r="J267" i="2"/>
  <c r="O266" i="2"/>
  <c r="L266" i="2"/>
  <c r="K266" i="2"/>
  <c r="J266" i="2"/>
  <c r="O265" i="2"/>
  <c r="L265" i="2"/>
  <c r="K265" i="2"/>
  <c r="J265" i="2"/>
  <c r="O264" i="2"/>
  <c r="L264" i="2"/>
  <c r="K264" i="2"/>
  <c r="J264" i="2"/>
  <c r="O263" i="2"/>
  <c r="L263" i="2"/>
  <c r="K263" i="2"/>
  <c r="J263" i="2"/>
  <c r="O262" i="2"/>
  <c r="L262" i="2"/>
  <c r="K262" i="2"/>
  <c r="J262" i="2"/>
  <c r="O261" i="2"/>
  <c r="L261" i="2"/>
  <c r="K261" i="2"/>
  <c r="J261" i="2"/>
  <c r="O260" i="2"/>
  <c r="L260" i="2"/>
  <c r="K260" i="2"/>
  <c r="J260" i="2"/>
  <c r="O259" i="2"/>
  <c r="L259" i="2"/>
  <c r="K259" i="2"/>
  <c r="J259" i="2"/>
  <c r="O258" i="2"/>
  <c r="L258" i="2"/>
  <c r="K258" i="2"/>
  <c r="J258" i="2"/>
  <c r="O257" i="2"/>
  <c r="L257" i="2"/>
  <c r="K257" i="2"/>
  <c r="J257" i="2"/>
  <c r="O256" i="2"/>
  <c r="L256" i="2"/>
  <c r="K256" i="2"/>
  <c r="J256" i="2"/>
  <c r="O255" i="2"/>
  <c r="L255" i="2"/>
  <c r="K255" i="2"/>
  <c r="J255" i="2"/>
  <c r="O254" i="2"/>
  <c r="L254" i="2"/>
  <c r="K254" i="2"/>
  <c r="J254" i="2"/>
  <c r="O253" i="2"/>
  <c r="L253" i="2"/>
  <c r="K253" i="2"/>
  <c r="J253" i="2"/>
  <c r="O252" i="2"/>
  <c r="L252" i="2"/>
  <c r="K252" i="2"/>
  <c r="J252" i="2"/>
  <c r="O251" i="2"/>
  <c r="L251" i="2"/>
  <c r="K251" i="2"/>
  <c r="J251" i="2"/>
  <c r="O250" i="2"/>
  <c r="L250" i="2"/>
  <c r="K250" i="2"/>
  <c r="J250" i="2"/>
  <c r="O249" i="2"/>
  <c r="L249" i="2"/>
  <c r="K249" i="2"/>
  <c r="J249" i="2"/>
  <c r="O248" i="2"/>
  <c r="L248" i="2"/>
  <c r="K248" i="2"/>
  <c r="J248" i="2"/>
  <c r="O247" i="2"/>
  <c r="L247" i="2"/>
  <c r="K247" i="2"/>
  <c r="J247" i="2"/>
  <c r="O246" i="2"/>
  <c r="L246" i="2"/>
  <c r="K246" i="2"/>
  <c r="J246" i="2"/>
  <c r="O245" i="2"/>
  <c r="L245" i="2"/>
  <c r="K245" i="2"/>
  <c r="J245" i="2"/>
  <c r="O244" i="2"/>
  <c r="L244" i="2"/>
  <c r="K244" i="2"/>
  <c r="J244" i="2"/>
  <c r="O243" i="2"/>
  <c r="L243" i="2"/>
  <c r="K243" i="2"/>
  <c r="J243" i="2"/>
  <c r="O242" i="2"/>
  <c r="L242" i="2"/>
  <c r="K242" i="2"/>
  <c r="J242" i="2"/>
  <c r="O241" i="2"/>
  <c r="L241" i="2"/>
  <c r="K241" i="2"/>
  <c r="J241" i="2"/>
  <c r="O240" i="2"/>
  <c r="L240" i="2"/>
  <c r="K240" i="2"/>
  <c r="J240" i="2"/>
  <c r="O239" i="2"/>
  <c r="L239" i="2"/>
  <c r="K239" i="2"/>
  <c r="J239" i="2"/>
  <c r="O238" i="2"/>
  <c r="L238" i="2"/>
  <c r="K238" i="2"/>
  <c r="J238" i="2"/>
  <c r="O237" i="2"/>
  <c r="L237" i="2"/>
  <c r="K237" i="2"/>
  <c r="J237" i="2"/>
  <c r="O236" i="2"/>
  <c r="L236" i="2"/>
  <c r="K236" i="2"/>
  <c r="J236" i="2"/>
  <c r="O235" i="2"/>
  <c r="L235" i="2"/>
  <c r="K235" i="2"/>
  <c r="J235" i="2"/>
  <c r="O234" i="2"/>
  <c r="L234" i="2"/>
  <c r="K234" i="2"/>
  <c r="J234" i="2"/>
  <c r="O233" i="2"/>
  <c r="L233" i="2"/>
  <c r="K233" i="2"/>
  <c r="J233" i="2"/>
  <c r="O232" i="2"/>
  <c r="L232" i="2"/>
  <c r="K232" i="2"/>
  <c r="J232" i="2"/>
  <c r="O231" i="2"/>
  <c r="L231" i="2"/>
  <c r="K231" i="2"/>
  <c r="J231" i="2"/>
  <c r="O230" i="2"/>
  <c r="L230" i="2"/>
  <c r="K230" i="2"/>
  <c r="J230" i="2"/>
  <c r="O229" i="2"/>
  <c r="L229" i="2"/>
  <c r="K229" i="2"/>
  <c r="J229" i="2"/>
  <c r="O228" i="2"/>
  <c r="L228" i="2"/>
  <c r="K228" i="2"/>
  <c r="J228" i="2"/>
  <c r="O227" i="2"/>
  <c r="L227" i="2"/>
  <c r="K227" i="2"/>
  <c r="J227" i="2"/>
  <c r="O226" i="2"/>
  <c r="L226" i="2"/>
  <c r="K226" i="2"/>
  <c r="J226" i="2"/>
  <c r="O225" i="2"/>
  <c r="L225" i="2"/>
  <c r="K225" i="2"/>
  <c r="J225" i="2"/>
  <c r="O224" i="2"/>
  <c r="L224" i="2"/>
  <c r="K224" i="2"/>
  <c r="J224" i="2"/>
  <c r="O223" i="2"/>
  <c r="L223" i="2"/>
  <c r="K223" i="2"/>
  <c r="J223" i="2"/>
  <c r="O222" i="2"/>
  <c r="L222" i="2"/>
  <c r="K222" i="2"/>
  <c r="J222" i="2"/>
  <c r="O221" i="2"/>
  <c r="L221" i="2"/>
  <c r="K221" i="2"/>
  <c r="J221" i="2"/>
  <c r="O220" i="2"/>
  <c r="L220" i="2"/>
  <c r="K220" i="2"/>
  <c r="J220" i="2"/>
  <c r="O219" i="2"/>
  <c r="L219" i="2"/>
  <c r="K219" i="2"/>
  <c r="J219" i="2"/>
  <c r="O218" i="2"/>
  <c r="L218" i="2"/>
  <c r="K218" i="2"/>
  <c r="J218" i="2"/>
  <c r="O217" i="2"/>
  <c r="L217" i="2"/>
  <c r="K217" i="2"/>
  <c r="J217" i="2"/>
  <c r="O216" i="2"/>
  <c r="L216" i="2"/>
  <c r="K216" i="2"/>
  <c r="J216" i="2"/>
  <c r="O215" i="2"/>
  <c r="L215" i="2"/>
  <c r="K215" i="2"/>
  <c r="J215" i="2"/>
  <c r="O214" i="2"/>
  <c r="L214" i="2"/>
  <c r="K214" i="2"/>
  <c r="J214" i="2"/>
  <c r="O213" i="2"/>
  <c r="L213" i="2"/>
  <c r="K213" i="2"/>
  <c r="J213" i="2"/>
  <c r="O212" i="2"/>
  <c r="L212" i="2"/>
  <c r="K212" i="2"/>
  <c r="J212" i="2"/>
  <c r="O211" i="2"/>
  <c r="L211" i="2"/>
  <c r="K211" i="2"/>
  <c r="J211" i="2"/>
  <c r="O210" i="2"/>
  <c r="L210" i="2"/>
  <c r="K210" i="2"/>
  <c r="J210" i="2"/>
  <c r="O209" i="2"/>
  <c r="L209" i="2"/>
  <c r="K209" i="2"/>
  <c r="J209" i="2"/>
  <c r="O208" i="2"/>
  <c r="L208" i="2"/>
  <c r="K208" i="2"/>
  <c r="J208" i="2"/>
  <c r="O207" i="2"/>
  <c r="L207" i="2"/>
  <c r="K207" i="2"/>
  <c r="J207" i="2"/>
  <c r="O206" i="2"/>
  <c r="L206" i="2"/>
  <c r="K206" i="2"/>
  <c r="J206" i="2"/>
  <c r="O205" i="2"/>
  <c r="L205" i="2"/>
  <c r="K205" i="2"/>
  <c r="J205" i="2"/>
  <c r="O204" i="2"/>
  <c r="L204" i="2"/>
  <c r="K204" i="2"/>
  <c r="J204" i="2"/>
  <c r="O203" i="2"/>
  <c r="L203" i="2"/>
  <c r="K203" i="2"/>
  <c r="J203" i="2"/>
  <c r="O202" i="2"/>
  <c r="L202" i="2"/>
  <c r="K202" i="2"/>
  <c r="J202" i="2"/>
  <c r="O201" i="2"/>
  <c r="L201" i="2"/>
  <c r="K201" i="2"/>
  <c r="J201" i="2"/>
  <c r="O200" i="2"/>
  <c r="L200" i="2"/>
  <c r="K200" i="2"/>
  <c r="J200" i="2"/>
  <c r="O199" i="2"/>
  <c r="L199" i="2"/>
  <c r="K199" i="2"/>
  <c r="J199" i="2"/>
  <c r="O198" i="2"/>
  <c r="L198" i="2"/>
  <c r="K198" i="2"/>
  <c r="J198" i="2"/>
  <c r="O197" i="2"/>
  <c r="L197" i="2"/>
  <c r="K197" i="2"/>
  <c r="J197" i="2"/>
  <c r="O196" i="2"/>
  <c r="L196" i="2"/>
  <c r="K196" i="2"/>
  <c r="J196" i="2"/>
  <c r="O195" i="2"/>
  <c r="L195" i="2"/>
  <c r="K195" i="2"/>
  <c r="J195" i="2"/>
  <c r="O194" i="2"/>
  <c r="L194" i="2"/>
  <c r="K194" i="2"/>
  <c r="J194" i="2"/>
  <c r="O193" i="2"/>
  <c r="L193" i="2"/>
  <c r="K193" i="2"/>
  <c r="J193" i="2"/>
  <c r="O192" i="2"/>
  <c r="L192" i="2"/>
  <c r="K192" i="2"/>
  <c r="J192" i="2"/>
  <c r="O191" i="2"/>
  <c r="L191" i="2"/>
  <c r="K191" i="2"/>
  <c r="J191" i="2"/>
  <c r="O190" i="2"/>
  <c r="L190" i="2"/>
  <c r="K190" i="2"/>
  <c r="J190" i="2"/>
  <c r="O189" i="2"/>
  <c r="L189" i="2"/>
  <c r="K189" i="2"/>
  <c r="J189" i="2"/>
  <c r="O188" i="2"/>
  <c r="L188" i="2"/>
  <c r="K188" i="2"/>
  <c r="J188" i="2"/>
  <c r="O187" i="2"/>
  <c r="L187" i="2"/>
  <c r="K187" i="2"/>
  <c r="J187" i="2"/>
  <c r="O186" i="2"/>
  <c r="L186" i="2"/>
  <c r="K186" i="2"/>
  <c r="J186" i="2"/>
  <c r="O185" i="2"/>
  <c r="L185" i="2"/>
  <c r="K185" i="2"/>
  <c r="J185" i="2"/>
  <c r="O184" i="2"/>
  <c r="L184" i="2"/>
  <c r="K184" i="2"/>
  <c r="J184" i="2"/>
  <c r="O183" i="2"/>
  <c r="L183" i="2"/>
  <c r="K183" i="2"/>
  <c r="J183" i="2"/>
  <c r="O182" i="2"/>
  <c r="L182" i="2"/>
  <c r="K182" i="2"/>
  <c r="J182" i="2"/>
  <c r="O181" i="2"/>
  <c r="L181" i="2"/>
  <c r="K181" i="2"/>
  <c r="J181" i="2"/>
  <c r="O180" i="2"/>
  <c r="L180" i="2"/>
  <c r="K180" i="2"/>
  <c r="J180" i="2"/>
  <c r="O179" i="2"/>
  <c r="L179" i="2"/>
  <c r="K179" i="2"/>
  <c r="J179" i="2"/>
  <c r="O178" i="2"/>
  <c r="L178" i="2"/>
  <c r="K178" i="2"/>
  <c r="J178" i="2"/>
  <c r="O177" i="2"/>
  <c r="L177" i="2"/>
  <c r="K177" i="2"/>
  <c r="J177" i="2"/>
  <c r="O176" i="2"/>
  <c r="L176" i="2"/>
  <c r="K176" i="2"/>
  <c r="J176" i="2"/>
  <c r="O175" i="2"/>
  <c r="L175" i="2"/>
  <c r="K175" i="2"/>
  <c r="J175" i="2"/>
  <c r="O174" i="2"/>
  <c r="L174" i="2"/>
  <c r="K174" i="2"/>
  <c r="J174" i="2"/>
  <c r="O173" i="2"/>
  <c r="L173" i="2"/>
  <c r="K173" i="2"/>
  <c r="J173" i="2"/>
  <c r="O172" i="2"/>
  <c r="L172" i="2"/>
  <c r="K172" i="2"/>
  <c r="J172" i="2"/>
  <c r="O171" i="2"/>
  <c r="L171" i="2"/>
  <c r="K171" i="2"/>
  <c r="J171" i="2"/>
  <c r="O170" i="2"/>
  <c r="L170" i="2"/>
  <c r="K170" i="2"/>
  <c r="J170" i="2"/>
  <c r="O169" i="2"/>
  <c r="L169" i="2"/>
  <c r="K169" i="2"/>
  <c r="J169" i="2"/>
  <c r="O168" i="2"/>
  <c r="L168" i="2"/>
  <c r="K168" i="2"/>
  <c r="J168" i="2"/>
  <c r="O167" i="2"/>
  <c r="L167" i="2"/>
  <c r="K167" i="2"/>
  <c r="J167" i="2"/>
  <c r="O166" i="2"/>
  <c r="L166" i="2"/>
  <c r="K166" i="2"/>
  <c r="J166" i="2"/>
  <c r="O165" i="2"/>
  <c r="L165" i="2"/>
  <c r="K165" i="2"/>
  <c r="J165" i="2"/>
  <c r="O164" i="2"/>
  <c r="L164" i="2"/>
  <c r="K164" i="2"/>
  <c r="J164" i="2"/>
  <c r="O163" i="2"/>
  <c r="L163" i="2"/>
  <c r="K163" i="2"/>
  <c r="J163" i="2"/>
  <c r="O162" i="2"/>
  <c r="L162" i="2"/>
  <c r="K162" i="2"/>
  <c r="J162" i="2"/>
  <c r="O161" i="2"/>
  <c r="L161" i="2"/>
  <c r="K161" i="2"/>
  <c r="O160" i="2"/>
  <c r="L160" i="2"/>
  <c r="K160" i="2"/>
  <c r="O159" i="2"/>
  <c r="L159" i="2"/>
  <c r="K159" i="2"/>
  <c r="O158" i="2"/>
  <c r="L158" i="2"/>
  <c r="K158" i="2"/>
  <c r="O157" i="2"/>
  <c r="L157" i="2"/>
  <c r="K157" i="2"/>
  <c r="O156" i="2"/>
  <c r="L156" i="2"/>
  <c r="K156" i="2"/>
  <c r="O155" i="2"/>
  <c r="L155" i="2"/>
  <c r="K155" i="2"/>
  <c r="O154" i="2"/>
  <c r="L154" i="2"/>
  <c r="K154" i="2"/>
  <c r="O153" i="2"/>
  <c r="L153" i="2"/>
  <c r="K153" i="2"/>
  <c r="J153" i="2"/>
  <c r="O152" i="2"/>
  <c r="L152" i="2"/>
  <c r="K152" i="2"/>
  <c r="J152" i="2"/>
  <c r="O151" i="2"/>
  <c r="L151" i="2"/>
  <c r="K151" i="2"/>
  <c r="J151" i="2"/>
  <c r="O150" i="2"/>
  <c r="L150" i="2"/>
  <c r="K150" i="2"/>
  <c r="J150" i="2"/>
  <c r="O149" i="2"/>
  <c r="L149" i="2"/>
  <c r="K149" i="2"/>
  <c r="O148" i="2"/>
  <c r="L148" i="2"/>
  <c r="K148" i="2"/>
  <c r="O147" i="2"/>
  <c r="L147" i="2"/>
  <c r="K147" i="2"/>
  <c r="O146" i="2"/>
  <c r="L146" i="2"/>
  <c r="K146" i="2"/>
  <c r="O145" i="2"/>
  <c r="L145" i="2"/>
  <c r="K145" i="2"/>
  <c r="O144" i="2"/>
  <c r="L144" i="2"/>
  <c r="K144" i="2"/>
  <c r="O143" i="2"/>
  <c r="L143" i="2"/>
  <c r="K143" i="2"/>
  <c r="O142" i="2"/>
  <c r="L142" i="2"/>
  <c r="K142" i="2"/>
  <c r="O141" i="2"/>
  <c r="L141" i="2"/>
  <c r="K141" i="2"/>
  <c r="J141" i="2"/>
  <c r="O140" i="2"/>
  <c r="L140" i="2"/>
  <c r="K140" i="2"/>
  <c r="J140" i="2"/>
  <c r="O139" i="2"/>
  <c r="L139" i="2"/>
  <c r="K139" i="2"/>
  <c r="J139" i="2"/>
  <c r="O138" i="2"/>
  <c r="L138" i="2"/>
  <c r="K138" i="2"/>
  <c r="J138" i="2"/>
  <c r="O137" i="2"/>
  <c r="L137" i="2"/>
  <c r="K137" i="2"/>
  <c r="O136" i="2"/>
  <c r="L136" i="2"/>
  <c r="K136" i="2"/>
  <c r="O135" i="2"/>
  <c r="L135" i="2"/>
  <c r="K135" i="2"/>
  <c r="O134" i="2"/>
  <c r="L134" i="2"/>
  <c r="K134" i="2"/>
  <c r="O133" i="2"/>
  <c r="L133" i="2"/>
  <c r="K133" i="2"/>
  <c r="O132" i="2"/>
  <c r="L132" i="2"/>
  <c r="K132" i="2"/>
  <c r="O131" i="2"/>
  <c r="L131" i="2"/>
  <c r="K131" i="2"/>
  <c r="O130" i="2"/>
  <c r="L130" i="2"/>
  <c r="K130" i="2"/>
  <c r="O129" i="2"/>
  <c r="L129" i="2"/>
  <c r="K129" i="2"/>
  <c r="O128" i="2"/>
  <c r="L128" i="2"/>
  <c r="K128" i="2"/>
  <c r="O127" i="2"/>
  <c r="L127" i="2"/>
  <c r="K127" i="2"/>
  <c r="O126" i="2"/>
  <c r="L126" i="2"/>
  <c r="K126" i="2"/>
  <c r="O125" i="2"/>
  <c r="L125" i="2"/>
  <c r="K125" i="2"/>
  <c r="J125" i="2"/>
  <c r="O124" i="2"/>
  <c r="L124" i="2"/>
  <c r="K124" i="2"/>
  <c r="J124" i="2"/>
  <c r="O123" i="2"/>
  <c r="L123" i="2"/>
  <c r="K123" i="2"/>
  <c r="J123" i="2"/>
  <c r="O122" i="2"/>
  <c r="L122" i="2"/>
  <c r="K122" i="2"/>
  <c r="J122" i="2"/>
  <c r="O121" i="2"/>
  <c r="L121" i="2"/>
  <c r="K121" i="2"/>
  <c r="O120" i="2"/>
  <c r="L120" i="2"/>
  <c r="K120" i="2"/>
  <c r="O119" i="2"/>
  <c r="L119" i="2"/>
  <c r="K119" i="2"/>
  <c r="O118" i="2"/>
  <c r="L118" i="2"/>
  <c r="K118" i="2"/>
  <c r="O117" i="2"/>
  <c r="L117" i="2"/>
  <c r="K117" i="2"/>
  <c r="O116" i="2"/>
  <c r="L116" i="2"/>
  <c r="K116" i="2"/>
  <c r="O115" i="2"/>
  <c r="L115" i="2"/>
  <c r="K115" i="2"/>
  <c r="O114" i="2"/>
  <c r="L114" i="2"/>
  <c r="K114" i="2"/>
  <c r="O113" i="2"/>
  <c r="L113" i="2"/>
  <c r="K113" i="2"/>
  <c r="O112" i="2"/>
  <c r="L112" i="2"/>
  <c r="K112" i="2"/>
  <c r="O111" i="2"/>
  <c r="L111" i="2"/>
  <c r="K111" i="2"/>
  <c r="J111" i="2"/>
  <c r="O110" i="2"/>
  <c r="L110" i="2"/>
  <c r="K110" i="2"/>
  <c r="J110" i="2"/>
  <c r="O109" i="2"/>
  <c r="L109" i="2"/>
  <c r="K109" i="2"/>
  <c r="J109" i="2"/>
  <c r="O108" i="2"/>
  <c r="L108" i="2"/>
  <c r="K108" i="2"/>
  <c r="J108" i="2"/>
  <c r="O107" i="2"/>
  <c r="L107" i="2"/>
  <c r="K107" i="2"/>
  <c r="O106" i="2"/>
  <c r="L106" i="2"/>
  <c r="K106" i="2"/>
  <c r="O105" i="2"/>
  <c r="L105" i="2"/>
  <c r="K105" i="2"/>
  <c r="J105" i="2"/>
  <c r="O104" i="2"/>
  <c r="L104" i="2"/>
  <c r="K104" i="2"/>
  <c r="J104" i="2"/>
  <c r="O103" i="2"/>
  <c r="L103" i="2"/>
  <c r="K103" i="2"/>
  <c r="O102" i="2"/>
  <c r="L102" i="2"/>
  <c r="K102" i="2"/>
  <c r="O101" i="2"/>
  <c r="L101" i="2"/>
  <c r="K101" i="2"/>
  <c r="O100" i="2"/>
  <c r="L100" i="2"/>
  <c r="K100" i="2"/>
  <c r="O99" i="2"/>
  <c r="L99" i="2"/>
  <c r="K99" i="2"/>
  <c r="O98" i="2"/>
  <c r="L98" i="2"/>
  <c r="K98" i="2"/>
  <c r="O97" i="2"/>
  <c r="L97" i="2"/>
  <c r="K97" i="2"/>
  <c r="O96" i="2"/>
  <c r="L96" i="2"/>
  <c r="K96" i="2"/>
  <c r="O95" i="2"/>
  <c r="L95" i="2"/>
  <c r="K95" i="2"/>
  <c r="O94" i="2"/>
  <c r="L94" i="2"/>
  <c r="K94" i="2"/>
  <c r="J94" i="2"/>
  <c r="O93" i="2"/>
  <c r="L93" i="2"/>
  <c r="K93" i="2"/>
  <c r="J93" i="2"/>
  <c r="O92" i="2"/>
  <c r="L92" i="2"/>
  <c r="K92" i="2"/>
  <c r="J92" i="2"/>
  <c r="O91" i="2"/>
  <c r="L91" i="2"/>
  <c r="K91" i="2"/>
  <c r="J91" i="2"/>
  <c r="O90" i="2"/>
  <c r="L90" i="2"/>
  <c r="K90" i="2"/>
  <c r="O89" i="2"/>
  <c r="L89" i="2"/>
  <c r="K89" i="2"/>
  <c r="O88" i="2"/>
  <c r="L88" i="2"/>
  <c r="K88" i="2"/>
  <c r="O87" i="2"/>
  <c r="L87" i="2"/>
  <c r="K87" i="2"/>
  <c r="O86" i="2"/>
  <c r="L86" i="2"/>
  <c r="K86" i="2"/>
  <c r="O85" i="2"/>
  <c r="L85" i="2"/>
  <c r="K85" i="2"/>
  <c r="O84" i="2"/>
  <c r="L84" i="2"/>
  <c r="K84" i="2"/>
  <c r="J84" i="2"/>
  <c r="O83" i="2"/>
  <c r="L83" i="2"/>
  <c r="K83" i="2"/>
  <c r="J83" i="2"/>
  <c r="O82" i="2"/>
  <c r="N82" i="2"/>
  <c r="L82" i="2"/>
  <c r="K82" i="2"/>
  <c r="J82" i="2"/>
  <c r="O81" i="2"/>
  <c r="L81" i="2"/>
  <c r="K81" i="2"/>
  <c r="J81" i="2"/>
  <c r="O80" i="2"/>
  <c r="L80" i="2"/>
  <c r="K80" i="2"/>
  <c r="O79" i="2"/>
  <c r="N79" i="2"/>
  <c r="L79" i="2"/>
  <c r="K79" i="2"/>
  <c r="O78" i="2"/>
  <c r="L78" i="2"/>
  <c r="K78" i="2"/>
  <c r="O77" i="2"/>
  <c r="L77" i="2"/>
  <c r="K77" i="2"/>
  <c r="O76" i="2"/>
  <c r="L76" i="2"/>
  <c r="K76" i="2"/>
  <c r="O75" i="2"/>
  <c r="L75" i="2"/>
  <c r="K75" i="2"/>
  <c r="O74" i="2"/>
  <c r="N74" i="2"/>
  <c r="L74" i="2"/>
  <c r="K74" i="2"/>
  <c r="O73" i="2"/>
  <c r="L73" i="2"/>
  <c r="K73" i="2"/>
  <c r="J73" i="2"/>
  <c r="O72" i="2"/>
  <c r="L72" i="2"/>
  <c r="K72" i="2"/>
  <c r="J72" i="2"/>
  <c r="O71" i="2"/>
  <c r="L71" i="2"/>
  <c r="K71" i="2"/>
  <c r="O70" i="2"/>
  <c r="L70" i="2"/>
  <c r="K70" i="2"/>
  <c r="O69" i="2"/>
  <c r="L69" i="2"/>
  <c r="K69" i="2"/>
  <c r="O68" i="2"/>
  <c r="L68" i="2"/>
  <c r="K68" i="2"/>
  <c r="O67" i="2"/>
  <c r="L67" i="2"/>
  <c r="K67" i="2"/>
  <c r="O66" i="2"/>
  <c r="N66" i="2"/>
  <c r="M66" i="2"/>
  <c r="L66" i="2"/>
  <c r="K66" i="2"/>
  <c r="O65" i="2"/>
  <c r="L65" i="2"/>
  <c r="K65" i="2"/>
  <c r="O64" i="2"/>
  <c r="L64" i="2"/>
  <c r="K64" i="2"/>
  <c r="J64" i="2"/>
  <c r="O63" i="2"/>
  <c r="N63" i="2"/>
  <c r="L63" i="2"/>
  <c r="K63" i="2"/>
  <c r="J63" i="2"/>
  <c r="O62" i="2"/>
  <c r="L62" i="2"/>
  <c r="K62" i="2"/>
  <c r="J62" i="2"/>
  <c r="O61" i="2"/>
  <c r="L61" i="2"/>
  <c r="K61" i="2"/>
  <c r="J61" i="2"/>
  <c r="O60" i="2"/>
  <c r="L60" i="2"/>
  <c r="K60" i="2"/>
  <c r="O59" i="2"/>
  <c r="L59" i="2"/>
  <c r="K59" i="2"/>
  <c r="O58" i="2"/>
  <c r="L58" i="2"/>
  <c r="K58" i="2"/>
  <c r="O57" i="2"/>
  <c r="L57" i="2"/>
  <c r="K57" i="2"/>
  <c r="O56" i="2"/>
  <c r="L56" i="2"/>
  <c r="K56" i="2"/>
  <c r="O55" i="2"/>
  <c r="L55" i="2"/>
  <c r="K55" i="2"/>
  <c r="O54" i="2"/>
  <c r="L54" i="2"/>
  <c r="K54" i="2"/>
  <c r="J54" i="2"/>
  <c r="O53" i="2"/>
  <c r="L53" i="2"/>
  <c r="K53" i="2"/>
  <c r="J53" i="2"/>
  <c r="O52" i="2"/>
  <c r="L52" i="2"/>
  <c r="K52" i="2"/>
  <c r="J52" i="2"/>
  <c r="O51" i="2"/>
  <c r="L51" i="2"/>
  <c r="K51" i="2"/>
  <c r="J51" i="2"/>
  <c r="O50" i="2"/>
  <c r="L50" i="2"/>
  <c r="K50" i="2"/>
  <c r="O49" i="2"/>
  <c r="L49" i="2"/>
  <c r="K49" i="2"/>
  <c r="O48" i="2"/>
  <c r="L48" i="2"/>
  <c r="K48" i="2"/>
  <c r="O47" i="2"/>
  <c r="L47" i="2"/>
  <c r="K47" i="2"/>
  <c r="O46" i="2"/>
  <c r="L46" i="2"/>
  <c r="K46" i="2"/>
  <c r="O45" i="2"/>
  <c r="L45" i="2"/>
  <c r="K45" i="2"/>
  <c r="O44" i="2"/>
  <c r="L44" i="2"/>
  <c r="K44" i="2"/>
  <c r="O43" i="2"/>
  <c r="L43" i="2"/>
  <c r="K43" i="2"/>
  <c r="J43" i="2"/>
  <c r="O42" i="2"/>
  <c r="L42" i="2"/>
  <c r="K42" i="2"/>
  <c r="J42" i="2"/>
  <c r="O41" i="2"/>
  <c r="L41" i="2"/>
  <c r="K41" i="2"/>
  <c r="J41" i="2"/>
  <c r="O40" i="2"/>
  <c r="L40" i="2"/>
  <c r="K40" i="2"/>
  <c r="J40" i="2"/>
  <c r="O39" i="2"/>
  <c r="N39" i="2"/>
  <c r="M39" i="2"/>
  <c r="L39" i="2"/>
  <c r="K39" i="2"/>
  <c r="O38" i="2"/>
  <c r="L38" i="2"/>
  <c r="K38" i="2"/>
  <c r="O37" i="2"/>
  <c r="L37" i="2"/>
  <c r="K37" i="2"/>
  <c r="O36" i="2"/>
  <c r="L36" i="2"/>
  <c r="K36" i="2"/>
  <c r="O35" i="2"/>
  <c r="L35" i="2"/>
  <c r="K35" i="2"/>
  <c r="O34" i="2"/>
  <c r="N34" i="2"/>
  <c r="M34" i="2"/>
  <c r="L34" i="2"/>
  <c r="K34" i="2"/>
  <c r="O33" i="2"/>
  <c r="L33" i="2"/>
  <c r="K33" i="2"/>
  <c r="J33" i="2"/>
  <c r="O32" i="2"/>
  <c r="L32" i="2"/>
  <c r="K32" i="2"/>
  <c r="J32" i="2"/>
  <c r="O31" i="2"/>
  <c r="N31" i="2"/>
  <c r="M31" i="2"/>
  <c r="L31" i="2"/>
  <c r="K31" i="2"/>
  <c r="J31" i="2"/>
  <c r="O30" i="2"/>
  <c r="L30" i="2"/>
  <c r="K30" i="2"/>
  <c r="J30" i="2"/>
  <c r="O29" i="2"/>
  <c r="N29" i="2"/>
  <c r="L29" i="2"/>
  <c r="K29" i="2"/>
  <c r="O28" i="2"/>
  <c r="L28" i="2"/>
  <c r="K28" i="2"/>
  <c r="O27" i="2"/>
  <c r="L27" i="2"/>
  <c r="K27" i="2"/>
  <c r="O26" i="2"/>
  <c r="N26" i="2"/>
  <c r="M26" i="2"/>
  <c r="L26" i="2"/>
  <c r="K26" i="2"/>
  <c r="O25" i="2"/>
  <c r="L25" i="2"/>
  <c r="K25" i="2"/>
  <c r="O24" i="2"/>
  <c r="L24" i="2"/>
  <c r="K24" i="2"/>
  <c r="O23" i="2"/>
  <c r="N23" i="2"/>
  <c r="M23" i="2"/>
  <c r="L23" i="2"/>
  <c r="K23" i="2"/>
  <c r="J23" i="2"/>
  <c r="O22" i="2"/>
  <c r="L22" i="2"/>
  <c r="K22" i="2"/>
  <c r="J22" i="2"/>
  <c r="O21" i="2"/>
  <c r="N21" i="2"/>
  <c r="L21" i="2"/>
  <c r="K21" i="2"/>
  <c r="J21" i="2"/>
  <c r="O20" i="2"/>
  <c r="L20" i="2"/>
  <c r="K20" i="2"/>
  <c r="J20" i="2"/>
  <c r="O19" i="2"/>
  <c r="L19" i="2"/>
  <c r="K19" i="2"/>
  <c r="O18" i="2"/>
  <c r="L18" i="2"/>
  <c r="K18" i="2"/>
  <c r="O17" i="2"/>
  <c r="L17" i="2"/>
  <c r="K17" i="2"/>
  <c r="O16" i="2"/>
  <c r="L16" i="2"/>
  <c r="K16" i="2"/>
  <c r="O15" i="2"/>
  <c r="L15" i="2"/>
  <c r="K15" i="2"/>
  <c r="O14" i="2"/>
  <c r="L14" i="2"/>
  <c r="K14" i="2"/>
  <c r="O13" i="2"/>
  <c r="L13" i="2"/>
  <c r="K13" i="2"/>
  <c r="J13" i="2"/>
  <c r="O12" i="2"/>
  <c r="L12" i="2"/>
  <c r="K12" i="2"/>
  <c r="J12" i="2"/>
  <c r="O11" i="2"/>
  <c r="N11" i="2"/>
  <c r="L11" i="2"/>
  <c r="K11" i="2"/>
  <c r="J11" i="2"/>
  <c r="O10" i="2"/>
  <c r="L10" i="2"/>
  <c r="K10" i="2"/>
  <c r="J10" i="2"/>
  <c r="O9" i="2"/>
  <c r="L9" i="2"/>
  <c r="K9" i="2"/>
  <c r="O8" i="2"/>
  <c r="L8" i="2"/>
  <c r="K8" i="2"/>
  <c r="J8" i="2"/>
  <c r="O7" i="2"/>
  <c r="N7" i="2"/>
  <c r="L7" i="2"/>
  <c r="K7" i="2"/>
  <c r="O6" i="2"/>
  <c r="L6" i="2"/>
  <c r="K6" i="2"/>
  <c r="J6" i="2"/>
  <c r="E6" i="2"/>
  <c r="I400" i="1"/>
  <c r="F400" i="1"/>
  <c r="F399" i="1"/>
  <c r="I398" i="1"/>
  <c r="F398" i="1"/>
  <c r="F397" i="1"/>
  <c r="I396" i="1"/>
  <c r="F396" i="1"/>
  <c r="F395" i="1"/>
  <c r="I394" i="1"/>
  <c r="F394" i="1"/>
  <c r="F393" i="1"/>
  <c r="I392" i="1"/>
  <c r="F392" i="1"/>
  <c r="I391" i="1"/>
  <c r="F391" i="1"/>
  <c r="F390" i="1"/>
  <c r="F389" i="1"/>
  <c r="F388" i="1"/>
  <c r="I388" i="1" s="1"/>
  <c r="I387" i="1"/>
  <c r="F387" i="1"/>
  <c r="F386" i="1"/>
  <c r="F385" i="1"/>
  <c r="F384" i="1"/>
  <c r="I384" i="1" s="1"/>
  <c r="I383" i="1"/>
  <c r="F383" i="1"/>
  <c r="I382" i="1"/>
  <c r="F382" i="1"/>
  <c r="F381" i="1"/>
  <c r="F380" i="1"/>
  <c r="I380" i="1" s="1"/>
  <c r="F379" i="1"/>
  <c r="I378" i="1"/>
  <c r="F378" i="1"/>
  <c r="F377" i="1"/>
  <c r="F376" i="1"/>
  <c r="I375" i="1"/>
  <c r="F375" i="1"/>
  <c r="I374" i="1"/>
  <c r="F374" i="1"/>
  <c r="F373" i="1"/>
  <c r="F372" i="1"/>
  <c r="F371" i="1"/>
  <c r="F370" i="1"/>
  <c r="F369" i="1"/>
  <c r="I368" i="1"/>
  <c r="F368" i="1"/>
  <c r="F367" i="1"/>
  <c r="F366" i="1"/>
  <c r="F365" i="1"/>
  <c r="I364" i="1"/>
  <c r="F364" i="1"/>
  <c r="F363" i="1"/>
  <c r="F362" i="1"/>
  <c r="F361" i="1"/>
  <c r="I360" i="1"/>
  <c r="F360" i="1"/>
  <c r="I359" i="1"/>
  <c r="F359" i="1"/>
  <c r="F358" i="1"/>
  <c r="F357" i="1"/>
  <c r="F356" i="1"/>
  <c r="I355" i="1"/>
  <c r="F355" i="1"/>
  <c r="F354" i="1"/>
  <c r="F353" i="1"/>
  <c r="F352" i="1"/>
  <c r="I351" i="1"/>
  <c r="F351" i="1"/>
  <c r="I350" i="1"/>
  <c r="F350" i="1"/>
  <c r="F349" i="1"/>
  <c r="F348" i="1"/>
  <c r="F347" i="1"/>
  <c r="I347" i="1" s="1"/>
  <c r="I346" i="1"/>
  <c r="F346" i="1"/>
  <c r="F345" i="1"/>
  <c r="F344" i="1"/>
  <c r="I344" i="1" s="1"/>
  <c r="F343" i="1"/>
  <c r="I343" i="1" s="1"/>
  <c r="I342" i="1"/>
  <c r="F342" i="1"/>
  <c r="F341" i="1"/>
  <c r="F340" i="1"/>
  <c r="F339" i="1"/>
  <c r="I338" i="1"/>
  <c r="F338" i="1"/>
  <c r="F337" i="1"/>
  <c r="F336" i="1"/>
  <c r="I336" i="1" s="1"/>
  <c r="F335" i="1"/>
  <c r="I335" i="1" s="1"/>
  <c r="I334" i="1"/>
  <c r="F334" i="1"/>
  <c r="F333" i="1"/>
  <c r="F332" i="1"/>
  <c r="I332" i="1" s="1"/>
  <c r="F331" i="1"/>
  <c r="I331" i="1" s="1"/>
  <c r="I330" i="1"/>
  <c r="F330" i="1"/>
  <c r="F329" i="1"/>
  <c r="F328" i="1"/>
  <c r="I328" i="1" s="1"/>
  <c r="F327" i="1"/>
  <c r="I327" i="1" s="1"/>
  <c r="I326" i="1"/>
  <c r="F326" i="1"/>
  <c r="F325" i="1"/>
  <c r="F324" i="1"/>
  <c r="I324" i="1" s="1"/>
  <c r="F323" i="1"/>
  <c r="I322" i="1"/>
  <c r="F322" i="1"/>
  <c r="F321" i="1"/>
  <c r="F320" i="1"/>
  <c r="F319" i="1"/>
  <c r="I319" i="1" s="1"/>
  <c r="I318" i="1"/>
  <c r="F318" i="1"/>
  <c r="F317" i="1"/>
  <c r="F316" i="1"/>
  <c r="I316" i="1" s="1"/>
  <c r="F315" i="1"/>
  <c r="I315" i="1" s="1"/>
  <c r="I314" i="1"/>
  <c r="F314" i="1"/>
  <c r="F313" i="1"/>
  <c r="F312" i="1"/>
  <c r="I312" i="1" s="1"/>
  <c r="F311" i="1"/>
  <c r="I310" i="1"/>
  <c r="F310" i="1"/>
  <c r="F309" i="1"/>
  <c r="F308" i="1"/>
  <c r="F307" i="1"/>
  <c r="I307" i="1" s="1"/>
  <c r="I306" i="1"/>
  <c r="F306" i="1"/>
  <c r="F305" i="1"/>
  <c r="F304" i="1"/>
  <c r="I304" i="1" s="1"/>
  <c r="F303" i="1"/>
  <c r="I303" i="1" s="1"/>
  <c r="I302" i="1"/>
  <c r="F302" i="1"/>
  <c r="F301" i="1"/>
  <c r="F300" i="1"/>
  <c r="F299" i="1"/>
  <c r="I299" i="1" s="1"/>
  <c r="I298" i="1"/>
  <c r="F298" i="1"/>
  <c r="F297" i="1"/>
  <c r="F296" i="1"/>
  <c r="I296" i="1" s="1"/>
  <c r="F295" i="1"/>
  <c r="I294" i="1"/>
  <c r="F294" i="1"/>
  <c r="F293" i="1"/>
  <c r="F292" i="1"/>
  <c r="F291" i="1"/>
  <c r="I291" i="1" s="1"/>
  <c r="I290" i="1"/>
  <c r="F290" i="1"/>
  <c r="F289" i="1"/>
  <c r="F288" i="1"/>
  <c r="I288" i="1" s="1"/>
  <c r="F287" i="1"/>
  <c r="I287" i="1" s="1"/>
  <c r="I286" i="1"/>
  <c r="F286" i="1"/>
  <c r="F285" i="1"/>
  <c r="F284" i="1"/>
  <c r="I284" i="1" s="1"/>
  <c r="F283" i="1"/>
  <c r="I282" i="1"/>
  <c r="F282" i="1"/>
  <c r="F281" i="1"/>
  <c r="F280" i="1"/>
  <c r="F279" i="1"/>
  <c r="I279" i="1" s="1"/>
  <c r="I278" i="1"/>
  <c r="F278" i="1"/>
  <c r="F277" i="1"/>
  <c r="F276" i="1"/>
  <c r="F275" i="1"/>
  <c r="I275" i="1" s="1"/>
  <c r="I274" i="1"/>
  <c r="F274" i="1"/>
  <c r="F273" i="1"/>
  <c r="F272" i="1"/>
  <c r="I272" i="1" s="1"/>
  <c r="F271" i="1"/>
  <c r="I271" i="1" s="1"/>
  <c r="I270" i="1"/>
  <c r="F270" i="1"/>
  <c r="F269" i="1"/>
  <c r="F268" i="1"/>
  <c r="F267" i="1"/>
  <c r="I266" i="1"/>
  <c r="F266" i="1"/>
  <c r="F265" i="1"/>
  <c r="F264" i="1"/>
  <c r="I264" i="1" s="1"/>
  <c r="F263" i="1"/>
  <c r="I263" i="1" s="1"/>
  <c r="I262" i="1"/>
  <c r="F262" i="1"/>
  <c r="F261" i="1"/>
  <c r="F260" i="1"/>
  <c r="I260" i="1" s="1"/>
  <c r="F259" i="1"/>
  <c r="I259" i="1" s="1"/>
  <c r="I258" i="1"/>
  <c r="F258" i="1"/>
  <c r="F257" i="1"/>
  <c r="F256" i="1"/>
  <c r="F255" i="1"/>
  <c r="I255" i="1" s="1"/>
  <c r="I254" i="1"/>
  <c r="F254" i="1"/>
  <c r="F253" i="1"/>
  <c r="F252" i="1"/>
  <c r="F251" i="1"/>
  <c r="I250" i="1"/>
  <c r="F250" i="1"/>
  <c r="F249" i="1"/>
  <c r="F248" i="1"/>
  <c r="I248" i="1" s="1"/>
  <c r="F247" i="1"/>
  <c r="I247" i="1" s="1"/>
  <c r="I246" i="1"/>
  <c r="F246" i="1"/>
  <c r="F245" i="1"/>
  <c r="F244" i="1"/>
  <c r="F243" i="1"/>
  <c r="I242" i="1"/>
  <c r="F242" i="1"/>
  <c r="F241" i="1"/>
  <c r="F240" i="1"/>
  <c r="I240" i="1" s="1"/>
  <c r="F239" i="1"/>
  <c r="I238" i="1"/>
  <c r="F238" i="1"/>
  <c r="F237" i="1"/>
  <c r="F236" i="1"/>
  <c r="F235" i="1"/>
  <c r="I235" i="1" s="1"/>
  <c r="I234" i="1"/>
  <c r="F234" i="1"/>
  <c r="F233" i="1"/>
  <c r="F232" i="1"/>
  <c r="I232" i="1" s="1"/>
  <c r="F231" i="1"/>
  <c r="I230" i="1"/>
  <c r="F230" i="1"/>
  <c r="F229" i="1"/>
  <c r="F228" i="1"/>
  <c r="I228" i="1" s="1"/>
  <c r="F227" i="1"/>
  <c r="I227" i="1" s="1"/>
  <c r="I226" i="1"/>
  <c r="F226" i="1"/>
  <c r="F225" i="1"/>
  <c r="F224" i="1"/>
  <c r="I224" i="1" s="1"/>
  <c r="F223" i="1"/>
  <c r="I223" i="1" s="1"/>
  <c r="I222" i="1"/>
  <c r="F222" i="1"/>
  <c r="F221" i="1"/>
  <c r="F220" i="1"/>
  <c r="I220" i="1" s="1"/>
  <c r="F219" i="1"/>
  <c r="I218" i="1"/>
  <c r="F218" i="1"/>
  <c r="F217" i="1"/>
  <c r="F216" i="1"/>
  <c r="F215" i="1"/>
  <c r="I215" i="1" s="1"/>
  <c r="I214" i="1"/>
  <c r="F214" i="1"/>
  <c r="F213" i="1"/>
  <c r="F212" i="1"/>
  <c r="F211" i="1"/>
  <c r="I211" i="1" s="1"/>
  <c r="I210" i="1"/>
  <c r="F210" i="1"/>
  <c r="F209" i="1"/>
  <c r="F208" i="1"/>
  <c r="F207" i="1"/>
  <c r="I206" i="1"/>
  <c r="F206" i="1"/>
  <c r="F205" i="1"/>
  <c r="F204" i="1"/>
  <c r="I204" i="1" s="1"/>
  <c r="F203" i="1"/>
  <c r="I202" i="1"/>
  <c r="F202" i="1"/>
  <c r="F201" i="1"/>
  <c r="F200" i="1"/>
  <c r="F199" i="1"/>
  <c r="I198" i="1"/>
  <c r="F198" i="1"/>
  <c r="F197" i="1"/>
  <c r="F196" i="1"/>
  <c r="F195" i="1"/>
  <c r="I195" i="1" s="1"/>
  <c r="I194" i="1"/>
  <c r="F194" i="1"/>
  <c r="F193" i="1"/>
  <c r="F192" i="1"/>
  <c r="I192" i="1" s="1"/>
  <c r="F191" i="1"/>
  <c r="I190" i="1"/>
  <c r="F190" i="1"/>
  <c r="F189" i="1"/>
  <c r="F188" i="1"/>
  <c r="I188" i="1" s="1"/>
  <c r="F187" i="1"/>
  <c r="I186" i="1"/>
  <c r="F186" i="1"/>
  <c r="F185" i="1"/>
  <c r="F184" i="1"/>
  <c r="F183" i="1"/>
  <c r="I182" i="1"/>
  <c r="F182" i="1"/>
  <c r="F181" i="1"/>
  <c r="F180" i="1"/>
  <c r="I180" i="1" s="1"/>
  <c r="F179" i="1"/>
  <c r="I179" i="1" s="1"/>
  <c r="I178" i="1"/>
  <c r="F178" i="1"/>
  <c r="F177" i="1"/>
  <c r="F176" i="1"/>
  <c r="F175" i="1"/>
  <c r="I174" i="1"/>
  <c r="F174" i="1"/>
  <c r="F173" i="1"/>
  <c r="F172" i="1"/>
  <c r="F171" i="1"/>
  <c r="I171" i="1" s="1"/>
  <c r="I170" i="1"/>
  <c r="F170" i="1"/>
  <c r="F169" i="1"/>
  <c r="F168" i="1"/>
  <c r="F167" i="1"/>
  <c r="I166" i="1"/>
  <c r="F166" i="1"/>
  <c r="F165" i="1"/>
  <c r="F164" i="1"/>
  <c r="F163" i="1"/>
  <c r="I163" i="1" s="1"/>
  <c r="I162" i="1"/>
  <c r="F162" i="1"/>
  <c r="F161" i="1"/>
  <c r="F160" i="1"/>
  <c r="F159" i="1"/>
  <c r="I159" i="1" s="1"/>
  <c r="I158" i="1"/>
  <c r="F158" i="1"/>
  <c r="F157" i="1"/>
  <c r="F156" i="1"/>
  <c r="F155" i="1"/>
  <c r="I154" i="1"/>
  <c r="F154" i="1"/>
  <c r="F153" i="1"/>
  <c r="F152" i="1"/>
  <c r="F151" i="1"/>
  <c r="I151" i="1" s="1"/>
  <c r="I150" i="1"/>
  <c r="F150" i="1"/>
  <c r="F149" i="1"/>
  <c r="F148" i="1"/>
  <c r="F147" i="1"/>
  <c r="I146" i="1"/>
  <c r="F146" i="1"/>
  <c r="F145" i="1"/>
  <c r="F144" i="1"/>
  <c r="I144" i="1" s="1"/>
  <c r="F143" i="1"/>
  <c r="I142" i="1"/>
  <c r="F142" i="1"/>
  <c r="F141" i="1"/>
  <c r="F140" i="1"/>
  <c r="F139" i="1"/>
  <c r="I139" i="1" s="1"/>
  <c r="I138" i="1"/>
  <c r="F138" i="1"/>
  <c r="F137" i="1"/>
  <c r="F136" i="1"/>
  <c r="F135" i="1"/>
  <c r="I135" i="1" s="1"/>
  <c r="I134" i="1"/>
  <c r="F134" i="1"/>
  <c r="F133" i="1"/>
  <c r="F132" i="1"/>
  <c r="F131" i="1"/>
  <c r="I130" i="1"/>
  <c r="F130" i="1"/>
  <c r="F129" i="1"/>
  <c r="F128" i="1"/>
  <c r="F127" i="1"/>
  <c r="I127" i="1" s="1"/>
  <c r="I126" i="1"/>
  <c r="F126" i="1"/>
  <c r="F125" i="1"/>
  <c r="F124" i="1"/>
  <c r="F123" i="1"/>
  <c r="F122" i="1"/>
  <c r="I122" i="1" s="1"/>
  <c r="F121" i="1"/>
  <c r="F120" i="1"/>
  <c r="F119" i="1"/>
  <c r="F118" i="1"/>
  <c r="I118" i="1" s="1"/>
  <c r="F117" i="1"/>
  <c r="F116" i="1"/>
  <c r="I116" i="1" s="1"/>
  <c r="F115" i="1"/>
  <c r="I115" i="1" s="1"/>
  <c r="F114" i="1"/>
  <c r="I114" i="1" s="1"/>
  <c r="F113" i="1"/>
  <c r="F112" i="1"/>
  <c r="F111" i="1"/>
  <c r="I111" i="1" s="1"/>
  <c r="F110" i="1"/>
  <c r="N111" i="2" s="1"/>
  <c r="F109" i="1"/>
  <c r="F108" i="1"/>
  <c r="F107" i="1"/>
  <c r="F106" i="1"/>
  <c r="I106" i="1" s="1"/>
  <c r="F105" i="1"/>
  <c r="M106" i="2" s="1"/>
  <c r="F104" i="1"/>
  <c r="F103" i="1"/>
  <c r="I103" i="1" s="1"/>
  <c r="F102" i="1"/>
  <c r="N103" i="2" s="1"/>
  <c r="F101" i="1"/>
  <c r="F100" i="1"/>
  <c r="I100" i="1" s="1"/>
  <c r="F99" i="1"/>
  <c r="F98" i="1"/>
  <c r="I98" i="1" s="1"/>
  <c r="F97" i="1"/>
  <c r="M98" i="2" s="1"/>
  <c r="F96" i="1"/>
  <c r="F95" i="1"/>
  <c r="I95" i="1" s="1"/>
  <c r="F94" i="1"/>
  <c r="N95" i="2" s="1"/>
  <c r="F93" i="1"/>
  <c r="F92" i="1"/>
  <c r="N93" i="2" s="1"/>
  <c r="F91" i="1"/>
  <c r="N92" i="2" s="1"/>
  <c r="F90" i="1"/>
  <c r="I90" i="1" s="1"/>
  <c r="F89" i="1"/>
  <c r="I89" i="1" s="1"/>
  <c r="F88" i="1"/>
  <c r="F87" i="1"/>
  <c r="M88" i="2" s="1"/>
  <c r="F86" i="1"/>
  <c r="N87" i="2" s="1"/>
  <c r="F85" i="1"/>
  <c r="F84" i="1"/>
  <c r="I84" i="1" s="1"/>
  <c r="F83" i="1"/>
  <c r="N84" i="2" s="1"/>
  <c r="F82" i="1"/>
  <c r="I82" i="1" s="1"/>
  <c r="F81" i="1"/>
  <c r="I81" i="1" s="1"/>
  <c r="F80" i="1"/>
  <c r="F79" i="1"/>
  <c r="M80" i="2" s="1"/>
  <c r="F78" i="1"/>
  <c r="F77" i="1"/>
  <c r="F76" i="1"/>
  <c r="I76" i="1" s="1"/>
  <c r="F75" i="1"/>
  <c r="N76" i="2" s="1"/>
  <c r="F74" i="1"/>
  <c r="I74" i="1" s="1"/>
  <c r="F73" i="1"/>
  <c r="I73" i="1" s="1"/>
  <c r="F72" i="1"/>
  <c r="F71" i="1"/>
  <c r="M72" i="2" s="1"/>
  <c r="F70" i="1"/>
  <c r="N71" i="2" s="1"/>
  <c r="F69" i="1"/>
  <c r="F68" i="1"/>
  <c r="I68" i="1" s="1"/>
  <c r="F67" i="1"/>
  <c r="N68" i="2" s="1"/>
  <c r="F66" i="1"/>
  <c r="I66" i="1" s="1"/>
  <c r="F65" i="1"/>
  <c r="I65" i="1" s="1"/>
  <c r="F64" i="1"/>
  <c r="F63" i="1"/>
  <c r="M64" i="2" s="1"/>
  <c r="F62" i="1"/>
  <c r="M63" i="2" s="1"/>
  <c r="F61" i="1"/>
  <c r="F60" i="1"/>
  <c r="M61" i="2" s="1"/>
  <c r="F59" i="1"/>
  <c r="N60" i="2" s="1"/>
  <c r="F58" i="1"/>
  <c r="I58" i="1" s="1"/>
  <c r="F57" i="1"/>
  <c r="N58" i="2" s="1"/>
  <c r="F56" i="1"/>
  <c r="F55" i="1"/>
  <c r="M56" i="2" s="1"/>
  <c r="F54" i="1"/>
  <c r="N55" i="2" s="1"/>
  <c r="F53" i="1"/>
  <c r="F52" i="1"/>
  <c r="N53" i="2" s="1"/>
  <c r="F51" i="1"/>
  <c r="N52" i="2" s="1"/>
  <c r="F50" i="1"/>
  <c r="I50" i="1" s="1"/>
  <c r="F49" i="1"/>
  <c r="N50" i="2" s="1"/>
  <c r="F48" i="1"/>
  <c r="F47" i="1"/>
  <c r="M48" i="2" s="1"/>
  <c r="F46" i="1"/>
  <c r="N47" i="2" s="1"/>
  <c r="F45" i="1"/>
  <c r="F44" i="1"/>
  <c r="N45" i="2" s="1"/>
  <c r="F43" i="1"/>
  <c r="N44" i="2" s="1"/>
  <c r="F42" i="1"/>
  <c r="I42" i="1" s="1"/>
  <c r="F41" i="1"/>
  <c r="N42" i="2" s="1"/>
  <c r="F40" i="1"/>
  <c r="F39" i="1"/>
  <c r="M40" i="2" s="1"/>
  <c r="F38" i="1"/>
  <c r="I38" i="1" s="1"/>
  <c r="F37" i="1"/>
  <c r="F36" i="1"/>
  <c r="N37" i="2" s="1"/>
  <c r="F35" i="1"/>
  <c r="N36" i="2" s="1"/>
  <c r="F34" i="1"/>
  <c r="I34" i="1" s="1"/>
  <c r="F33" i="1"/>
  <c r="I33" i="1" s="1"/>
  <c r="F32" i="1"/>
  <c r="I32" i="1" s="1"/>
  <c r="F31" i="1"/>
  <c r="M32" i="2" s="1"/>
  <c r="F30" i="1"/>
  <c r="I30" i="1" s="1"/>
  <c r="F29" i="1"/>
  <c r="F28" i="1"/>
  <c r="I28" i="1" s="1"/>
  <c r="F27" i="1"/>
  <c r="N28" i="2" s="1"/>
  <c r="F26" i="1"/>
  <c r="I26" i="1" s="1"/>
  <c r="F25" i="1"/>
  <c r="I25" i="1" s="1"/>
  <c r="F24" i="1"/>
  <c r="F23" i="1"/>
  <c r="M24" i="2" s="1"/>
  <c r="F22" i="1"/>
  <c r="I22" i="1" s="1"/>
  <c r="F21" i="1"/>
  <c r="F20" i="1"/>
  <c r="I20" i="1" s="1"/>
  <c r="F19" i="1"/>
  <c r="N20" i="2" s="1"/>
  <c r="F18" i="1"/>
  <c r="I18" i="1" s="1"/>
  <c r="F17" i="1"/>
  <c r="M18" i="2" s="1"/>
  <c r="F16" i="1"/>
  <c r="I16" i="1" s="1"/>
  <c r="F15" i="1"/>
  <c r="M16" i="2" s="1"/>
  <c r="F14" i="1"/>
  <c r="M15" i="2" s="1"/>
  <c r="F13" i="1"/>
  <c r="F12" i="1"/>
  <c r="N13" i="2" s="1"/>
  <c r="F11" i="1"/>
  <c r="N12" i="2" s="1"/>
  <c r="F10" i="1"/>
  <c r="M11" i="2" s="1"/>
  <c r="F9" i="1"/>
  <c r="M10" i="2" s="1"/>
  <c r="F8" i="1"/>
  <c r="F7" i="1"/>
  <c r="N8" i="2" s="1"/>
  <c r="F6" i="1"/>
  <c r="M7" i="2" s="1"/>
  <c r="F5" i="1"/>
  <c r="I11" i="1" l="1"/>
  <c r="I23" i="1"/>
  <c r="I35" i="1"/>
  <c r="I47" i="1"/>
  <c r="I59" i="1"/>
  <c r="I71" i="1"/>
  <c r="I83" i="1"/>
  <c r="N367" i="2"/>
  <c r="M367" i="2"/>
  <c r="N24" i="2"/>
  <c r="N41" i="2"/>
  <c r="M41" i="2"/>
  <c r="N49" i="2"/>
  <c r="M49" i="2"/>
  <c r="N65" i="2"/>
  <c r="M65" i="2"/>
  <c r="N81" i="2"/>
  <c r="M81" i="2"/>
  <c r="N97" i="2"/>
  <c r="M97" i="2"/>
  <c r="N113" i="2"/>
  <c r="M113" i="2"/>
  <c r="N121" i="2"/>
  <c r="M121" i="2"/>
  <c r="M137" i="2"/>
  <c r="N137" i="2"/>
  <c r="N149" i="2"/>
  <c r="M149" i="2"/>
  <c r="M165" i="2"/>
  <c r="N165" i="2"/>
  <c r="M209" i="2"/>
  <c r="N209" i="2"/>
  <c r="M37" i="2"/>
  <c r="I48" i="1"/>
  <c r="I64" i="1"/>
  <c r="I80" i="1"/>
  <c r="I112" i="1"/>
  <c r="I164" i="1"/>
  <c r="I208" i="1"/>
  <c r="N359" i="2"/>
  <c r="M359" i="2"/>
  <c r="M386" i="2"/>
  <c r="N386" i="2"/>
  <c r="I385" i="1"/>
  <c r="N32" i="2"/>
  <c r="I6" i="1"/>
  <c r="I10" i="1"/>
  <c r="I14" i="1"/>
  <c r="I46" i="1"/>
  <c r="I54" i="1"/>
  <c r="I62" i="1"/>
  <c r="I70" i="1"/>
  <c r="I78" i="1"/>
  <c r="I86" i="1"/>
  <c r="I94" i="1"/>
  <c r="I102" i="1"/>
  <c r="I110" i="1"/>
  <c r="M352" i="2"/>
  <c r="N352" i="2"/>
  <c r="N361" i="2"/>
  <c r="M361" i="2"/>
  <c r="M370" i="2"/>
  <c r="N370" i="2"/>
  <c r="I369" i="1"/>
  <c r="N375" i="2"/>
  <c r="M375" i="2"/>
  <c r="N384" i="2"/>
  <c r="M384" i="2"/>
  <c r="N393" i="2"/>
  <c r="M393" i="2"/>
  <c r="A6" i="2"/>
  <c r="N10" i="2"/>
  <c r="N16" i="2"/>
  <c r="N18" i="2"/>
  <c r="M21" i="2"/>
  <c r="N61" i="2"/>
  <c r="N98" i="2"/>
  <c r="N108" i="2"/>
  <c r="M108" i="2"/>
  <c r="N148" i="2"/>
  <c r="M148" i="2"/>
  <c r="M28" i="2"/>
  <c r="M29" i="2"/>
  <c r="M68" i="2"/>
  <c r="M69" i="2"/>
  <c r="M71" i="2"/>
  <c r="M152" i="2"/>
  <c r="N152" i="2"/>
  <c r="N236" i="2"/>
  <c r="M236" i="2"/>
  <c r="M394" i="2"/>
  <c r="N394" i="2"/>
  <c r="I393" i="1"/>
  <c r="N64" i="2"/>
  <c r="N69" i="2"/>
  <c r="M74" i="2"/>
  <c r="M76" i="2"/>
  <c r="M77" i="2"/>
  <c r="M79" i="2"/>
  <c r="N141" i="2"/>
  <c r="M141" i="2"/>
  <c r="N169" i="2"/>
  <c r="M169" i="2"/>
  <c r="M281" i="2"/>
  <c r="N281" i="2"/>
  <c r="N72" i="2"/>
  <c r="N77" i="2"/>
  <c r="N80" i="2"/>
  <c r="M82" i="2"/>
  <c r="M84" i="2"/>
  <c r="M85" i="2"/>
  <c r="M87" i="2"/>
  <c r="M90" i="2"/>
  <c r="M92" i="2"/>
  <c r="I7" i="1"/>
  <c r="M36" i="2"/>
  <c r="I92" i="1"/>
  <c r="N85" i="2"/>
  <c r="N88" i="2"/>
  <c r="N90" i="2"/>
  <c r="M93" i="2"/>
  <c r="M95" i="2"/>
  <c r="N106" i="2"/>
  <c r="M111" i="2"/>
  <c r="N100" i="2"/>
  <c r="M100" i="2"/>
  <c r="N116" i="2"/>
  <c r="M116" i="2"/>
  <c r="N124" i="2"/>
  <c r="M124" i="2"/>
  <c r="N132" i="2"/>
  <c r="M132" i="2"/>
  <c r="N140" i="2"/>
  <c r="M140" i="2"/>
  <c r="N156" i="2"/>
  <c r="M156" i="2"/>
  <c r="N164" i="2"/>
  <c r="M164" i="2"/>
  <c r="N176" i="2"/>
  <c r="M176" i="2"/>
  <c r="N184" i="2"/>
  <c r="M184" i="2"/>
  <c r="N192" i="2"/>
  <c r="M192" i="2"/>
  <c r="N200" i="2"/>
  <c r="M200" i="2"/>
  <c r="N208" i="2"/>
  <c r="M208" i="2"/>
  <c r="M244" i="2"/>
  <c r="N244" i="2"/>
  <c r="N308" i="2"/>
  <c r="M308" i="2"/>
  <c r="I19" i="1"/>
  <c r="I31" i="1"/>
  <c r="I43" i="1"/>
  <c r="I55" i="1"/>
  <c r="I67" i="1"/>
  <c r="I79" i="1"/>
  <c r="I91" i="1"/>
  <c r="I107" i="1"/>
  <c r="I123" i="1"/>
  <c r="I147" i="1"/>
  <c r="I183" i="1"/>
  <c r="I191" i="1"/>
  <c r="I207" i="1"/>
  <c r="I243" i="1"/>
  <c r="M362" i="2"/>
  <c r="N362" i="2"/>
  <c r="I361" i="1"/>
  <c r="N376" i="2"/>
  <c r="M376" i="2"/>
  <c r="N9" i="2"/>
  <c r="M9" i="2"/>
  <c r="N25" i="2"/>
  <c r="M25" i="2"/>
  <c r="N105" i="2"/>
  <c r="M105" i="2"/>
  <c r="N125" i="2"/>
  <c r="M125" i="2"/>
  <c r="N145" i="2"/>
  <c r="M145" i="2"/>
  <c r="M161" i="2"/>
  <c r="N161" i="2"/>
  <c r="M177" i="2"/>
  <c r="N177" i="2"/>
  <c r="M189" i="2"/>
  <c r="N189" i="2"/>
  <c r="N201" i="2"/>
  <c r="M201" i="2"/>
  <c r="N217" i="2"/>
  <c r="M217" i="2"/>
  <c r="M229" i="2"/>
  <c r="N229" i="2"/>
  <c r="M237" i="2"/>
  <c r="N237" i="2"/>
  <c r="M245" i="2"/>
  <c r="N245" i="2"/>
  <c r="N257" i="2"/>
  <c r="M257" i="2"/>
  <c r="M265" i="2"/>
  <c r="N265" i="2"/>
  <c r="N269" i="2"/>
  <c r="M269" i="2"/>
  <c r="N277" i="2"/>
  <c r="M277" i="2"/>
  <c r="N293" i="2"/>
  <c r="M293" i="2"/>
  <c r="N301" i="2"/>
  <c r="M301" i="2"/>
  <c r="M309" i="2"/>
  <c r="N309" i="2"/>
  <c r="N313" i="2"/>
  <c r="M313" i="2"/>
  <c r="N321" i="2"/>
  <c r="M321" i="2"/>
  <c r="N325" i="2"/>
  <c r="M325" i="2"/>
  <c r="N333" i="2"/>
  <c r="M333" i="2"/>
  <c r="N341" i="2"/>
  <c r="M341" i="2"/>
  <c r="N349" i="2"/>
  <c r="M349" i="2"/>
  <c r="M363" i="2"/>
  <c r="N363" i="2"/>
  <c r="N372" i="2"/>
  <c r="M372" i="2"/>
  <c r="I12" i="1"/>
  <c r="I24" i="1"/>
  <c r="I44" i="1"/>
  <c r="I60" i="1"/>
  <c r="I96" i="1"/>
  <c r="I124" i="1"/>
  <c r="I140" i="1"/>
  <c r="I160" i="1"/>
  <c r="I176" i="1"/>
  <c r="I276" i="1"/>
  <c r="I292" i="1"/>
  <c r="I340" i="1"/>
  <c r="M354" i="2"/>
  <c r="N354" i="2"/>
  <c r="I353" i="1"/>
  <c r="I362" i="1"/>
  <c r="N368" i="2"/>
  <c r="M368" i="2"/>
  <c r="I371" i="1"/>
  <c r="M391" i="2"/>
  <c r="N391" i="2"/>
  <c r="M400" i="2"/>
  <c r="N400" i="2"/>
  <c r="M13" i="2"/>
  <c r="N14" i="2"/>
  <c r="M14" i="2"/>
  <c r="N22" i="2"/>
  <c r="M22" i="2"/>
  <c r="N30" i="2"/>
  <c r="M30" i="2"/>
  <c r="N102" i="2"/>
  <c r="M102" i="2"/>
  <c r="N110" i="2"/>
  <c r="M110" i="2"/>
  <c r="N118" i="2"/>
  <c r="M118" i="2"/>
  <c r="N126" i="2"/>
  <c r="M126" i="2"/>
  <c r="N130" i="2"/>
  <c r="M130" i="2"/>
  <c r="N138" i="2"/>
  <c r="M138" i="2"/>
  <c r="N142" i="2"/>
  <c r="M142" i="2"/>
  <c r="N150" i="2"/>
  <c r="M150" i="2"/>
  <c r="N154" i="2"/>
  <c r="M154" i="2"/>
  <c r="M162" i="2"/>
  <c r="N162" i="2"/>
  <c r="M170" i="2"/>
  <c r="N170" i="2"/>
  <c r="M178" i="2"/>
  <c r="N178" i="2"/>
  <c r="M186" i="2"/>
  <c r="N186" i="2"/>
  <c r="N198" i="2"/>
  <c r="M198" i="2"/>
  <c r="N206" i="2"/>
  <c r="M206" i="2"/>
  <c r="N214" i="2"/>
  <c r="M214" i="2"/>
  <c r="M226" i="2"/>
  <c r="N226" i="2"/>
  <c r="M234" i="2"/>
  <c r="N234" i="2"/>
  <c r="N242" i="2"/>
  <c r="M242" i="2"/>
  <c r="N246" i="2"/>
  <c r="M246" i="2"/>
  <c r="N254" i="2"/>
  <c r="M254" i="2"/>
  <c r="N262" i="2"/>
  <c r="M262" i="2"/>
  <c r="N266" i="2"/>
  <c r="M266" i="2"/>
  <c r="N274" i="2"/>
  <c r="M274" i="2"/>
  <c r="N282" i="2"/>
  <c r="M282" i="2"/>
  <c r="N290" i="2"/>
  <c r="M290" i="2"/>
  <c r="M294" i="2"/>
  <c r="N294" i="2"/>
  <c r="N302" i="2"/>
  <c r="M302" i="2"/>
  <c r="N310" i="2"/>
  <c r="M310" i="2"/>
  <c r="M314" i="2"/>
  <c r="N314" i="2"/>
  <c r="N322" i="2"/>
  <c r="M322" i="2"/>
  <c r="M330" i="2"/>
  <c r="N330" i="2"/>
  <c r="N338" i="2"/>
  <c r="M338" i="2"/>
  <c r="M342" i="2"/>
  <c r="N342" i="2"/>
  <c r="M350" i="2"/>
  <c r="N350" i="2"/>
  <c r="I349" i="1"/>
  <c r="I358" i="1"/>
  <c r="N373" i="2"/>
  <c r="M373" i="2"/>
  <c r="M387" i="2"/>
  <c r="N387" i="2"/>
  <c r="I390" i="1"/>
  <c r="M396" i="2"/>
  <c r="N396" i="2"/>
  <c r="J7" i="2"/>
  <c r="N40" i="2"/>
  <c r="M42" i="2"/>
  <c r="M44" i="2"/>
  <c r="M45" i="2"/>
  <c r="M47" i="2"/>
  <c r="M50" i="2"/>
  <c r="M52" i="2"/>
  <c r="M103" i="2"/>
  <c r="N104" i="2"/>
  <c r="M104" i="2"/>
  <c r="N112" i="2"/>
  <c r="M112" i="2"/>
  <c r="N120" i="2"/>
  <c r="M120" i="2"/>
  <c r="M128" i="2"/>
  <c r="N128" i="2"/>
  <c r="M136" i="2"/>
  <c r="N136" i="2"/>
  <c r="M144" i="2"/>
  <c r="N144" i="2"/>
  <c r="N160" i="2"/>
  <c r="M160" i="2"/>
  <c r="N168" i="2"/>
  <c r="M168" i="2"/>
  <c r="N172" i="2"/>
  <c r="M172" i="2"/>
  <c r="N180" i="2"/>
  <c r="M180" i="2"/>
  <c r="N188" i="2"/>
  <c r="M188" i="2"/>
  <c r="N196" i="2"/>
  <c r="M196" i="2"/>
  <c r="N204" i="2"/>
  <c r="M204" i="2"/>
  <c r="N212" i="2"/>
  <c r="M212" i="2"/>
  <c r="N216" i="2"/>
  <c r="M216" i="2"/>
  <c r="N220" i="2"/>
  <c r="M220" i="2"/>
  <c r="N224" i="2"/>
  <c r="M224" i="2"/>
  <c r="M228" i="2"/>
  <c r="N228" i="2"/>
  <c r="N232" i="2"/>
  <c r="M232" i="2"/>
  <c r="N240" i="2"/>
  <c r="M240" i="2"/>
  <c r="N248" i="2"/>
  <c r="M248" i="2"/>
  <c r="N252" i="2"/>
  <c r="M252" i="2"/>
  <c r="N256" i="2"/>
  <c r="M256" i="2"/>
  <c r="N260" i="2"/>
  <c r="M260" i="2"/>
  <c r="N264" i="2"/>
  <c r="M264" i="2"/>
  <c r="N268" i="2"/>
  <c r="M268" i="2"/>
  <c r="N272" i="2"/>
  <c r="M272" i="2"/>
  <c r="N276" i="2"/>
  <c r="M276" i="2"/>
  <c r="N280" i="2"/>
  <c r="M280" i="2"/>
  <c r="N284" i="2"/>
  <c r="M284" i="2"/>
  <c r="N288" i="2"/>
  <c r="M288" i="2"/>
  <c r="N292" i="2"/>
  <c r="M292" i="2"/>
  <c r="N296" i="2"/>
  <c r="M296" i="2"/>
  <c r="N300" i="2"/>
  <c r="M300" i="2"/>
  <c r="M304" i="2"/>
  <c r="N304" i="2"/>
  <c r="N312" i="2"/>
  <c r="M312" i="2"/>
  <c r="N316" i="2"/>
  <c r="M316" i="2"/>
  <c r="N320" i="2"/>
  <c r="M320" i="2"/>
  <c r="N324" i="2"/>
  <c r="M324" i="2"/>
  <c r="M328" i="2"/>
  <c r="N328" i="2"/>
  <c r="M332" i="2"/>
  <c r="N332" i="2"/>
  <c r="M336" i="2"/>
  <c r="N336" i="2"/>
  <c r="N340" i="2"/>
  <c r="M340" i="2"/>
  <c r="M344" i="2"/>
  <c r="N344" i="2"/>
  <c r="M348" i="2"/>
  <c r="N348" i="2"/>
  <c r="N357" i="2"/>
  <c r="M357" i="2"/>
  <c r="N366" i="2"/>
  <c r="M366" i="2"/>
  <c r="I365" i="1"/>
  <c r="M371" i="2"/>
  <c r="N371" i="2"/>
  <c r="N380" i="2"/>
  <c r="M380" i="2"/>
  <c r="N389" i="2"/>
  <c r="M389" i="2"/>
  <c r="M398" i="2"/>
  <c r="N398" i="2"/>
  <c r="I397" i="1"/>
  <c r="I15" i="1"/>
  <c r="I27" i="1"/>
  <c r="I39" i="1"/>
  <c r="I51" i="1"/>
  <c r="I63" i="1"/>
  <c r="I75" i="1"/>
  <c r="I87" i="1"/>
  <c r="I99" i="1"/>
  <c r="I119" i="1"/>
  <c r="I131" i="1"/>
  <c r="I143" i="1"/>
  <c r="I155" i="1"/>
  <c r="I167" i="1"/>
  <c r="I175" i="1"/>
  <c r="I187" i="1"/>
  <c r="I199" i="1"/>
  <c r="I203" i="1"/>
  <c r="I219" i="1"/>
  <c r="I231" i="1"/>
  <c r="I239" i="1"/>
  <c r="I251" i="1"/>
  <c r="I267" i="1"/>
  <c r="I283" i="1"/>
  <c r="I295" i="1"/>
  <c r="I311" i="1"/>
  <c r="I323" i="1"/>
  <c r="I339" i="1"/>
  <c r="N353" i="2"/>
  <c r="M353" i="2"/>
  <c r="I356" i="1"/>
  <c r="I370" i="1"/>
  <c r="I379" i="1"/>
  <c r="M12" i="2"/>
  <c r="N33" i="2"/>
  <c r="M33" i="2"/>
  <c r="N89" i="2"/>
  <c r="M89" i="2"/>
  <c r="N109" i="2"/>
  <c r="M109" i="2"/>
  <c r="M129" i="2"/>
  <c r="N129" i="2"/>
  <c r="N153" i="2"/>
  <c r="M153" i="2"/>
  <c r="M173" i="2"/>
  <c r="N173" i="2"/>
  <c r="N185" i="2"/>
  <c r="M185" i="2"/>
  <c r="M197" i="2"/>
  <c r="N197" i="2"/>
  <c r="M213" i="2"/>
  <c r="N213" i="2"/>
  <c r="N225" i="2"/>
  <c r="M225" i="2"/>
  <c r="M253" i="2"/>
  <c r="N253" i="2"/>
  <c r="M390" i="2"/>
  <c r="N390" i="2"/>
  <c r="I389" i="1"/>
  <c r="I36" i="1"/>
  <c r="I52" i="1"/>
  <c r="I88" i="1"/>
  <c r="I108" i="1"/>
  <c r="I128" i="1"/>
  <c r="I152" i="1"/>
  <c r="I168" i="1"/>
  <c r="I196" i="1"/>
  <c r="I212" i="1"/>
  <c r="I244" i="1"/>
  <c r="I256" i="1"/>
  <c r="I300" i="1"/>
  <c r="I320" i="1"/>
  <c r="I348" i="1"/>
  <c r="M377" i="2"/>
  <c r="N377" i="2"/>
  <c r="E7" i="2"/>
  <c r="B6" i="2"/>
  <c r="D7" i="2"/>
  <c r="N6" i="2"/>
  <c r="D6" i="2" s="1"/>
  <c r="M6" i="2"/>
  <c r="P6" i="2" s="1"/>
  <c r="N38" i="2"/>
  <c r="M38" i="2"/>
  <c r="N46" i="2"/>
  <c r="M46" i="2"/>
  <c r="N54" i="2"/>
  <c r="M54" i="2"/>
  <c r="N62" i="2"/>
  <c r="M62" i="2"/>
  <c r="N70" i="2"/>
  <c r="M70" i="2"/>
  <c r="N78" i="2"/>
  <c r="M78" i="2"/>
  <c r="N86" i="2"/>
  <c r="M86" i="2"/>
  <c r="N94" i="2"/>
  <c r="M94" i="2"/>
  <c r="N114" i="2"/>
  <c r="M114" i="2"/>
  <c r="N122" i="2"/>
  <c r="M122" i="2"/>
  <c r="N134" i="2"/>
  <c r="M134" i="2"/>
  <c r="N146" i="2"/>
  <c r="M146" i="2"/>
  <c r="N158" i="2"/>
  <c r="M158" i="2"/>
  <c r="N166" i="2"/>
  <c r="M166" i="2"/>
  <c r="N174" i="2"/>
  <c r="M174" i="2"/>
  <c r="N182" i="2"/>
  <c r="M182" i="2"/>
  <c r="N190" i="2"/>
  <c r="M190" i="2"/>
  <c r="M194" i="2"/>
  <c r="N194" i="2"/>
  <c r="M202" i="2"/>
  <c r="N202" i="2"/>
  <c r="M210" i="2"/>
  <c r="N210" i="2"/>
  <c r="M218" i="2"/>
  <c r="N218" i="2"/>
  <c r="N222" i="2"/>
  <c r="M222" i="2"/>
  <c r="N230" i="2"/>
  <c r="M230" i="2"/>
  <c r="N238" i="2"/>
  <c r="M238" i="2"/>
  <c r="N250" i="2"/>
  <c r="M250" i="2"/>
  <c r="N258" i="2"/>
  <c r="M258" i="2"/>
  <c r="N270" i="2"/>
  <c r="M270" i="2"/>
  <c r="M278" i="2"/>
  <c r="N278" i="2"/>
  <c r="M286" i="2"/>
  <c r="N286" i="2"/>
  <c r="N298" i="2"/>
  <c r="M298" i="2"/>
  <c r="M306" i="2"/>
  <c r="N306" i="2"/>
  <c r="N318" i="2"/>
  <c r="M318" i="2"/>
  <c r="N326" i="2"/>
  <c r="M326" i="2"/>
  <c r="M334" i="2"/>
  <c r="N334" i="2"/>
  <c r="N346" i="2"/>
  <c r="M346" i="2"/>
  <c r="N355" i="2"/>
  <c r="M355" i="2"/>
  <c r="N364" i="2"/>
  <c r="M364" i="2"/>
  <c r="I367" i="1"/>
  <c r="I376" i="1"/>
  <c r="N382" i="2"/>
  <c r="M382" i="2"/>
  <c r="I381" i="1"/>
  <c r="I399" i="1"/>
  <c r="I5" i="1"/>
  <c r="I9" i="1"/>
  <c r="I13" i="1"/>
  <c r="I17" i="1"/>
  <c r="I21" i="1"/>
  <c r="H5" i="3" s="1"/>
  <c r="I29" i="1"/>
  <c r="I37" i="1"/>
  <c r="I41" i="1"/>
  <c r="I45" i="1"/>
  <c r="I49" i="1"/>
  <c r="I53" i="1"/>
  <c r="I57" i="1"/>
  <c r="I61" i="1"/>
  <c r="I69" i="1"/>
  <c r="I77" i="1"/>
  <c r="I85" i="1"/>
  <c r="I93" i="1"/>
  <c r="I97" i="1"/>
  <c r="I101" i="1"/>
  <c r="I105" i="1"/>
  <c r="I109" i="1"/>
  <c r="I113" i="1"/>
  <c r="I117" i="1"/>
  <c r="I121" i="1"/>
  <c r="I125" i="1"/>
  <c r="I129" i="1"/>
  <c r="I133" i="1"/>
  <c r="I137" i="1"/>
  <c r="I141" i="1"/>
  <c r="I145" i="1"/>
  <c r="I149" i="1"/>
  <c r="I153" i="1"/>
  <c r="I157" i="1"/>
  <c r="I161" i="1"/>
  <c r="I165" i="1"/>
  <c r="I169" i="1"/>
  <c r="I173" i="1"/>
  <c r="I177" i="1"/>
  <c r="I181" i="1"/>
  <c r="I185" i="1"/>
  <c r="I189" i="1"/>
  <c r="I193" i="1"/>
  <c r="I197" i="1"/>
  <c r="I201" i="1"/>
  <c r="I205" i="1"/>
  <c r="I209" i="1"/>
  <c r="I213" i="1"/>
  <c r="I217" i="1"/>
  <c r="I221" i="1"/>
  <c r="I225" i="1"/>
  <c r="I229" i="1"/>
  <c r="I233" i="1"/>
  <c r="I237" i="1"/>
  <c r="I241" i="1"/>
  <c r="I245" i="1"/>
  <c r="I249" i="1"/>
  <c r="I253" i="1"/>
  <c r="I257" i="1"/>
  <c r="I261" i="1"/>
  <c r="I265" i="1"/>
  <c r="I269" i="1"/>
  <c r="I273" i="1"/>
  <c r="I277" i="1"/>
  <c r="I281" i="1"/>
  <c r="I285" i="1"/>
  <c r="I289" i="1"/>
  <c r="I293" i="1"/>
  <c r="I297" i="1"/>
  <c r="I301" i="1"/>
  <c r="I305" i="1"/>
  <c r="I309" i="1"/>
  <c r="I313" i="1"/>
  <c r="I317" i="1"/>
  <c r="I321" i="1"/>
  <c r="I325" i="1"/>
  <c r="I329" i="1"/>
  <c r="I333" i="1"/>
  <c r="I337" i="1"/>
  <c r="I341" i="1"/>
  <c r="I345" i="1"/>
  <c r="M351" i="2"/>
  <c r="N351" i="2"/>
  <c r="I354" i="1"/>
  <c r="N360" i="2"/>
  <c r="M360" i="2"/>
  <c r="I363" i="1"/>
  <c r="N369" i="2"/>
  <c r="M369" i="2"/>
  <c r="I372" i="1"/>
  <c r="M378" i="2"/>
  <c r="N378" i="2"/>
  <c r="I377" i="1"/>
  <c r="M383" i="2"/>
  <c r="N383" i="2"/>
  <c r="I386" i="1"/>
  <c r="M392" i="2"/>
  <c r="N392" i="2"/>
  <c r="I395" i="1"/>
  <c r="M401" i="2"/>
  <c r="N401" i="2"/>
  <c r="N48" i="2"/>
  <c r="M53" i="2"/>
  <c r="M55" i="2"/>
  <c r="M58" i="2"/>
  <c r="M60" i="2"/>
  <c r="N96" i="2"/>
  <c r="M96" i="2"/>
  <c r="N385" i="2"/>
  <c r="M385" i="2"/>
  <c r="N17" i="2"/>
  <c r="M17" i="2"/>
  <c r="N57" i="2"/>
  <c r="M57" i="2"/>
  <c r="N73" i="2"/>
  <c r="M73" i="2"/>
  <c r="N101" i="2"/>
  <c r="M101" i="2"/>
  <c r="N117" i="2"/>
  <c r="M117" i="2"/>
  <c r="N133" i="2"/>
  <c r="M133" i="2"/>
  <c r="M157" i="2"/>
  <c r="N157" i="2"/>
  <c r="M181" i="2"/>
  <c r="N181" i="2"/>
  <c r="M193" i="2"/>
  <c r="N193" i="2"/>
  <c r="M205" i="2"/>
  <c r="N205" i="2"/>
  <c r="M221" i="2"/>
  <c r="N221" i="2"/>
  <c r="N233" i="2"/>
  <c r="M233" i="2"/>
  <c r="N241" i="2"/>
  <c r="M241" i="2"/>
  <c r="N249" i="2"/>
  <c r="M249" i="2"/>
  <c r="M261" i="2"/>
  <c r="N261" i="2"/>
  <c r="M273" i="2"/>
  <c r="N273" i="2"/>
  <c r="N285" i="2"/>
  <c r="M285" i="2"/>
  <c r="M289" i="2"/>
  <c r="N289" i="2"/>
  <c r="M297" i="2"/>
  <c r="N297" i="2"/>
  <c r="N305" i="2"/>
  <c r="M305" i="2"/>
  <c r="N317" i="2"/>
  <c r="M317" i="2"/>
  <c r="N329" i="2"/>
  <c r="M329" i="2"/>
  <c r="N337" i="2"/>
  <c r="M337" i="2"/>
  <c r="N345" i="2"/>
  <c r="M345" i="2"/>
  <c r="I352" i="1"/>
  <c r="N358" i="2"/>
  <c r="M358" i="2"/>
  <c r="I357" i="1"/>
  <c r="I366" i="1"/>
  <c r="N381" i="2"/>
  <c r="M381" i="2"/>
  <c r="M8" i="2"/>
  <c r="I8" i="1"/>
  <c r="I40" i="1"/>
  <c r="I56" i="1"/>
  <c r="I72" i="1"/>
  <c r="I104" i="1"/>
  <c r="I120" i="1"/>
  <c r="I132" i="1"/>
  <c r="I136" i="1"/>
  <c r="I148" i="1"/>
  <c r="I156" i="1"/>
  <c r="I172" i="1"/>
  <c r="I184" i="1"/>
  <c r="I200" i="1"/>
  <c r="I216" i="1"/>
  <c r="I236" i="1"/>
  <c r="I252" i="1"/>
  <c r="I268" i="1"/>
  <c r="I280" i="1"/>
  <c r="I308" i="1"/>
  <c r="M19" i="2"/>
  <c r="N19" i="2"/>
  <c r="M27" i="2"/>
  <c r="N27" i="2"/>
  <c r="M35" i="2"/>
  <c r="N35" i="2"/>
  <c r="M43" i="2"/>
  <c r="N43" i="2"/>
  <c r="M51" i="2"/>
  <c r="N51" i="2"/>
  <c r="M59" i="2"/>
  <c r="N59" i="2"/>
  <c r="M67" i="2"/>
  <c r="N67" i="2"/>
  <c r="M75" i="2"/>
  <c r="N75" i="2"/>
  <c r="M83" i="2"/>
  <c r="N83" i="2"/>
  <c r="M91" i="2"/>
  <c r="N91" i="2"/>
  <c r="M99" i="2"/>
  <c r="N99" i="2"/>
  <c r="M107" i="2"/>
  <c r="N107" i="2"/>
  <c r="M115" i="2"/>
  <c r="N115" i="2"/>
  <c r="N119" i="2"/>
  <c r="M119" i="2"/>
  <c r="N123" i="2"/>
  <c r="M123" i="2"/>
  <c r="N127" i="2"/>
  <c r="M127" i="2"/>
  <c r="N131" i="2"/>
  <c r="M131" i="2"/>
  <c r="N135" i="2"/>
  <c r="M135" i="2"/>
  <c r="N139" i="2"/>
  <c r="M139" i="2"/>
  <c r="N143" i="2"/>
  <c r="M143" i="2"/>
  <c r="N147" i="2"/>
  <c r="M147" i="2"/>
  <c r="N151" i="2"/>
  <c r="M151" i="2"/>
  <c r="N155" i="2"/>
  <c r="M155" i="2"/>
  <c r="N159" i="2"/>
  <c r="M159" i="2"/>
  <c r="N163" i="2"/>
  <c r="M163" i="2"/>
  <c r="N167" i="2"/>
  <c r="M167" i="2"/>
  <c r="N171" i="2"/>
  <c r="M171" i="2"/>
  <c r="N175" i="2"/>
  <c r="M175" i="2"/>
  <c r="N179" i="2"/>
  <c r="M179" i="2"/>
  <c r="N183" i="2"/>
  <c r="M183" i="2"/>
  <c r="N187" i="2"/>
  <c r="M187" i="2"/>
  <c r="N191" i="2"/>
  <c r="M191" i="2"/>
  <c r="N195" i="2"/>
  <c r="M195" i="2"/>
  <c r="N199" i="2"/>
  <c r="M199" i="2"/>
  <c r="N203" i="2"/>
  <c r="M203" i="2"/>
  <c r="N207" i="2"/>
  <c r="M207" i="2"/>
  <c r="N211" i="2"/>
  <c r="M211" i="2"/>
  <c r="N215" i="2"/>
  <c r="M215" i="2"/>
  <c r="N219" i="2"/>
  <c r="M219" i="2"/>
  <c r="N223" i="2"/>
  <c r="M223" i="2"/>
  <c r="N227" i="2"/>
  <c r="M227" i="2"/>
  <c r="N231" i="2"/>
  <c r="M231" i="2"/>
  <c r="N235" i="2"/>
  <c r="M235" i="2"/>
  <c r="N239" i="2"/>
  <c r="M239" i="2"/>
  <c r="N243" i="2"/>
  <c r="M243" i="2"/>
  <c r="N247" i="2"/>
  <c r="M247" i="2"/>
  <c r="N251" i="2"/>
  <c r="M251" i="2"/>
  <c r="N255" i="2"/>
  <c r="M255" i="2"/>
  <c r="N259" i="2"/>
  <c r="M259" i="2"/>
  <c r="N263" i="2"/>
  <c r="M263" i="2"/>
  <c r="M267" i="2"/>
  <c r="N267" i="2"/>
  <c r="N271" i="2"/>
  <c r="M271" i="2"/>
  <c r="N275" i="2"/>
  <c r="M275" i="2"/>
  <c r="N279" i="2"/>
  <c r="M279" i="2"/>
  <c r="M283" i="2"/>
  <c r="N283" i="2"/>
  <c r="N287" i="2"/>
  <c r="M287" i="2"/>
  <c r="N291" i="2"/>
  <c r="M291" i="2"/>
  <c r="N295" i="2"/>
  <c r="M295" i="2"/>
  <c r="M299" i="2"/>
  <c r="N299" i="2"/>
  <c r="N303" i="2"/>
  <c r="M303" i="2"/>
  <c r="M307" i="2"/>
  <c r="N307" i="2"/>
  <c r="N311" i="2"/>
  <c r="M311" i="2"/>
  <c r="M315" i="2"/>
  <c r="N315" i="2"/>
  <c r="M319" i="2"/>
  <c r="N319" i="2"/>
  <c r="M323" i="2"/>
  <c r="N323" i="2"/>
  <c r="N327" i="2"/>
  <c r="M327" i="2"/>
  <c r="N331" i="2"/>
  <c r="M331" i="2"/>
  <c r="N335" i="2"/>
  <c r="M335" i="2"/>
  <c r="M339" i="2"/>
  <c r="N339" i="2"/>
  <c r="N343" i="2"/>
  <c r="M343" i="2"/>
  <c r="N347" i="2"/>
  <c r="M347" i="2"/>
  <c r="N356" i="2"/>
  <c r="M356" i="2"/>
  <c r="N365" i="2"/>
  <c r="M365" i="2"/>
  <c r="N374" i="2"/>
  <c r="M374" i="2"/>
  <c r="I373" i="1"/>
  <c r="M379" i="2"/>
  <c r="N379" i="2"/>
  <c r="N388" i="2"/>
  <c r="M388" i="2"/>
  <c r="N397" i="2"/>
  <c r="M397" i="2"/>
  <c r="N15" i="2"/>
  <c r="M20" i="2"/>
  <c r="N56" i="2"/>
  <c r="N395" i="2"/>
  <c r="M395" i="2"/>
  <c r="N399" i="2"/>
  <c r="M399" i="2"/>
  <c r="E5" i="3"/>
  <c r="L5" i="3"/>
  <c r="D5" i="3" s="1"/>
  <c r="C5" i="3"/>
  <c r="J28" i="3"/>
  <c r="J8" i="3"/>
  <c r="J18" i="3"/>
  <c r="F5" i="3" l="1"/>
  <c r="B5" i="3"/>
  <c r="G5" i="3" s="1"/>
  <c r="J38" i="3"/>
  <c r="A8" i="3"/>
  <c r="J49" i="3"/>
  <c r="A7" i="3"/>
  <c r="A6" i="3"/>
  <c r="P7" i="2"/>
  <c r="F6" i="2"/>
  <c r="C6" i="2"/>
  <c r="B7" i="2"/>
  <c r="J14" i="2"/>
  <c r="A7" i="2"/>
  <c r="C7" i="2"/>
  <c r="J9" i="2"/>
  <c r="J15" i="2"/>
  <c r="B8" i="2"/>
  <c r="B9" i="2"/>
  <c r="A10" i="2" l="1"/>
  <c r="C10" i="2"/>
  <c r="A10" i="3"/>
  <c r="D10" i="2"/>
  <c r="H6" i="3"/>
  <c r="D6" i="3"/>
  <c r="L6" i="3"/>
  <c r="E6" i="3" s="1"/>
  <c r="B6" i="3"/>
  <c r="C6" i="3"/>
  <c r="F6" i="3"/>
  <c r="J59" i="3"/>
  <c r="E9" i="2"/>
  <c r="D7" i="3"/>
  <c r="B7" i="3"/>
  <c r="H7" i="3"/>
  <c r="E7" i="3"/>
  <c r="L7" i="3"/>
  <c r="C7" i="3" s="1"/>
  <c r="A11" i="3"/>
  <c r="J79" i="3"/>
  <c r="B10" i="2"/>
  <c r="J17" i="2"/>
  <c r="D9" i="2"/>
  <c r="A8" i="2"/>
  <c r="F12" i="2"/>
  <c r="F8" i="2"/>
  <c r="A9" i="2"/>
  <c r="J16" i="2"/>
  <c r="C8" i="2"/>
  <c r="D8" i="2"/>
  <c r="C9" i="2"/>
  <c r="E10" i="2"/>
  <c r="E8" i="2"/>
  <c r="L8" i="3"/>
  <c r="H8" i="3"/>
  <c r="E8" i="3"/>
  <c r="B8" i="3"/>
  <c r="J74" i="3"/>
  <c r="F9" i="2"/>
  <c r="P8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F7" i="2"/>
  <c r="A9" i="3"/>
  <c r="F7" i="3" l="1"/>
  <c r="G7" i="3"/>
  <c r="E12" i="2"/>
  <c r="B12" i="2"/>
  <c r="A11" i="2"/>
  <c r="F11" i="2"/>
  <c r="A12" i="2"/>
  <c r="B11" i="2"/>
  <c r="E11" i="2"/>
  <c r="D11" i="2"/>
  <c r="C11" i="2"/>
  <c r="D12" i="2"/>
  <c r="J18" i="2"/>
  <c r="C8" i="3"/>
  <c r="F8" i="3"/>
  <c r="D8" i="3"/>
  <c r="C12" i="2"/>
  <c r="G6" i="3"/>
  <c r="L11" i="3"/>
  <c r="C11" i="3" s="1"/>
  <c r="A13" i="3"/>
  <c r="L10" i="3"/>
  <c r="E10" i="3" s="1"/>
  <c r="C10" i="3"/>
  <c r="H10" i="3"/>
  <c r="B10" i="3"/>
  <c r="F10" i="3"/>
  <c r="A12" i="3"/>
  <c r="L9" i="3"/>
  <c r="F9" i="3" s="1"/>
  <c r="F10" i="2"/>
  <c r="J89" i="3"/>
  <c r="H9" i="3" l="1"/>
  <c r="E11" i="3"/>
  <c r="D11" i="3"/>
  <c r="H11" i="3"/>
  <c r="B11" i="3"/>
  <c r="G11" i="3" s="1"/>
  <c r="F11" i="3"/>
  <c r="C9" i="3"/>
  <c r="E9" i="3"/>
  <c r="B9" i="3"/>
  <c r="D9" i="3"/>
  <c r="H13" i="3"/>
  <c r="L13" i="3"/>
  <c r="F13" i="3" s="1"/>
  <c r="D10" i="3"/>
  <c r="G10" i="3" s="1"/>
  <c r="E13" i="2"/>
  <c r="J19" i="2"/>
  <c r="D13" i="2"/>
  <c r="C14" i="2"/>
  <c r="C13" i="2"/>
  <c r="C15" i="2"/>
  <c r="A14" i="2"/>
  <c r="F13" i="2"/>
  <c r="E14" i="2"/>
  <c r="B13" i="2"/>
  <c r="B15" i="2"/>
  <c r="F14" i="2"/>
  <c r="J24" i="2"/>
  <c r="F15" i="2"/>
  <c r="D15" i="2"/>
  <c r="A14" i="3"/>
  <c r="D14" i="2"/>
  <c r="A13" i="2"/>
  <c r="J103" i="3"/>
  <c r="J25" i="2"/>
  <c r="L12" i="3"/>
  <c r="D12" i="3"/>
  <c r="G8" i="3"/>
  <c r="C13" i="3" l="1"/>
  <c r="D13" i="3"/>
  <c r="E13" i="3"/>
  <c r="G9" i="3"/>
  <c r="D16" i="2"/>
  <c r="E16" i="2"/>
  <c r="F16" i="2"/>
  <c r="J26" i="2"/>
  <c r="A16" i="2"/>
  <c r="A17" i="2"/>
  <c r="F17" i="2"/>
  <c r="C12" i="3"/>
  <c r="B12" i="3"/>
  <c r="H12" i="3"/>
  <c r="F12" i="3"/>
  <c r="E12" i="3"/>
  <c r="J121" i="3"/>
  <c r="A59" i="3"/>
  <c r="A55" i="3"/>
  <c r="J137" i="3"/>
  <c r="J149" i="3" s="1"/>
  <c r="A36" i="3"/>
  <c r="A29" i="3"/>
  <c r="L14" i="3"/>
  <c r="F14" i="3" s="1"/>
  <c r="D14" i="3"/>
  <c r="H14" i="3"/>
  <c r="C14" i="3"/>
  <c r="A40" i="3"/>
  <c r="B17" i="2"/>
  <c r="B13" i="3"/>
  <c r="G13" i="3" s="1"/>
  <c r="B16" i="2"/>
  <c r="E15" i="2"/>
  <c r="C16" i="2"/>
  <c r="B14" i="2"/>
  <c r="C17" i="2"/>
  <c r="J27" i="2"/>
  <c r="J28" i="2" l="1"/>
  <c r="J29" i="2" s="1"/>
  <c r="J34" i="2" s="1"/>
  <c r="J35" i="2" s="1"/>
  <c r="J36" i="2" s="1"/>
  <c r="J37" i="2" s="1"/>
  <c r="J38" i="2" s="1"/>
  <c r="J39" i="2" s="1"/>
  <c r="J44" i="2" s="1"/>
  <c r="J45" i="2" s="1"/>
  <c r="J46" i="2" s="1"/>
  <c r="J47" i="2" s="1"/>
  <c r="J48" i="2" s="1"/>
  <c r="J49" i="2" s="1"/>
  <c r="J50" i="2" s="1"/>
  <c r="B32" i="2"/>
  <c r="B20" i="2"/>
  <c r="A27" i="2"/>
  <c r="A33" i="2"/>
  <c r="A22" i="2"/>
  <c r="H55" i="3"/>
  <c r="F55" i="3"/>
  <c r="D55" i="3"/>
  <c r="B55" i="3"/>
  <c r="L55" i="3"/>
  <c r="G55" i="3"/>
  <c r="E55" i="3"/>
  <c r="C55" i="3"/>
  <c r="A31" i="2"/>
  <c r="F29" i="2"/>
  <c r="L40" i="3"/>
  <c r="C40" i="3"/>
  <c r="G40" i="3"/>
  <c r="F40" i="3"/>
  <c r="D40" i="3"/>
  <c r="B40" i="3"/>
  <c r="H40" i="3"/>
  <c r="E40" i="3"/>
  <c r="G36" i="3"/>
  <c r="E36" i="3"/>
  <c r="L36" i="3"/>
  <c r="C36" i="3"/>
  <c r="B36" i="3"/>
  <c r="H36" i="3"/>
  <c r="F36" i="3"/>
  <c r="D36" i="3"/>
  <c r="D59" i="3"/>
  <c r="B59" i="3"/>
  <c r="H59" i="3"/>
  <c r="F59" i="3"/>
  <c r="E59" i="3"/>
  <c r="C59" i="3"/>
  <c r="G59" i="3"/>
  <c r="L59" i="3"/>
  <c r="C18" i="2"/>
  <c r="F25" i="2"/>
  <c r="F21" i="2"/>
  <c r="B27" i="2"/>
  <c r="A20" i="2"/>
  <c r="E20" i="2"/>
  <c r="F20" i="2"/>
  <c r="D28" i="2"/>
  <c r="E32" i="2"/>
  <c r="E14" i="3"/>
  <c r="B14" i="3"/>
  <c r="A39" i="3"/>
  <c r="A19" i="3"/>
  <c r="C33" i="2"/>
  <c r="A62" i="3"/>
  <c r="A61" i="3"/>
  <c r="A48" i="3"/>
  <c r="A41" i="3"/>
  <c r="A49" i="3"/>
  <c r="A21" i="3"/>
  <c r="A53" i="3"/>
  <c r="A31" i="3"/>
  <c r="A26" i="3"/>
  <c r="A52" i="3"/>
  <c r="A43" i="3"/>
  <c r="A16" i="3"/>
  <c r="A44" i="3"/>
  <c r="A64" i="3"/>
  <c r="A56" i="3"/>
  <c r="A15" i="3"/>
  <c r="A63" i="3"/>
  <c r="A57" i="3"/>
  <c r="A37" i="3"/>
  <c r="A46" i="3"/>
  <c r="A42" i="3"/>
  <c r="A60" i="3"/>
  <c r="A33" i="3"/>
  <c r="A54" i="3"/>
  <c r="A58" i="3"/>
  <c r="A24" i="3"/>
  <c r="A25" i="3"/>
  <c r="A47" i="3"/>
  <c r="A18" i="3"/>
  <c r="A22" i="3"/>
  <c r="G12" i="3"/>
  <c r="A34" i="3"/>
  <c r="A27" i="3"/>
  <c r="J55" i="2"/>
  <c r="J56" i="2" s="1"/>
  <c r="J57" i="2" s="1"/>
  <c r="J58" i="2" s="1"/>
  <c r="D29" i="3"/>
  <c r="B29" i="3"/>
  <c r="H29" i="3"/>
  <c r="L29" i="3"/>
  <c r="E29" i="3"/>
  <c r="G29" i="3"/>
  <c r="F29" i="3"/>
  <c r="C29" i="3"/>
  <c r="J59" i="2"/>
  <c r="J60" i="2" s="1"/>
  <c r="J65" i="2" s="1"/>
  <c r="J66" i="2" s="1"/>
  <c r="J67" i="2" s="1"/>
  <c r="J68" i="2" s="1"/>
  <c r="J69" i="2" s="1"/>
  <c r="J70" i="2" s="1"/>
  <c r="J71" i="2" s="1"/>
  <c r="J74" i="2" s="1"/>
  <c r="J75" i="2" s="1"/>
  <c r="J76" i="2" s="1"/>
  <c r="J77" i="2" s="1"/>
  <c r="J78" i="2" s="1"/>
  <c r="J79" i="2" s="1"/>
  <c r="J80" i="2" s="1"/>
  <c r="J85" i="2" s="1"/>
  <c r="J86" i="2" s="1"/>
  <c r="J87" i="2" s="1"/>
  <c r="J88" i="2" s="1"/>
  <c r="J89" i="2" s="1"/>
  <c r="J90" i="2" s="1"/>
  <c r="J95" i="2" s="1"/>
  <c r="J96" i="2" s="1"/>
  <c r="J97" i="2" s="1"/>
  <c r="J98" i="2" s="1"/>
  <c r="J99" i="2" s="1"/>
  <c r="J100" i="2" s="1"/>
  <c r="J101" i="2" s="1"/>
  <c r="J102" i="2" s="1"/>
  <c r="J103" i="2" s="1"/>
  <c r="J106" i="2" s="1"/>
  <c r="J107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42" i="2" s="1"/>
  <c r="J143" i="2" s="1"/>
  <c r="J144" i="2" s="1"/>
  <c r="J145" i="2" s="1"/>
  <c r="J146" i="2" s="1"/>
  <c r="J147" i="2" s="1"/>
  <c r="J148" i="2" s="1"/>
  <c r="J149" i="2" s="1"/>
  <c r="J154" i="2" s="1"/>
  <c r="J155" i="2" s="1"/>
  <c r="J156" i="2" s="1"/>
  <c r="J157" i="2" s="1"/>
  <c r="J158" i="2" s="1"/>
  <c r="J159" i="2" s="1"/>
  <c r="J160" i="2" s="1"/>
  <c r="J161" i="2" s="1"/>
  <c r="A28" i="3"/>
  <c r="A17" i="3"/>
  <c r="A50" i="3"/>
  <c r="A35" i="3"/>
  <c r="A30" i="3"/>
  <c r="A23" i="3"/>
  <c r="A51" i="3"/>
  <c r="A45" i="3"/>
  <c r="A20" i="3"/>
  <c r="A32" i="3"/>
  <c r="A38" i="3"/>
  <c r="B22" i="2"/>
  <c r="E23" i="2"/>
  <c r="G14" i="3" l="1"/>
  <c r="E348" i="2"/>
  <c r="B259" i="2"/>
  <c r="A252" i="2"/>
  <c r="C98" i="2"/>
  <c r="A74" i="2"/>
  <c r="A243" i="2"/>
  <c r="C132" i="2"/>
  <c r="E339" i="2"/>
  <c r="A208" i="2"/>
  <c r="A25" i="2"/>
  <c r="B210" i="2"/>
  <c r="F317" i="2"/>
  <c r="D360" i="2"/>
  <c r="F291" i="2"/>
  <c r="C23" i="2"/>
  <c r="C216" i="2"/>
  <c r="E85" i="2"/>
  <c r="B172" i="2"/>
  <c r="C55" i="2"/>
  <c r="B58" i="2"/>
  <c r="F321" i="2"/>
  <c r="B331" i="2"/>
  <c r="D51" i="2"/>
  <c r="C386" i="2"/>
  <c r="D386" i="2"/>
  <c r="D293" i="2"/>
  <c r="E300" i="2"/>
  <c r="B363" i="2"/>
  <c r="F163" i="2"/>
  <c r="D169" i="2"/>
  <c r="E356" i="2"/>
  <c r="D161" i="2"/>
  <c r="A15" i="2"/>
  <c r="D378" i="2"/>
  <c r="F311" i="2"/>
  <c r="D45" i="2"/>
  <c r="F378" i="2"/>
  <c r="E280" i="2"/>
  <c r="B226" i="2"/>
  <c r="D180" i="2"/>
  <c r="A47" i="2"/>
  <c r="D362" i="2"/>
  <c r="F204" i="2"/>
  <c r="F354" i="2"/>
  <c r="A167" i="2"/>
  <c r="E394" i="2"/>
  <c r="F240" i="2"/>
  <c r="D326" i="2"/>
  <c r="C338" i="2"/>
  <c r="F32" i="2"/>
  <c r="C360" i="2"/>
  <c r="F385" i="2"/>
  <c r="F376" i="2"/>
  <c r="D321" i="2"/>
  <c r="A379" i="2"/>
  <c r="D59" i="2"/>
  <c r="C329" i="2"/>
  <c r="E264" i="2"/>
  <c r="D272" i="2"/>
  <c r="F238" i="2"/>
  <c r="F265" i="2"/>
  <c r="E392" i="2"/>
  <c r="C249" i="2"/>
  <c r="F91" i="2"/>
  <c r="B286" i="2"/>
  <c r="E380" i="2"/>
  <c r="F22" i="2"/>
  <c r="A382" i="2"/>
  <c r="B391" i="2"/>
  <c r="E329" i="2"/>
  <c r="F389" i="2"/>
  <c r="A340" i="2"/>
  <c r="B253" i="2"/>
  <c r="B358" i="2"/>
  <c r="F35" i="2"/>
  <c r="E94" i="2"/>
  <c r="E335" i="2"/>
  <c r="D244" i="2"/>
  <c r="F80" i="2"/>
  <c r="F262" i="2"/>
  <c r="C311" i="2"/>
  <c r="D364" i="2"/>
  <c r="C69" i="2"/>
  <c r="F296" i="2"/>
  <c r="D367" i="2"/>
  <c r="B52" i="2"/>
  <c r="B50" i="2"/>
  <c r="D356" i="2"/>
  <c r="E308" i="2"/>
  <c r="B103" i="2"/>
  <c r="F319" i="2"/>
  <c r="F172" i="2"/>
  <c r="B74" i="2"/>
  <c r="C253" i="2"/>
  <c r="B373" i="2"/>
  <c r="F281" i="2"/>
  <c r="F345" i="2"/>
  <c r="A355" i="2"/>
  <c r="B276" i="2"/>
  <c r="E401" i="2"/>
  <c r="B310" i="2"/>
  <c r="F363" i="2"/>
  <c r="A34" i="2"/>
  <c r="C312" i="2"/>
  <c r="A108" i="2"/>
  <c r="F89" i="2"/>
  <c r="F355" i="2"/>
  <c r="D295" i="2"/>
  <c r="D390" i="2"/>
  <c r="F94" i="2"/>
  <c r="E349" i="2"/>
  <c r="A226" i="2"/>
  <c r="F398" i="2"/>
  <c r="C283" i="2"/>
  <c r="C289" i="2"/>
  <c r="C322" i="2"/>
  <c r="C355" i="2"/>
  <c r="C165" i="2"/>
  <c r="F86" i="2"/>
  <c r="A179" i="2"/>
  <c r="C327" i="2"/>
  <c r="C366" i="2"/>
  <c r="A150" i="2"/>
  <c r="B284" i="2"/>
  <c r="E377" i="2"/>
  <c r="E390" i="2"/>
  <c r="A313" i="2"/>
  <c r="C63" i="2"/>
  <c r="D302" i="2"/>
  <c r="E88" i="2"/>
  <c r="F367" i="2"/>
  <c r="E257" i="2"/>
  <c r="E197" i="2"/>
  <c r="B389" i="2"/>
  <c r="E212" i="2"/>
  <c r="E367" i="2"/>
  <c r="D327" i="2"/>
  <c r="E273" i="2"/>
  <c r="F261" i="2"/>
  <c r="A359" i="2"/>
  <c r="F235" i="2"/>
  <c r="E169" i="2"/>
  <c r="E283" i="2"/>
  <c r="C301" i="2"/>
  <c r="C384" i="2"/>
  <c r="E399" i="2"/>
  <c r="F290" i="2"/>
  <c r="B351" i="2"/>
  <c r="A65" i="2"/>
  <c r="D182" i="2"/>
  <c r="E360" i="2"/>
  <c r="D288" i="2"/>
  <c r="E240" i="2"/>
  <c r="B235" i="2"/>
  <c r="F214" i="2"/>
  <c r="F370" i="2"/>
  <c r="B23" i="2"/>
  <c r="D179" i="2"/>
  <c r="B232" i="2"/>
  <c r="B357" i="2"/>
  <c r="B314" i="2"/>
  <c r="C287" i="2"/>
  <c r="F196" i="2"/>
  <c r="F83" i="2"/>
  <c r="E67" i="2"/>
  <c r="E193" i="2"/>
  <c r="B340" i="2"/>
  <c r="E311" i="2"/>
  <c r="E375" i="2"/>
  <c r="D257" i="2"/>
  <c r="D358" i="2"/>
  <c r="F217" i="2"/>
  <c r="B396" i="2"/>
  <c r="E70" i="2"/>
  <c r="C399" i="2"/>
  <c r="F287" i="2"/>
  <c r="E140" i="2"/>
  <c r="F316" i="2"/>
  <c r="A263" i="2"/>
  <c r="B352" i="2"/>
  <c r="B366" i="2"/>
  <c r="C271" i="2"/>
  <c r="D90" i="2"/>
  <c r="E346" i="2"/>
  <c r="B282" i="2"/>
  <c r="E153" i="2"/>
  <c r="B157" i="2"/>
  <c r="E376" i="2"/>
  <c r="B337" i="2"/>
  <c r="C295" i="2"/>
  <c r="D348" i="2"/>
  <c r="E96" i="2"/>
  <c r="A297" i="2"/>
  <c r="D209" i="2"/>
  <c r="B348" i="2"/>
  <c r="B260" i="2"/>
  <c r="B326" i="2"/>
  <c r="F377" i="2"/>
  <c r="D375" i="2"/>
  <c r="A58" i="2"/>
  <c r="C282" i="2"/>
  <c r="C48" i="2"/>
  <c r="E398" i="2"/>
  <c r="D393" i="2"/>
  <c r="D233" i="2"/>
  <c r="C189" i="2"/>
  <c r="B297" i="2"/>
  <c r="F268" i="2"/>
  <c r="F342" i="2"/>
  <c r="D273" i="2"/>
  <c r="D345" i="2"/>
  <c r="A301" i="2"/>
  <c r="B335" i="2"/>
  <c r="D69" i="2"/>
  <c r="C45" i="2"/>
  <c r="C257" i="2"/>
  <c r="F223" i="2"/>
  <c r="E27" i="2"/>
  <c r="D300" i="2"/>
  <c r="D281" i="2"/>
  <c r="E254" i="2"/>
  <c r="A232" i="2"/>
  <c r="A258" i="2"/>
  <c r="B393" i="2"/>
  <c r="E230" i="2"/>
  <c r="B61" i="2"/>
  <c r="A242" i="2"/>
  <c r="A363" i="2"/>
  <c r="E350" i="2"/>
  <c r="F325" i="2"/>
  <c r="C168" i="2"/>
  <c r="C382" i="2"/>
  <c r="F33" i="2"/>
  <c r="E378" i="2"/>
  <c r="C72" i="2"/>
  <c r="C53" i="2"/>
  <c r="B242" i="2"/>
  <c r="F236" i="2"/>
  <c r="A82" i="2"/>
  <c r="C184" i="2"/>
  <c r="A55" i="2"/>
  <c r="D75" i="2"/>
  <c r="A364" i="2"/>
  <c r="E220" i="2"/>
  <c r="B271" i="2"/>
  <c r="E290" i="2"/>
  <c r="E298" i="2"/>
  <c r="D72" i="2"/>
  <c r="D380" i="2"/>
  <c r="C252" i="2"/>
  <c r="C400" i="2"/>
  <c r="C397" i="2"/>
  <c r="D355" i="2"/>
  <c r="A218" i="2"/>
  <c r="F374" i="2"/>
  <c r="A338" i="2"/>
  <c r="F169" i="2"/>
  <c r="A60" i="2"/>
  <c r="C171" i="2"/>
  <c r="C42" i="2"/>
  <c r="E341" i="2"/>
  <c r="E40" i="2"/>
  <c r="B362" i="2"/>
  <c r="F360" i="2"/>
  <c r="A266" i="2"/>
  <c r="B327" i="2"/>
  <c r="A268" i="2"/>
  <c r="A262" i="2"/>
  <c r="A181" i="2"/>
  <c r="F255" i="2"/>
  <c r="A49" i="2"/>
  <c r="C269" i="2"/>
  <c r="F220" i="2"/>
  <c r="A90" i="2"/>
  <c r="B346" i="2"/>
  <c r="B398" i="2"/>
  <c r="C39" i="2"/>
  <c r="E161" i="2"/>
  <c r="C348" i="2"/>
  <c r="B208" i="2"/>
  <c r="F338" i="2"/>
  <c r="B178" i="2"/>
  <c r="C150" i="2"/>
  <c r="B202" i="2"/>
  <c r="B231" i="2"/>
  <c r="D340" i="2"/>
  <c r="D202" i="2"/>
  <c r="E314" i="2"/>
  <c r="D343" i="2"/>
  <c r="A275" i="2"/>
  <c r="F310" i="2"/>
  <c r="D34" i="2"/>
  <c r="D399" i="2"/>
  <c r="F241" i="2"/>
  <c r="F301" i="2"/>
  <c r="F382" i="2"/>
  <c r="C383" i="2"/>
  <c r="A317" i="2"/>
  <c r="B173" i="2"/>
  <c r="F318" i="2"/>
  <c r="E51" i="2"/>
  <c r="D206" i="2"/>
  <c r="B66" i="2"/>
  <c r="F247" i="2"/>
  <c r="F38" i="2"/>
  <c r="D230" i="2"/>
  <c r="B181" i="2"/>
  <c r="C313" i="2"/>
  <c r="F272" i="2"/>
  <c r="E358" i="2"/>
  <c r="D344" i="2"/>
  <c r="E338" i="2"/>
  <c r="D270" i="2"/>
  <c r="E306" i="2"/>
  <c r="A194" i="2"/>
  <c r="E307" i="2"/>
  <c r="C374" i="2"/>
  <c r="A342" i="2"/>
  <c r="A360" i="2"/>
  <c r="C218" i="2"/>
  <c r="C305" i="2"/>
  <c r="D324" i="2"/>
  <c r="D53" i="2"/>
  <c r="B371" i="2"/>
  <c r="C376" i="2"/>
  <c r="C26" i="2"/>
  <c r="F332" i="2"/>
  <c r="C195" i="2"/>
  <c r="C246" i="2"/>
  <c r="D29" i="2"/>
  <c r="B214" i="2"/>
  <c r="D312" i="2"/>
  <c r="E327" i="2"/>
  <c r="B279" i="2"/>
  <c r="B250" i="2"/>
  <c r="A234" i="2"/>
  <c r="E355" i="2"/>
  <c r="F224" i="2"/>
  <c r="B89" i="2"/>
  <c r="B104" i="2"/>
  <c r="B211" i="2"/>
  <c r="C375" i="2"/>
  <c r="D205" i="2"/>
  <c r="E262" i="2"/>
  <c r="D113" i="2"/>
  <c r="E34" i="2"/>
  <c r="F19" i="2"/>
  <c r="D388" i="2"/>
  <c r="F76" i="2"/>
  <c r="D247" i="2"/>
  <c r="A123" i="2"/>
  <c r="B374" i="2"/>
  <c r="F92" i="2"/>
  <c r="D207" i="2"/>
  <c r="B154" i="2"/>
  <c r="E345" i="2"/>
  <c r="C19" i="2"/>
  <c r="B114" i="2"/>
  <c r="C35" i="2"/>
  <c r="C261" i="2"/>
  <c r="A168" i="2"/>
  <c r="C380" i="2"/>
  <c r="A50" i="2"/>
  <c r="A175" i="2"/>
  <c r="B25" i="2"/>
  <c r="C379" i="2"/>
  <c r="F300" i="2"/>
  <c r="A401" i="2"/>
  <c r="A80" i="2"/>
  <c r="A395" i="2"/>
  <c r="C20" i="2"/>
  <c r="A273" i="2"/>
  <c r="D122" i="2"/>
  <c r="F333" i="2"/>
  <c r="E62" i="2"/>
  <c r="B207" i="2"/>
  <c r="A227" i="2"/>
  <c r="C304" i="2"/>
  <c r="B179" i="2"/>
  <c r="C139" i="2"/>
  <c r="B180" i="2"/>
  <c r="F202" i="2"/>
  <c r="B77" i="2"/>
  <c r="D58" i="2"/>
  <c r="B201" i="2"/>
  <c r="D224" i="2"/>
  <c r="C77" i="2"/>
  <c r="F237" i="2"/>
  <c r="D260" i="2"/>
  <c r="A351" i="2"/>
  <c r="E297" i="2"/>
  <c r="A125" i="2"/>
  <c r="E202" i="2"/>
  <c r="C114" i="2"/>
  <c r="F147" i="2"/>
  <c r="F273" i="2"/>
  <c r="F51" i="2"/>
  <c r="A206" i="2"/>
  <c r="C59" i="2"/>
  <c r="C357" i="2"/>
  <c r="C286" i="2"/>
  <c r="E116" i="2"/>
  <c r="D176" i="2"/>
  <c r="B341" i="2"/>
  <c r="C340" i="2"/>
  <c r="C144" i="2"/>
  <c r="E282" i="2"/>
  <c r="D177" i="2"/>
  <c r="B152" i="2"/>
  <c r="F365" i="2"/>
  <c r="A376" i="2"/>
  <c r="E42" i="2"/>
  <c r="E166" i="2"/>
  <c r="C176" i="2"/>
  <c r="E342" i="2"/>
  <c r="D372" i="2"/>
  <c r="D84" i="2"/>
  <c r="C108" i="2"/>
  <c r="E26" i="2"/>
  <c r="F330" i="2"/>
  <c r="F274" i="2"/>
  <c r="C319" i="2"/>
  <c r="C356" i="2"/>
  <c r="C307" i="2"/>
  <c r="A375" i="2"/>
  <c r="C37" i="2"/>
  <c r="F384" i="2"/>
  <c r="E304" i="2"/>
  <c r="A180" i="2"/>
  <c r="B312" i="2"/>
  <c r="B315" i="2"/>
  <c r="C107" i="2"/>
  <c r="B318" i="2"/>
  <c r="C74" i="2"/>
  <c r="F336" i="2"/>
  <c r="D387" i="2"/>
  <c r="F323" i="2"/>
  <c r="C164" i="2"/>
  <c r="A335" i="2"/>
  <c r="F66" i="2"/>
  <c r="F191" i="2"/>
  <c r="F84" i="2"/>
  <c r="C244" i="2"/>
  <c r="F144" i="2"/>
  <c r="F101" i="2"/>
  <c r="A281" i="2"/>
  <c r="E29" i="2"/>
  <c r="D119" i="2"/>
  <c r="C353" i="2"/>
  <c r="C113" i="2"/>
  <c r="F386" i="2"/>
  <c r="F285" i="2"/>
  <c r="E186" i="2"/>
  <c r="B100" i="2"/>
  <c r="A118" i="2"/>
  <c r="D258" i="2"/>
  <c r="F277" i="2"/>
  <c r="E167" i="2"/>
  <c r="F149" i="2"/>
  <c r="C148" i="2"/>
  <c r="A95" i="2"/>
  <c r="A302" i="2"/>
  <c r="F390" i="2"/>
  <c r="A278" i="2"/>
  <c r="F304" i="2"/>
  <c r="D286" i="2"/>
  <c r="D20" i="2"/>
  <c r="E77" i="2"/>
  <c r="D96" i="2"/>
  <c r="A136" i="2"/>
  <c r="B381" i="2"/>
  <c r="F56" i="2"/>
  <c r="E247" i="2"/>
  <c r="A56" i="2"/>
  <c r="B197" i="2"/>
  <c r="D219" i="2"/>
  <c r="F67" i="2"/>
  <c r="E393" i="2"/>
  <c r="C290" i="2"/>
  <c r="E227" i="2"/>
  <c r="F243" i="2"/>
  <c r="B299" i="2"/>
  <c r="A35" i="2"/>
  <c r="A97" i="2"/>
  <c r="A70" i="2"/>
  <c r="A331" i="2"/>
  <c r="A61" i="2"/>
  <c r="A231" i="2"/>
  <c r="A221" i="2"/>
  <c r="C76" i="2"/>
  <c r="A127" i="2"/>
  <c r="C242" i="2"/>
  <c r="B269" i="2"/>
  <c r="E182" i="2"/>
  <c r="A189" i="2"/>
  <c r="A280" i="2"/>
  <c r="A24" i="2"/>
  <c r="E301" i="2"/>
  <c r="F30" i="2"/>
  <c r="B93" i="2"/>
  <c r="C125" i="2"/>
  <c r="C351" i="2"/>
  <c r="E151" i="2"/>
  <c r="E181" i="2"/>
  <c r="E316" i="2"/>
  <c r="F93" i="2"/>
  <c r="B313" i="2"/>
  <c r="A101" i="2"/>
  <c r="E36" i="2"/>
  <c r="E347" i="2"/>
  <c r="A32" i="2"/>
  <c r="D239" i="2"/>
  <c r="C145" i="2"/>
  <c r="C154" i="2"/>
  <c r="D166" i="2"/>
  <c r="F26" i="2"/>
  <c r="B274" i="2"/>
  <c r="C229" i="2"/>
  <c r="C174" i="2"/>
  <c r="C245" i="2"/>
  <c r="C318" i="2"/>
  <c r="B78" i="2"/>
  <c r="E103" i="2"/>
  <c r="E144" i="2"/>
  <c r="A148" i="2"/>
  <c r="F154" i="2"/>
  <c r="A71" i="2"/>
  <c r="A40" i="2"/>
  <c r="C238" i="2"/>
  <c r="F146" i="2"/>
  <c r="C169" i="2"/>
  <c r="F233" i="2"/>
  <c r="D337" i="2"/>
  <c r="E138" i="2"/>
  <c r="E63" i="2"/>
  <c r="F226" i="2"/>
  <c r="B319" i="2"/>
  <c r="F215" i="2"/>
  <c r="A389" i="2"/>
  <c r="C112" i="2"/>
  <c r="B339" i="2"/>
  <c r="B301" i="2"/>
  <c r="F133" i="2"/>
  <c r="B289" i="2"/>
  <c r="D211" i="2"/>
  <c r="E269" i="2"/>
  <c r="E303" i="2"/>
  <c r="A333" i="2"/>
  <c r="E141" i="2"/>
  <c r="E232" i="2"/>
  <c r="A200" i="2"/>
  <c r="C334" i="2"/>
  <c r="C89" i="2"/>
  <c r="E287" i="2"/>
  <c r="C323" i="2"/>
  <c r="D394" i="2"/>
  <c r="A161" i="2"/>
  <c r="B321" i="2"/>
  <c r="D97" i="2"/>
  <c r="B323" i="2"/>
  <c r="D87" i="2"/>
  <c r="D55" i="2"/>
  <c r="C365" i="2"/>
  <c r="D227" i="2"/>
  <c r="A224" i="2"/>
  <c r="D31" i="2"/>
  <c r="E395" i="2"/>
  <c r="E87" i="2"/>
  <c r="A135" i="2"/>
  <c r="F396" i="2"/>
  <c r="B387" i="2"/>
  <c r="C240" i="2"/>
  <c r="D110" i="2"/>
  <c r="E108" i="2"/>
  <c r="D213" i="2"/>
  <c r="D183" i="2"/>
  <c r="C387" i="2"/>
  <c r="F373" i="2"/>
  <c r="A202" i="2"/>
  <c r="A323" i="2"/>
  <c r="B123" i="2"/>
  <c r="D212" i="2"/>
  <c r="E17" i="2"/>
  <c r="F139" i="2"/>
  <c r="C36" i="2"/>
  <c r="D305" i="2"/>
  <c r="E256" i="2"/>
  <c r="F41" i="2"/>
  <c r="F350" i="2"/>
  <c r="D228" i="2"/>
  <c r="C398" i="2"/>
  <c r="B148" i="2"/>
  <c r="B30" i="2"/>
  <c r="F46" i="2"/>
  <c r="B176" i="2"/>
  <c r="F267" i="2"/>
  <c r="B69" i="2"/>
  <c r="E198" i="2"/>
  <c r="C25" i="2"/>
  <c r="D278" i="2"/>
  <c r="C93" i="2"/>
  <c r="D314" i="2"/>
  <c r="D330" i="2"/>
  <c r="A81" i="2"/>
  <c r="B303" i="2"/>
  <c r="A91" i="2"/>
  <c r="B237" i="2"/>
  <c r="D88" i="2"/>
  <c r="F313" i="2"/>
  <c r="C284" i="2"/>
  <c r="F280" i="2"/>
  <c r="C239" i="2"/>
  <c r="B107" i="2"/>
  <c r="A341" i="2"/>
  <c r="D174" i="2"/>
  <c r="F251" i="2"/>
  <c r="C31" i="2"/>
  <c r="E31" i="2"/>
  <c r="F136" i="2"/>
  <c r="B330" i="2"/>
  <c r="E46" i="2"/>
  <c r="E93" i="2"/>
  <c r="E89" i="2"/>
  <c r="F297" i="2"/>
  <c r="E206" i="2"/>
  <c r="B106" i="2"/>
  <c r="F394" i="2"/>
  <c r="D76" i="2"/>
  <c r="D316" i="2"/>
  <c r="A64" i="2"/>
  <c r="B278" i="2"/>
  <c r="E171" i="2"/>
  <c r="B254" i="2"/>
  <c r="E241" i="2"/>
  <c r="D141" i="2"/>
  <c r="B41" i="2"/>
  <c r="C147" i="2"/>
  <c r="C325" i="2"/>
  <c r="C140" i="2"/>
  <c r="E397" i="2"/>
  <c r="C268" i="2"/>
  <c r="B296" i="2"/>
  <c r="B92" i="2"/>
  <c r="B262" i="2"/>
  <c r="B200" i="2"/>
  <c r="E353" i="2"/>
  <c r="C341" i="2"/>
  <c r="D89" i="2"/>
  <c r="A257" i="2"/>
  <c r="D184" i="2"/>
  <c r="B144" i="2"/>
  <c r="F62" i="2"/>
  <c r="B18" i="2"/>
  <c r="D18" i="2"/>
  <c r="B91" i="2"/>
  <c r="A322" i="2"/>
  <c r="B62" i="2"/>
  <c r="E129" i="2"/>
  <c r="C157" i="2"/>
  <c r="A380" i="2"/>
  <c r="F259" i="2"/>
  <c r="F344" i="2"/>
  <c r="B355" i="2"/>
  <c r="F372" i="2"/>
  <c r="F110" i="2"/>
  <c r="A398" i="2"/>
  <c r="D102" i="2"/>
  <c r="A250" i="2"/>
  <c r="C27" i="2"/>
  <c r="A337" i="2"/>
  <c r="D237" i="2"/>
  <c r="C342" i="2"/>
  <c r="F74" i="2"/>
  <c r="C230" i="2"/>
  <c r="F103" i="2"/>
  <c r="A79" i="2"/>
  <c r="D198" i="2"/>
  <c r="D108" i="2"/>
  <c r="F234" i="2"/>
  <c r="F71" i="2"/>
  <c r="E320" i="2"/>
  <c r="F366" i="2"/>
  <c r="A284" i="2"/>
  <c r="A220" i="2"/>
  <c r="F231" i="2"/>
  <c r="A155" i="2"/>
  <c r="E188" i="2"/>
  <c r="A130" i="2"/>
  <c r="C109" i="2"/>
  <c r="F120" i="2"/>
  <c r="E50" i="2"/>
  <c r="D81" i="2"/>
  <c r="C104" i="2"/>
  <c r="B169" i="2"/>
  <c r="B194" i="2"/>
  <c r="B220" i="2"/>
  <c r="C203" i="2"/>
  <c r="B245" i="2"/>
  <c r="C277" i="2"/>
  <c r="F353" i="2"/>
  <c r="E71" i="2"/>
  <c r="A100" i="2"/>
  <c r="E69" i="2"/>
  <c r="E191" i="2"/>
  <c r="D49" i="2"/>
  <c r="D292" i="2"/>
  <c r="F54" i="2"/>
  <c r="B97" i="2"/>
  <c r="B185" i="2"/>
  <c r="D181" i="2"/>
  <c r="C260" i="2"/>
  <c r="D221" i="2"/>
  <c r="E148" i="2"/>
  <c r="B87" i="2"/>
  <c r="F293" i="2"/>
  <c r="E210" i="2"/>
  <c r="A248" i="2"/>
  <c r="D382" i="2"/>
  <c r="B229" i="2"/>
  <c r="E159" i="2"/>
  <c r="B332" i="2"/>
  <c r="B300" i="2"/>
  <c r="C250" i="2"/>
  <c r="D341" i="2"/>
  <c r="E100" i="2"/>
  <c r="D309" i="2"/>
  <c r="A138" i="2"/>
  <c r="D226" i="2"/>
  <c r="A246" i="2"/>
  <c r="A241" i="2"/>
  <c r="B401" i="2"/>
  <c r="D232" i="2"/>
  <c r="B364" i="2"/>
  <c r="E58" i="2"/>
  <c r="E221" i="2"/>
  <c r="D125" i="2"/>
  <c r="E253" i="2"/>
  <c r="C227" i="2"/>
  <c r="B133" i="2"/>
  <c r="B272" i="2"/>
  <c r="A397" i="2"/>
  <c r="D398" i="2"/>
  <c r="E139" i="2"/>
  <c r="C288" i="2"/>
  <c r="E135" i="2"/>
  <c r="C22" i="2"/>
  <c r="D168" i="2"/>
  <c r="A171" i="2"/>
  <c r="C81" i="2"/>
  <c r="C363" i="2"/>
  <c r="F349" i="2"/>
  <c r="E117" i="2"/>
  <c r="E154" i="2"/>
  <c r="E38" i="2"/>
  <c r="E312" i="2"/>
  <c r="D118" i="2"/>
  <c r="B60" i="2"/>
  <c r="C281" i="2"/>
  <c r="A163" i="2"/>
  <c r="A75" i="2"/>
  <c r="E383" i="2"/>
  <c r="A110" i="2"/>
  <c r="B292" i="2"/>
  <c r="F96" i="2"/>
  <c r="C58" i="2"/>
  <c r="F42" i="2"/>
  <c r="A344" i="2"/>
  <c r="F302" i="2"/>
  <c r="C349" i="2"/>
  <c r="C259" i="2"/>
  <c r="F295" i="2"/>
  <c r="B196" i="2"/>
  <c r="F199" i="2"/>
  <c r="D33" i="2"/>
  <c r="A116" i="2"/>
  <c r="C146" i="2"/>
  <c r="B285" i="2"/>
  <c r="E294" i="2"/>
  <c r="E37" i="2"/>
  <c r="B392" i="2"/>
  <c r="D401" i="2"/>
  <c r="E250" i="2"/>
  <c r="C205" i="2"/>
  <c r="A287" i="2"/>
  <c r="B138" i="2"/>
  <c r="A37" i="2"/>
  <c r="D368" i="2"/>
  <c r="B230" i="2"/>
  <c r="C96" i="2"/>
  <c r="F58" i="2"/>
  <c r="E366" i="2"/>
  <c r="F36" i="2"/>
  <c r="C344" i="2"/>
  <c r="B116" i="2"/>
  <c r="E190" i="2"/>
  <c r="B29" i="2"/>
  <c r="A371" i="2"/>
  <c r="B33" i="2"/>
  <c r="E333" i="2"/>
  <c r="B388" i="2"/>
  <c r="A99" i="2"/>
  <c r="E110" i="2"/>
  <c r="E124" i="2"/>
  <c r="D304" i="2"/>
  <c r="D217" i="2"/>
  <c r="F282" i="2"/>
  <c r="D328" i="2"/>
  <c r="D30" i="2"/>
  <c r="A139" i="2"/>
  <c r="F364" i="2"/>
  <c r="A345" i="2"/>
  <c r="A104" i="2"/>
  <c r="D319" i="2"/>
  <c r="D197" i="2"/>
  <c r="F253" i="2"/>
  <c r="C385" i="2"/>
  <c r="A352" i="2"/>
  <c r="F269" i="2"/>
  <c r="E278" i="2"/>
  <c r="C266" i="2"/>
  <c r="C302" i="2"/>
  <c r="B302" i="2"/>
  <c r="B399" i="2"/>
  <c r="E244" i="2"/>
  <c r="C303" i="2"/>
  <c r="B350" i="2"/>
  <c r="E101" i="2"/>
  <c r="B307" i="2"/>
  <c r="C95" i="2"/>
  <c r="F186" i="2"/>
  <c r="A390" i="2"/>
  <c r="B105" i="2"/>
  <c r="A140" i="2"/>
  <c r="B395" i="2"/>
  <c r="D162" i="2"/>
  <c r="E242" i="2"/>
  <c r="B65" i="2"/>
  <c r="E281" i="2"/>
  <c r="B249" i="2"/>
  <c r="C213" i="2"/>
  <c r="A358" i="2"/>
  <c r="A102" i="2"/>
  <c r="C224" i="2"/>
  <c r="C66" i="2"/>
  <c r="E325" i="2"/>
  <c r="C209" i="2"/>
  <c r="E48" i="2"/>
  <c r="A186" i="2"/>
  <c r="E251" i="2"/>
  <c r="C326" i="2"/>
  <c r="A230" i="2"/>
  <c r="F346" i="2"/>
  <c r="A328" i="2"/>
  <c r="E386" i="2"/>
  <c r="B47" i="2"/>
  <c r="E54" i="2"/>
  <c r="C71" i="2"/>
  <c r="E176" i="2"/>
  <c r="F357" i="2"/>
  <c r="F77" i="2"/>
  <c r="A271" i="2"/>
  <c r="F239" i="2"/>
  <c r="A326" i="2"/>
  <c r="D342" i="2"/>
  <c r="A38" i="2"/>
  <c r="A334" i="2"/>
  <c r="D331" i="2"/>
  <c r="E302" i="2"/>
  <c r="E319" i="2"/>
  <c r="C67" i="2"/>
  <c r="C143" i="2"/>
  <c r="F208" i="2"/>
  <c r="D271" i="2"/>
  <c r="A367" i="2"/>
  <c r="C52" i="2"/>
  <c r="C336" i="2"/>
  <c r="C163" i="2"/>
  <c r="C87" i="2"/>
  <c r="C200" i="2"/>
  <c r="D154" i="2"/>
  <c r="F250" i="2"/>
  <c r="D238" i="2"/>
  <c r="B192" i="2"/>
  <c r="C275" i="2"/>
  <c r="F258" i="2"/>
  <c r="D111" i="2"/>
  <c r="F189" i="2"/>
  <c r="E381" i="2"/>
  <c r="B218" i="2"/>
  <c r="C73" i="2"/>
  <c r="B223" i="2"/>
  <c r="F107" i="2"/>
  <c r="F183" i="2"/>
  <c r="E123" i="2"/>
  <c r="D208" i="2"/>
  <c r="E91" i="2"/>
  <c r="C358" i="2"/>
  <c r="E184" i="2"/>
  <c r="E272" i="2"/>
  <c r="D384" i="2"/>
  <c r="B63" i="2"/>
  <c r="F140" i="2"/>
  <c r="E152" i="2"/>
  <c r="E107" i="2"/>
  <c r="A51" i="2"/>
  <c r="A274" i="2"/>
  <c r="F371" i="2"/>
  <c r="F222" i="2"/>
  <c r="C41" i="2"/>
  <c r="F145" i="2"/>
  <c r="D70" i="2"/>
  <c r="A154" i="2"/>
  <c r="E265" i="2"/>
  <c r="F326" i="2"/>
  <c r="C83" i="2"/>
  <c r="C129" i="2"/>
  <c r="F362" i="2"/>
  <c r="E179" i="2"/>
  <c r="E286" i="2"/>
  <c r="D147" i="2"/>
  <c r="B333" i="2"/>
  <c r="F125" i="2"/>
  <c r="B115" i="2"/>
  <c r="C64" i="2"/>
  <c r="F108" i="2"/>
  <c r="B255" i="2"/>
  <c r="C346" i="2"/>
  <c r="A290" i="2"/>
  <c r="C310" i="2"/>
  <c r="E379" i="2"/>
  <c r="B88" i="2"/>
  <c r="D346" i="2"/>
  <c r="D323" i="2"/>
  <c r="B111" i="2"/>
  <c r="C68" i="2"/>
  <c r="A321" i="2"/>
  <c r="D383" i="2"/>
  <c r="B238" i="2"/>
  <c r="C237" i="2"/>
  <c r="F81" i="2"/>
  <c r="C251" i="2"/>
  <c r="D42" i="2"/>
  <c r="C388" i="2"/>
  <c r="F184" i="2"/>
  <c r="A149" i="2"/>
  <c r="B175" i="2"/>
  <c r="D251" i="2"/>
  <c r="A365" i="2"/>
  <c r="C241" i="2"/>
  <c r="C115" i="2"/>
  <c r="F59" i="2"/>
  <c r="E194" i="2"/>
  <c r="F299" i="2"/>
  <c r="A315" i="2"/>
  <c r="D400" i="2"/>
  <c r="E234" i="2"/>
  <c r="A54" i="2"/>
  <c r="D21" i="2"/>
  <c r="A339" i="2"/>
  <c r="F286" i="2"/>
  <c r="D26" i="2"/>
  <c r="F254" i="2"/>
  <c r="E66" i="2"/>
  <c r="E209" i="2"/>
  <c r="D170" i="2"/>
  <c r="C225" i="2"/>
  <c r="D254" i="2"/>
  <c r="B158" i="2"/>
  <c r="B353" i="2"/>
  <c r="A196" i="2"/>
  <c r="D261" i="2"/>
  <c r="E19" i="2"/>
  <c r="F352" i="2"/>
  <c r="C193" i="2"/>
  <c r="E340" i="2"/>
  <c r="F99" i="2"/>
  <c r="B120" i="2"/>
  <c r="D315" i="2"/>
  <c r="A193" i="2"/>
  <c r="C57" i="2"/>
  <c r="E72" i="2"/>
  <c r="B124" i="2"/>
  <c r="C352" i="2"/>
  <c r="F213" i="2"/>
  <c r="B177" i="2"/>
  <c r="B258" i="2"/>
  <c r="E326" i="2"/>
  <c r="B345" i="2"/>
  <c r="D352" i="2"/>
  <c r="A399" i="2"/>
  <c r="C298" i="2"/>
  <c r="D376" i="2"/>
  <c r="A299" i="2"/>
  <c r="B166" i="2"/>
  <c r="E277" i="2"/>
  <c r="B44" i="2"/>
  <c r="E130" i="2"/>
  <c r="B270" i="2"/>
  <c r="D329" i="2"/>
  <c r="C172" i="2"/>
  <c r="A18" i="2"/>
  <c r="E18" i="2"/>
  <c r="E249" i="2"/>
  <c r="F43" i="2"/>
  <c r="E83" i="2"/>
  <c r="F210" i="2"/>
  <c r="D290" i="2"/>
  <c r="C273" i="2"/>
  <c r="C220" i="2"/>
  <c r="B191" i="2"/>
  <c r="A66" i="2"/>
  <c r="F118" i="2"/>
  <c r="A279" i="2"/>
  <c r="A158" i="2"/>
  <c r="D150" i="2"/>
  <c r="E196" i="2"/>
  <c r="E201" i="2"/>
  <c r="A293" i="2"/>
  <c r="A394" i="2"/>
  <c r="F48" i="2"/>
  <c r="F115" i="2"/>
  <c r="D210" i="2"/>
  <c r="F39" i="2"/>
  <c r="E92" i="2"/>
  <c r="B234" i="2"/>
  <c r="D156" i="2"/>
  <c r="F242" i="2"/>
  <c r="A393" i="2"/>
  <c r="E309" i="2"/>
  <c r="A133" i="2"/>
  <c r="F155" i="2"/>
  <c r="C97" i="2"/>
  <c r="A48" i="2"/>
  <c r="A92" i="2"/>
  <c r="C276" i="2"/>
  <c r="F198" i="2"/>
  <c r="C337" i="2"/>
  <c r="E267" i="2"/>
  <c r="A267" i="2"/>
  <c r="D98" i="2"/>
  <c r="F252" i="2"/>
  <c r="B365" i="2"/>
  <c r="E121" i="2"/>
  <c r="C86" i="2"/>
  <c r="D236" i="2"/>
  <c r="D52" i="2"/>
  <c r="C214" i="2"/>
  <c r="B376" i="2"/>
  <c r="B134" i="2"/>
  <c r="B264" i="2"/>
  <c r="B277" i="2"/>
  <c r="A44" i="2"/>
  <c r="B216" i="2"/>
  <c r="B147" i="2"/>
  <c r="D274" i="2"/>
  <c r="D17" i="2"/>
  <c r="A392" i="2"/>
  <c r="A260" i="2"/>
  <c r="F130" i="2"/>
  <c r="F82" i="2"/>
  <c r="C208" i="2"/>
  <c r="F229" i="2"/>
  <c r="A387" i="2"/>
  <c r="A184" i="2"/>
  <c r="C111" i="2"/>
  <c r="F31" i="2"/>
  <c r="D47" i="2"/>
  <c r="C248" i="2"/>
  <c r="A327" i="2"/>
  <c r="E237" i="2"/>
  <c r="E219" i="2"/>
  <c r="D40" i="2"/>
  <c r="A153" i="2"/>
  <c r="C316" i="2"/>
  <c r="D285" i="2"/>
  <c r="A98" i="2"/>
  <c r="C221" i="2"/>
  <c r="E60" i="2"/>
  <c r="C243" i="2"/>
  <c r="C28" i="2"/>
  <c r="D100" i="2"/>
  <c r="C47" i="2"/>
  <c r="C339" i="2"/>
  <c r="B162" i="2"/>
  <c r="D377" i="2"/>
  <c r="E82" i="2"/>
  <c r="A289" i="2"/>
  <c r="D158" i="2"/>
  <c r="D335" i="2"/>
  <c r="E218" i="2"/>
  <c r="D186" i="2"/>
  <c r="B246" i="2"/>
  <c r="F190" i="2"/>
  <c r="B161" i="2"/>
  <c r="C29" i="2"/>
  <c r="F52" i="2"/>
  <c r="E330" i="2"/>
  <c r="C293" i="2"/>
  <c r="B76" i="2"/>
  <c r="B85" i="2"/>
  <c r="A83" i="2"/>
  <c r="D36" i="2"/>
  <c r="E59" i="2"/>
  <c r="D374" i="2"/>
  <c r="E160" i="2"/>
  <c r="F327" i="2"/>
  <c r="B298" i="2"/>
  <c r="E374" i="2"/>
  <c r="F27" i="2"/>
  <c r="D361" i="2"/>
  <c r="A203" i="2"/>
  <c r="D204" i="2"/>
  <c r="D318" i="2"/>
  <c r="D310" i="2"/>
  <c r="A124" i="2"/>
  <c r="C106" i="2"/>
  <c r="A162" i="2"/>
  <c r="B40" i="2"/>
  <c r="F95" i="2"/>
  <c r="D130" i="2"/>
  <c r="F179" i="2"/>
  <c r="F399" i="2"/>
  <c r="D241" i="2"/>
  <c r="C297" i="2"/>
  <c r="A288" i="2"/>
  <c r="F388" i="2"/>
  <c r="C206" i="2"/>
  <c r="B240" i="2"/>
  <c r="D61" i="2"/>
  <c r="E387" i="2"/>
  <c r="F197" i="2"/>
  <c r="F288" i="2"/>
  <c r="F148" i="2"/>
  <c r="D134" i="2"/>
  <c r="E158" i="2"/>
  <c r="E76" i="2"/>
  <c r="C105" i="2"/>
  <c r="C173" i="2"/>
  <c r="D299" i="2"/>
  <c r="C134" i="2"/>
  <c r="A152" i="2"/>
  <c r="F160" i="2"/>
  <c r="B265" i="2"/>
  <c r="F260" i="2"/>
  <c r="D44" i="2"/>
  <c r="E122" i="2"/>
  <c r="C186" i="2"/>
  <c r="E133" i="2"/>
  <c r="A269" i="2"/>
  <c r="D191" i="2"/>
  <c r="C296" i="2"/>
  <c r="E382" i="2"/>
  <c r="B397" i="2"/>
  <c r="F117" i="2"/>
  <c r="E21" i="2"/>
  <c r="F335" i="2"/>
  <c r="C219" i="2"/>
  <c r="A52" i="2"/>
  <c r="D371" i="2"/>
  <c r="B209" i="2"/>
  <c r="A346" i="2"/>
  <c r="A142" i="2"/>
  <c r="C79" i="2"/>
  <c r="F379" i="2"/>
  <c r="C177" i="2"/>
  <c r="A169" i="2"/>
  <c r="E165" i="2"/>
  <c r="A93" i="2"/>
  <c r="C155" i="2"/>
  <c r="E136" i="2"/>
  <c r="E261" i="2"/>
  <c r="A329" i="2"/>
  <c r="E322" i="2"/>
  <c r="B206" i="2"/>
  <c r="A28" i="2"/>
  <c r="D240" i="2"/>
  <c r="F248" i="2"/>
  <c r="D23" i="2"/>
  <c r="F23" i="2"/>
  <c r="D195" i="2"/>
  <c r="A237" i="2"/>
  <c r="F320" i="2"/>
  <c r="E172" i="2"/>
  <c r="C101" i="2"/>
  <c r="F168" i="2"/>
  <c r="D349" i="2"/>
  <c r="C188" i="2"/>
  <c r="A67" i="2"/>
  <c r="A53" i="2"/>
  <c r="E293" i="2"/>
  <c r="B98" i="2"/>
  <c r="A29" i="2"/>
  <c r="D313" i="2"/>
  <c r="E65" i="2"/>
  <c r="C199" i="2"/>
  <c r="D104" i="2"/>
  <c r="D289" i="2"/>
  <c r="D325" i="2"/>
  <c r="C335" i="2"/>
  <c r="F244" i="2"/>
  <c r="F279" i="2"/>
  <c r="B228" i="2"/>
  <c r="A137" i="2"/>
  <c r="A277" i="2"/>
  <c r="A400" i="2"/>
  <c r="E204" i="2"/>
  <c r="A88" i="2"/>
  <c r="A384" i="2"/>
  <c r="C56" i="2"/>
  <c r="C270" i="2"/>
  <c r="A347" i="2"/>
  <c r="D38" i="2"/>
  <c r="B212" i="2"/>
  <c r="A151" i="2"/>
  <c r="D74" i="2"/>
  <c r="A229" i="2"/>
  <c r="C80" i="2"/>
  <c r="C179" i="2"/>
  <c r="C264" i="2"/>
  <c r="B129" i="2"/>
  <c r="A211" i="2"/>
  <c r="A320" i="2"/>
  <c r="A144" i="2"/>
  <c r="C51" i="2"/>
  <c r="D94" i="2"/>
  <c r="A319" i="2"/>
  <c r="F270" i="2"/>
  <c r="E274" i="2"/>
  <c r="C372" i="2"/>
  <c r="C236" i="2"/>
  <c r="A21" i="2"/>
  <c r="E361" i="2"/>
  <c r="A311" i="2"/>
  <c r="C49" i="2"/>
  <c r="D307" i="2"/>
  <c r="B38" i="2"/>
  <c r="C162" i="2"/>
  <c r="C278" i="2"/>
  <c r="F356" i="2"/>
  <c r="D220" i="2"/>
  <c r="D214" i="2"/>
  <c r="C94" i="2"/>
  <c r="F142" i="2"/>
  <c r="E299" i="2"/>
  <c r="F70" i="2"/>
  <c r="A59" i="2"/>
  <c r="A146" i="2"/>
  <c r="E164" i="2"/>
  <c r="B28" i="2"/>
  <c r="A383" i="2"/>
  <c r="E260" i="2"/>
  <c r="E155" i="2"/>
  <c r="F289" i="2"/>
  <c r="F264" i="2"/>
  <c r="B151" i="2"/>
  <c r="E214" i="2"/>
  <c r="B325" i="2"/>
  <c r="F212" i="2"/>
  <c r="E385" i="2"/>
  <c r="E64" i="2"/>
  <c r="D193" i="2"/>
  <c r="E178" i="2"/>
  <c r="D41" i="2"/>
  <c r="E223" i="2"/>
  <c r="B80" i="2"/>
  <c r="D129" i="2"/>
  <c r="F178" i="2"/>
  <c r="D192" i="2"/>
  <c r="D268" i="2"/>
  <c r="B324" i="2"/>
  <c r="D255" i="2"/>
  <c r="C92" i="2"/>
  <c r="C122" i="2"/>
  <c r="F158" i="2"/>
  <c r="E39" i="2"/>
  <c r="A239" i="2"/>
  <c r="F166" i="2"/>
  <c r="A156" i="2"/>
  <c r="E111" i="2"/>
  <c r="E208" i="2"/>
  <c r="D301" i="2"/>
  <c r="B139" i="2"/>
  <c r="E95" i="2"/>
  <c r="D263" i="2"/>
  <c r="A354" i="2"/>
  <c r="F152" i="2"/>
  <c r="A84" i="2"/>
  <c r="F195" i="2"/>
  <c r="E351" i="2"/>
  <c r="C347" i="2"/>
  <c r="C279" i="2"/>
  <c r="B112" i="2"/>
  <c r="D276" i="2"/>
  <c r="B227" i="2"/>
  <c r="B190" i="2"/>
  <c r="C100" i="2"/>
  <c r="D317" i="2"/>
  <c r="D365" i="2"/>
  <c r="C136" i="2"/>
  <c r="C370" i="2"/>
  <c r="B383" i="2"/>
  <c r="A295" i="2"/>
  <c r="D216" i="2"/>
  <c r="B143" i="2"/>
  <c r="E391" i="2"/>
  <c r="A197" i="2"/>
  <c r="A223" i="2"/>
  <c r="D218" i="2"/>
  <c r="A349" i="2"/>
  <c r="D103" i="2"/>
  <c r="F292" i="2"/>
  <c r="C137" i="2"/>
  <c r="E354" i="2"/>
  <c r="C135" i="2"/>
  <c r="E305" i="2"/>
  <c r="A85" i="2"/>
  <c r="F40" i="2"/>
  <c r="C226" i="2"/>
  <c r="D24" i="2"/>
  <c r="B221" i="2"/>
  <c r="F128" i="2"/>
  <c r="E52" i="2"/>
  <c r="A145" i="2"/>
  <c r="E368" i="2"/>
  <c r="A261" i="2"/>
  <c r="F348" i="2"/>
  <c r="D171" i="2"/>
  <c r="C361" i="2"/>
  <c r="C60" i="2"/>
  <c r="A386" i="2"/>
  <c r="C191" i="2"/>
  <c r="F392" i="2"/>
  <c r="C153" i="2"/>
  <c r="F69" i="2"/>
  <c r="B117" i="2"/>
  <c r="F167" i="2"/>
  <c r="E205" i="2"/>
  <c r="C103" i="2"/>
  <c r="B70" i="2"/>
  <c r="C120" i="2"/>
  <c r="A129" i="2"/>
  <c r="B163" i="2"/>
  <c r="B372" i="2"/>
  <c r="D252" i="2"/>
  <c r="B247" i="2"/>
  <c r="B72" i="2"/>
  <c r="B94" i="2"/>
  <c r="F331" i="2"/>
  <c r="E132" i="2"/>
  <c r="A188" i="2"/>
  <c r="B64" i="2"/>
  <c r="C285" i="2"/>
  <c r="F150" i="2"/>
  <c r="D167" i="2"/>
  <c r="C167" i="2"/>
  <c r="A368" i="2"/>
  <c r="C91" i="2"/>
  <c r="F358" i="2"/>
  <c r="C368" i="2"/>
  <c r="E328" i="2"/>
  <c r="D306" i="2"/>
  <c r="A282" i="2"/>
  <c r="B317" i="2"/>
  <c r="A312" i="2"/>
  <c r="F102" i="2"/>
  <c r="E207" i="2"/>
  <c r="C30" i="2"/>
  <c r="D223" i="2"/>
  <c r="E365" i="2"/>
  <c r="B109" i="2"/>
  <c r="C178" i="2"/>
  <c r="A105" i="2"/>
  <c r="C394" i="2"/>
  <c r="E337" i="2"/>
  <c r="E324" i="2"/>
  <c r="F165" i="2"/>
  <c r="B75" i="2"/>
  <c r="F307" i="2"/>
  <c r="B68" i="2"/>
  <c r="F53" i="2"/>
  <c r="E323" i="2"/>
  <c r="D359" i="2"/>
  <c r="A372" i="2"/>
  <c r="F337" i="2"/>
  <c r="A265" i="2"/>
  <c r="D50" i="2"/>
  <c r="C392" i="2"/>
  <c r="E271" i="2"/>
  <c r="D264" i="2"/>
  <c r="E334" i="2"/>
  <c r="C377" i="2"/>
  <c r="B184" i="2"/>
  <c r="C116" i="2"/>
  <c r="D172" i="2"/>
  <c r="E187" i="2"/>
  <c r="A356" i="2"/>
  <c r="A353" i="2"/>
  <c r="B368" i="2"/>
  <c r="F275" i="2"/>
  <c r="F49" i="2"/>
  <c r="A285" i="2"/>
  <c r="B251" i="2"/>
  <c r="F132" i="2"/>
  <c r="A103" i="2"/>
  <c r="A185" i="2"/>
  <c r="C138" i="2"/>
  <c r="A86" i="2"/>
  <c r="C159" i="2"/>
  <c r="C160" i="2"/>
  <c r="D157" i="2"/>
  <c r="E97" i="2"/>
  <c r="D126" i="2"/>
  <c r="B375" i="2"/>
  <c r="F112" i="2"/>
  <c r="E296" i="2"/>
  <c r="A205" i="2"/>
  <c r="D175" i="2"/>
  <c r="A233" i="2"/>
  <c r="C274" i="2"/>
  <c r="E189" i="2"/>
  <c r="A251" i="2"/>
  <c r="B146" i="2"/>
  <c r="F211" i="2"/>
  <c r="A199" i="2"/>
  <c r="B261" i="2"/>
  <c r="B182" i="2"/>
  <c r="C82" i="2"/>
  <c r="A68" i="2"/>
  <c r="F177" i="2"/>
  <c r="B73" i="2"/>
  <c r="F116" i="2"/>
  <c r="E331" i="2"/>
  <c r="E47" i="2"/>
  <c r="B199" i="2"/>
  <c r="A343" i="2"/>
  <c r="F138" i="2"/>
  <c r="F203" i="2"/>
  <c r="C369" i="2"/>
  <c r="E131" i="2"/>
  <c r="D370" i="2"/>
  <c r="D303" i="2"/>
  <c r="F249" i="2"/>
  <c r="E74" i="2"/>
  <c r="C300" i="2"/>
  <c r="A30" i="2"/>
  <c r="B153" i="2"/>
  <c r="F278" i="2"/>
  <c r="C223" i="2"/>
  <c r="C142" i="2"/>
  <c r="F351" i="2"/>
  <c r="A309" i="2"/>
  <c r="F329" i="2"/>
  <c r="A396" i="2"/>
  <c r="D282" i="2"/>
  <c r="A43" i="2"/>
  <c r="E56" i="2"/>
  <c r="F193" i="2"/>
  <c r="B140" i="2"/>
  <c r="A204" i="2"/>
  <c r="B369" i="2"/>
  <c r="C265" i="2"/>
  <c r="E22" i="2"/>
  <c r="C190" i="2"/>
  <c r="C232" i="2"/>
  <c r="A132" i="2"/>
  <c r="F294" i="2"/>
  <c r="B328" i="2"/>
  <c r="F393" i="2"/>
  <c r="A304" i="2"/>
  <c r="C204" i="2"/>
  <c r="A69" i="2"/>
  <c r="A191" i="2"/>
  <c r="E109" i="2"/>
  <c r="A362" i="2"/>
  <c r="D25" i="2"/>
  <c r="D91" i="2"/>
  <c r="F303" i="2"/>
  <c r="E28" i="2"/>
  <c r="B141" i="2"/>
  <c r="D234" i="2"/>
  <c r="E231" i="2"/>
  <c r="F368" i="2"/>
  <c r="C228" i="2"/>
  <c r="D190" i="2"/>
  <c r="F65" i="2"/>
  <c r="B316" i="2"/>
  <c r="A120" i="2"/>
  <c r="B224" i="2"/>
  <c r="A39" i="2"/>
  <c r="A134" i="2"/>
  <c r="B390" i="2"/>
  <c r="F225" i="2"/>
  <c r="B56" i="2"/>
  <c r="B57" i="2"/>
  <c r="A373" i="2"/>
  <c r="B167" i="2"/>
  <c r="D200" i="2"/>
  <c r="E98" i="2"/>
  <c r="A214" i="2"/>
  <c r="E224" i="2"/>
  <c r="D143" i="2"/>
  <c r="C371" i="2"/>
  <c r="E146" i="2"/>
  <c r="F119" i="2"/>
  <c r="D253" i="2"/>
  <c r="E170" i="2"/>
  <c r="C330" i="2"/>
  <c r="D56" i="2"/>
  <c r="D152" i="2"/>
  <c r="F100" i="2"/>
  <c r="A240" i="2"/>
  <c r="D333" i="2"/>
  <c r="D259" i="2"/>
  <c r="A36" i="2"/>
  <c r="E180" i="2"/>
  <c r="A307" i="2"/>
  <c r="B359" i="2"/>
  <c r="C331" i="2"/>
  <c r="E30" i="2"/>
  <c r="F162" i="2"/>
  <c r="C119" i="2"/>
  <c r="A209" i="2"/>
  <c r="F322" i="2"/>
  <c r="D62" i="2"/>
  <c r="B219" i="2"/>
  <c r="E310" i="2"/>
  <c r="F85" i="2"/>
  <c r="B122" i="2"/>
  <c r="B102" i="2"/>
  <c r="E233" i="2"/>
  <c r="B24" i="2"/>
  <c r="C192" i="2"/>
  <c r="C34" i="2"/>
  <c r="C110" i="2"/>
  <c r="B101" i="2"/>
  <c r="E33" i="2"/>
  <c r="E112" i="2"/>
  <c r="E199" i="2"/>
  <c r="B394" i="2"/>
  <c r="D173" i="2"/>
  <c r="C70" i="2"/>
  <c r="E213" i="2"/>
  <c r="A126" i="2"/>
  <c r="F387" i="2"/>
  <c r="A89" i="2"/>
  <c r="B360" i="2"/>
  <c r="E44" i="2"/>
  <c r="C233" i="2"/>
  <c r="B380" i="2"/>
  <c r="E313" i="2"/>
  <c r="B31" i="2"/>
  <c r="B19" i="2"/>
  <c r="B288" i="2"/>
  <c r="B95" i="2"/>
  <c r="B379" i="2"/>
  <c r="C292" i="2"/>
  <c r="D27" i="2"/>
  <c r="B119" i="2"/>
  <c r="E177" i="2"/>
  <c r="E104" i="2"/>
  <c r="A249" i="2"/>
  <c r="E127" i="2"/>
  <c r="F134" i="2"/>
  <c r="D149" i="2"/>
  <c r="A87" i="2"/>
  <c r="E61" i="2"/>
  <c r="A332" i="2"/>
  <c r="E252" i="2"/>
  <c r="D165" i="2"/>
  <c r="D363" i="2"/>
  <c r="F308" i="2"/>
  <c r="B82" i="2"/>
  <c r="A23" i="2"/>
  <c r="E238" i="2"/>
  <c r="E157" i="2"/>
  <c r="D311" i="2"/>
  <c r="E292" i="2"/>
  <c r="A348" i="2"/>
  <c r="E359" i="2"/>
  <c r="D120" i="2"/>
  <c r="F170" i="2"/>
  <c r="C359" i="2"/>
  <c r="E119" i="2"/>
  <c r="B273" i="2"/>
  <c r="B37" i="2"/>
  <c r="C381" i="2"/>
  <c r="D114" i="2"/>
  <c r="C222" i="2"/>
  <c r="D243" i="2"/>
  <c r="C393" i="2"/>
  <c r="D201" i="2"/>
  <c r="D287" i="2"/>
  <c r="A172" i="2"/>
  <c r="F55" i="2"/>
  <c r="B311" i="2"/>
  <c r="A219" i="2"/>
  <c r="E243" i="2"/>
  <c r="D283" i="2"/>
  <c r="B252" i="2"/>
  <c r="A177" i="2"/>
  <c r="C185" i="2"/>
  <c r="B39" i="2"/>
  <c r="D332" i="2"/>
  <c r="F28" i="2"/>
  <c r="C141" i="2"/>
  <c r="D107" i="2"/>
  <c r="C62" i="2"/>
  <c r="C324" i="2"/>
  <c r="D298" i="2"/>
  <c r="A207" i="2"/>
  <c r="B347" i="2"/>
  <c r="B186" i="2"/>
  <c r="B385" i="2"/>
  <c r="A190" i="2"/>
  <c r="C401" i="2"/>
  <c r="E80" i="2"/>
  <c r="E53" i="2"/>
  <c r="B293" i="2"/>
  <c r="A212" i="2"/>
  <c r="E370" i="2"/>
  <c r="B45" i="2"/>
  <c r="F171" i="2"/>
  <c r="B174" i="2"/>
  <c r="C40" i="2"/>
  <c r="D127" i="2"/>
  <c r="C321" i="2"/>
  <c r="E388" i="2"/>
  <c r="C130" i="2"/>
  <c r="E203" i="2"/>
  <c r="D203" i="2"/>
  <c r="D395" i="2"/>
  <c r="F126" i="2"/>
  <c r="D231" i="2"/>
  <c r="F188" i="2"/>
  <c r="C84" i="2"/>
  <c r="F314" i="2"/>
  <c r="F97" i="2"/>
  <c r="B241" i="2"/>
  <c r="F153" i="2"/>
  <c r="D105" i="2"/>
  <c r="B283" i="2"/>
  <c r="C217" i="2"/>
  <c r="C149" i="2"/>
  <c r="B244" i="2"/>
  <c r="F328" i="2"/>
  <c r="E279" i="2"/>
  <c r="F209" i="2"/>
  <c r="E268" i="2"/>
  <c r="C126" i="2"/>
  <c r="A107" i="2"/>
  <c r="D366" i="2"/>
  <c r="B132" i="2"/>
  <c r="C170" i="2"/>
  <c r="F24" i="2"/>
  <c r="D95" i="2"/>
  <c r="B189" i="2"/>
  <c r="A113" i="2"/>
  <c r="C187" i="2"/>
  <c r="B195" i="2"/>
  <c r="D185" i="2"/>
  <c r="E248" i="2"/>
  <c r="E73" i="2"/>
  <c r="C247" i="2"/>
  <c r="C198" i="2"/>
  <c r="A318" i="2"/>
  <c r="D32" i="2"/>
  <c r="C299" i="2"/>
  <c r="D54" i="2"/>
  <c r="C201" i="2"/>
  <c r="D339" i="2"/>
  <c r="C61" i="2"/>
  <c r="D396" i="2"/>
  <c r="B280" i="2"/>
  <c r="F309" i="2"/>
  <c r="C50" i="2"/>
  <c r="D338" i="2"/>
  <c r="A361" i="2"/>
  <c r="B171" i="2"/>
  <c r="C46" i="2"/>
  <c r="D265" i="2"/>
  <c r="E343" i="2"/>
  <c r="B159" i="2"/>
  <c r="B308" i="2"/>
  <c r="A173" i="2"/>
  <c r="D294" i="2"/>
  <c r="C373" i="2"/>
  <c r="D35" i="2"/>
  <c r="A195" i="2"/>
  <c r="E25" i="2"/>
  <c r="F397" i="2"/>
  <c r="F206" i="2"/>
  <c r="C362" i="2"/>
  <c r="A119" i="2"/>
  <c r="A272" i="2"/>
  <c r="E266" i="2"/>
  <c r="B99" i="2"/>
  <c r="F135" i="2"/>
  <c r="B377" i="2"/>
  <c r="C391" i="2"/>
  <c r="D153" i="2"/>
  <c r="F47" i="2"/>
  <c r="D142" i="2"/>
  <c r="C161" i="2"/>
  <c r="F73" i="2"/>
  <c r="C78" i="2"/>
  <c r="E363" i="2"/>
  <c r="D397" i="2"/>
  <c r="A215" i="2"/>
  <c r="D65" i="2"/>
  <c r="D296" i="2"/>
  <c r="E68" i="2"/>
  <c r="E236" i="2"/>
  <c r="A303" i="2"/>
  <c r="D19" i="2"/>
  <c r="B26" i="2"/>
  <c r="E245" i="2"/>
  <c r="D334" i="2"/>
  <c r="B294" i="2"/>
  <c r="E185" i="2"/>
  <c r="B336" i="2"/>
  <c r="E147" i="2"/>
  <c r="E289" i="2"/>
  <c r="B137" i="2"/>
  <c r="F185" i="2"/>
  <c r="A369" i="2"/>
  <c r="E364" i="2"/>
  <c r="F201" i="2"/>
  <c r="A276" i="2"/>
  <c r="C202" i="2"/>
  <c r="A235" i="2"/>
  <c r="E344" i="2"/>
  <c r="C24" i="2"/>
  <c r="D196" i="2"/>
  <c r="D277" i="2"/>
  <c r="E255" i="2"/>
  <c r="A336" i="2"/>
  <c r="E99" i="2"/>
  <c r="B126" i="2"/>
  <c r="C378" i="2"/>
  <c r="A176" i="2"/>
  <c r="E352" i="2"/>
  <c r="A370" i="2"/>
  <c r="B349" i="2"/>
  <c r="B213" i="2"/>
  <c r="F127" i="2"/>
  <c r="A391" i="2"/>
  <c r="E318" i="2"/>
  <c r="D275" i="2"/>
  <c r="D115" i="2"/>
  <c r="B204" i="2"/>
  <c r="F343" i="2"/>
  <c r="B338" i="2"/>
  <c r="D48" i="2"/>
  <c r="A264" i="2"/>
  <c r="F194" i="2"/>
  <c r="D22" i="2"/>
  <c r="E336" i="2"/>
  <c r="A112" i="2"/>
  <c r="B121" i="2"/>
  <c r="F380" i="2"/>
  <c r="F123" i="2"/>
  <c r="B168" i="2"/>
  <c r="F176" i="2"/>
  <c r="A192" i="2"/>
  <c r="F383" i="2"/>
  <c r="B203" i="2"/>
  <c r="C124" i="2"/>
  <c r="D132" i="2"/>
  <c r="F305" i="2"/>
  <c r="B361" i="2"/>
  <c r="A46" i="2"/>
  <c r="D37" i="2"/>
  <c r="B164" i="2"/>
  <c r="B295" i="2"/>
  <c r="B309" i="2"/>
  <c r="C32" i="2"/>
  <c r="B382" i="2"/>
  <c r="E291" i="2"/>
  <c r="E156" i="2"/>
  <c r="C315" i="2"/>
  <c r="E150" i="2"/>
  <c r="A292" i="2"/>
  <c r="F141" i="2"/>
  <c r="F341" i="2"/>
  <c r="A357" i="2"/>
  <c r="A76" i="2"/>
  <c r="F181" i="2"/>
  <c r="F88" i="2"/>
  <c r="B205" i="2"/>
  <c r="E288" i="2"/>
  <c r="B43" i="2"/>
  <c r="A306" i="2"/>
  <c r="E173" i="2"/>
  <c r="C291" i="2"/>
  <c r="B71" i="2"/>
  <c r="E229" i="2"/>
  <c r="B160" i="2"/>
  <c r="A19" i="2"/>
  <c r="B21" i="2"/>
  <c r="E226" i="2"/>
  <c r="C256" i="2"/>
  <c r="E217" i="2"/>
  <c r="D160" i="2"/>
  <c r="F143" i="2"/>
  <c r="D151" i="2"/>
  <c r="C272" i="2"/>
  <c r="B96" i="2"/>
  <c r="E317" i="2"/>
  <c r="C183" i="2"/>
  <c r="C215" i="2"/>
  <c r="A291" i="2"/>
  <c r="F64" i="2"/>
  <c r="A350" i="2"/>
  <c r="B215" i="2"/>
  <c r="A296" i="2"/>
  <c r="A42" i="2"/>
  <c r="D178" i="2"/>
  <c r="D159" i="2"/>
  <c r="F395" i="2"/>
  <c r="A222" i="2"/>
  <c r="F216" i="2"/>
  <c r="F391" i="2"/>
  <c r="F401" i="2"/>
  <c r="F361" i="2"/>
  <c r="E137" i="2"/>
  <c r="D248" i="2"/>
  <c r="B217" i="2"/>
  <c r="A26" i="2"/>
  <c r="C44" i="2"/>
  <c r="E239" i="2"/>
  <c r="C254" i="2"/>
  <c r="B188" i="2"/>
  <c r="F192" i="2"/>
  <c r="C389" i="2"/>
  <c r="A254" i="2"/>
  <c r="D121" i="2"/>
  <c r="B59" i="2"/>
  <c r="A286" i="2"/>
  <c r="B378" i="2"/>
  <c r="A131" i="2"/>
  <c r="F72" i="2"/>
  <c r="A283" i="2"/>
  <c r="D381" i="2"/>
  <c r="E315" i="2"/>
  <c r="A245" i="2"/>
  <c r="A270" i="2"/>
  <c r="D144" i="2"/>
  <c r="E143" i="2"/>
  <c r="B256" i="2"/>
  <c r="B222" i="2"/>
  <c r="F230" i="2"/>
  <c r="A165" i="2"/>
  <c r="B156" i="2"/>
  <c r="F271" i="2"/>
  <c r="A310" i="2"/>
  <c r="B130" i="2"/>
  <c r="E163" i="2"/>
  <c r="E24" i="2"/>
  <c r="A41" i="2"/>
  <c r="B305" i="2"/>
  <c r="E200" i="2"/>
  <c r="B342" i="2"/>
  <c r="E371" i="2"/>
  <c r="F298" i="2"/>
  <c r="F315" i="2"/>
  <c r="D354" i="2"/>
  <c r="D279" i="2"/>
  <c r="D269" i="2"/>
  <c r="C350" i="2"/>
  <c r="C320" i="2"/>
  <c r="B149" i="2"/>
  <c r="A388" i="2"/>
  <c r="A187" i="2"/>
  <c r="D101" i="2"/>
  <c r="D222" i="2"/>
  <c r="C258" i="2"/>
  <c r="B54" i="2"/>
  <c r="C197" i="2"/>
  <c r="D146" i="2"/>
  <c r="A238" i="2"/>
  <c r="A236" i="2"/>
  <c r="B136" i="2"/>
  <c r="C263" i="2"/>
  <c r="F173" i="2"/>
  <c r="A109" i="2"/>
  <c r="B193" i="2"/>
  <c r="C38" i="2"/>
  <c r="F57" i="2"/>
  <c r="F187" i="2"/>
  <c r="D117" i="2"/>
  <c r="C235" i="2"/>
  <c r="D246" i="2"/>
  <c r="D392" i="2"/>
  <c r="D73" i="2"/>
  <c r="E369" i="2"/>
  <c r="D291" i="2"/>
  <c r="A63" i="2"/>
  <c r="B239" i="2"/>
  <c r="A308" i="2"/>
  <c r="C21" i="2"/>
  <c r="F232" i="2"/>
  <c r="D373" i="2"/>
  <c r="E162" i="2"/>
  <c r="D99" i="2"/>
  <c r="D79" i="2"/>
  <c r="A259" i="2"/>
  <c r="A305" i="2"/>
  <c r="D57" i="2"/>
  <c r="B266" i="2"/>
  <c r="F312" i="2"/>
  <c r="F18" i="2"/>
  <c r="D66" i="2"/>
  <c r="E84" i="2"/>
  <c r="F121" i="2"/>
  <c r="B36" i="2"/>
  <c r="E225" i="2"/>
  <c r="C151" i="2"/>
  <c r="B67" i="2"/>
  <c r="C314" i="2"/>
  <c r="A115" i="2"/>
  <c r="B42" i="2"/>
  <c r="D43" i="2"/>
  <c r="D389" i="2"/>
  <c r="A62" i="2"/>
  <c r="B155" i="2"/>
  <c r="A325" i="2"/>
  <c r="B118" i="2"/>
  <c r="F34" i="2"/>
  <c r="C65" i="2"/>
  <c r="B86" i="2"/>
  <c r="B343" i="2"/>
  <c r="F44" i="2"/>
  <c r="E259" i="2"/>
  <c r="B275" i="2"/>
  <c r="E175" i="2"/>
  <c r="F347" i="2"/>
  <c r="C212" i="2"/>
  <c r="F284" i="2"/>
  <c r="C294" i="2"/>
  <c r="F359" i="2"/>
  <c r="A143" i="2"/>
  <c r="F122" i="2"/>
  <c r="B257" i="2"/>
  <c r="A157" i="2"/>
  <c r="E79" i="2"/>
  <c r="F79" i="2"/>
  <c r="F68" i="2"/>
  <c r="A366" i="2"/>
  <c r="A178" i="2"/>
  <c r="A117" i="2"/>
  <c r="E55" i="2"/>
  <c r="B53" i="2"/>
  <c r="B198" i="2"/>
  <c r="D336" i="2"/>
  <c r="C308" i="2"/>
  <c r="C210" i="2"/>
  <c r="F157" i="2"/>
  <c r="F37" i="2"/>
  <c r="E113" i="2"/>
  <c r="F219" i="2"/>
  <c r="F266" i="2"/>
  <c r="C102" i="2"/>
  <c r="C158" i="2"/>
  <c r="E115" i="2"/>
  <c r="D71" i="2"/>
  <c r="D92" i="2"/>
  <c r="F174" i="2"/>
  <c r="B183" i="2"/>
  <c r="A159" i="2"/>
  <c r="B46" i="2"/>
  <c r="D215" i="2"/>
  <c r="A164" i="2"/>
  <c r="D250" i="2"/>
  <c r="F156" i="2"/>
  <c r="F381" i="2"/>
  <c r="E396" i="2"/>
  <c r="C194" i="2"/>
  <c r="E78" i="2"/>
  <c r="C328" i="2"/>
  <c r="E81" i="2"/>
  <c r="B306" i="2"/>
  <c r="E228" i="2"/>
  <c r="A314" i="2"/>
  <c r="D199" i="2"/>
  <c r="B225" i="2"/>
  <c r="A298" i="2"/>
  <c r="F283" i="2"/>
  <c r="E149" i="2"/>
  <c r="B287" i="2"/>
  <c r="E41" i="2"/>
  <c r="B110" i="2"/>
  <c r="D350" i="2"/>
  <c r="F104" i="2"/>
  <c r="F61" i="2"/>
  <c r="A377" i="2"/>
  <c r="D320" i="2"/>
  <c r="B263" i="2"/>
  <c r="E118" i="2"/>
  <c r="E183" i="2"/>
  <c r="F205" i="2"/>
  <c r="C234" i="2"/>
  <c r="F256" i="2"/>
  <c r="C121" i="2"/>
  <c r="F164" i="2"/>
  <c r="B127" i="2"/>
  <c r="F109" i="2"/>
  <c r="D85" i="2"/>
  <c r="C156" i="2"/>
  <c r="C118" i="2"/>
  <c r="B367" i="2"/>
  <c r="D385" i="2"/>
  <c r="E120" i="2"/>
  <c r="C207" i="2"/>
  <c r="A225" i="2"/>
  <c r="C396" i="2"/>
  <c r="C343" i="2"/>
  <c r="B267" i="2"/>
  <c r="A141" i="2"/>
  <c r="E86" i="2"/>
  <c r="B81" i="2"/>
  <c r="E43" i="2"/>
  <c r="D83" i="2"/>
  <c r="E270" i="2"/>
  <c r="E49" i="2"/>
  <c r="C180" i="2"/>
  <c r="C364" i="2"/>
  <c r="B248" i="2"/>
  <c r="B145" i="2"/>
  <c r="D187" i="2"/>
  <c r="D284" i="2"/>
  <c r="B356" i="2"/>
  <c r="F263" i="2"/>
  <c r="E125" i="2"/>
  <c r="C354" i="2"/>
  <c r="D106" i="2"/>
  <c r="A244" i="2"/>
  <c r="E372" i="2"/>
  <c r="C133" i="2"/>
  <c r="D391" i="2"/>
  <c r="D60" i="2"/>
  <c r="F161" i="2"/>
  <c r="B290" i="2"/>
  <c r="C367" i="2"/>
  <c r="F124" i="2"/>
  <c r="A374" i="2"/>
  <c r="F98" i="2"/>
  <c r="C152" i="2"/>
  <c r="B165" i="2"/>
  <c r="F111" i="2"/>
  <c r="D131" i="2"/>
  <c r="E142" i="2"/>
  <c r="E263" i="2"/>
  <c r="D63" i="2"/>
  <c r="D164" i="2"/>
  <c r="C99" i="2"/>
  <c r="B49" i="2"/>
  <c r="B386" i="2"/>
  <c r="E276" i="2"/>
  <c r="C332" i="2"/>
  <c r="E332" i="2"/>
  <c r="D353" i="2"/>
  <c r="A216" i="2"/>
  <c r="A57" i="2"/>
  <c r="A170" i="2"/>
  <c r="B170" i="2"/>
  <c r="F228" i="2"/>
  <c r="F340" i="2"/>
  <c r="E389" i="2"/>
  <c r="F400" i="2"/>
  <c r="D128" i="2"/>
  <c r="F113" i="2"/>
  <c r="C131" i="2"/>
  <c r="E126" i="2"/>
  <c r="F45" i="2"/>
  <c r="B90" i="2"/>
  <c r="D308" i="2"/>
  <c r="B281" i="2"/>
  <c r="C306" i="2"/>
  <c r="B55" i="2"/>
  <c r="C123" i="2"/>
  <c r="E215" i="2"/>
  <c r="F339" i="2"/>
  <c r="D369" i="2"/>
  <c r="E357" i="2"/>
  <c r="A381" i="2"/>
  <c r="B187" i="2"/>
  <c r="F60" i="2"/>
  <c r="B150" i="2"/>
  <c r="F227" i="2"/>
  <c r="F257" i="2"/>
  <c r="D116" i="2"/>
  <c r="B233" i="2"/>
  <c r="C267" i="2"/>
  <c r="D135" i="2"/>
  <c r="A121" i="2"/>
  <c r="B322" i="2"/>
  <c r="C309" i="2"/>
  <c r="A174" i="2"/>
  <c r="D267" i="2"/>
  <c r="B84" i="2"/>
  <c r="D266" i="2"/>
  <c r="C196" i="2"/>
  <c r="D188" i="2"/>
  <c r="D39" i="2"/>
  <c r="A106" i="2"/>
  <c r="F221" i="2"/>
  <c r="E195" i="2"/>
  <c r="E321" i="2"/>
  <c r="D242" i="2"/>
  <c r="A294" i="2"/>
  <c r="C345" i="2"/>
  <c r="B51" i="2"/>
  <c r="B128" i="2"/>
  <c r="D235" i="2"/>
  <c r="A72" i="2"/>
  <c r="E284" i="2"/>
  <c r="F131" i="2"/>
  <c r="A45" i="2"/>
  <c r="F159" i="2"/>
  <c r="B35" i="2"/>
  <c r="B236" i="2"/>
  <c r="D379" i="2"/>
  <c r="D351" i="2"/>
  <c r="F245" i="2"/>
  <c r="D140" i="2"/>
  <c r="E222" i="2"/>
  <c r="D189" i="2"/>
  <c r="C54" i="2"/>
  <c r="C395" i="2"/>
  <c r="E295" i="2"/>
  <c r="C181" i="2"/>
  <c r="F114" i="2"/>
  <c r="D93" i="2"/>
  <c r="D138" i="2"/>
  <c r="D155" i="2"/>
  <c r="C390" i="2"/>
  <c r="F180" i="2"/>
  <c r="D68" i="2"/>
  <c r="A96" i="2"/>
  <c r="C262" i="2"/>
  <c r="D124" i="2"/>
  <c r="C166" i="2"/>
  <c r="C182" i="2"/>
  <c r="D46" i="2"/>
  <c r="D139" i="2"/>
  <c r="D64" i="2"/>
  <c r="F105" i="2"/>
  <c r="C255" i="2"/>
  <c r="B79" i="2"/>
  <c r="E105" i="2"/>
  <c r="E75" i="2"/>
  <c r="E258" i="2"/>
  <c r="D225" i="2"/>
  <c r="D109" i="2"/>
  <c r="D229" i="2"/>
  <c r="B135" i="2"/>
  <c r="F137" i="2"/>
  <c r="B320" i="2"/>
  <c r="B384" i="2"/>
  <c r="E373" i="2"/>
  <c r="E145" i="2"/>
  <c r="A378" i="2"/>
  <c r="F106" i="2"/>
  <c r="C90" i="2"/>
  <c r="D297" i="2"/>
  <c r="C175" i="2"/>
  <c r="A247" i="2"/>
  <c r="B142" i="2"/>
  <c r="F75" i="2"/>
  <c r="E275" i="2"/>
  <c r="D163" i="2"/>
  <c r="D280" i="2"/>
  <c r="F151" i="2"/>
  <c r="A182" i="2"/>
  <c r="D357" i="2"/>
  <c r="E57" i="2"/>
  <c r="E384" i="2"/>
  <c r="D137" i="2"/>
  <c r="B268" i="2"/>
  <c r="B344" i="2"/>
  <c r="F246" i="2"/>
  <c r="E35" i="2"/>
  <c r="D194" i="2"/>
  <c r="A73" i="2"/>
  <c r="B113" i="2"/>
  <c r="B354" i="2"/>
  <c r="E106" i="2"/>
  <c r="A160" i="2"/>
  <c r="A213" i="2"/>
  <c r="C231" i="2"/>
  <c r="F276" i="2"/>
  <c r="A324" i="2"/>
  <c r="E400" i="2"/>
  <c r="F207" i="2"/>
  <c r="A217" i="2"/>
  <c r="F129" i="2"/>
  <c r="D77" i="2"/>
  <c r="D256" i="2"/>
  <c r="E102" i="2"/>
  <c r="A198" i="2"/>
  <c r="D249" i="2"/>
  <c r="A122" i="2"/>
  <c r="E90" i="2"/>
  <c r="F369" i="2"/>
  <c r="C43" i="2"/>
  <c r="A228" i="2"/>
  <c r="F218" i="2"/>
  <c r="E211" i="2"/>
  <c r="C88" i="2"/>
  <c r="C127" i="2"/>
  <c r="E168" i="2"/>
  <c r="A147" i="2"/>
  <c r="F324" i="2"/>
  <c r="B131" i="2"/>
  <c r="E235" i="2"/>
  <c r="F200" i="2"/>
  <c r="C333" i="2"/>
  <c r="C280" i="2"/>
  <c r="F63" i="2"/>
  <c r="F87" i="2"/>
  <c r="C128" i="2"/>
  <c r="D347" i="2"/>
  <c r="B108" i="2"/>
  <c r="F90" i="2"/>
  <c r="C117" i="2"/>
  <c r="D80" i="2"/>
  <c r="F334" i="2"/>
  <c r="E216" i="2"/>
  <c r="E246" i="2"/>
  <c r="E192" i="2"/>
  <c r="D245" i="2"/>
  <c r="B243" i="2"/>
  <c r="B400" i="2"/>
  <c r="B125" i="2"/>
  <c r="A94" i="2"/>
  <c r="B334" i="2"/>
  <c r="F50" i="2"/>
  <c r="A114" i="2"/>
  <c r="F175" i="2"/>
  <c r="C317" i="2"/>
  <c r="D145" i="2"/>
  <c r="D136" i="2"/>
  <c r="A111" i="2"/>
  <c r="A330" i="2"/>
  <c r="B329" i="2"/>
  <c r="B291" i="2"/>
  <c r="B304" i="2"/>
  <c r="B34" i="2"/>
  <c r="F375" i="2"/>
  <c r="E174" i="2"/>
  <c r="F182" i="2"/>
  <c r="D86" i="2"/>
  <c r="A300" i="2"/>
  <c r="D133" i="2"/>
  <c r="E134" i="2"/>
  <c r="E128" i="2"/>
  <c r="A256" i="2"/>
  <c r="A166" i="2"/>
  <c r="D82" i="2"/>
  <c r="B48" i="2"/>
  <c r="D148" i="2"/>
  <c r="A78" i="2"/>
  <c r="A210" i="2"/>
  <c r="B370" i="2"/>
  <c r="A183" i="2"/>
  <c r="C75" i="2"/>
  <c r="D112" i="2"/>
  <c r="C211" i="2"/>
  <c r="E285" i="2"/>
  <c r="A316" i="2"/>
  <c r="A201" i="2"/>
  <c r="A128" i="2"/>
  <c r="F78" i="2"/>
  <c r="A253" i="2"/>
  <c r="C85" i="2"/>
  <c r="A255" i="2"/>
  <c r="D67" i="2"/>
  <c r="E45" i="2"/>
  <c r="D78" i="2"/>
  <c r="A385" i="2"/>
  <c r="B83" i="2"/>
  <c r="A77" i="2"/>
  <c r="D262" i="2"/>
  <c r="D123" i="2"/>
  <c r="F306" i="2"/>
  <c r="E114" i="2"/>
  <c r="E362" i="2"/>
  <c r="D322" i="2"/>
  <c r="B35" i="3"/>
  <c r="H35" i="3"/>
  <c r="F35" i="3"/>
  <c r="C35" i="3"/>
  <c r="L35" i="3"/>
  <c r="G35" i="3"/>
  <c r="E35" i="3"/>
  <c r="D35" i="3"/>
  <c r="E34" i="3"/>
  <c r="L34" i="3"/>
  <c r="C34" i="3"/>
  <c r="B34" i="3"/>
  <c r="G34" i="3"/>
  <c r="D34" i="3"/>
  <c r="H34" i="3"/>
  <c r="F34" i="3"/>
  <c r="E42" i="3"/>
  <c r="L42" i="3"/>
  <c r="C42" i="3"/>
  <c r="H42" i="3"/>
  <c r="F42" i="3"/>
  <c r="G42" i="3"/>
  <c r="D42" i="3"/>
  <c r="B42" i="3"/>
  <c r="G44" i="3"/>
  <c r="E44" i="3"/>
  <c r="L44" i="3"/>
  <c r="C44" i="3"/>
  <c r="H44" i="3"/>
  <c r="B44" i="3"/>
  <c r="F44" i="3"/>
  <c r="D44" i="3"/>
  <c r="H47" i="3"/>
  <c r="F47" i="3"/>
  <c r="D47" i="3"/>
  <c r="B47" i="3"/>
  <c r="E47" i="3"/>
  <c r="L47" i="3"/>
  <c r="G47" i="3"/>
  <c r="C47" i="3"/>
  <c r="L46" i="3"/>
  <c r="C46" i="3"/>
  <c r="G46" i="3"/>
  <c r="E46" i="3"/>
  <c r="B46" i="3"/>
  <c r="H46" i="3"/>
  <c r="F46" i="3"/>
  <c r="D46" i="3"/>
  <c r="L16" i="3"/>
  <c r="C16" i="3"/>
  <c r="B16" i="3"/>
  <c r="F16" i="3"/>
  <c r="E16" i="3"/>
  <c r="D16" i="3"/>
  <c r="H16" i="3"/>
  <c r="H41" i="3"/>
  <c r="F41" i="3"/>
  <c r="D41" i="3"/>
  <c r="G41" i="3"/>
  <c r="C41" i="3"/>
  <c r="L41" i="3"/>
  <c r="E41" i="3"/>
  <c r="B41" i="3"/>
  <c r="F23" i="3"/>
  <c r="D23" i="3"/>
  <c r="B23" i="3"/>
  <c r="H23" i="3"/>
  <c r="E23" i="3"/>
  <c r="L23" i="3"/>
  <c r="G23" i="3"/>
  <c r="C23" i="3"/>
  <c r="H33" i="3"/>
  <c r="F33" i="3"/>
  <c r="D33" i="3"/>
  <c r="E33" i="3"/>
  <c r="L33" i="3"/>
  <c r="G33" i="3"/>
  <c r="C33" i="3"/>
  <c r="B33" i="3"/>
  <c r="E56" i="3"/>
  <c r="L56" i="3"/>
  <c r="C56" i="3"/>
  <c r="G56" i="3"/>
  <c r="H56" i="3"/>
  <c r="F56" i="3"/>
  <c r="D56" i="3"/>
  <c r="B56" i="3"/>
  <c r="F53" i="3"/>
  <c r="D53" i="3"/>
  <c r="B53" i="3"/>
  <c r="H53" i="3"/>
  <c r="G53" i="3"/>
  <c r="C53" i="3"/>
  <c r="L53" i="3"/>
  <c r="E53" i="3"/>
  <c r="G30" i="3"/>
  <c r="E30" i="3"/>
  <c r="L30" i="3"/>
  <c r="D30" i="3"/>
  <c r="B30" i="3"/>
  <c r="H30" i="3"/>
  <c r="F30" i="3"/>
  <c r="C30" i="3"/>
  <c r="B27" i="3"/>
  <c r="H27" i="3"/>
  <c r="F27" i="3"/>
  <c r="G27" i="3"/>
  <c r="C27" i="3"/>
  <c r="D27" i="3"/>
  <c r="L27" i="3"/>
  <c r="E27" i="3"/>
  <c r="G22" i="3"/>
  <c r="E22" i="3"/>
  <c r="H22" i="3"/>
  <c r="D22" i="3"/>
  <c r="L22" i="3"/>
  <c r="F22" i="3"/>
  <c r="C22" i="3"/>
  <c r="B22" i="3"/>
  <c r="G60" i="3"/>
  <c r="E60" i="3"/>
  <c r="L60" i="3"/>
  <c r="C60" i="3"/>
  <c r="H60" i="3"/>
  <c r="F60" i="3"/>
  <c r="D60" i="3"/>
  <c r="B60" i="3"/>
  <c r="E64" i="3"/>
  <c r="L64" i="3"/>
  <c r="C64" i="3"/>
  <c r="G64" i="3"/>
  <c r="H64" i="3"/>
  <c r="D64" i="3"/>
  <c r="B64" i="3"/>
  <c r="F64" i="3"/>
  <c r="D21" i="3"/>
  <c r="B21" i="3"/>
  <c r="H21" i="3"/>
  <c r="G21" i="3"/>
  <c r="E21" i="3"/>
  <c r="L21" i="3"/>
  <c r="C21" i="3"/>
  <c r="F21" i="3"/>
  <c r="F39" i="3"/>
  <c r="D39" i="3"/>
  <c r="B39" i="3"/>
  <c r="G39" i="3"/>
  <c r="C39" i="3"/>
  <c r="L39" i="3"/>
  <c r="H39" i="3"/>
  <c r="E39" i="3"/>
  <c r="B49" i="3"/>
  <c r="H49" i="3"/>
  <c r="F49" i="3"/>
  <c r="D49" i="3"/>
  <c r="G49" i="3"/>
  <c r="E49" i="3"/>
  <c r="C49" i="3"/>
  <c r="L49" i="3"/>
  <c r="G50" i="3"/>
  <c r="E50" i="3"/>
  <c r="L50" i="3"/>
  <c r="C50" i="3"/>
  <c r="H50" i="3"/>
  <c r="F50" i="3"/>
  <c r="D50" i="3"/>
  <c r="B50" i="3"/>
  <c r="E48" i="3"/>
  <c r="L48" i="3"/>
  <c r="C48" i="3"/>
  <c r="G48" i="3"/>
  <c r="H48" i="3"/>
  <c r="D48" i="3"/>
  <c r="B48" i="3"/>
  <c r="F48" i="3"/>
  <c r="L32" i="3"/>
  <c r="C32" i="3"/>
  <c r="G32" i="3"/>
  <c r="E32" i="3"/>
  <c r="H32" i="3"/>
  <c r="F32" i="3"/>
  <c r="D32" i="3"/>
  <c r="B32" i="3"/>
  <c r="D37" i="3"/>
  <c r="B37" i="3"/>
  <c r="H37" i="3"/>
  <c r="E37" i="3"/>
  <c r="F37" i="3"/>
  <c r="C37" i="3"/>
  <c r="L37" i="3"/>
  <c r="G37" i="3"/>
  <c r="G20" i="3"/>
  <c r="E20" i="3"/>
  <c r="L20" i="3"/>
  <c r="C20" i="3"/>
  <c r="F20" i="3"/>
  <c r="B20" i="3"/>
  <c r="D20" i="3"/>
  <c r="H20" i="3"/>
  <c r="L17" i="3"/>
  <c r="H17" i="3" s="1"/>
  <c r="L24" i="3"/>
  <c r="C24" i="3"/>
  <c r="G24" i="3"/>
  <c r="H24" i="3"/>
  <c r="E24" i="3"/>
  <c r="D24" i="3"/>
  <c r="B24" i="3"/>
  <c r="F24" i="3"/>
  <c r="B57" i="3"/>
  <c r="H57" i="3"/>
  <c r="F57" i="3"/>
  <c r="D57" i="3"/>
  <c r="C57" i="3"/>
  <c r="L57" i="3"/>
  <c r="G57" i="3"/>
  <c r="E57" i="3"/>
  <c r="G52" i="3"/>
  <c r="E52" i="3"/>
  <c r="L52" i="3"/>
  <c r="C52" i="3"/>
  <c r="D52" i="3"/>
  <c r="H52" i="3"/>
  <c r="F52" i="3"/>
  <c r="B52" i="3"/>
  <c r="F61" i="3"/>
  <c r="D61" i="3"/>
  <c r="B61" i="3"/>
  <c r="H61" i="3"/>
  <c r="G61" i="3"/>
  <c r="E61" i="3"/>
  <c r="L61" i="3"/>
  <c r="C61" i="3"/>
  <c r="L18" i="3"/>
  <c r="E18" i="3" s="1"/>
  <c r="D18" i="3"/>
  <c r="H18" i="3"/>
  <c r="F18" i="3"/>
  <c r="B18" i="3"/>
  <c r="G38" i="3"/>
  <c r="E38" i="3"/>
  <c r="D38" i="3"/>
  <c r="B38" i="3"/>
  <c r="H38" i="3"/>
  <c r="F38" i="3"/>
  <c r="C38" i="3"/>
  <c r="L38" i="3"/>
  <c r="H25" i="3"/>
  <c r="F25" i="3"/>
  <c r="D25" i="3"/>
  <c r="E25" i="3"/>
  <c r="G25" i="3"/>
  <c r="C25" i="3"/>
  <c r="B25" i="3"/>
  <c r="L25" i="3"/>
  <c r="B43" i="3"/>
  <c r="H43" i="3"/>
  <c r="F43" i="3"/>
  <c r="E43" i="3"/>
  <c r="D43" i="3"/>
  <c r="C43" i="3"/>
  <c r="L43" i="3"/>
  <c r="G43" i="3"/>
  <c r="F45" i="3"/>
  <c r="D45" i="3"/>
  <c r="B45" i="3"/>
  <c r="H45" i="3"/>
  <c r="E45" i="3"/>
  <c r="L45" i="3"/>
  <c r="G45" i="3"/>
  <c r="C45" i="3"/>
  <c r="G28" i="3"/>
  <c r="E28" i="3"/>
  <c r="L28" i="3"/>
  <c r="C28" i="3"/>
  <c r="H28" i="3"/>
  <c r="B28" i="3"/>
  <c r="F28" i="3"/>
  <c r="D28" i="3"/>
  <c r="G58" i="3"/>
  <c r="E58" i="3"/>
  <c r="L58" i="3"/>
  <c r="C58" i="3"/>
  <c r="F58" i="3"/>
  <c r="B58" i="3"/>
  <c r="H58" i="3"/>
  <c r="D58" i="3"/>
  <c r="H63" i="3"/>
  <c r="F63" i="3"/>
  <c r="D63" i="3"/>
  <c r="B63" i="3"/>
  <c r="E63" i="3"/>
  <c r="L63" i="3"/>
  <c r="G63" i="3"/>
  <c r="C63" i="3"/>
  <c r="E26" i="3"/>
  <c r="L26" i="3"/>
  <c r="C26" i="3"/>
  <c r="G26" i="3"/>
  <c r="B26" i="3"/>
  <c r="H26" i="3"/>
  <c r="F26" i="3"/>
  <c r="D26" i="3"/>
  <c r="L62" i="3"/>
  <c r="C62" i="3"/>
  <c r="G62" i="3"/>
  <c r="E62" i="3"/>
  <c r="B62" i="3"/>
  <c r="H62" i="3"/>
  <c r="F62" i="3"/>
  <c r="D62" i="3"/>
  <c r="D51" i="3"/>
  <c r="B51" i="3"/>
  <c r="H51" i="3"/>
  <c r="F51" i="3"/>
  <c r="L51" i="3"/>
  <c r="G51" i="3"/>
  <c r="C51" i="3"/>
  <c r="E51" i="3"/>
  <c r="L54" i="3"/>
  <c r="C54" i="3"/>
  <c r="G54" i="3"/>
  <c r="E54" i="3"/>
  <c r="F54" i="3"/>
  <c r="D54" i="3"/>
  <c r="B54" i="3"/>
  <c r="H54" i="3"/>
  <c r="L15" i="3"/>
  <c r="F15" i="3" s="1"/>
  <c r="H15" i="3"/>
  <c r="C15" i="3"/>
  <c r="F31" i="3"/>
  <c r="D31" i="3"/>
  <c r="B31" i="3"/>
  <c r="L31" i="3"/>
  <c r="E31" i="3"/>
  <c r="G31" i="3"/>
  <c r="C31" i="3"/>
  <c r="H31" i="3"/>
  <c r="B19" i="3"/>
  <c r="H19" i="3"/>
  <c r="F19" i="3"/>
  <c r="E19" i="3"/>
  <c r="C19" i="3"/>
  <c r="G19" i="3"/>
  <c r="D19" i="3"/>
  <c r="L19" i="3"/>
  <c r="G16" i="3" l="1"/>
  <c r="E15" i="3"/>
  <c r="E17" i="3"/>
  <c r="C17" i="3"/>
  <c r="B17" i="3"/>
  <c r="B15" i="3"/>
  <c r="C18" i="3"/>
  <c r="G18" i="3" s="1"/>
  <c r="D17" i="3"/>
  <c r="D15" i="3"/>
  <c r="F17" i="3"/>
  <c r="G15" i="3" l="1"/>
  <c r="G17" i="3"/>
</calcChain>
</file>

<file path=xl/sharedStrings.xml><?xml version="1.0" encoding="utf-8"?>
<sst xmlns="http://schemas.openxmlformats.org/spreadsheetml/2006/main" count="620" uniqueCount="81">
  <si>
    <t>AGRO PACAYALES · PLANTA CAMOTE 2026  |  MOVIMIENTOS — registra aquí un evento por fila</t>
  </si>
  <si>
    <t>Única hoja que llenas: escribe la fecha como 24-7 (saldrá "vie 24-07" solita) + Tipo (lista) + Calidad + Unidad (jabas/sacos/kg) + Cantidad → los Kg salen solos. Si registras en kg (muestras, malogrado, reproceso, otras salidas) los Kg = Cantidad. Guía/ticket y nota al final. KARDEX, SALDO DIARIO y RESUMEN se arman solos.</t>
  </si>
  <si>
    <t>Fecha</t>
  </si>
  <si>
    <t>Tipo</t>
  </si>
  <si>
    <t>Calidad</t>
  </si>
  <si>
    <t>Unidad</t>
  </si>
  <si>
    <t>Cantidad</t>
  </si>
  <si>
    <t>Kg</t>
  </si>
  <si>
    <t>N° Guía / Ticket</t>
  </si>
  <si>
    <t>Observación</t>
  </si>
  <si>
    <t>SALDO INICIAL</t>
  </si>
  <si>
    <t>A</t>
  </si>
  <si>
    <t>jabas</t>
  </si>
  <si>
    <t>Saldo semana anterior</t>
  </si>
  <si>
    <t>M</t>
  </si>
  <si>
    <t>Chancho</t>
  </si>
  <si>
    <t>sacos</t>
  </si>
  <si>
    <t>COMPRA</t>
  </si>
  <si>
    <t>—</t>
  </si>
  <si>
    <t>peso aprox 95 kg/saco</t>
  </si>
  <si>
    <t>PROCESO</t>
  </si>
  <si>
    <t>P</t>
  </si>
  <si>
    <t>C</t>
  </si>
  <si>
    <t>ENVÍO A SUPESA</t>
  </si>
  <si>
    <t>2977</t>
  </si>
  <si>
    <t>2980</t>
  </si>
  <si>
    <t>2984</t>
  </si>
  <si>
    <t>2986</t>
  </si>
  <si>
    <t>VENTA CHANCHO</t>
  </si>
  <si>
    <t>TCK002-724</t>
  </si>
  <si>
    <t>2992</t>
  </si>
  <si>
    <t>2994</t>
  </si>
  <si>
    <t>TCK002-725</t>
  </si>
  <si>
    <t>2996</t>
  </si>
  <si>
    <t>TRASIEGO</t>
  </si>
  <si>
    <t>2998</t>
  </si>
  <si>
    <t>3001</t>
  </si>
  <si>
    <t>TCK002-726</t>
  </si>
  <si>
    <t>3004</t>
  </si>
  <si>
    <t>DEVOLUCIÓN</t>
  </si>
  <si>
    <t>jabas rechazadas que regresan</t>
  </si>
  <si>
    <t>REPROCESO</t>
  </si>
  <si>
    <t>kg</t>
  </si>
  <si>
    <t>kg recuperados de jabas devueltas</t>
  </si>
  <si>
    <t>MALOGRADO</t>
  </si>
  <si>
    <t>3006</t>
  </si>
  <si>
    <t>S/T</t>
  </si>
  <si>
    <t>3008</t>
  </si>
  <si>
    <t>3011</t>
  </si>
  <si>
    <t>TCK002-729</t>
  </si>
  <si>
    <t>AJUSTE</t>
  </si>
  <si>
    <t>Se está realizando ajuste para cuadrar con stock</t>
  </si>
  <si>
    <t>AGRO PACAYALES · PLANTA CAMOTE 2026  |  KARDEX — Entradas / Salidas y Stock (kg)</t>
  </si>
  <si>
    <t>Automático desde MOVIMIENTOS. Entradas: saldo inicial, compras, reprocesos. Salidas: envíos, chancho del proceso, malogrado, trasiegos y otras salidas. Ventas de chancho y devoluciones aparecen como información.</t>
  </si>
  <si>
    <t>ENTRADAS</t>
  </si>
  <si>
    <t>SALIDAS</t>
  </si>
  <si>
    <t>Detalle</t>
  </si>
  <si>
    <t>Ingresos Kg</t>
  </si>
  <si>
    <t>Salidas Kg</t>
  </si>
  <si>
    <t>N. Guía / Nota</t>
  </si>
  <si>
    <t>Stock Kg</t>
  </si>
  <si>
    <t>AGRO PACAYALES · PLANTA CAMOTE 2026  |  SALDO DIARIO — lo que queda en almacén al cierre de cada día</t>
  </si>
  <si>
    <t>Automático. Cada fila = cierre del día: jabas por calidad para contar el almacén, sacos de chancho y kg del kardex. La última fila con datos es tu stock de HOY: con eso sabes si te alcanza para el envío de mañana.</t>
  </si>
  <si>
    <t>A
(jabas)</t>
  </si>
  <si>
    <t>P
(jabas)</t>
  </si>
  <si>
    <t>C
(jabas)</t>
  </si>
  <si>
    <t>M
(jabas)</t>
  </si>
  <si>
    <t>Chancho
(sacos)</t>
  </si>
  <si>
    <t>TOTAL
jabas</t>
  </si>
  <si>
    <t>Stock
Kg</t>
  </si>
  <si>
    <t>Tipos</t>
  </si>
  <si>
    <t>Calidades</t>
  </si>
  <si>
    <t>Unidades</t>
  </si>
  <si>
    <t>VENTA</t>
  </si>
  <si>
    <t>REGALO</t>
  </si>
  <si>
    <t>Primera</t>
  </si>
  <si>
    <t>(Agrega aquí nuevas calidades con su factor kg por jaba para que los Kg salgan solos)</t>
  </si>
  <si>
    <t>Segunda</t>
  </si>
  <si>
    <t>OTRA SALIDA</t>
  </si>
  <si>
    <t>No hicieron ticket</t>
  </si>
  <si>
    <t>Se envió como muestra.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</si>
</sst>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dd\ dd\-mm"/>
    <numFmt numFmtId="165" formatCode="#,##0.#;\(#,##0.#\);\-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color rgb="FFFFFFFF"/>
      <name val="Arial"/>
      <family val="2"/>
    </font>
    <font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10"/>
      <color rgb="FF37474F"/>
      <name val="Arial"/>
      <family val="2"/>
    </font>
    <font>
      <i/>
      <sz val="9"/>
      <color rgb="FF88888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63238"/>
        <bgColor rgb="FF3E2723"/>
      </patternFill>
    </fill>
    <fill>
      <patternFill patternType="solid">
        <fgColor rgb="FF37474F"/>
        <bgColor rgb="FF455A64"/>
      </patternFill>
    </fill>
    <fill>
      <patternFill patternType="solid">
        <fgColor rgb="FF1565C0"/>
        <bgColor rgb="FF01579B"/>
      </patternFill>
    </fill>
    <fill>
      <patternFill patternType="solid">
        <fgColor rgb="FF8E24AA"/>
        <bgColor rgb="FF80008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right" vertical="center"/>
    </xf>
    <xf numFmtId="164" fontId="0" fillId="0" borderId="0" xfId="0" applyNumberFormat="1"/>
    <xf numFmtId="164" fontId="7" fillId="0" borderId="1" xfId="0" applyNumberFormat="1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1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27">
    <dxf>
      <font>
        <b/>
        <color rgb="FF33691E"/>
      </font>
      <fill>
        <patternFill>
          <bgColor rgb="FFFFF9C4"/>
        </patternFill>
      </fill>
      <border diagonalUp="0" diagonalDown="0">
        <left/>
        <right/>
        <top/>
        <bottom style="thin">
          <color rgb="FFDDDDDD"/>
        </bottom>
      </border>
    </dxf>
    <dxf>
      <font>
        <b/>
        <color rgb="FFF57F17"/>
      </font>
      <fill>
        <patternFill>
          <bgColor rgb="FFFFF8E1"/>
        </patternFill>
      </fill>
      <border diagonalUp="0" diagonalDown="0">
        <left/>
        <right/>
        <top/>
        <bottom style="thin">
          <color rgb="FFDDDDDD"/>
        </bottom>
      </border>
    </dxf>
    <dxf>
      <font>
        <b/>
        <color rgb="FF4527A0"/>
      </font>
      <fill>
        <patternFill>
          <bgColor rgb="FFD1C4E9"/>
        </patternFill>
      </fill>
      <border diagonalUp="0" diagonalDown="0">
        <left/>
        <right/>
        <top/>
        <bottom style="thin">
          <color rgb="FFDDDDDD"/>
        </bottom>
      </border>
    </dxf>
    <dxf>
      <font>
        <b/>
        <color rgb="FF880E4F"/>
      </font>
      <fill>
        <patternFill>
          <bgColor rgb="FFFCE4EC"/>
        </patternFill>
      </fill>
      <border diagonalUp="0" diagonalDown="0">
        <left/>
        <right/>
        <top/>
        <bottom style="thin">
          <color rgb="FFDDDDDD"/>
        </bottom>
      </border>
    </dxf>
    <dxf>
      <font>
        <b/>
        <color rgb="FF455A64"/>
      </font>
      <fill>
        <patternFill>
          <bgColor rgb="FFECEFF1"/>
        </patternFill>
      </fill>
      <border diagonalUp="0" diagonalDown="0">
        <left/>
        <right/>
        <top/>
        <bottom style="thin">
          <color rgb="FFDDDDDD"/>
        </bottom>
      </border>
    </dxf>
    <dxf>
      <font>
        <color rgb="FF01579B"/>
      </font>
      <fill>
        <patternFill>
          <bgColor rgb="FFE1F5FE"/>
        </patternFill>
      </fill>
      <border diagonalUp="0" diagonalDown="0">
        <left/>
        <right/>
        <top/>
        <bottom style="thin">
          <color rgb="FFDDDDDD"/>
        </bottom>
      </border>
    </dxf>
    <dxf>
      <font>
        <b/>
        <color rgb="FF00695C"/>
      </font>
      <fill>
        <patternFill>
          <bgColor rgb="FFE0F2F1"/>
        </patternFill>
      </fill>
      <border diagonalUp="0" diagonalDown="0">
        <left/>
        <right/>
        <top/>
        <bottom style="thin">
          <color rgb="FFDDDDDD"/>
        </bottom>
      </border>
    </dxf>
    <dxf>
      <font>
        <color rgb="FFE65100"/>
      </font>
      <fill>
        <patternFill>
          <bgColor rgb="FFFFF3E0"/>
        </patternFill>
      </fill>
      <border diagonalUp="0" diagonalDown="0">
        <left/>
        <right/>
        <top/>
        <bottom style="thin">
          <color rgb="FFDDDDDD"/>
        </bottom>
      </border>
    </dxf>
    <dxf>
      <font>
        <b/>
        <color rgb="FF3E2723"/>
      </font>
      <fill>
        <patternFill>
          <bgColor rgb="FFD7CCC8"/>
        </patternFill>
      </fill>
      <border diagonalUp="0" diagonalDown="0">
        <left/>
        <right/>
        <top/>
        <bottom style="thin">
          <color rgb="FFDDDDDD"/>
        </bottom>
      </border>
    </dxf>
    <dxf>
      <font>
        <color rgb="FF311B92"/>
      </font>
      <fill>
        <patternFill>
          <bgColor rgb="FFEDE7F6"/>
        </patternFill>
      </fill>
      <border diagonalUp="0" diagonalDown="0">
        <left/>
        <right/>
        <top/>
        <bottom style="thin">
          <color rgb="FFDDDDDD"/>
        </bottom>
      </border>
    </dxf>
    <dxf>
      <font>
        <b/>
        <color rgb="FFB71C1C"/>
      </font>
      <fill>
        <patternFill>
          <bgColor rgb="FFFFEBEE"/>
        </patternFill>
      </fill>
      <border diagonalUp="0" diagonalDown="0">
        <left/>
        <right/>
        <top/>
        <bottom style="thin">
          <color rgb="FFDDDDDD"/>
        </bottom>
      </border>
    </dxf>
    <dxf>
      <font>
        <color rgb="FF4E342E"/>
      </font>
      <fill>
        <patternFill>
          <bgColor rgb="FFEFEBE9"/>
        </patternFill>
      </fill>
      <border diagonalUp="0" diagonalDown="0">
        <left/>
        <right/>
        <top/>
        <bottom style="thin">
          <color rgb="FFDDDDDD"/>
        </bottom>
      </border>
    </dxf>
    <dxf>
      <font>
        <b/>
        <color rgb="FF0D47A1"/>
      </font>
      <fill>
        <patternFill>
          <bgColor rgb="FFE3F2FD"/>
        </patternFill>
      </fill>
      <border diagonalUp="0" diagonalDown="0">
        <left/>
        <right/>
        <top/>
        <bottom style="thin">
          <color rgb="FFDDDDDD"/>
        </bottom>
      </border>
    </dxf>
    <dxf>
      <font>
        <b/>
        <color rgb="FF5D4037"/>
      </font>
      <fill>
        <patternFill>
          <bgColor rgb="FFFFF8E1"/>
        </patternFill>
      </fill>
      <border diagonalUp="0" diagonalDown="0">
        <left/>
        <right/>
        <top/>
        <bottom style="thin">
          <color rgb="FFDDDDDD"/>
        </bottom>
      </border>
    </dxf>
    <dxf>
      <font>
        <b/>
        <color rgb="FF5D4037"/>
      </font>
      <fill>
        <patternFill>
          <bgColor rgb="FFFFF8E1"/>
        </patternFill>
      </fill>
    </dxf>
    <dxf>
      <font>
        <b/>
        <color rgb="FF880E4F"/>
      </font>
      <fill>
        <patternFill>
          <bgColor rgb="FFFCE4EC"/>
        </patternFill>
      </fill>
    </dxf>
    <dxf>
      <font>
        <b/>
        <color rgb="FFF57F17"/>
      </font>
      <fill>
        <patternFill>
          <bgColor rgb="FFFFF8E1"/>
        </patternFill>
      </fill>
    </dxf>
    <dxf>
      <font>
        <color rgb="FF01579B"/>
      </font>
      <fill>
        <patternFill>
          <bgColor rgb="FFE1F5FE"/>
        </patternFill>
      </fill>
    </dxf>
    <dxf>
      <font>
        <b/>
        <color rgb="FF455A64"/>
      </font>
      <fill>
        <patternFill>
          <bgColor rgb="FFECEFF1"/>
        </patternFill>
      </fill>
    </dxf>
    <dxf>
      <font>
        <b/>
        <color rgb="FFB71C1C"/>
      </font>
      <fill>
        <patternFill>
          <bgColor rgb="FFFFEBEE"/>
        </patternFill>
      </fill>
    </dxf>
    <dxf>
      <font>
        <b/>
        <color rgb="FF00695C"/>
      </font>
      <fill>
        <patternFill>
          <bgColor rgb="FFE0F2F1"/>
        </patternFill>
      </fill>
    </dxf>
    <dxf>
      <font>
        <color rgb="FFE65100"/>
      </font>
      <fill>
        <patternFill>
          <bgColor rgb="FFFFF3E0"/>
        </patternFill>
      </fill>
    </dxf>
    <dxf>
      <font>
        <b/>
        <color rgb="FF4E342E"/>
      </font>
      <fill>
        <patternFill>
          <bgColor rgb="FFEFEBE9"/>
        </patternFill>
      </fill>
    </dxf>
    <dxf>
      <font>
        <b/>
        <color rgb="FF4527A0"/>
      </font>
      <fill>
        <patternFill>
          <bgColor rgb="FFD1C4E9"/>
        </patternFill>
      </fill>
    </dxf>
    <dxf>
      <font>
        <color rgb="FF311B92"/>
      </font>
      <fill>
        <patternFill>
          <bgColor rgb="FFEDE7F6"/>
        </patternFill>
      </fill>
    </dxf>
    <dxf>
      <font>
        <color rgb="FF1B5E20"/>
      </font>
      <fill>
        <patternFill>
          <bgColor rgb="FFE8F5E9"/>
        </patternFill>
      </fill>
    </dxf>
    <dxf>
      <font>
        <b/>
        <color rgb="FF0D47A1"/>
      </font>
      <fill>
        <patternFill>
          <bgColor rgb="FFE3F2F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311B92"/>
      <rgbColor rgb="FF555555"/>
      <rgbColor rgb="FF880E4F"/>
      <rgbColor rgb="FF00695C"/>
      <rgbColor rgb="FFD7CCC8"/>
      <rgbColor rgb="FF888888"/>
      <rgbColor rgb="FFEFEBE9"/>
      <rgbColor rgb="FF8E24AA"/>
      <rgbColor rgb="FFFFF9C4"/>
      <rgbColor rgb="FFE1F5FE"/>
      <rgbColor rgb="FF4E342E"/>
      <rgbColor rgb="FFFF8080"/>
      <rgbColor rgb="FF1565C0"/>
      <rgbColor rgb="FFD1C4E9"/>
      <rgbColor rgb="FF000080"/>
      <rgbColor rgb="FFFF00FF"/>
      <rgbColor rgb="FFFFEBEE"/>
      <rgbColor rgb="FF00FFFF"/>
      <rgbColor rgb="FF800080"/>
      <rgbColor rgb="FF800000"/>
      <rgbColor rgb="FF01579B"/>
      <rgbColor rgb="FF0000FF"/>
      <rgbColor rgb="FF00CCFF"/>
      <rgbColor rgb="FFE0F2F1"/>
      <rgbColor rgb="FFE8F5E9"/>
      <rgbColor rgb="FFFFF8E1"/>
      <rgbColor rgb="FFE3F2FD"/>
      <rgbColor rgb="FFFCE4EC"/>
      <rgbColor rgb="FFEDE7F6"/>
      <rgbColor rgb="FFDDDDDD"/>
      <rgbColor rgb="FF3366FF"/>
      <rgbColor rgb="FF33CCCC"/>
      <rgbColor rgb="FF99CC00"/>
      <rgbColor rgb="FFECEFF1"/>
      <rgbColor rgb="FFF57F17"/>
      <rgbColor rgb="FFE65100"/>
      <rgbColor rgb="FF455A64"/>
      <rgbColor rgb="FF969696"/>
      <rgbColor rgb="FF0D47A1"/>
      <rgbColor rgb="FF33691E"/>
      <rgbColor rgb="FF37474F"/>
      <rgbColor rgb="FF3E2723"/>
      <rgbColor rgb="FFB71C1C"/>
      <rgbColor rgb="FF5D4037"/>
      <rgbColor rgb="FF4527A0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0"/>
  <sheetViews>
    <sheetView showGridLines="0" tabSelected="1" zoomScaleNormal="100" workbookViewId="0">
      <pane ySplit="4" topLeftCell="A141" activePane="bottomLeft" state="frozen"/>
      <selection pane="bottomLeft" activeCell="H162" sqref="H162"/>
    </sheetView>
  </sheetViews>
  <sheetFormatPr baseColWidth="10" defaultColWidth="8.6640625" defaultRowHeight="15" x14ac:dyDescent="0.2"/>
  <cols>
    <col min="1" max="1" width="13" customWidth="1"/>
    <col min="2" max="2" width="17" customWidth="1"/>
    <col min="3" max="3" width="10" customWidth="1"/>
    <col min="4" max="4" width="9" customWidth="1"/>
    <col min="5" max="5" width="11" customWidth="1"/>
    <col min="6" max="6" width="10" customWidth="1"/>
    <col min="7" max="7" width="16" customWidth="1"/>
    <col min="8" max="8" width="40.6640625" bestFit="1" customWidth="1"/>
    <col min="9" max="9" width="13" hidden="1" customWidth="1"/>
  </cols>
  <sheetData>
    <row r="1" spans="1:9" ht="21.7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</row>
    <row r="2" spans="1:9" x14ac:dyDescent="0.2">
      <c r="A2" s="16" t="s">
        <v>1</v>
      </c>
      <c r="B2" s="16"/>
      <c r="C2" s="16"/>
      <c r="D2" s="16"/>
      <c r="E2" s="16"/>
      <c r="F2" s="16"/>
      <c r="G2" s="16"/>
      <c r="H2" s="16"/>
    </row>
    <row r="4" spans="1:9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9" x14ac:dyDescent="0.2">
      <c r="A5" s="2">
        <v>46214</v>
      </c>
      <c r="B5" s="3" t="s">
        <v>10</v>
      </c>
      <c r="C5" s="3" t="s">
        <v>11</v>
      </c>
      <c r="D5" s="3" t="s">
        <v>12</v>
      </c>
      <c r="E5" s="4">
        <v>8</v>
      </c>
      <c r="F5" s="4">
        <f>IF($B5="","",IF($D5="kg",N($E5),IF($D5="sacos",N($E5)*95,IF($D5="jabas",N($E5)*IFERROR(VLOOKUP($C5,LISTAS!$A$2:$B$12,2,0),0),""))))</f>
        <v>120</v>
      </c>
      <c r="G5" s="3"/>
      <c r="H5" s="3" t="s">
        <v>13</v>
      </c>
      <c r="I5">
        <f t="shared" ref="I5:I68" si="0">N($F5)</f>
        <v>120</v>
      </c>
    </row>
    <row r="6" spans="1:9" x14ac:dyDescent="0.2">
      <c r="A6" s="2">
        <v>46214</v>
      </c>
      <c r="B6" s="3" t="s">
        <v>10</v>
      </c>
      <c r="C6" s="3" t="s">
        <v>14</v>
      </c>
      <c r="D6" s="3" t="s">
        <v>12</v>
      </c>
      <c r="E6" s="4">
        <v>7</v>
      </c>
      <c r="F6" s="4">
        <f>IF($B6="","",IF($D6="kg",N($E6),IF($D6="sacos",N($E6)*95,IF($D6="jabas",N($E6)*IFERROR(VLOOKUP($C6,LISTAS!$A$2:$B$12,2,0),0),""))))</f>
        <v>119</v>
      </c>
      <c r="G6" s="3"/>
      <c r="H6" s="3" t="s">
        <v>13</v>
      </c>
      <c r="I6">
        <f t="shared" si="0"/>
        <v>119</v>
      </c>
    </row>
    <row r="7" spans="1:9" x14ac:dyDescent="0.2">
      <c r="A7" s="2">
        <v>46214</v>
      </c>
      <c r="B7" s="3" t="s">
        <v>10</v>
      </c>
      <c r="C7" s="3" t="s">
        <v>15</v>
      </c>
      <c r="D7" s="3" t="s">
        <v>16</v>
      </c>
      <c r="E7" s="4">
        <v>20</v>
      </c>
      <c r="F7" s="4">
        <f>IF($B7="","",IF($D7="kg",N($E7),IF($D7="sacos",N($E7)*95,IF($D7="jabas",N($E7)*IFERROR(VLOOKUP($C7,LISTAS!$A$2:$B$12,2,0),0),""))))</f>
        <v>1900</v>
      </c>
      <c r="G7" s="3"/>
      <c r="H7" s="3" t="s">
        <v>13</v>
      </c>
      <c r="I7">
        <f t="shared" si="0"/>
        <v>1900</v>
      </c>
    </row>
    <row r="8" spans="1:9" x14ac:dyDescent="0.2">
      <c r="A8" s="2">
        <v>46215</v>
      </c>
      <c r="B8" s="3" t="s">
        <v>17</v>
      </c>
      <c r="C8" s="3" t="s">
        <v>18</v>
      </c>
      <c r="D8" s="3" t="s">
        <v>16</v>
      </c>
      <c r="E8" s="4">
        <v>30</v>
      </c>
      <c r="F8" s="4">
        <f>IF($B8="","",IF($D8="kg",N($E8),IF($D8="sacos",N($E8)*95,IF($D8="jabas",N($E8)*IFERROR(VLOOKUP($C8,LISTAS!$A$2:$B$12,2,0),0),""))))</f>
        <v>2850</v>
      </c>
      <c r="G8" s="3"/>
      <c r="H8" s="3" t="s">
        <v>19</v>
      </c>
      <c r="I8">
        <f t="shared" si="0"/>
        <v>2850</v>
      </c>
    </row>
    <row r="9" spans="1:9" x14ac:dyDescent="0.2">
      <c r="A9" s="2">
        <v>46215</v>
      </c>
      <c r="B9" s="3" t="s">
        <v>20</v>
      </c>
      <c r="C9" s="3" t="s">
        <v>11</v>
      </c>
      <c r="D9" s="3" t="s">
        <v>12</v>
      </c>
      <c r="E9" s="4">
        <v>59</v>
      </c>
      <c r="F9" s="4">
        <f>IF($B9="","",IF($D9="kg",N($E9),IF($D9="sacos",N($E9)*95,IF($D9="jabas",N($E9)*IFERROR(VLOOKUP($C9,LISTAS!$A$2:$B$12,2,0),0),""))))</f>
        <v>885</v>
      </c>
      <c r="G9" s="3"/>
      <c r="H9" s="3"/>
      <c r="I9">
        <f t="shared" si="0"/>
        <v>885</v>
      </c>
    </row>
    <row r="10" spans="1:9" x14ac:dyDescent="0.2">
      <c r="A10" s="2">
        <v>46215</v>
      </c>
      <c r="B10" s="3" t="s">
        <v>20</v>
      </c>
      <c r="C10" s="3" t="s">
        <v>21</v>
      </c>
      <c r="D10" s="3" t="s">
        <v>12</v>
      </c>
      <c r="E10" s="4">
        <v>11</v>
      </c>
      <c r="F10" s="4">
        <f>IF($B10="","",IF($D10="kg",N($E10),IF($D10="sacos",N($E10)*95,IF($D10="jabas",N($E10)*IFERROR(VLOOKUP($C10,LISTAS!$A$2:$B$12,2,0),0),""))))</f>
        <v>198</v>
      </c>
      <c r="G10" s="3"/>
      <c r="H10" s="3"/>
      <c r="I10">
        <f t="shared" si="0"/>
        <v>198</v>
      </c>
    </row>
    <row r="11" spans="1:9" x14ac:dyDescent="0.2">
      <c r="A11" s="2">
        <v>46215</v>
      </c>
      <c r="B11" s="3" t="s">
        <v>20</v>
      </c>
      <c r="C11" s="3" t="s">
        <v>22</v>
      </c>
      <c r="D11" s="3" t="s">
        <v>12</v>
      </c>
      <c r="E11" s="4">
        <v>12</v>
      </c>
      <c r="F11" s="4">
        <f>IF($B11="","",IF($D11="kg",N($E11),IF($D11="sacos",N($E11)*95,IF($D11="jabas",N($E11)*IFERROR(VLOOKUP($C11,LISTAS!$A$2:$B$12,2,0),0),""))))</f>
        <v>204</v>
      </c>
      <c r="G11" s="3"/>
      <c r="H11" s="3"/>
      <c r="I11">
        <f t="shared" si="0"/>
        <v>204</v>
      </c>
    </row>
    <row r="12" spans="1:9" x14ac:dyDescent="0.2">
      <c r="A12" s="2">
        <v>46215</v>
      </c>
      <c r="B12" s="3" t="s">
        <v>20</v>
      </c>
      <c r="C12" s="3" t="s">
        <v>14</v>
      </c>
      <c r="D12" s="3" t="s">
        <v>12</v>
      </c>
      <c r="E12" s="4">
        <v>64</v>
      </c>
      <c r="F12" s="4">
        <f>IF($B12="","",IF($D12="kg",N($E12),IF($D12="sacos",N($E12)*95,IF($D12="jabas",N($E12)*IFERROR(VLOOKUP($C12,LISTAS!$A$2:$B$12,2,0),0),""))))</f>
        <v>1088</v>
      </c>
      <c r="G12" s="3"/>
      <c r="H12" s="3"/>
      <c r="I12">
        <f t="shared" si="0"/>
        <v>1088</v>
      </c>
    </row>
    <row r="13" spans="1:9" x14ac:dyDescent="0.2">
      <c r="A13" s="2">
        <v>46215</v>
      </c>
      <c r="B13" s="3" t="s">
        <v>20</v>
      </c>
      <c r="C13" s="3" t="s">
        <v>15</v>
      </c>
      <c r="D13" s="3" t="s">
        <v>16</v>
      </c>
      <c r="E13" s="4">
        <v>6</v>
      </c>
      <c r="F13" s="4">
        <f>IF($B13="","",IF($D13="kg",N($E13),IF($D13="sacos",N($E13)*95,IF($D13="jabas",N($E13)*IFERROR(VLOOKUP($C13,LISTAS!$A$2:$B$12,2,0),0),""))))</f>
        <v>570</v>
      </c>
      <c r="G13" s="3"/>
      <c r="H13" s="3"/>
      <c r="I13">
        <f t="shared" si="0"/>
        <v>570</v>
      </c>
    </row>
    <row r="14" spans="1:9" x14ac:dyDescent="0.2">
      <c r="A14" s="2">
        <v>46215</v>
      </c>
      <c r="B14" s="3" t="s">
        <v>23</v>
      </c>
      <c r="C14" s="3" t="s">
        <v>11</v>
      </c>
      <c r="D14" s="3" t="s">
        <v>12</v>
      </c>
      <c r="E14" s="4">
        <v>67</v>
      </c>
      <c r="F14" s="4">
        <f>IF($B14="","",IF($D14="kg",N($E14),IF($D14="sacos",N($E14)*95,IF($D14="jabas",N($E14)*IFERROR(VLOOKUP($C14,LISTAS!$A$2:$B$12,2,0),0),""))))</f>
        <v>1005</v>
      </c>
      <c r="G14" s="3" t="s">
        <v>24</v>
      </c>
      <c r="H14" s="3"/>
      <c r="I14">
        <f t="shared" si="0"/>
        <v>1005</v>
      </c>
    </row>
    <row r="15" spans="1:9" x14ac:dyDescent="0.2">
      <c r="A15" s="2">
        <v>46215</v>
      </c>
      <c r="B15" s="3" t="s">
        <v>23</v>
      </c>
      <c r="C15" s="3" t="s">
        <v>21</v>
      </c>
      <c r="D15" s="3" t="s">
        <v>12</v>
      </c>
      <c r="E15" s="4">
        <v>11</v>
      </c>
      <c r="F15" s="4">
        <f>IF($B15="","",IF($D15="kg",N($E15),IF($D15="sacos",N($E15)*95,IF($D15="jabas",N($E15)*IFERROR(VLOOKUP($C15,LISTAS!$A$2:$B$12,2,0),0),""))))</f>
        <v>198</v>
      </c>
      <c r="G15" s="3" t="s">
        <v>24</v>
      </c>
      <c r="H15" s="3"/>
      <c r="I15">
        <f t="shared" si="0"/>
        <v>198</v>
      </c>
    </row>
    <row r="16" spans="1:9" x14ac:dyDescent="0.2">
      <c r="A16" s="2">
        <v>46215</v>
      </c>
      <c r="B16" s="3" t="s">
        <v>23</v>
      </c>
      <c r="C16" s="3" t="s">
        <v>22</v>
      </c>
      <c r="D16" s="3" t="s">
        <v>12</v>
      </c>
      <c r="E16" s="4">
        <v>12</v>
      </c>
      <c r="F16" s="4">
        <f>IF($B16="","",IF($D16="kg",N($E16),IF($D16="sacos",N($E16)*95,IF($D16="jabas",N($E16)*IFERROR(VLOOKUP($C16,LISTAS!$A$2:$B$12,2,0),0),""))))</f>
        <v>204</v>
      </c>
      <c r="G16" s="3" t="s">
        <v>24</v>
      </c>
      <c r="H16" s="3"/>
      <c r="I16">
        <f t="shared" si="0"/>
        <v>204</v>
      </c>
    </row>
    <row r="17" spans="1:9" x14ac:dyDescent="0.2">
      <c r="A17" s="2">
        <v>46215</v>
      </c>
      <c r="B17" s="3" t="s">
        <v>23</v>
      </c>
      <c r="C17" s="3" t="s">
        <v>14</v>
      </c>
      <c r="D17" s="3" t="s">
        <v>12</v>
      </c>
      <c r="E17" s="4">
        <v>42</v>
      </c>
      <c r="F17" s="4">
        <f>IF($B17="","",IF($D17="kg",N($E17),IF($D17="sacos",N($E17)*95,IF($D17="jabas",N($E17)*IFERROR(VLOOKUP($C17,LISTAS!$A$2:$B$12,2,0),0),""))))</f>
        <v>714</v>
      </c>
      <c r="G17" s="3" t="s">
        <v>24</v>
      </c>
      <c r="H17" s="3"/>
      <c r="I17">
        <f t="shared" si="0"/>
        <v>714</v>
      </c>
    </row>
    <row r="18" spans="1:9" x14ac:dyDescent="0.2">
      <c r="A18" s="2">
        <v>46216</v>
      </c>
      <c r="B18" s="3" t="s">
        <v>17</v>
      </c>
      <c r="C18" s="3" t="s">
        <v>18</v>
      </c>
      <c r="D18" s="3" t="s">
        <v>16</v>
      </c>
      <c r="E18" s="4">
        <v>40</v>
      </c>
      <c r="F18" s="4">
        <f>IF($B18="","",IF($D18="kg",N($E18),IF($D18="sacos",N($E18)*95,IF($D18="jabas",N($E18)*IFERROR(VLOOKUP($C18,LISTAS!$A$2:$B$12,2,0),0),""))))</f>
        <v>3800</v>
      </c>
      <c r="G18" s="3"/>
      <c r="H18" s="3" t="s">
        <v>19</v>
      </c>
      <c r="I18">
        <f t="shared" si="0"/>
        <v>3800</v>
      </c>
    </row>
    <row r="19" spans="1:9" x14ac:dyDescent="0.2">
      <c r="A19" s="2">
        <v>46216</v>
      </c>
      <c r="B19" s="3" t="s">
        <v>20</v>
      </c>
      <c r="C19" s="3" t="s">
        <v>11</v>
      </c>
      <c r="D19" s="3" t="s">
        <v>12</v>
      </c>
      <c r="E19" s="4">
        <v>107</v>
      </c>
      <c r="F19" s="4">
        <f>IF($B19="","",IF($D19="kg",N($E19),IF($D19="sacos",N($E19)*95,IF($D19="jabas",N($E19)*IFERROR(VLOOKUP($C19,LISTAS!$A$2:$B$12,2,0),0),""))))</f>
        <v>1605</v>
      </c>
      <c r="G19" s="3"/>
      <c r="H19" s="3"/>
      <c r="I19">
        <f t="shared" si="0"/>
        <v>1605</v>
      </c>
    </row>
    <row r="20" spans="1:9" x14ac:dyDescent="0.2">
      <c r="A20" s="2">
        <v>46216</v>
      </c>
      <c r="B20" s="3" t="s">
        <v>20</v>
      </c>
      <c r="C20" s="3" t="s">
        <v>21</v>
      </c>
      <c r="D20" s="3" t="s">
        <v>12</v>
      </c>
      <c r="E20" s="4">
        <v>11</v>
      </c>
      <c r="F20" s="4">
        <f>IF($B20="","",IF($D20="kg",N($E20),IF($D20="sacos",N($E20)*95,IF($D20="jabas",N($E20)*IFERROR(VLOOKUP($C20,LISTAS!$A$2:$B$12,2,0),0),""))))</f>
        <v>198</v>
      </c>
      <c r="G20" s="3"/>
      <c r="H20" s="3"/>
      <c r="I20">
        <f t="shared" si="0"/>
        <v>198</v>
      </c>
    </row>
    <row r="21" spans="1:9" x14ac:dyDescent="0.2">
      <c r="A21" s="2">
        <v>46216</v>
      </c>
      <c r="B21" s="3" t="s">
        <v>20</v>
      </c>
      <c r="C21" s="3" t="s">
        <v>22</v>
      </c>
      <c r="D21" s="3" t="s">
        <v>12</v>
      </c>
      <c r="E21" s="4">
        <v>12</v>
      </c>
      <c r="F21" s="4">
        <f>IF($B21="","",IF($D21="kg",N($E21),IF($D21="sacos",N($E21)*95,IF($D21="jabas",N($E21)*IFERROR(VLOOKUP($C21,LISTAS!$A$2:$B$12,2,0),0),""))))</f>
        <v>204</v>
      </c>
      <c r="G21" s="3"/>
      <c r="H21" s="3"/>
      <c r="I21">
        <f t="shared" si="0"/>
        <v>204</v>
      </c>
    </row>
    <row r="22" spans="1:9" x14ac:dyDescent="0.2">
      <c r="A22" s="2">
        <v>46216</v>
      </c>
      <c r="B22" s="3" t="s">
        <v>20</v>
      </c>
      <c r="C22" s="3" t="s">
        <v>14</v>
      </c>
      <c r="D22" s="3" t="s">
        <v>12</v>
      </c>
      <c r="E22" s="4">
        <v>110</v>
      </c>
      <c r="F22" s="4">
        <f>IF($B22="","",IF($D22="kg",N($E22),IF($D22="sacos",N($E22)*95,IF($D22="jabas",N($E22)*IFERROR(VLOOKUP($C22,LISTAS!$A$2:$B$12,2,0),0),""))))</f>
        <v>1870</v>
      </c>
      <c r="G22" s="3"/>
      <c r="H22" s="3"/>
      <c r="I22">
        <f t="shared" si="0"/>
        <v>1870</v>
      </c>
    </row>
    <row r="23" spans="1:9" x14ac:dyDescent="0.2">
      <c r="A23" s="2">
        <v>46216</v>
      </c>
      <c r="B23" s="3" t="s">
        <v>20</v>
      </c>
      <c r="C23" s="3" t="s">
        <v>15</v>
      </c>
      <c r="D23" s="3" t="s">
        <v>16</v>
      </c>
      <c r="E23" s="4">
        <v>2</v>
      </c>
      <c r="F23" s="4">
        <f>IF($B23="","",IF($D23="kg",N($E23),IF($D23="sacos",N($E23)*95,IF($D23="jabas",N($E23)*IFERROR(VLOOKUP($C23,LISTAS!$A$2:$B$12,2,0),0),""))))</f>
        <v>190</v>
      </c>
      <c r="G23" s="3"/>
      <c r="H23" s="3"/>
      <c r="I23">
        <f t="shared" si="0"/>
        <v>190</v>
      </c>
    </row>
    <row r="24" spans="1:9" x14ac:dyDescent="0.2">
      <c r="A24" s="2">
        <v>46216</v>
      </c>
      <c r="B24" s="3" t="s">
        <v>23</v>
      </c>
      <c r="C24" s="3" t="s">
        <v>11</v>
      </c>
      <c r="D24" s="3" t="s">
        <v>12</v>
      </c>
      <c r="E24" s="4">
        <v>67</v>
      </c>
      <c r="F24" s="4">
        <f>IF($B24="","",IF($D24="kg",N($E24),IF($D24="sacos",N($E24)*95,IF($D24="jabas",N($E24)*IFERROR(VLOOKUP($C24,LISTAS!$A$2:$B$12,2,0),0),""))))</f>
        <v>1005</v>
      </c>
      <c r="G24" s="3" t="s">
        <v>25</v>
      </c>
      <c r="H24" s="3"/>
      <c r="I24">
        <f t="shared" si="0"/>
        <v>1005</v>
      </c>
    </row>
    <row r="25" spans="1:9" x14ac:dyDescent="0.2">
      <c r="A25" s="2">
        <v>46216</v>
      </c>
      <c r="B25" s="3" t="s">
        <v>23</v>
      </c>
      <c r="C25" s="3" t="s">
        <v>21</v>
      </c>
      <c r="D25" s="3" t="s">
        <v>12</v>
      </c>
      <c r="E25" s="4">
        <v>11</v>
      </c>
      <c r="F25" s="4">
        <f>IF($B25="","",IF($D25="kg",N($E25),IF($D25="sacos",N($E25)*95,IF($D25="jabas",N($E25)*IFERROR(VLOOKUP($C25,LISTAS!$A$2:$B$12,2,0),0),""))))</f>
        <v>198</v>
      </c>
      <c r="G25" s="3" t="s">
        <v>25</v>
      </c>
      <c r="H25" s="3"/>
      <c r="I25">
        <f t="shared" si="0"/>
        <v>198</v>
      </c>
    </row>
    <row r="26" spans="1:9" x14ac:dyDescent="0.2">
      <c r="A26" s="2">
        <v>46216</v>
      </c>
      <c r="B26" s="3" t="s">
        <v>23</v>
      </c>
      <c r="C26" s="3" t="s">
        <v>22</v>
      </c>
      <c r="D26" s="3" t="s">
        <v>12</v>
      </c>
      <c r="E26" s="4">
        <v>12</v>
      </c>
      <c r="F26" s="4">
        <f>IF($B26="","",IF($D26="kg",N($E26),IF($D26="sacos",N($E26)*95,IF($D26="jabas",N($E26)*IFERROR(VLOOKUP($C26,LISTAS!$A$2:$B$12,2,0),0),""))))</f>
        <v>204</v>
      </c>
      <c r="G26" s="3" t="s">
        <v>25</v>
      </c>
      <c r="H26" s="3"/>
      <c r="I26">
        <f t="shared" si="0"/>
        <v>204</v>
      </c>
    </row>
    <row r="27" spans="1:9" x14ac:dyDescent="0.2">
      <c r="A27" s="2">
        <v>46216</v>
      </c>
      <c r="B27" s="3" t="s">
        <v>23</v>
      </c>
      <c r="C27" s="3" t="s">
        <v>14</v>
      </c>
      <c r="D27" s="3" t="s">
        <v>12</v>
      </c>
      <c r="E27" s="4">
        <v>97</v>
      </c>
      <c r="F27" s="4">
        <f>IF($B27="","",IF($D27="kg",N($E27),IF($D27="sacos",N($E27)*95,IF($D27="jabas",N($E27)*IFERROR(VLOOKUP($C27,LISTAS!$A$2:$B$12,2,0),0),""))))</f>
        <v>1649</v>
      </c>
      <c r="G27" s="3" t="s">
        <v>25</v>
      </c>
      <c r="H27" s="3"/>
      <c r="I27">
        <f t="shared" si="0"/>
        <v>1649</v>
      </c>
    </row>
    <row r="28" spans="1:9" x14ac:dyDescent="0.2">
      <c r="A28" s="2">
        <v>46217</v>
      </c>
      <c r="B28" s="3" t="s">
        <v>17</v>
      </c>
      <c r="C28" s="3" t="s">
        <v>18</v>
      </c>
      <c r="D28" s="3" t="s">
        <v>16</v>
      </c>
      <c r="E28" s="4">
        <v>40</v>
      </c>
      <c r="F28" s="4">
        <f>IF($B28="","",IF($D28="kg",N($E28),IF($D28="sacos",N($E28)*95,IF($D28="jabas",N($E28)*IFERROR(VLOOKUP($C28,LISTAS!$A$2:$B$12,2,0),0),""))))</f>
        <v>3800</v>
      </c>
      <c r="G28" s="3"/>
      <c r="H28" s="3" t="s">
        <v>19</v>
      </c>
      <c r="I28">
        <f t="shared" si="0"/>
        <v>3800</v>
      </c>
    </row>
    <row r="29" spans="1:9" x14ac:dyDescent="0.2">
      <c r="A29" s="2">
        <v>46217</v>
      </c>
      <c r="B29" s="3" t="s">
        <v>20</v>
      </c>
      <c r="C29" s="3" t="s">
        <v>11</v>
      </c>
      <c r="D29" s="3" t="s">
        <v>12</v>
      </c>
      <c r="E29" s="4">
        <v>45</v>
      </c>
      <c r="F29" s="4">
        <f>IF($B29="","",IF($D29="kg",N($E29),IF($D29="sacos",N($E29)*95,IF($D29="jabas",N($E29)*IFERROR(VLOOKUP($C29,LISTAS!$A$2:$B$12,2,0),0),""))))</f>
        <v>675</v>
      </c>
      <c r="G29" s="3"/>
      <c r="H29" s="3"/>
      <c r="I29">
        <f t="shared" si="0"/>
        <v>675</v>
      </c>
    </row>
    <row r="30" spans="1:9" x14ac:dyDescent="0.2">
      <c r="A30" s="2">
        <v>46217</v>
      </c>
      <c r="B30" s="3" t="s">
        <v>20</v>
      </c>
      <c r="C30" s="3" t="s">
        <v>21</v>
      </c>
      <c r="D30" s="3" t="s">
        <v>12</v>
      </c>
      <c r="E30" s="4">
        <v>11</v>
      </c>
      <c r="F30" s="4">
        <f>IF($B30="","",IF($D30="kg",N($E30),IF($D30="sacos",N($E30)*95,IF($D30="jabas",N($E30)*IFERROR(VLOOKUP($C30,LISTAS!$A$2:$B$12,2,0),0),""))))</f>
        <v>198</v>
      </c>
      <c r="G30" s="3"/>
      <c r="H30" s="3"/>
      <c r="I30">
        <f t="shared" si="0"/>
        <v>198</v>
      </c>
    </row>
    <row r="31" spans="1:9" x14ac:dyDescent="0.2">
      <c r="A31" s="2">
        <v>46217</v>
      </c>
      <c r="B31" s="3" t="s">
        <v>20</v>
      </c>
      <c r="C31" s="3" t="s">
        <v>22</v>
      </c>
      <c r="D31" s="3" t="s">
        <v>12</v>
      </c>
      <c r="E31" s="4">
        <v>12</v>
      </c>
      <c r="F31" s="4">
        <f>IF($B31="","",IF($D31="kg",N($E31),IF($D31="sacos",N($E31)*95,IF($D31="jabas",N($E31)*IFERROR(VLOOKUP($C31,LISTAS!$A$2:$B$12,2,0),0),""))))</f>
        <v>204</v>
      </c>
      <c r="G31" s="3"/>
      <c r="H31" s="3"/>
      <c r="I31">
        <f t="shared" si="0"/>
        <v>204</v>
      </c>
    </row>
    <row r="32" spans="1:9" x14ac:dyDescent="0.2">
      <c r="A32" s="2">
        <v>46217</v>
      </c>
      <c r="B32" s="3" t="s">
        <v>20</v>
      </c>
      <c r="C32" s="3" t="s">
        <v>14</v>
      </c>
      <c r="D32" s="3" t="s">
        <v>12</v>
      </c>
      <c r="E32" s="4">
        <v>121</v>
      </c>
      <c r="F32" s="4">
        <f>IF($B32="","",IF($D32="kg",N($E32),IF($D32="sacos",N($E32)*95,IF($D32="jabas",N($E32)*IFERROR(VLOOKUP($C32,LISTAS!$A$2:$B$12,2,0),0),""))))</f>
        <v>2057</v>
      </c>
      <c r="G32" s="3"/>
      <c r="H32" s="3"/>
      <c r="I32">
        <f t="shared" si="0"/>
        <v>2057</v>
      </c>
    </row>
    <row r="33" spans="1:9" x14ac:dyDescent="0.2">
      <c r="A33" s="2">
        <v>46217</v>
      </c>
      <c r="B33" s="3" t="s">
        <v>20</v>
      </c>
      <c r="C33" s="3" t="s">
        <v>15</v>
      </c>
      <c r="D33" s="3" t="s">
        <v>16</v>
      </c>
      <c r="E33" s="4">
        <v>7</v>
      </c>
      <c r="F33" s="4">
        <f>IF($B33="","",IF($D33="kg",N($E33),IF($D33="sacos",N($E33)*95,IF($D33="jabas",N($E33)*IFERROR(VLOOKUP($C33,LISTAS!$A$2:$B$12,2,0),0),""))))</f>
        <v>665</v>
      </c>
      <c r="G33" s="3"/>
      <c r="H33" s="3"/>
      <c r="I33">
        <f t="shared" si="0"/>
        <v>665</v>
      </c>
    </row>
    <row r="34" spans="1:9" x14ac:dyDescent="0.2">
      <c r="A34" s="2">
        <v>46217</v>
      </c>
      <c r="B34" s="3" t="s">
        <v>23</v>
      </c>
      <c r="C34" s="3" t="s">
        <v>11</v>
      </c>
      <c r="D34" s="3" t="s">
        <v>12</v>
      </c>
      <c r="E34" s="4">
        <v>67</v>
      </c>
      <c r="F34" s="4">
        <f>IF($B34="","",IF($D34="kg",N($E34),IF($D34="sacos",N($E34)*95,IF($D34="jabas",N($E34)*IFERROR(VLOOKUP($C34,LISTAS!$A$2:$B$12,2,0),0),""))))</f>
        <v>1005</v>
      </c>
      <c r="G34" s="3" t="s">
        <v>26</v>
      </c>
      <c r="H34" s="3"/>
      <c r="I34">
        <f t="shared" si="0"/>
        <v>1005</v>
      </c>
    </row>
    <row r="35" spans="1:9" x14ac:dyDescent="0.2">
      <c r="A35" s="2">
        <v>46217</v>
      </c>
      <c r="B35" s="3" t="s">
        <v>23</v>
      </c>
      <c r="C35" s="3" t="s">
        <v>21</v>
      </c>
      <c r="D35" s="3" t="s">
        <v>12</v>
      </c>
      <c r="E35" s="4">
        <v>11</v>
      </c>
      <c r="F35" s="4">
        <f>IF($B35="","",IF($D35="kg",N($E35),IF($D35="sacos",N($E35)*95,IF($D35="jabas",N($E35)*IFERROR(VLOOKUP($C35,LISTAS!$A$2:$B$12,2,0),0),""))))</f>
        <v>198</v>
      </c>
      <c r="G35" s="3" t="s">
        <v>26</v>
      </c>
      <c r="H35" s="3"/>
      <c r="I35">
        <f t="shared" si="0"/>
        <v>198</v>
      </c>
    </row>
    <row r="36" spans="1:9" x14ac:dyDescent="0.2">
      <c r="A36" s="2">
        <v>46217</v>
      </c>
      <c r="B36" s="3" t="s">
        <v>23</v>
      </c>
      <c r="C36" s="3" t="s">
        <v>22</v>
      </c>
      <c r="D36" s="3" t="s">
        <v>12</v>
      </c>
      <c r="E36" s="4">
        <v>12</v>
      </c>
      <c r="F36" s="4">
        <f>IF($B36="","",IF($D36="kg",N($E36),IF($D36="sacos",N($E36)*95,IF($D36="jabas",N($E36)*IFERROR(VLOOKUP($C36,LISTAS!$A$2:$B$12,2,0),0),""))))</f>
        <v>204</v>
      </c>
      <c r="G36" s="3" t="s">
        <v>26</v>
      </c>
      <c r="H36" s="3"/>
      <c r="I36">
        <f t="shared" si="0"/>
        <v>204</v>
      </c>
    </row>
    <row r="37" spans="1:9" x14ac:dyDescent="0.2">
      <c r="A37" s="2">
        <v>46217</v>
      </c>
      <c r="B37" s="3" t="s">
        <v>23</v>
      </c>
      <c r="C37" s="3" t="s">
        <v>14</v>
      </c>
      <c r="D37" s="3" t="s">
        <v>12</v>
      </c>
      <c r="E37" s="4">
        <v>116</v>
      </c>
      <c r="F37" s="4">
        <f>IF($B37="","",IF($D37="kg",N($E37),IF($D37="sacos",N($E37)*95,IF($D37="jabas",N($E37)*IFERROR(VLOOKUP($C37,LISTAS!$A$2:$B$12,2,0),0),""))))</f>
        <v>1972</v>
      </c>
      <c r="G37" s="3" t="s">
        <v>26</v>
      </c>
      <c r="H37" s="3"/>
      <c r="I37">
        <f t="shared" si="0"/>
        <v>1972</v>
      </c>
    </row>
    <row r="38" spans="1:9" x14ac:dyDescent="0.2">
      <c r="A38" s="2">
        <v>46218</v>
      </c>
      <c r="B38" s="3" t="s">
        <v>17</v>
      </c>
      <c r="C38" s="3" t="s">
        <v>18</v>
      </c>
      <c r="D38" s="3" t="s">
        <v>16</v>
      </c>
      <c r="E38" s="4">
        <v>40</v>
      </c>
      <c r="F38" s="4">
        <f>IF($B38="","",IF($D38="kg",N($E38),IF($D38="sacos",N($E38)*95,IF($D38="jabas",N($E38)*IFERROR(VLOOKUP($C38,LISTAS!$A$2:$B$12,2,0),0),""))))</f>
        <v>3800</v>
      </c>
      <c r="G38" s="3"/>
      <c r="H38" s="3" t="s">
        <v>19</v>
      </c>
      <c r="I38">
        <f t="shared" si="0"/>
        <v>3800</v>
      </c>
    </row>
    <row r="39" spans="1:9" x14ac:dyDescent="0.2">
      <c r="A39" s="2">
        <v>46218</v>
      </c>
      <c r="B39" s="3" t="s">
        <v>20</v>
      </c>
      <c r="C39" s="3" t="s">
        <v>11</v>
      </c>
      <c r="D39" s="3" t="s">
        <v>12</v>
      </c>
      <c r="E39" s="4">
        <v>79</v>
      </c>
      <c r="F39" s="4">
        <f>IF($B39="","",IF($D39="kg",N($E39),IF($D39="sacos",N($E39)*95,IF($D39="jabas",N($E39)*IFERROR(VLOOKUP($C39,LISTAS!$A$2:$B$12,2,0),0),""))))</f>
        <v>1185</v>
      </c>
      <c r="G39" s="3"/>
      <c r="H39" s="3"/>
      <c r="I39">
        <f t="shared" si="0"/>
        <v>1185</v>
      </c>
    </row>
    <row r="40" spans="1:9" x14ac:dyDescent="0.2">
      <c r="A40" s="2">
        <v>46218</v>
      </c>
      <c r="B40" s="3" t="s">
        <v>20</v>
      </c>
      <c r="C40" s="3" t="s">
        <v>21</v>
      </c>
      <c r="D40" s="3" t="s">
        <v>12</v>
      </c>
      <c r="E40" s="4">
        <v>22</v>
      </c>
      <c r="F40" s="4">
        <f>IF($B40="","",IF($D40="kg",N($E40),IF($D40="sacos",N($E40)*95,IF($D40="jabas",N($E40)*IFERROR(VLOOKUP($C40,LISTAS!$A$2:$B$12,2,0),0),""))))</f>
        <v>396</v>
      </c>
      <c r="G40" s="3"/>
      <c r="H40" s="3"/>
      <c r="I40">
        <f t="shared" si="0"/>
        <v>396</v>
      </c>
    </row>
    <row r="41" spans="1:9" x14ac:dyDescent="0.2">
      <c r="A41" s="2">
        <v>46218</v>
      </c>
      <c r="B41" s="3" t="s">
        <v>20</v>
      </c>
      <c r="C41" s="3" t="s">
        <v>22</v>
      </c>
      <c r="D41" s="3" t="s">
        <v>12</v>
      </c>
      <c r="E41" s="4">
        <v>21</v>
      </c>
      <c r="F41" s="4">
        <f>IF($B41="","",IF($D41="kg",N($E41),IF($D41="sacos",N($E41)*95,IF($D41="jabas",N($E41)*IFERROR(VLOOKUP($C41,LISTAS!$A$2:$B$12,2,0),0),""))))</f>
        <v>357</v>
      </c>
      <c r="G41" s="3"/>
      <c r="H41" s="3"/>
      <c r="I41">
        <f t="shared" si="0"/>
        <v>357</v>
      </c>
    </row>
    <row r="42" spans="1:9" x14ac:dyDescent="0.2">
      <c r="A42" s="2">
        <v>46218</v>
      </c>
      <c r="B42" s="3" t="s">
        <v>20</v>
      </c>
      <c r="C42" s="3" t="s">
        <v>14</v>
      </c>
      <c r="D42" s="3" t="s">
        <v>12</v>
      </c>
      <c r="E42" s="4">
        <v>83</v>
      </c>
      <c r="F42" s="4">
        <f>IF($B42="","",IF($D42="kg",N($E42),IF($D42="sacos",N($E42)*95,IF($D42="jabas",N($E42)*IFERROR(VLOOKUP($C42,LISTAS!$A$2:$B$12,2,0),0),""))))</f>
        <v>1411</v>
      </c>
      <c r="G42" s="3"/>
      <c r="H42" s="3"/>
      <c r="I42">
        <f t="shared" si="0"/>
        <v>1411</v>
      </c>
    </row>
    <row r="43" spans="1:9" x14ac:dyDescent="0.2">
      <c r="A43" s="2">
        <v>46218</v>
      </c>
      <c r="B43" s="3" t="s">
        <v>20</v>
      </c>
      <c r="C43" s="3" t="s">
        <v>15</v>
      </c>
      <c r="D43" s="3" t="s">
        <v>16</v>
      </c>
      <c r="E43" s="4">
        <v>5</v>
      </c>
      <c r="F43" s="4">
        <f>IF($B43="","",IF($D43="kg",N($E43),IF($D43="sacos",N($E43)*95,IF($D43="jabas",N($E43)*IFERROR(VLOOKUP($C43,LISTAS!$A$2:$B$12,2,0),0),""))))</f>
        <v>475</v>
      </c>
      <c r="G43" s="3"/>
      <c r="H43" s="3"/>
      <c r="I43">
        <f t="shared" si="0"/>
        <v>475</v>
      </c>
    </row>
    <row r="44" spans="1:9" x14ac:dyDescent="0.2">
      <c r="A44" s="2">
        <v>46218</v>
      </c>
      <c r="B44" s="3" t="s">
        <v>23</v>
      </c>
      <c r="C44" s="3" t="s">
        <v>11</v>
      </c>
      <c r="D44" s="3" t="s">
        <v>12</v>
      </c>
      <c r="E44" s="4">
        <v>67</v>
      </c>
      <c r="F44" s="4">
        <f>IF($B44="","",IF($D44="kg",N($E44),IF($D44="sacos",N($E44)*95,IF($D44="jabas",N($E44)*IFERROR(VLOOKUP($C44,LISTAS!$A$2:$B$12,2,0),0),""))))</f>
        <v>1005</v>
      </c>
      <c r="G44" s="3" t="s">
        <v>27</v>
      </c>
      <c r="H44" s="3"/>
      <c r="I44">
        <f t="shared" si="0"/>
        <v>1005</v>
      </c>
    </row>
    <row r="45" spans="1:9" x14ac:dyDescent="0.2">
      <c r="A45" s="2">
        <v>46218</v>
      </c>
      <c r="B45" s="3" t="s">
        <v>23</v>
      </c>
      <c r="C45" s="3" t="s">
        <v>21</v>
      </c>
      <c r="D45" s="3" t="s">
        <v>12</v>
      </c>
      <c r="E45" s="4">
        <v>11</v>
      </c>
      <c r="F45" s="4">
        <f>IF($B45="","",IF($D45="kg",N($E45),IF($D45="sacos",N($E45)*95,IF($D45="jabas",N($E45)*IFERROR(VLOOKUP($C45,LISTAS!$A$2:$B$12,2,0),0),""))))</f>
        <v>198</v>
      </c>
      <c r="G45" s="3" t="s">
        <v>27</v>
      </c>
      <c r="H45" s="3"/>
      <c r="I45">
        <f t="shared" si="0"/>
        <v>198</v>
      </c>
    </row>
    <row r="46" spans="1:9" x14ac:dyDescent="0.2">
      <c r="A46" s="2">
        <v>46218</v>
      </c>
      <c r="B46" s="3" t="s">
        <v>23</v>
      </c>
      <c r="C46" s="3" t="s">
        <v>22</v>
      </c>
      <c r="D46" s="3" t="s">
        <v>12</v>
      </c>
      <c r="E46" s="4">
        <v>9</v>
      </c>
      <c r="F46" s="4">
        <f>IF($B46="","",IF($D46="kg",N($E46),IF($D46="sacos",N($E46)*95,IF($D46="jabas",N($E46)*IFERROR(VLOOKUP($C46,LISTAS!$A$2:$B$12,2,0),0),""))))</f>
        <v>153</v>
      </c>
      <c r="G46" s="3" t="s">
        <v>27</v>
      </c>
      <c r="H46" s="3"/>
      <c r="I46">
        <f t="shared" si="0"/>
        <v>153</v>
      </c>
    </row>
    <row r="47" spans="1:9" x14ac:dyDescent="0.2">
      <c r="A47" s="2">
        <v>46218</v>
      </c>
      <c r="B47" s="3" t="s">
        <v>23</v>
      </c>
      <c r="C47" s="3" t="s">
        <v>14</v>
      </c>
      <c r="D47" s="3" t="s">
        <v>12</v>
      </c>
      <c r="E47" s="4">
        <v>95</v>
      </c>
      <c r="F47" s="4">
        <f>IF($B47="","",IF($D47="kg",N($E47),IF($D47="sacos",N($E47)*95,IF($D47="jabas",N($E47)*IFERROR(VLOOKUP($C47,LISTAS!$A$2:$B$12,2,0),0),""))))</f>
        <v>1615</v>
      </c>
      <c r="G47" s="3" t="s">
        <v>27</v>
      </c>
      <c r="H47" s="3"/>
      <c r="I47">
        <f t="shared" si="0"/>
        <v>1615</v>
      </c>
    </row>
    <row r="48" spans="1:9" x14ac:dyDescent="0.2">
      <c r="A48" s="2">
        <v>46218</v>
      </c>
      <c r="B48" s="3" t="s">
        <v>28</v>
      </c>
      <c r="C48" s="3" t="s">
        <v>15</v>
      </c>
      <c r="D48" s="3" t="s">
        <v>16</v>
      </c>
      <c r="E48" s="4">
        <v>35</v>
      </c>
      <c r="F48" s="4">
        <f>IF($B48="","",IF($D48="kg",N($E48),IF($D48="sacos",N($E48)*95,IF($D48="jabas",N($E48)*IFERROR(VLOOKUP($C48,LISTAS!$A$2:$B$12,2,0),0),""))))</f>
        <v>3325</v>
      </c>
      <c r="G48" s="3" t="s">
        <v>29</v>
      </c>
      <c r="H48" s="3"/>
      <c r="I48">
        <f t="shared" si="0"/>
        <v>3325</v>
      </c>
    </row>
    <row r="49" spans="1:9" x14ac:dyDescent="0.2">
      <c r="A49" s="2">
        <v>46219</v>
      </c>
      <c r="B49" s="3" t="s">
        <v>17</v>
      </c>
      <c r="C49" s="3" t="s">
        <v>18</v>
      </c>
      <c r="D49" s="3" t="s">
        <v>16</v>
      </c>
      <c r="E49" s="4">
        <v>40</v>
      </c>
      <c r="F49" s="4">
        <f>IF($B49="","",IF($D49="kg",N($E49),IF($D49="sacos",N($E49)*95,IF($D49="jabas",N($E49)*IFERROR(VLOOKUP($C49,LISTAS!$A$2:$B$12,2,0),0),""))))</f>
        <v>3800</v>
      </c>
      <c r="G49" s="3"/>
      <c r="H49" s="3" t="s">
        <v>19</v>
      </c>
      <c r="I49">
        <f t="shared" si="0"/>
        <v>3800</v>
      </c>
    </row>
    <row r="50" spans="1:9" x14ac:dyDescent="0.2">
      <c r="A50" s="2">
        <v>46219</v>
      </c>
      <c r="B50" s="3" t="s">
        <v>20</v>
      </c>
      <c r="C50" s="3" t="s">
        <v>11</v>
      </c>
      <c r="D50" s="3" t="s">
        <v>12</v>
      </c>
      <c r="E50" s="4">
        <v>68</v>
      </c>
      <c r="F50" s="4">
        <f>IF($B50="","",IF($D50="kg",N($E50),IF($D50="sacos",N($E50)*95,IF($D50="jabas",N($E50)*IFERROR(VLOOKUP($C50,LISTAS!$A$2:$B$12,2,0),0),""))))</f>
        <v>1020</v>
      </c>
      <c r="G50" s="3"/>
      <c r="H50" s="3"/>
      <c r="I50">
        <f t="shared" si="0"/>
        <v>1020</v>
      </c>
    </row>
    <row r="51" spans="1:9" x14ac:dyDescent="0.2">
      <c r="A51" s="2">
        <v>46219</v>
      </c>
      <c r="B51" s="3" t="s">
        <v>20</v>
      </c>
      <c r="C51" s="3" t="s">
        <v>21</v>
      </c>
      <c r="D51" s="3" t="s">
        <v>12</v>
      </c>
      <c r="E51" s="4">
        <v>11</v>
      </c>
      <c r="F51" s="4">
        <f>IF($B51="","",IF($D51="kg",N($E51),IF($D51="sacos",N($E51)*95,IF($D51="jabas",N($E51)*IFERROR(VLOOKUP($C51,LISTAS!$A$2:$B$12,2,0),0),""))))</f>
        <v>198</v>
      </c>
      <c r="G51" s="3"/>
      <c r="H51" s="3"/>
      <c r="I51">
        <f t="shared" si="0"/>
        <v>198</v>
      </c>
    </row>
    <row r="52" spans="1:9" x14ac:dyDescent="0.2">
      <c r="A52" s="2">
        <v>46219</v>
      </c>
      <c r="B52" s="3" t="s">
        <v>20</v>
      </c>
      <c r="C52" s="3" t="s">
        <v>22</v>
      </c>
      <c r="D52" s="3" t="s">
        <v>12</v>
      </c>
      <c r="E52" s="4">
        <v>12</v>
      </c>
      <c r="F52" s="4">
        <f>IF($B52="","",IF($D52="kg",N($E52),IF($D52="sacos",N($E52)*95,IF($D52="jabas",N($E52)*IFERROR(VLOOKUP($C52,LISTAS!$A$2:$B$12,2,0),0),""))))</f>
        <v>204</v>
      </c>
      <c r="G52" s="3"/>
      <c r="H52" s="3"/>
      <c r="I52">
        <f t="shared" si="0"/>
        <v>204</v>
      </c>
    </row>
    <row r="53" spans="1:9" x14ac:dyDescent="0.2">
      <c r="A53" s="2">
        <v>46219</v>
      </c>
      <c r="B53" s="3" t="s">
        <v>20</v>
      </c>
      <c r="C53" s="3" t="s">
        <v>14</v>
      </c>
      <c r="D53" s="3" t="s">
        <v>12</v>
      </c>
      <c r="E53" s="4">
        <v>116</v>
      </c>
      <c r="F53" s="4">
        <f>IF($B53="","",IF($D53="kg",N($E53),IF($D53="sacos",N($E53)*95,IF($D53="jabas",N($E53)*IFERROR(VLOOKUP($C53,LISTAS!$A$2:$B$12,2,0),0),""))))</f>
        <v>1972</v>
      </c>
      <c r="G53" s="3"/>
      <c r="H53" s="3"/>
      <c r="I53">
        <f t="shared" si="0"/>
        <v>1972</v>
      </c>
    </row>
    <row r="54" spans="1:9" x14ac:dyDescent="0.2">
      <c r="A54" s="2">
        <v>46219</v>
      </c>
      <c r="B54" s="3" t="s">
        <v>20</v>
      </c>
      <c r="C54" s="3" t="s">
        <v>15</v>
      </c>
      <c r="D54" s="3" t="s">
        <v>16</v>
      </c>
      <c r="E54" s="4">
        <v>4</v>
      </c>
      <c r="F54" s="4">
        <f>IF($B54="","",IF($D54="kg",N($E54),IF($D54="sacos",N($E54)*95,IF($D54="jabas",N($E54)*IFERROR(VLOOKUP($C54,LISTAS!$A$2:$B$12,2,0),0),""))))</f>
        <v>380</v>
      </c>
      <c r="G54" s="3"/>
      <c r="H54" s="3"/>
      <c r="I54">
        <f t="shared" si="0"/>
        <v>380</v>
      </c>
    </row>
    <row r="55" spans="1:9" x14ac:dyDescent="0.2">
      <c r="A55" s="2">
        <v>46219</v>
      </c>
      <c r="B55" s="3" t="s">
        <v>23</v>
      </c>
      <c r="C55" s="3" t="s">
        <v>11</v>
      </c>
      <c r="D55" s="3" t="s">
        <v>12</v>
      </c>
      <c r="E55" s="4">
        <v>63</v>
      </c>
      <c r="F55" s="4">
        <f>IF($B55="","",IF($D55="kg",N($E55),IF($D55="sacos",N($E55)*95,IF($D55="jabas",N($E55)*IFERROR(VLOOKUP($C55,LISTAS!$A$2:$B$12,2,0),0),""))))</f>
        <v>945</v>
      </c>
      <c r="G55" s="3" t="s">
        <v>30</v>
      </c>
      <c r="H55" s="3"/>
      <c r="I55">
        <f t="shared" si="0"/>
        <v>945</v>
      </c>
    </row>
    <row r="56" spans="1:9" x14ac:dyDescent="0.2">
      <c r="A56" s="2">
        <v>46219</v>
      </c>
      <c r="B56" s="3" t="s">
        <v>23</v>
      </c>
      <c r="C56" s="3" t="s">
        <v>21</v>
      </c>
      <c r="D56" s="3" t="s">
        <v>12</v>
      </c>
      <c r="E56" s="4">
        <v>11</v>
      </c>
      <c r="F56" s="4">
        <f>IF($B56="","",IF($D56="kg",N($E56),IF($D56="sacos",N($E56)*95,IF($D56="jabas",N($E56)*IFERROR(VLOOKUP($C56,LISTAS!$A$2:$B$12,2,0),0),""))))</f>
        <v>198</v>
      </c>
      <c r="G56" s="3" t="s">
        <v>30</v>
      </c>
      <c r="H56" s="3"/>
      <c r="I56">
        <f t="shared" si="0"/>
        <v>198</v>
      </c>
    </row>
    <row r="57" spans="1:9" x14ac:dyDescent="0.2">
      <c r="A57" s="2">
        <v>46219</v>
      </c>
      <c r="B57" s="3" t="s">
        <v>23</v>
      </c>
      <c r="C57" s="3" t="s">
        <v>22</v>
      </c>
      <c r="D57" s="3" t="s">
        <v>12</v>
      </c>
      <c r="E57" s="4">
        <v>12</v>
      </c>
      <c r="F57" s="4">
        <f>IF($B57="","",IF($D57="kg",N($E57),IF($D57="sacos",N($E57)*95,IF($D57="jabas",N($E57)*IFERROR(VLOOKUP($C57,LISTAS!$A$2:$B$12,2,0),0),""))))</f>
        <v>204</v>
      </c>
      <c r="G57" s="3" t="s">
        <v>30</v>
      </c>
      <c r="H57" s="3"/>
      <c r="I57">
        <f t="shared" si="0"/>
        <v>204</v>
      </c>
    </row>
    <row r="58" spans="1:9" x14ac:dyDescent="0.2">
      <c r="A58" s="2">
        <v>46219</v>
      </c>
      <c r="B58" s="3" t="s">
        <v>23</v>
      </c>
      <c r="C58" s="3" t="s">
        <v>14</v>
      </c>
      <c r="D58" s="3" t="s">
        <v>12</v>
      </c>
      <c r="E58" s="4">
        <v>115</v>
      </c>
      <c r="F58" s="4">
        <f>IF($B58="","",IF($D58="kg",N($E58),IF($D58="sacos",N($E58)*95,IF($D58="jabas",N($E58)*IFERROR(VLOOKUP($C58,LISTAS!$A$2:$B$12,2,0),0),""))))</f>
        <v>1955</v>
      </c>
      <c r="G58" s="3" t="s">
        <v>30</v>
      </c>
      <c r="H58" s="3"/>
      <c r="I58">
        <f t="shared" si="0"/>
        <v>1955</v>
      </c>
    </row>
    <row r="59" spans="1:9" x14ac:dyDescent="0.2">
      <c r="A59" s="2">
        <v>46220</v>
      </c>
      <c r="B59" s="3" t="s">
        <v>17</v>
      </c>
      <c r="C59" s="3" t="s">
        <v>18</v>
      </c>
      <c r="D59" s="3" t="s">
        <v>16</v>
      </c>
      <c r="E59" s="4">
        <v>60</v>
      </c>
      <c r="F59" s="4">
        <f>IF($B59="","",IF($D59="kg",N($E59),IF($D59="sacos",N($E59)*95,IF($D59="jabas",N($E59)*IFERROR(VLOOKUP($C59,LISTAS!$A$2:$B$12,2,0),0),""))))</f>
        <v>5700</v>
      </c>
      <c r="G59" s="3"/>
      <c r="H59" s="3" t="s">
        <v>19</v>
      </c>
      <c r="I59">
        <f t="shared" si="0"/>
        <v>5700</v>
      </c>
    </row>
    <row r="60" spans="1:9" x14ac:dyDescent="0.2">
      <c r="A60" s="2">
        <v>46220</v>
      </c>
      <c r="B60" s="3" t="s">
        <v>20</v>
      </c>
      <c r="C60" s="3" t="s">
        <v>11</v>
      </c>
      <c r="D60" s="3" t="s">
        <v>12</v>
      </c>
      <c r="E60" s="4">
        <v>99</v>
      </c>
      <c r="F60" s="4">
        <f>IF($B60="","",IF($D60="kg",N($E60),IF($D60="sacos",N($E60)*95,IF($D60="jabas",N($E60)*IFERROR(VLOOKUP($C60,LISTAS!$A$2:$B$12,2,0),0),""))))</f>
        <v>1485</v>
      </c>
      <c r="G60" s="3"/>
      <c r="H60" s="3"/>
      <c r="I60">
        <f t="shared" si="0"/>
        <v>1485</v>
      </c>
    </row>
    <row r="61" spans="1:9" x14ac:dyDescent="0.2">
      <c r="A61" s="2">
        <v>46220</v>
      </c>
      <c r="B61" s="3" t="s">
        <v>20</v>
      </c>
      <c r="C61" s="3" t="s">
        <v>21</v>
      </c>
      <c r="D61" s="3" t="s">
        <v>12</v>
      </c>
      <c r="E61" s="4">
        <v>4</v>
      </c>
      <c r="F61" s="4">
        <f>IF($B61="","",IF($D61="kg",N($E61),IF($D61="sacos",N($E61)*95,IF($D61="jabas",N($E61)*IFERROR(VLOOKUP($C61,LISTAS!$A$2:$B$12,2,0),0),""))))</f>
        <v>72</v>
      </c>
      <c r="G61" s="3"/>
      <c r="H61" s="3"/>
      <c r="I61">
        <f t="shared" si="0"/>
        <v>72</v>
      </c>
    </row>
    <row r="62" spans="1:9" x14ac:dyDescent="0.2">
      <c r="A62" s="2">
        <v>46220</v>
      </c>
      <c r="B62" s="3" t="s">
        <v>20</v>
      </c>
      <c r="C62" s="3" t="s">
        <v>22</v>
      </c>
      <c r="D62" s="3" t="s">
        <v>12</v>
      </c>
      <c r="E62" s="4">
        <v>9</v>
      </c>
      <c r="F62" s="4">
        <f>IF($B62="","",IF($D62="kg",N($E62),IF($D62="sacos",N($E62)*95,IF($D62="jabas",N($E62)*IFERROR(VLOOKUP($C62,LISTAS!$A$2:$B$12,2,0),0),""))))</f>
        <v>153</v>
      </c>
      <c r="G62" s="3"/>
      <c r="H62" s="3"/>
      <c r="I62">
        <f t="shared" si="0"/>
        <v>153</v>
      </c>
    </row>
    <row r="63" spans="1:9" x14ac:dyDescent="0.2">
      <c r="A63" s="2">
        <v>46220</v>
      </c>
      <c r="B63" s="3" t="s">
        <v>20</v>
      </c>
      <c r="C63" s="3" t="s">
        <v>14</v>
      </c>
      <c r="D63" s="3" t="s">
        <v>12</v>
      </c>
      <c r="E63" s="4">
        <v>178</v>
      </c>
      <c r="F63" s="4">
        <f>IF($B63="","",IF($D63="kg",N($E63),IF($D63="sacos",N($E63)*95,IF($D63="jabas",N($E63)*IFERROR(VLOOKUP($C63,LISTAS!$A$2:$B$12,2,0),0),""))))</f>
        <v>3026</v>
      </c>
      <c r="G63" s="3"/>
      <c r="H63" s="3"/>
      <c r="I63">
        <f t="shared" si="0"/>
        <v>3026</v>
      </c>
    </row>
    <row r="64" spans="1:9" x14ac:dyDescent="0.2">
      <c r="A64" s="2">
        <v>46220</v>
      </c>
      <c r="B64" s="3" t="s">
        <v>20</v>
      </c>
      <c r="C64" s="3" t="s">
        <v>15</v>
      </c>
      <c r="D64" s="3" t="s">
        <v>16</v>
      </c>
      <c r="E64" s="4">
        <v>10</v>
      </c>
      <c r="F64" s="4">
        <f>IF($B64="","",IF($D64="kg",N($E64),IF($D64="sacos",N($E64)*95,IF($D64="jabas",N($E64)*IFERROR(VLOOKUP($C64,LISTAS!$A$2:$B$12,2,0),0),""))))</f>
        <v>950</v>
      </c>
      <c r="G64" s="3"/>
      <c r="H64" s="3"/>
      <c r="I64">
        <f t="shared" si="0"/>
        <v>950</v>
      </c>
    </row>
    <row r="65" spans="1:9" x14ac:dyDescent="0.2">
      <c r="A65" s="2">
        <v>46220</v>
      </c>
      <c r="B65" s="3" t="s">
        <v>23</v>
      </c>
      <c r="C65" s="3" t="s">
        <v>11</v>
      </c>
      <c r="D65" s="3" t="s">
        <v>12</v>
      </c>
      <c r="E65" s="4">
        <v>67</v>
      </c>
      <c r="F65" s="4">
        <f>IF($B65="","",IF($D65="kg",N($E65),IF($D65="sacos",N($E65)*95,IF($D65="jabas",N($E65)*IFERROR(VLOOKUP($C65,LISTAS!$A$2:$B$12,2,0),0),""))))</f>
        <v>1005</v>
      </c>
      <c r="G65" s="3" t="s">
        <v>31</v>
      </c>
      <c r="H65" s="3"/>
      <c r="I65">
        <f t="shared" si="0"/>
        <v>1005</v>
      </c>
    </row>
    <row r="66" spans="1:9" x14ac:dyDescent="0.2">
      <c r="A66" s="2">
        <v>46220</v>
      </c>
      <c r="B66" s="3" t="s">
        <v>23</v>
      </c>
      <c r="C66" s="3" t="s">
        <v>21</v>
      </c>
      <c r="D66" s="3" t="s">
        <v>12</v>
      </c>
      <c r="E66" s="4">
        <v>11</v>
      </c>
      <c r="F66" s="4">
        <f>IF($B66="","",IF($D66="kg",N($E66),IF($D66="sacos",N($E66)*95,IF($D66="jabas",N($E66)*IFERROR(VLOOKUP($C66,LISTAS!$A$2:$B$12,2,0),0),""))))</f>
        <v>198</v>
      </c>
      <c r="G66" s="3" t="s">
        <v>31</v>
      </c>
      <c r="H66" s="3"/>
      <c r="I66">
        <f t="shared" si="0"/>
        <v>198</v>
      </c>
    </row>
    <row r="67" spans="1:9" x14ac:dyDescent="0.2">
      <c r="A67" s="2">
        <v>46220</v>
      </c>
      <c r="B67" s="3" t="s">
        <v>23</v>
      </c>
      <c r="C67" s="3" t="s">
        <v>22</v>
      </c>
      <c r="D67" s="3" t="s">
        <v>12</v>
      </c>
      <c r="E67" s="4">
        <v>12</v>
      </c>
      <c r="F67" s="4">
        <f>IF($B67="","",IF($D67="kg",N($E67),IF($D67="sacos",N($E67)*95,IF($D67="jabas",N($E67)*IFERROR(VLOOKUP($C67,LISTAS!$A$2:$B$12,2,0),0),""))))</f>
        <v>204</v>
      </c>
      <c r="G67" s="3" t="s">
        <v>31</v>
      </c>
      <c r="H67" s="3"/>
      <c r="I67">
        <f t="shared" si="0"/>
        <v>204</v>
      </c>
    </row>
    <row r="68" spans="1:9" x14ac:dyDescent="0.2">
      <c r="A68" s="2">
        <v>46220</v>
      </c>
      <c r="B68" s="3" t="s">
        <v>23</v>
      </c>
      <c r="C68" s="3" t="s">
        <v>14</v>
      </c>
      <c r="D68" s="3" t="s">
        <v>12</v>
      </c>
      <c r="E68" s="4">
        <v>118</v>
      </c>
      <c r="F68" s="4">
        <f>IF($B68="","",IF($D68="kg",N($E68),IF($D68="sacos",N($E68)*95,IF($D68="jabas",N($E68)*IFERROR(VLOOKUP($C68,LISTAS!$A$2:$B$12,2,0),0),""))))</f>
        <v>2006</v>
      </c>
      <c r="G68" s="3" t="s">
        <v>31</v>
      </c>
      <c r="H68" s="3"/>
      <c r="I68">
        <f t="shared" si="0"/>
        <v>2006</v>
      </c>
    </row>
    <row r="69" spans="1:9" x14ac:dyDescent="0.2">
      <c r="A69" s="2">
        <v>46220</v>
      </c>
      <c r="B69" s="3" t="s">
        <v>28</v>
      </c>
      <c r="C69" s="3" t="s">
        <v>15</v>
      </c>
      <c r="D69" s="3" t="s">
        <v>16</v>
      </c>
      <c r="E69" s="4">
        <v>15</v>
      </c>
      <c r="F69" s="4">
        <f>IF($B69="","",IF($D69="kg",N($E69),IF($D69="sacos",N($E69)*95,IF($D69="jabas",N($E69)*IFERROR(VLOOKUP($C69,LISTAS!$A$2:$B$12,2,0),0),""))))</f>
        <v>1425</v>
      </c>
      <c r="G69" s="3" t="s">
        <v>32</v>
      </c>
      <c r="H69" s="3"/>
      <c r="I69">
        <f t="shared" ref="I69:I132" si="1">N($F69)</f>
        <v>1425</v>
      </c>
    </row>
    <row r="70" spans="1:9" x14ac:dyDescent="0.2">
      <c r="A70" s="2">
        <v>46220</v>
      </c>
      <c r="B70" s="3" t="s">
        <v>17</v>
      </c>
      <c r="C70" s="3" t="s">
        <v>18</v>
      </c>
      <c r="D70" s="3" t="s">
        <v>16</v>
      </c>
      <c r="E70" s="4">
        <v>5</v>
      </c>
      <c r="F70" s="4">
        <f>IF($B70="","",IF($D70="kg",N($E70),IF($D70="sacos",N($E70)*95,IF($D70="jabas",N($E70)*IFERROR(VLOOKUP($C70,LISTAS!$A$2:$B$12,2,0),0),""))))</f>
        <v>475</v>
      </c>
      <c r="G70" s="3"/>
      <c r="H70" s="3" t="s">
        <v>19</v>
      </c>
      <c r="I70">
        <f t="shared" si="1"/>
        <v>475</v>
      </c>
    </row>
    <row r="71" spans="1:9" x14ac:dyDescent="0.2">
      <c r="A71" s="2">
        <v>46220</v>
      </c>
      <c r="B71" s="3" t="s">
        <v>20</v>
      </c>
      <c r="C71" s="3" t="s">
        <v>11</v>
      </c>
      <c r="D71" s="3" t="s">
        <v>12</v>
      </c>
      <c r="E71" s="4">
        <v>4</v>
      </c>
      <c r="F71" s="4">
        <f>IF($B71="","",IF($D71="kg",N($E71),IF($D71="sacos",N($E71)*95,IF($D71="jabas",N($E71)*IFERROR(VLOOKUP($C71,LISTAS!$A$2:$B$12,2,0),0),""))))</f>
        <v>60</v>
      </c>
      <c r="G71" s="3"/>
      <c r="H71" s="3"/>
      <c r="I71">
        <f t="shared" si="1"/>
        <v>60</v>
      </c>
    </row>
    <row r="72" spans="1:9" x14ac:dyDescent="0.2">
      <c r="A72" s="2">
        <v>46220</v>
      </c>
      <c r="B72" s="3" t="s">
        <v>20</v>
      </c>
      <c r="C72" s="3" t="s">
        <v>14</v>
      </c>
      <c r="D72" s="3" t="s">
        <v>12</v>
      </c>
      <c r="E72" s="4">
        <v>18</v>
      </c>
      <c r="F72" s="4">
        <f>IF($B72="","",IF($D72="kg",N($E72),IF($D72="sacos",N($E72)*95,IF($D72="jabas",N($E72)*IFERROR(VLOOKUP($C72,LISTAS!$A$2:$B$12,2,0),0),""))))</f>
        <v>306</v>
      </c>
      <c r="G72" s="3"/>
      <c r="H72" s="3"/>
      <c r="I72">
        <f t="shared" si="1"/>
        <v>306</v>
      </c>
    </row>
    <row r="73" spans="1:9" x14ac:dyDescent="0.2">
      <c r="A73" s="2">
        <v>46220</v>
      </c>
      <c r="B73" s="3" t="s">
        <v>20</v>
      </c>
      <c r="C73" s="3" t="s">
        <v>15</v>
      </c>
      <c r="D73" s="3" t="s">
        <v>16</v>
      </c>
      <c r="E73" s="4">
        <v>1</v>
      </c>
      <c r="F73" s="4">
        <f>IF($B73="","",IF($D73="kg",N($E73),IF($D73="sacos",N($E73)*95,IF($D73="jabas",N($E73)*IFERROR(VLOOKUP($C73,LISTAS!$A$2:$B$12,2,0),0),""))))</f>
        <v>95</v>
      </c>
      <c r="G73" s="3"/>
      <c r="H73" s="3"/>
      <c r="I73">
        <f t="shared" si="1"/>
        <v>95</v>
      </c>
    </row>
    <row r="74" spans="1:9" x14ac:dyDescent="0.2">
      <c r="A74" s="2">
        <v>46221</v>
      </c>
      <c r="B74" s="3" t="s">
        <v>23</v>
      </c>
      <c r="C74" s="3" t="s">
        <v>11</v>
      </c>
      <c r="D74" s="3" t="s">
        <v>12</v>
      </c>
      <c r="E74" s="4">
        <v>67</v>
      </c>
      <c r="F74" s="4">
        <f>IF($B74="","",IF($D74="kg",N($E74),IF($D74="sacos",N($E74)*95,IF($D74="jabas",N($E74)*IFERROR(VLOOKUP($C74,LISTAS!$A$2:$B$12,2,0),0),""))))</f>
        <v>1005</v>
      </c>
      <c r="G74" s="3" t="s">
        <v>33</v>
      </c>
      <c r="H74" s="3"/>
      <c r="I74">
        <f t="shared" si="1"/>
        <v>1005</v>
      </c>
    </row>
    <row r="75" spans="1:9" x14ac:dyDescent="0.2">
      <c r="A75" s="2">
        <v>46221</v>
      </c>
      <c r="B75" s="3" t="s">
        <v>23</v>
      </c>
      <c r="C75" s="3" t="s">
        <v>21</v>
      </c>
      <c r="D75" s="3" t="s">
        <v>12</v>
      </c>
      <c r="E75" s="4">
        <v>4</v>
      </c>
      <c r="F75" s="4">
        <f>IF($B75="","",IF($D75="kg",N($E75),IF($D75="sacos",N($E75)*95,IF($D75="jabas",N($E75)*IFERROR(VLOOKUP($C75,LISTAS!$A$2:$B$12,2,0),0),""))))</f>
        <v>72</v>
      </c>
      <c r="G75" s="3" t="s">
        <v>33</v>
      </c>
      <c r="H75" s="3"/>
      <c r="I75">
        <f t="shared" si="1"/>
        <v>72</v>
      </c>
    </row>
    <row r="76" spans="1:9" x14ac:dyDescent="0.2">
      <c r="A76" s="2">
        <v>46221</v>
      </c>
      <c r="B76" s="3" t="s">
        <v>23</v>
      </c>
      <c r="C76" s="3" t="s">
        <v>22</v>
      </c>
      <c r="D76" s="3" t="s">
        <v>12</v>
      </c>
      <c r="E76" s="4">
        <v>9</v>
      </c>
      <c r="F76" s="4">
        <f>IF($B76="","",IF($D76="kg",N($E76),IF($D76="sacos",N($E76)*95,IF($D76="jabas",N($E76)*IFERROR(VLOOKUP($C76,LISTAS!$A$2:$B$12,2,0),0),""))))</f>
        <v>153</v>
      </c>
      <c r="G76" s="3" t="s">
        <v>33</v>
      </c>
      <c r="H76" s="3"/>
      <c r="I76">
        <f t="shared" si="1"/>
        <v>153</v>
      </c>
    </row>
    <row r="77" spans="1:9" x14ac:dyDescent="0.2">
      <c r="A77" s="2">
        <v>46221</v>
      </c>
      <c r="B77" s="3" t="s">
        <v>23</v>
      </c>
      <c r="C77" s="3" t="s">
        <v>14</v>
      </c>
      <c r="D77" s="3" t="s">
        <v>12</v>
      </c>
      <c r="E77" s="4">
        <v>114</v>
      </c>
      <c r="F77" s="4">
        <f>IF($B77="","",IF($D77="kg",N($E77),IF($D77="sacos",N($E77)*95,IF($D77="jabas",N($E77)*IFERROR(VLOOKUP($C77,LISTAS!$A$2:$B$12,2,0),0),""))))</f>
        <v>1938</v>
      </c>
      <c r="G77" s="3" t="s">
        <v>33</v>
      </c>
      <c r="H77" s="3"/>
      <c r="I77">
        <f t="shared" si="1"/>
        <v>1938</v>
      </c>
    </row>
    <row r="78" spans="1:9" x14ac:dyDescent="0.2">
      <c r="A78" s="2">
        <v>46221</v>
      </c>
      <c r="B78" s="3" t="s">
        <v>34</v>
      </c>
      <c r="C78" s="3" t="s">
        <v>11</v>
      </c>
      <c r="D78" s="3" t="s">
        <v>12</v>
      </c>
      <c r="E78" s="4">
        <v>1</v>
      </c>
      <c r="F78" s="4">
        <f>IF($B78="","",IF($D78="kg",N($E78),IF($D78="sacos",N($E78)*95,IF($D78="jabas",N($E78)*IFERROR(VLOOKUP($C78,LISTAS!$A$2:$B$12,2,0),0),""))))</f>
        <v>15</v>
      </c>
      <c r="G78" s="3"/>
      <c r="H78" s="3"/>
      <c r="I78">
        <f t="shared" si="1"/>
        <v>15</v>
      </c>
    </row>
    <row r="79" spans="1:9" x14ac:dyDescent="0.2">
      <c r="A79" s="2">
        <v>46222</v>
      </c>
      <c r="B79" s="3" t="s">
        <v>17</v>
      </c>
      <c r="C79" s="3" t="s">
        <v>18</v>
      </c>
      <c r="D79" s="3" t="s">
        <v>16</v>
      </c>
      <c r="E79" s="4">
        <v>50</v>
      </c>
      <c r="F79" s="4">
        <f>IF($B79="","",IF($D79="kg",N($E79),IF($D79="sacos",N($E79)*95,IF($D79="jabas",N($E79)*IFERROR(VLOOKUP($C79,LISTAS!$A$2:$B$12,2,0),0),""))))</f>
        <v>4750</v>
      </c>
      <c r="G79" s="3"/>
      <c r="H79" s="3" t="s">
        <v>19</v>
      </c>
      <c r="I79">
        <f t="shared" si="1"/>
        <v>4750</v>
      </c>
    </row>
    <row r="80" spans="1:9" x14ac:dyDescent="0.2">
      <c r="A80" s="2">
        <v>46222</v>
      </c>
      <c r="B80" s="3" t="s">
        <v>20</v>
      </c>
      <c r="C80" s="3" t="s">
        <v>11</v>
      </c>
      <c r="D80" s="3" t="s">
        <v>12</v>
      </c>
      <c r="E80" s="4">
        <v>107</v>
      </c>
      <c r="F80" s="4">
        <f>IF($B80="","",IF($D80="kg",N($E80),IF($D80="sacos",N($E80)*95,IF($D80="jabas",N($E80)*IFERROR(VLOOKUP($C80,LISTAS!$A$2:$B$12,2,0),0),""))))</f>
        <v>1605</v>
      </c>
      <c r="G80" s="3"/>
      <c r="H80" s="3"/>
      <c r="I80">
        <f t="shared" si="1"/>
        <v>1605</v>
      </c>
    </row>
    <row r="81" spans="1:9" x14ac:dyDescent="0.2">
      <c r="A81" s="2">
        <v>46222</v>
      </c>
      <c r="B81" s="3" t="s">
        <v>20</v>
      </c>
      <c r="C81" s="3" t="s">
        <v>21</v>
      </c>
      <c r="D81" s="3" t="s">
        <v>12</v>
      </c>
      <c r="E81" s="4">
        <v>11</v>
      </c>
      <c r="F81" s="4">
        <f>IF($B81="","",IF($D81="kg",N($E81),IF($D81="sacos",N($E81)*95,IF($D81="jabas",N($E81)*IFERROR(VLOOKUP($C81,LISTAS!$A$2:$B$12,2,0),0),""))))</f>
        <v>198</v>
      </c>
      <c r="G81" s="3"/>
      <c r="H81" s="3"/>
      <c r="I81">
        <f t="shared" si="1"/>
        <v>198</v>
      </c>
    </row>
    <row r="82" spans="1:9" x14ac:dyDescent="0.2">
      <c r="A82" s="2">
        <v>46222</v>
      </c>
      <c r="B82" s="3" t="s">
        <v>20</v>
      </c>
      <c r="C82" s="3" t="s">
        <v>22</v>
      </c>
      <c r="D82" s="3" t="s">
        <v>12</v>
      </c>
      <c r="E82" s="4">
        <v>12</v>
      </c>
      <c r="F82" s="4">
        <f>IF($B82="","",IF($D82="kg",N($E82),IF($D82="sacos",N($E82)*95,IF($D82="jabas",N($E82)*IFERROR(VLOOKUP($C82,LISTAS!$A$2:$B$12,2,0),0),""))))</f>
        <v>204</v>
      </c>
      <c r="G82" s="3"/>
      <c r="H82" s="3"/>
      <c r="I82">
        <f t="shared" si="1"/>
        <v>204</v>
      </c>
    </row>
    <row r="83" spans="1:9" x14ac:dyDescent="0.2">
      <c r="A83" s="2">
        <v>46222</v>
      </c>
      <c r="B83" s="3" t="s">
        <v>20</v>
      </c>
      <c r="C83" s="3" t="s">
        <v>14</v>
      </c>
      <c r="D83" s="3" t="s">
        <v>12</v>
      </c>
      <c r="E83" s="4">
        <v>88</v>
      </c>
      <c r="F83" s="4">
        <f>IF($B83="","",IF($D83="kg",N($E83),IF($D83="sacos",N($E83)*95,IF($D83="jabas",N($E83)*IFERROR(VLOOKUP($C83,LISTAS!$A$2:$B$12,2,0),0),""))))</f>
        <v>1496</v>
      </c>
      <c r="G83" s="3"/>
      <c r="H83" s="3"/>
      <c r="I83">
        <f t="shared" si="1"/>
        <v>1496</v>
      </c>
    </row>
    <row r="84" spans="1:9" x14ac:dyDescent="0.2">
      <c r="A84" s="2">
        <v>46222</v>
      </c>
      <c r="B84" s="3" t="s">
        <v>20</v>
      </c>
      <c r="C84" s="3" t="s">
        <v>15</v>
      </c>
      <c r="D84" s="3" t="s">
        <v>16</v>
      </c>
      <c r="E84" s="4">
        <v>13.5</v>
      </c>
      <c r="F84" s="4">
        <f>IF($B84="","",IF($D84="kg",N($E84),IF($D84="sacos",N($E84)*95,IF($D84="jabas",N($E84)*IFERROR(VLOOKUP($C84,LISTAS!$A$2:$B$12,2,0),0),""))))</f>
        <v>1282.5</v>
      </c>
      <c r="G84" s="3"/>
      <c r="H84" s="3"/>
      <c r="I84">
        <f t="shared" si="1"/>
        <v>1282.5</v>
      </c>
    </row>
    <row r="85" spans="1:9" x14ac:dyDescent="0.2">
      <c r="A85" s="2">
        <v>46222</v>
      </c>
      <c r="B85" s="3" t="s">
        <v>23</v>
      </c>
      <c r="C85" s="3" t="s">
        <v>11</v>
      </c>
      <c r="D85" s="3" t="s">
        <v>12</v>
      </c>
      <c r="E85" s="4">
        <v>67</v>
      </c>
      <c r="F85" s="4">
        <f>IF($B85="","",IF($D85="kg",N($E85),IF($D85="sacos",N($E85)*95,IF($D85="jabas",N($E85)*IFERROR(VLOOKUP($C85,LISTAS!$A$2:$B$12,2,0),0),""))))</f>
        <v>1005</v>
      </c>
      <c r="G85" s="3" t="s">
        <v>35</v>
      </c>
      <c r="H85" s="3"/>
      <c r="I85">
        <f t="shared" si="1"/>
        <v>1005</v>
      </c>
    </row>
    <row r="86" spans="1:9" x14ac:dyDescent="0.2">
      <c r="A86" s="2">
        <v>46222</v>
      </c>
      <c r="B86" s="3" t="s">
        <v>23</v>
      </c>
      <c r="C86" s="3" t="s">
        <v>21</v>
      </c>
      <c r="D86" s="3" t="s">
        <v>12</v>
      </c>
      <c r="E86" s="4">
        <v>11</v>
      </c>
      <c r="F86" s="4">
        <f>IF($B86="","",IF($D86="kg",N($E86),IF($D86="sacos",N($E86)*95,IF($D86="jabas",N($E86)*IFERROR(VLOOKUP($C86,LISTAS!$A$2:$B$12,2,0),0),""))))</f>
        <v>198</v>
      </c>
      <c r="G86" s="3" t="s">
        <v>35</v>
      </c>
      <c r="H86" s="3"/>
      <c r="I86">
        <f t="shared" si="1"/>
        <v>198</v>
      </c>
    </row>
    <row r="87" spans="1:9" x14ac:dyDescent="0.2">
      <c r="A87" s="2">
        <v>46222</v>
      </c>
      <c r="B87" s="3" t="s">
        <v>23</v>
      </c>
      <c r="C87" s="3" t="s">
        <v>22</v>
      </c>
      <c r="D87" s="3" t="s">
        <v>12</v>
      </c>
      <c r="E87" s="4">
        <v>12</v>
      </c>
      <c r="F87" s="4">
        <f>IF($B87="","",IF($D87="kg",N($E87),IF($D87="sacos",N($E87)*95,IF($D87="jabas",N($E87)*IFERROR(VLOOKUP($C87,LISTAS!$A$2:$B$12,2,0),0),""))))</f>
        <v>204</v>
      </c>
      <c r="G87" s="3" t="s">
        <v>35</v>
      </c>
      <c r="H87" s="3"/>
      <c r="I87">
        <f t="shared" si="1"/>
        <v>204</v>
      </c>
    </row>
    <row r="88" spans="1:9" x14ac:dyDescent="0.2">
      <c r="A88" s="2">
        <v>46222</v>
      </c>
      <c r="B88" s="3" t="s">
        <v>23</v>
      </c>
      <c r="C88" s="3" t="s">
        <v>14</v>
      </c>
      <c r="D88" s="3" t="s">
        <v>12</v>
      </c>
      <c r="E88" s="4">
        <v>28</v>
      </c>
      <c r="F88" s="4">
        <f>IF($B88="","",IF($D88="kg",N($E88),IF($D88="sacos",N($E88)*95,IF($D88="jabas",N($E88)*IFERROR(VLOOKUP($C88,LISTAS!$A$2:$B$12,2,0),0),""))))</f>
        <v>476</v>
      </c>
      <c r="G88" s="3" t="s">
        <v>35</v>
      </c>
      <c r="H88" s="3"/>
      <c r="I88">
        <f t="shared" si="1"/>
        <v>476</v>
      </c>
    </row>
    <row r="89" spans="1:9" x14ac:dyDescent="0.2">
      <c r="A89" s="2">
        <v>46223</v>
      </c>
      <c r="B89" s="3" t="s">
        <v>17</v>
      </c>
      <c r="C89" s="3" t="s">
        <v>18</v>
      </c>
      <c r="D89" s="3" t="s">
        <v>16</v>
      </c>
      <c r="E89" s="4">
        <v>48</v>
      </c>
      <c r="F89" s="4">
        <f>IF($B89="","",IF($D89="kg",N($E89),IF($D89="sacos",N($E89)*95,IF($D89="jabas",N($E89)*IFERROR(VLOOKUP($C89,LISTAS!$A$2:$B$12,2,0),0),""))))</f>
        <v>4560</v>
      </c>
      <c r="G89" s="3"/>
      <c r="H89" s="3" t="s">
        <v>19</v>
      </c>
      <c r="I89">
        <f t="shared" si="1"/>
        <v>4560</v>
      </c>
    </row>
    <row r="90" spans="1:9" x14ac:dyDescent="0.2">
      <c r="A90" s="2">
        <v>46223</v>
      </c>
      <c r="B90" s="3" t="s">
        <v>20</v>
      </c>
      <c r="C90" s="3" t="s">
        <v>11</v>
      </c>
      <c r="D90" s="3" t="s">
        <v>12</v>
      </c>
      <c r="E90" s="4">
        <v>68</v>
      </c>
      <c r="F90" s="4">
        <f>IF($B90="","",IF($D90="kg",N($E90),IF($D90="sacos",N($E90)*95,IF($D90="jabas",N($E90)*IFERROR(VLOOKUP($C90,LISTAS!$A$2:$B$12,2,0),0),""))))</f>
        <v>1020</v>
      </c>
      <c r="G90" s="3"/>
      <c r="H90" s="3"/>
      <c r="I90">
        <f t="shared" si="1"/>
        <v>1020</v>
      </c>
    </row>
    <row r="91" spans="1:9" x14ac:dyDescent="0.2">
      <c r="A91" s="2">
        <v>46223</v>
      </c>
      <c r="B91" s="3" t="s">
        <v>20</v>
      </c>
      <c r="C91" s="3" t="s">
        <v>21</v>
      </c>
      <c r="D91" s="3" t="s">
        <v>12</v>
      </c>
      <c r="E91" s="4">
        <v>23</v>
      </c>
      <c r="F91" s="4">
        <f>IF($B91="","",IF($D91="kg",N($E91),IF($D91="sacos",N($E91)*95,IF($D91="jabas",N($E91)*IFERROR(VLOOKUP($C91,LISTAS!$A$2:$B$12,2,0),0),""))))</f>
        <v>414</v>
      </c>
      <c r="G91" s="3"/>
      <c r="H91" s="3"/>
      <c r="I91">
        <f t="shared" si="1"/>
        <v>414</v>
      </c>
    </row>
    <row r="92" spans="1:9" x14ac:dyDescent="0.2">
      <c r="A92" s="2">
        <v>46223</v>
      </c>
      <c r="B92" s="3" t="s">
        <v>20</v>
      </c>
      <c r="C92" s="3" t="s">
        <v>22</v>
      </c>
      <c r="D92" s="3" t="s">
        <v>12</v>
      </c>
      <c r="E92" s="4">
        <v>23</v>
      </c>
      <c r="F92" s="4">
        <f>IF($B92="","",IF($D92="kg",N($E92),IF($D92="sacos",N($E92)*95,IF($D92="jabas",N($E92)*IFERROR(VLOOKUP($C92,LISTAS!$A$2:$B$12,2,0),0),""))))</f>
        <v>391</v>
      </c>
      <c r="G92" s="3"/>
      <c r="H92" s="3"/>
      <c r="I92">
        <f t="shared" si="1"/>
        <v>391</v>
      </c>
    </row>
    <row r="93" spans="1:9" x14ac:dyDescent="0.2">
      <c r="A93" s="2">
        <v>46223</v>
      </c>
      <c r="B93" s="3" t="s">
        <v>20</v>
      </c>
      <c r="C93" s="3" t="s">
        <v>14</v>
      </c>
      <c r="D93" s="3" t="s">
        <v>12</v>
      </c>
      <c r="E93" s="4">
        <v>129</v>
      </c>
      <c r="F93" s="4">
        <f>IF($B93="","",IF($D93="kg",N($E93),IF($D93="sacos",N($E93)*95,IF($D93="jabas",N($E93)*IFERROR(VLOOKUP($C93,LISTAS!$A$2:$B$12,2,0),0),""))))</f>
        <v>2193</v>
      </c>
      <c r="G93" s="3"/>
      <c r="H93" s="3"/>
      <c r="I93">
        <f t="shared" si="1"/>
        <v>2193</v>
      </c>
    </row>
    <row r="94" spans="1:9" x14ac:dyDescent="0.2">
      <c r="A94" s="2">
        <v>46223</v>
      </c>
      <c r="B94" s="3" t="s">
        <v>20</v>
      </c>
      <c r="C94" s="3" t="s">
        <v>15</v>
      </c>
      <c r="D94" s="3" t="s">
        <v>16</v>
      </c>
      <c r="E94" s="4">
        <v>6.5</v>
      </c>
      <c r="F94" s="4">
        <f>IF($B94="","",IF($D94="kg",N($E94),IF($D94="sacos",N($E94)*95,IF($D94="jabas",N($E94)*IFERROR(VLOOKUP($C94,LISTAS!$A$2:$B$12,2,0),0),""))))</f>
        <v>617.5</v>
      </c>
      <c r="G94" s="3"/>
      <c r="H94" s="3"/>
      <c r="I94">
        <f t="shared" si="1"/>
        <v>617.5</v>
      </c>
    </row>
    <row r="95" spans="1:9" x14ac:dyDescent="0.2">
      <c r="A95" s="2">
        <v>46223</v>
      </c>
      <c r="B95" s="3" t="s">
        <v>23</v>
      </c>
      <c r="C95" s="3" t="s">
        <v>11</v>
      </c>
      <c r="D95" s="3" t="s">
        <v>12</v>
      </c>
      <c r="E95" s="4">
        <v>67</v>
      </c>
      <c r="F95" s="4">
        <f>IF($B95="","",IF($D95="kg",N($E95),IF($D95="sacos",N($E95)*95,IF($D95="jabas",N($E95)*IFERROR(VLOOKUP($C95,LISTAS!$A$2:$B$12,2,0),0),""))))</f>
        <v>1005</v>
      </c>
      <c r="G95" s="3" t="s">
        <v>36</v>
      </c>
      <c r="H95" s="3"/>
      <c r="I95">
        <f t="shared" si="1"/>
        <v>1005</v>
      </c>
    </row>
    <row r="96" spans="1:9" x14ac:dyDescent="0.2">
      <c r="A96" s="2">
        <v>46223</v>
      </c>
      <c r="B96" s="3" t="s">
        <v>23</v>
      </c>
      <c r="C96" s="3" t="s">
        <v>21</v>
      </c>
      <c r="D96" s="3" t="s">
        <v>12</v>
      </c>
      <c r="E96" s="4">
        <v>11</v>
      </c>
      <c r="F96" s="4">
        <f>IF($B96="","",IF($D96="kg",N($E96),IF($D96="sacos",N($E96)*95,IF($D96="jabas",N($E96)*IFERROR(VLOOKUP($C96,LISTAS!$A$2:$B$12,2,0),0),""))))</f>
        <v>198</v>
      </c>
      <c r="G96" s="3" t="s">
        <v>36</v>
      </c>
      <c r="H96" s="3"/>
      <c r="I96">
        <f t="shared" si="1"/>
        <v>198</v>
      </c>
    </row>
    <row r="97" spans="1:9" x14ac:dyDescent="0.2">
      <c r="A97" s="2">
        <v>46223</v>
      </c>
      <c r="B97" s="3" t="s">
        <v>23</v>
      </c>
      <c r="C97" s="3" t="s">
        <v>22</v>
      </c>
      <c r="D97" s="3" t="s">
        <v>12</v>
      </c>
      <c r="E97" s="4">
        <v>12</v>
      </c>
      <c r="F97" s="4">
        <f>IF($B97="","",IF($D97="kg",N($E97),IF($D97="sacos",N($E97)*95,IF($D97="jabas",N($E97)*IFERROR(VLOOKUP($C97,LISTAS!$A$2:$B$12,2,0),0),""))))</f>
        <v>204</v>
      </c>
      <c r="G97" s="3" t="s">
        <v>36</v>
      </c>
      <c r="H97" s="3"/>
      <c r="I97">
        <f t="shared" si="1"/>
        <v>204</v>
      </c>
    </row>
    <row r="98" spans="1:9" x14ac:dyDescent="0.2">
      <c r="A98" s="2">
        <v>46223</v>
      </c>
      <c r="B98" s="3" t="s">
        <v>23</v>
      </c>
      <c r="C98" s="3" t="s">
        <v>14</v>
      </c>
      <c r="D98" s="3" t="s">
        <v>12</v>
      </c>
      <c r="E98" s="4">
        <v>111</v>
      </c>
      <c r="F98" s="4">
        <f>IF($B98="","",IF($D98="kg",N($E98),IF($D98="sacos",N($E98)*95,IF($D98="jabas",N($E98)*IFERROR(VLOOKUP($C98,LISTAS!$A$2:$B$12,2,0),0),""))))</f>
        <v>1887</v>
      </c>
      <c r="G98" s="3" t="s">
        <v>36</v>
      </c>
      <c r="H98" s="3"/>
      <c r="I98">
        <f t="shared" si="1"/>
        <v>1887</v>
      </c>
    </row>
    <row r="99" spans="1:9" x14ac:dyDescent="0.2">
      <c r="A99" s="2">
        <v>46223</v>
      </c>
      <c r="B99" s="3" t="s">
        <v>28</v>
      </c>
      <c r="C99" s="3" t="s">
        <v>15</v>
      </c>
      <c r="D99" s="3" t="s">
        <v>16</v>
      </c>
      <c r="E99" s="4">
        <v>18</v>
      </c>
      <c r="F99" s="4">
        <f>IF($B99="","",IF($D99="kg",N($E99),IF($D99="sacos",N($E99)*95,IF($D99="jabas",N($E99)*IFERROR(VLOOKUP($C99,LISTAS!$A$2:$B$12,2,0),0),""))))</f>
        <v>1710</v>
      </c>
      <c r="G99" s="3" t="s">
        <v>37</v>
      </c>
      <c r="H99" s="3"/>
      <c r="I99">
        <f t="shared" si="1"/>
        <v>1710</v>
      </c>
    </row>
    <row r="100" spans="1:9" x14ac:dyDescent="0.2">
      <c r="A100" s="2">
        <v>46223</v>
      </c>
      <c r="B100" s="3" t="s">
        <v>17</v>
      </c>
      <c r="C100" s="3" t="s">
        <v>18</v>
      </c>
      <c r="D100" s="3" t="s">
        <v>16</v>
      </c>
      <c r="E100" s="4">
        <v>22</v>
      </c>
      <c r="F100" s="4">
        <f>IF($B100="","",IF($D100="kg",N($E100),IF($D100="sacos",N($E100)*95,IF($D100="jabas",N($E100)*IFERROR(VLOOKUP($C100,LISTAS!$A$2:$B$12,2,0),0),""))))</f>
        <v>2090</v>
      </c>
      <c r="G100" s="3"/>
      <c r="H100" s="3" t="s">
        <v>19</v>
      </c>
      <c r="I100">
        <f t="shared" si="1"/>
        <v>2090</v>
      </c>
    </row>
    <row r="101" spans="1:9" x14ac:dyDescent="0.2">
      <c r="A101" s="2">
        <v>46223</v>
      </c>
      <c r="B101" s="3" t="s">
        <v>34</v>
      </c>
      <c r="C101" s="3" t="s">
        <v>21</v>
      </c>
      <c r="D101" s="3" t="s">
        <v>12</v>
      </c>
      <c r="E101" s="4">
        <v>1</v>
      </c>
      <c r="F101" s="4">
        <f>IF($B101="","",IF($D101="kg",N($E101),IF($D101="sacos",N($E101)*95,IF($D101="jabas",N($E101)*IFERROR(VLOOKUP($C101,LISTAS!$A$2:$B$12,2,0),0),""))))</f>
        <v>18</v>
      </c>
      <c r="G101" s="3"/>
      <c r="H101" s="3"/>
      <c r="I101">
        <f t="shared" si="1"/>
        <v>18</v>
      </c>
    </row>
    <row r="102" spans="1:9" x14ac:dyDescent="0.2">
      <c r="A102" s="2">
        <v>46223</v>
      </c>
      <c r="B102" s="3" t="s">
        <v>34</v>
      </c>
      <c r="C102" s="3" t="s">
        <v>22</v>
      </c>
      <c r="D102" s="3" t="s">
        <v>12</v>
      </c>
      <c r="E102" s="4">
        <v>1</v>
      </c>
      <c r="F102" s="4">
        <f>IF($B102="","",IF($D102="kg",N($E102),IF($D102="sacos",N($E102)*95,IF($D102="jabas",N($E102)*IFERROR(VLOOKUP($C102,LISTAS!$A$2:$B$12,2,0),0),""))))</f>
        <v>17</v>
      </c>
      <c r="G102" s="3"/>
      <c r="H102" s="3"/>
      <c r="I102">
        <f t="shared" si="1"/>
        <v>17</v>
      </c>
    </row>
    <row r="103" spans="1:9" x14ac:dyDescent="0.2">
      <c r="A103" s="2">
        <v>46224</v>
      </c>
      <c r="B103" s="3" t="s">
        <v>20</v>
      </c>
      <c r="C103" s="3" t="s">
        <v>11</v>
      </c>
      <c r="D103" s="3" t="s">
        <v>12</v>
      </c>
      <c r="E103" s="4">
        <v>43</v>
      </c>
      <c r="F103" s="4">
        <f>IF($B103="","",IF($D103="kg",N($E103),IF($D103="sacos",N($E103)*95,IF($D103="jabas",N($E103)*IFERROR(VLOOKUP($C103,LISTAS!$A$2:$B$12,2,0),0),""))))</f>
        <v>645</v>
      </c>
      <c r="G103" s="3"/>
      <c r="H103" s="3"/>
      <c r="I103">
        <f t="shared" si="1"/>
        <v>645</v>
      </c>
    </row>
    <row r="104" spans="1:9" x14ac:dyDescent="0.2">
      <c r="A104" s="2">
        <v>46224</v>
      </c>
      <c r="B104" s="3" t="s">
        <v>20</v>
      </c>
      <c r="C104" s="3" t="s">
        <v>14</v>
      </c>
      <c r="D104" s="3" t="s">
        <v>12</v>
      </c>
      <c r="E104" s="4">
        <v>72</v>
      </c>
      <c r="F104" s="4">
        <f>IF($B104="","",IF($D104="kg",N($E104),IF($D104="sacos",N($E104)*95,IF($D104="jabas",N($E104)*IFERROR(VLOOKUP($C104,LISTAS!$A$2:$B$12,2,0),0),""))))</f>
        <v>1224</v>
      </c>
      <c r="G104" s="3"/>
      <c r="H104" s="3"/>
      <c r="I104">
        <f t="shared" si="1"/>
        <v>1224</v>
      </c>
    </row>
    <row r="105" spans="1:9" x14ac:dyDescent="0.2">
      <c r="A105" s="2">
        <v>46224</v>
      </c>
      <c r="B105" s="3" t="s">
        <v>20</v>
      </c>
      <c r="C105" s="3" t="s">
        <v>15</v>
      </c>
      <c r="D105" s="3" t="s">
        <v>16</v>
      </c>
      <c r="E105" s="4">
        <v>3</v>
      </c>
      <c r="F105" s="4">
        <f>IF($B105="","",IF($D105="kg",N($E105),IF($D105="sacos",N($E105)*95,IF($D105="jabas",N($E105)*IFERROR(VLOOKUP($C105,LISTAS!$A$2:$B$12,2,0),0),""))))</f>
        <v>285</v>
      </c>
      <c r="G105" s="3"/>
      <c r="H105" s="3"/>
      <c r="I105">
        <f t="shared" si="1"/>
        <v>285</v>
      </c>
    </row>
    <row r="106" spans="1:9" x14ac:dyDescent="0.2">
      <c r="A106" s="2">
        <v>46224</v>
      </c>
      <c r="B106" s="3" t="s">
        <v>17</v>
      </c>
      <c r="C106" s="3" t="s">
        <v>18</v>
      </c>
      <c r="D106" s="3" t="s">
        <v>16</v>
      </c>
      <c r="E106" s="4">
        <v>70</v>
      </c>
      <c r="F106" s="4">
        <f>IF($B106="","",IF($D106="kg",N($E106),IF($D106="sacos",N($E106)*95,IF($D106="jabas",N($E106)*IFERROR(VLOOKUP($C106,LISTAS!$A$2:$B$12,2,0),0),""))))</f>
        <v>6650</v>
      </c>
      <c r="G106" s="3"/>
      <c r="H106" s="3" t="s">
        <v>19</v>
      </c>
      <c r="I106">
        <f t="shared" si="1"/>
        <v>6650</v>
      </c>
    </row>
    <row r="107" spans="1:9" x14ac:dyDescent="0.2">
      <c r="A107" s="2">
        <v>46224</v>
      </c>
      <c r="B107" s="3" t="s">
        <v>20</v>
      </c>
      <c r="C107" s="3" t="s">
        <v>11</v>
      </c>
      <c r="D107" s="3" t="s">
        <v>12</v>
      </c>
      <c r="E107" s="4">
        <v>47</v>
      </c>
      <c r="F107" s="4">
        <f>IF($B107="","",IF($D107="kg",N($E107),IF($D107="sacos",N($E107)*95,IF($D107="jabas",N($E107)*IFERROR(VLOOKUP($C107,LISTAS!$A$2:$B$12,2,0),0),""))))</f>
        <v>705</v>
      </c>
      <c r="G107" s="3"/>
      <c r="H107" s="3"/>
      <c r="I107">
        <f t="shared" si="1"/>
        <v>705</v>
      </c>
    </row>
    <row r="108" spans="1:9" x14ac:dyDescent="0.2">
      <c r="A108" s="2">
        <v>46224</v>
      </c>
      <c r="B108" s="3" t="s">
        <v>20</v>
      </c>
      <c r="C108" s="3" t="s">
        <v>21</v>
      </c>
      <c r="D108" s="3" t="s">
        <v>12</v>
      </c>
      <c r="E108" s="4">
        <v>11</v>
      </c>
      <c r="F108" s="4">
        <f>IF($B108="","",IF($D108="kg",N($E108),IF($D108="sacos",N($E108)*95,IF($D108="jabas",N($E108)*IFERROR(VLOOKUP($C108,LISTAS!$A$2:$B$12,2,0),0),""))))</f>
        <v>198</v>
      </c>
      <c r="G108" s="3"/>
      <c r="H108" s="3"/>
      <c r="I108">
        <f t="shared" si="1"/>
        <v>198</v>
      </c>
    </row>
    <row r="109" spans="1:9" x14ac:dyDescent="0.2">
      <c r="A109" s="2">
        <v>46224</v>
      </c>
      <c r="B109" s="3" t="s">
        <v>20</v>
      </c>
      <c r="C109" s="3" t="s">
        <v>22</v>
      </c>
      <c r="D109" s="3" t="s">
        <v>12</v>
      </c>
      <c r="E109" s="4">
        <v>12</v>
      </c>
      <c r="F109" s="4">
        <f>IF($B109="","",IF($D109="kg",N($E109),IF($D109="sacos",N($E109)*95,IF($D109="jabas",N($E109)*IFERROR(VLOOKUP($C109,LISTAS!$A$2:$B$12,2,0),0),""))))</f>
        <v>204</v>
      </c>
      <c r="G109" s="3"/>
      <c r="H109" s="3"/>
      <c r="I109">
        <f t="shared" si="1"/>
        <v>204</v>
      </c>
    </row>
    <row r="110" spans="1:9" x14ac:dyDescent="0.2">
      <c r="A110" s="2">
        <v>46224</v>
      </c>
      <c r="B110" s="3" t="s">
        <v>20</v>
      </c>
      <c r="C110" s="3" t="s">
        <v>14</v>
      </c>
      <c r="D110" s="3" t="s">
        <v>12</v>
      </c>
      <c r="E110" s="4">
        <v>72</v>
      </c>
      <c r="F110" s="4">
        <f>IF($B110="","",IF($D110="kg",N($E110),IF($D110="sacos",N($E110)*95,IF($D110="jabas",N($E110)*IFERROR(VLOOKUP($C110,LISTAS!$A$2:$B$12,2,0),0),""))))</f>
        <v>1224</v>
      </c>
      <c r="G110" s="3"/>
      <c r="H110" s="3"/>
      <c r="I110">
        <f t="shared" si="1"/>
        <v>1224</v>
      </c>
    </row>
    <row r="111" spans="1:9" x14ac:dyDescent="0.2">
      <c r="A111" s="2">
        <v>46224</v>
      </c>
      <c r="B111" s="3" t="s">
        <v>20</v>
      </c>
      <c r="C111" s="3" t="s">
        <v>15</v>
      </c>
      <c r="D111" s="3" t="s">
        <v>16</v>
      </c>
      <c r="E111" s="4">
        <v>4</v>
      </c>
      <c r="F111" s="4">
        <f>IF($B111="","",IF($D111="kg",N($E111),IF($D111="sacos",N($E111)*95,IF($D111="jabas",N($E111)*IFERROR(VLOOKUP($C111,LISTAS!$A$2:$B$12,2,0),0),""))))</f>
        <v>380</v>
      </c>
      <c r="G111" s="3"/>
      <c r="H111" s="3"/>
      <c r="I111">
        <f t="shared" si="1"/>
        <v>380</v>
      </c>
    </row>
    <row r="112" spans="1:9" x14ac:dyDescent="0.2">
      <c r="A112" s="2">
        <v>46224</v>
      </c>
      <c r="B112" s="3" t="s">
        <v>23</v>
      </c>
      <c r="C112" s="3" t="s">
        <v>11</v>
      </c>
      <c r="D112" s="3" t="s">
        <v>12</v>
      </c>
      <c r="E112" s="4">
        <v>67</v>
      </c>
      <c r="F112" s="4">
        <f>IF($B112="","",IF($D112="kg",N($E112),IF($D112="sacos",N($E112)*95,IF($D112="jabas",N($E112)*IFERROR(VLOOKUP($C112,LISTAS!$A$2:$B$12,2,0),0),""))))</f>
        <v>1005</v>
      </c>
      <c r="G112" s="3" t="s">
        <v>38</v>
      </c>
      <c r="H112" s="3"/>
      <c r="I112">
        <f t="shared" si="1"/>
        <v>1005</v>
      </c>
    </row>
    <row r="113" spans="1:9" x14ac:dyDescent="0.2">
      <c r="A113" s="2">
        <v>46224</v>
      </c>
      <c r="B113" s="3" t="s">
        <v>23</v>
      </c>
      <c r="C113" s="3" t="s">
        <v>21</v>
      </c>
      <c r="D113" s="3" t="s">
        <v>12</v>
      </c>
      <c r="E113" s="4">
        <v>11</v>
      </c>
      <c r="F113" s="4">
        <f>IF($B113="","",IF($D113="kg",N($E113),IF($D113="sacos",N($E113)*95,IF($D113="jabas",N($E113)*IFERROR(VLOOKUP($C113,LISTAS!$A$2:$B$12,2,0),0),""))))</f>
        <v>198</v>
      </c>
      <c r="G113" s="3" t="s">
        <v>38</v>
      </c>
      <c r="H113" s="3"/>
      <c r="I113">
        <f t="shared" si="1"/>
        <v>198</v>
      </c>
    </row>
    <row r="114" spans="1:9" x14ac:dyDescent="0.2">
      <c r="A114" s="2">
        <v>46224</v>
      </c>
      <c r="B114" s="3" t="s">
        <v>23</v>
      </c>
      <c r="C114" s="3" t="s">
        <v>22</v>
      </c>
      <c r="D114" s="3" t="s">
        <v>12</v>
      </c>
      <c r="E114" s="4">
        <v>10</v>
      </c>
      <c r="F114" s="4">
        <f>IF($B114="","",IF($D114="kg",N($E114),IF($D114="sacos",N($E114)*95,IF($D114="jabas",N($E114)*IFERROR(VLOOKUP($C114,LISTAS!$A$2:$B$12,2,0),0),""))))</f>
        <v>170</v>
      </c>
      <c r="G114" s="3" t="s">
        <v>38</v>
      </c>
      <c r="H114" s="3"/>
      <c r="I114">
        <f t="shared" si="1"/>
        <v>170</v>
      </c>
    </row>
    <row r="115" spans="1:9" x14ac:dyDescent="0.2">
      <c r="A115" s="2">
        <v>46224</v>
      </c>
      <c r="B115" s="3" t="s">
        <v>23</v>
      </c>
      <c r="C115" s="3" t="s">
        <v>14</v>
      </c>
      <c r="D115" s="3" t="s">
        <v>12</v>
      </c>
      <c r="E115" s="4">
        <v>111</v>
      </c>
      <c r="F115" s="4">
        <f>IF($B115="","",IF($D115="kg",N($E115),IF($D115="sacos",N($E115)*95,IF($D115="jabas",N($E115)*IFERROR(VLOOKUP($C115,LISTAS!$A$2:$B$12,2,0),0),""))))</f>
        <v>1887</v>
      </c>
      <c r="G115" s="3" t="s">
        <v>38</v>
      </c>
      <c r="H115" s="3"/>
      <c r="I115">
        <f t="shared" si="1"/>
        <v>1887</v>
      </c>
    </row>
    <row r="116" spans="1:9" x14ac:dyDescent="0.2">
      <c r="A116" s="2">
        <v>46224</v>
      </c>
      <c r="B116" s="3" t="s">
        <v>39</v>
      </c>
      <c r="C116" s="3" t="s">
        <v>11</v>
      </c>
      <c r="D116" s="3" t="s">
        <v>12</v>
      </c>
      <c r="E116" s="4">
        <v>1</v>
      </c>
      <c r="F116" s="4">
        <f>IF($B116="","",IF($D116="kg",N($E116),IF($D116="sacos",N($E116)*95,IF($D116="jabas",N($E116)*IFERROR(VLOOKUP($C116,LISTAS!$A$2:$B$12,2,0),0),""))))</f>
        <v>15</v>
      </c>
      <c r="G116" s="3"/>
      <c r="H116" s="3" t="s">
        <v>40</v>
      </c>
      <c r="I116">
        <f t="shared" si="1"/>
        <v>15</v>
      </c>
    </row>
    <row r="117" spans="1:9" x14ac:dyDescent="0.2">
      <c r="A117" s="2">
        <v>46224</v>
      </c>
      <c r="B117" s="3" t="s">
        <v>39</v>
      </c>
      <c r="C117" s="3" t="s">
        <v>14</v>
      </c>
      <c r="D117" s="3" t="s">
        <v>12</v>
      </c>
      <c r="E117" s="4">
        <v>1</v>
      </c>
      <c r="F117" s="4">
        <f>IF($B117="","",IF($D117="kg",N($E117),IF($D117="sacos",N($E117)*95,IF($D117="jabas",N($E117)*IFERROR(VLOOKUP($C117,LISTAS!$A$2:$B$12,2,0),0),""))))</f>
        <v>17</v>
      </c>
      <c r="G117" s="3"/>
      <c r="H117" s="3" t="s">
        <v>40</v>
      </c>
      <c r="I117">
        <f t="shared" si="1"/>
        <v>17</v>
      </c>
    </row>
    <row r="118" spans="1:9" x14ac:dyDescent="0.2">
      <c r="A118" s="2">
        <v>46224</v>
      </c>
      <c r="B118" s="3" t="s">
        <v>34</v>
      </c>
      <c r="C118" s="3" t="s">
        <v>11</v>
      </c>
      <c r="D118" s="3" t="s">
        <v>12</v>
      </c>
      <c r="E118" s="4">
        <v>1</v>
      </c>
      <c r="F118" s="4">
        <f>IF($B118="","",IF($D118="kg",N($E118),IF($D118="sacos",N($E118)*95,IF($D118="jabas",N($E118)*IFERROR(VLOOKUP($C118,LISTAS!$A$2:$B$12,2,0),0),""))))</f>
        <v>15</v>
      </c>
      <c r="G118" s="3"/>
      <c r="H118" s="3"/>
      <c r="I118">
        <f t="shared" si="1"/>
        <v>15</v>
      </c>
    </row>
    <row r="119" spans="1:9" x14ac:dyDescent="0.2">
      <c r="A119" s="2">
        <v>46224</v>
      </c>
      <c r="B119" s="3" t="s">
        <v>34</v>
      </c>
      <c r="C119" s="3" t="s">
        <v>14</v>
      </c>
      <c r="D119" s="3" t="s">
        <v>12</v>
      </c>
      <c r="E119" s="4">
        <v>1</v>
      </c>
      <c r="F119" s="4">
        <f>IF($B119="","",IF($D119="kg",N($E119),IF($D119="sacos",N($E119)*95,IF($D119="jabas",N($E119)*IFERROR(VLOOKUP($C119,LISTAS!$A$2:$B$12,2,0),0),""))))</f>
        <v>17</v>
      </c>
      <c r="G119" s="3"/>
      <c r="H119" s="3"/>
      <c r="I119">
        <f t="shared" si="1"/>
        <v>17</v>
      </c>
    </row>
    <row r="120" spans="1:9" x14ac:dyDescent="0.2">
      <c r="A120" s="2">
        <v>46224</v>
      </c>
      <c r="B120" s="3" t="s">
        <v>41</v>
      </c>
      <c r="C120" s="3" t="s">
        <v>18</v>
      </c>
      <c r="D120" s="3" t="s">
        <v>42</v>
      </c>
      <c r="E120" s="4">
        <v>17</v>
      </c>
      <c r="F120" s="4">
        <f>IF($B120="","",IF($D120="kg",N($E120),IF($D120="sacos",N($E120)*95,IF($D120="jabas",N($E120)*IFERROR(VLOOKUP($C120,LISTAS!$A$2:$B$12,2,0),0),""))))</f>
        <v>17</v>
      </c>
      <c r="G120" s="3"/>
      <c r="H120" s="3" t="s">
        <v>43</v>
      </c>
      <c r="I120">
        <f t="shared" si="1"/>
        <v>17</v>
      </c>
    </row>
    <row r="121" spans="1:9" x14ac:dyDescent="0.2">
      <c r="A121" s="2">
        <v>46225</v>
      </c>
      <c r="B121" s="3" t="s">
        <v>20</v>
      </c>
      <c r="C121" s="3" t="s">
        <v>11</v>
      </c>
      <c r="D121" s="3" t="s">
        <v>12</v>
      </c>
      <c r="E121" s="4">
        <v>64</v>
      </c>
      <c r="F121" s="4">
        <f>IF($B121="","",IF($D121="kg",N($E121),IF($D121="sacos",N($E121)*95,IF($D121="jabas",N($E121)*IFERROR(VLOOKUP($C121,LISTAS!$A$2:$B$12,2,0),0),""))))</f>
        <v>960</v>
      </c>
      <c r="G121" s="3"/>
      <c r="H121" s="3"/>
      <c r="I121">
        <f t="shared" si="1"/>
        <v>960</v>
      </c>
    </row>
    <row r="122" spans="1:9" x14ac:dyDescent="0.2">
      <c r="A122" s="2">
        <v>46225</v>
      </c>
      <c r="B122" s="3" t="s">
        <v>20</v>
      </c>
      <c r="C122" s="3" t="s">
        <v>21</v>
      </c>
      <c r="D122" s="3" t="s">
        <v>12</v>
      </c>
      <c r="E122" s="4">
        <v>11</v>
      </c>
      <c r="F122" s="4">
        <f>IF($B122="","",IF($D122="kg",N($E122),IF($D122="sacos",N($E122)*95,IF($D122="jabas",N($E122)*IFERROR(VLOOKUP($C122,LISTAS!$A$2:$B$12,2,0),0),""))))</f>
        <v>198</v>
      </c>
      <c r="G122" s="3"/>
      <c r="H122" s="3"/>
      <c r="I122">
        <f t="shared" si="1"/>
        <v>198</v>
      </c>
    </row>
    <row r="123" spans="1:9" x14ac:dyDescent="0.2">
      <c r="A123" s="2">
        <v>46225</v>
      </c>
      <c r="B123" s="3" t="s">
        <v>20</v>
      </c>
      <c r="C123" s="3" t="s">
        <v>22</v>
      </c>
      <c r="D123" s="3" t="s">
        <v>12</v>
      </c>
      <c r="E123" s="4">
        <v>12</v>
      </c>
      <c r="F123" s="4">
        <f>IF($B123="","",IF($D123="kg",N($E123),IF($D123="sacos",N($E123)*95,IF($D123="jabas",N($E123)*IFERROR(VLOOKUP($C123,LISTAS!$A$2:$B$12,2,0),0),""))))</f>
        <v>204</v>
      </c>
      <c r="G123" s="3"/>
      <c r="H123" s="3"/>
      <c r="I123">
        <f t="shared" si="1"/>
        <v>204</v>
      </c>
    </row>
    <row r="124" spans="1:9" x14ac:dyDescent="0.2">
      <c r="A124" s="2">
        <v>46225</v>
      </c>
      <c r="B124" s="3" t="s">
        <v>20</v>
      </c>
      <c r="C124" s="3" t="s">
        <v>14</v>
      </c>
      <c r="D124" s="3" t="s">
        <v>12</v>
      </c>
      <c r="E124" s="4">
        <v>111</v>
      </c>
      <c r="F124" s="4">
        <f>IF($B124="","",IF($D124="kg",N($E124),IF($D124="sacos",N($E124)*95,IF($D124="jabas",N($E124)*IFERROR(VLOOKUP($C124,LISTAS!$A$2:$B$12,2,0),0),""))))</f>
        <v>1887</v>
      </c>
      <c r="G124" s="3"/>
      <c r="H124" s="3"/>
      <c r="I124">
        <f t="shared" si="1"/>
        <v>1887</v>
      </c>
    </row>
    <row r="125" spans="1:9" x14ac:dyDescent="0.2">
      <c r="A125" s="2">
        <v>46225</v>
      </c>
      <c r="B125" s="3" t="s">
        <v>20</v>
      </c>
      <c r="C125" s="3" t="s">
        <v>15</v>
      </c>
      <c r="D125" s="3" t="s">
        <v>16</v>
      </c>
      <c r="E125" s="4">
        <v>8</v>
      </c>
      <c r="F125" s="4">
        <f>IF($B125="","",IF($D125="kg",N($E125),IF($D125="sacos",N($E125)*95,IF($D125="jabas",N($E125)*IFERROR(VLOOKUP($C125,LISTAS!$A$2:$B$12,2,0),0),""))))</f>
        <v>760</v>
      </c>
      <c r="G125" s="3"/>
      <c r="H125" s="3"/>
      <c r="I125">
        <f t="shared" si="1"/>
        <v>760</v>
      </c>
    </row>
    <row r="126" spans="1:9" x14ac:dyDescent="0.2">
      <c r="A126" s="2">
        <v>46225</v>
      </c>
      <c r="B126" s="3" t="s">
        <v>44</v>
      </c>
      <c r="C126" s="3" t="s">
        <v>18</v>
      </c>
      <c r="D126" s="3" t="s">
        <v>42</v>
      </c>
      <c r="E126" s="4">
        <v>50</v>
      </c>
      <c r="F126" s="4">
        <f>IF($B126="","",IF($D126="kg",N($E126),IF($D126="sacos",N($E126)*95,IF($D126="jabas",N($E126)*IFERROR(VLOOKUP($C126,LISTAS!$A$2:$B$12,2,0),0),""))))</f>
        <v>50</v>
      </c>
      <c r="G126" s="3"/>
      <c r="H126" s="3"/>
      <c r="I126">
        <f t="shared" si="1"/>
        <v>50</v>
      </c>
    </row>
    <row r="127" spans="1:9" x14ac:dyDescent="0.2">
      <c r="A127" s="2">
        <v>46225</v>
      </c>
      <c r="B127" s="3" t="s">
        <v>23</v>
      </c>
      <c r="C127" s="3" t="s">
        <v>11</v>
      </c>
      <c r="D127" s="3" t="s">
        <v>12</v>
      </c>
      <c r="E127" s="4">
        <v>67</v>
      </c>
      <c r="F127" s="4">
        <f>IF($B127="","",IF($D127="kg",N($E127),IF($D127="sacos",N($E127)*95,IF($D127="jabas",N($E127)*IFERROR(VLOOKUP($C127,LISTAS!$A$2:$B$12,2,0),0),""))))</f>
        <v>1005</v>
      </c>
      <c r="G127" s="3" t="s">
        <v>45</v>
      </c>
      <c r="H127" s="3"/>
      <c r="I127">
        <f t="shared" si="1"/>
        <v>1005</v>
      </c>
    </row>
    <row r="128" spans="1:9" x14ac:dyDescent="0.2">
      <c r="A128" s="2">
        <v>46225</v>
      </c>
      <c r="B128" s="3" t="s">
        <v>23</v>
      </c>
      <c r="C128" s="3" t="s">
        <v>21</v>
      </c>
      <c r="D128" s="3" t="s">
        <v>12</v>
      </c>
      <c r="E128" s="4">
        <v>11</v>
      </c>
      <c r="F128" s="4">
        <f>IF($B128="","",IF($D128="kg",N($E128),IF($D128="sacos",N($E128)*95,IF($D128="jabas",N($E128)*IFERROR(VLOOKUP($C128,LISTAS!$A$2:$B$12,2,0),0),""))))</f>
        <v>198</v>
      </c>
      <c r="G128" s="3" t="s">
        <v>45</v>
      </c>
      <c r="H128" s="3"/>
      <c r="I128">
        <f t="shared" si="1"/>
        <v>198</v>
      </c>
    </row>
    <row r="129" spans="1:9" x14ac:dyDescent="0.2">
      <c r="A129" s="2">
        <v>46225</v>
      </c>
      <c r="B129" s="3" t="s">
        <v>23</v>
      </c>
      <c r="C129" s="3" t="s">
        <v>22</v>
      </c>
      <c r="D129" s="3" t="s">
        <v>12</v>
      </c>
      <c r="E129" s="4">
        <v>12</v>
      </c>
      <c r="F129" s="4">
        <f>IF($B129="","",IF($D129="kg",N($E129),IF($D129="sacos",N($E129)*95,IF($D129="jabas",N($E129)*IFERROR(VLOOKUP($C129,LISTAS!$A$2:$B$12,2,0),0),""))))</f>
        <v>204</v>
      </c>
      <c r="G129" s="3" t="s">
        <v>45</v>
      </c>
      <c r="H129" s="3"/>
      <c r="I129">
        <f t="shared" si="1"/>
        <v>204</v>
      </c>
    </row>
    <row r="130" spans="1:9" x14ac:dyDescent="0.2">
      <c r="A130" s="2">
        <v>46225</v>
      </c>
      <c r="B130" s="3" t="s">
        <v>23</v>
      </c>
      <c r="C130" s="3" t="s">
        <v>14</v>
      </c>
      <c r="D130" s="3" t="s">
        <v>12</v>
      </c>
      <c r="E130" s="4">
        <v>111</v>
      </c>
      <c r="F130" s="4">
        <f>IF($B130="","",IF($D130="kg",N($E130),IF($D130="sacos",N($E130)*95,IF($D130="jabas",N($E130)*IFERROR(VLOOKUP($C130,LISTAS!$A$2:$B$12,2,0),0),""))))</f>
        <v>1887</v>
      </c>
      <c r="G130" s="3" t="s">
        <v>45</v>
      </c>
      <c r="H130" s="3"/>
      <c r="I130">
        <f t="shared" si="1"/>
        <v>1887</v>
      </c>
    </row>
    <row r="131" spans="1:9" x14ac:dyDescent="0.2">
      <c r="A131" s="2">
        <v>46225</v>
      </c>
      <c r="B131" s="3" t="s">
        <v>28</v>
      </c>
      <c r="C131" s="3" t="s">
        <v>15</v>
      </c>
      <c r="D131" s="3" t="s">
        <v>16</v>
      </c>
      <c r="E131" s="4">
        <v>10</v>
      </c>
      <c r="F131" s="4">
        <f>IF($B131="","",IF($D131="kg",N($E131),IF($D131="sacos",N($E131)*95,IF($D131="jabas",N($E131)*IFERROR(VLOOKUP($C131,LISTAS!$A$2:$B$12,2,0),0),""))))</f>
        <v>950</v>
      </c>
      <c r="G131" s="3" t="s">
        <v>46</v>
      </c>
      <c r="H131" s="3"/>
      <c r="I131">
        <f t="shared" si="1"/>
        <v>950</v>
      </c>
    </row>
    <row r="132" spans="1:9" x14ac:dyDescent="0.2">
      <c r="A132" s="2">
        <v>46225</v>
      </c>
      <c r="B132" s="3" t="s">
        <v>39</v>
      </c>
      <c r="C132" s="3" t="s">
        <v>11</v>
      </c>
      <c r="D132" s="3" t="s">
        <v>12</v>
      </c>
      <c r="E132" s="4">
        <v>1</v>
      </c>
      <c r="F132" s="4">
        <f>IF($B132="","",IF($D132="kg",N($E132),IF($D132="sacos",N($E132)*95,IF($D132="jabas",N($E132)*IFERROR(VLOOKUP($C132,LISTAS!$A$2:$B$12,2,0),0),""))))</f>
        <v>15</v>
      </c>
      <c r="G132" s="3"/>
      <c r="H132" s="3" t="s">
        <v>40</v>
      </c>
      <c r="I132">
        <f t="shared" si="1"/>
        <v>15</v>
      </c>
    </row>
    <row r="133" spans="1:9" x14ac:dyDescent="0.2">
      <c r="A133" s="2">
        <v>46225</v>
      </c>
      <c r="B133" s="3" t="s">
        <v>39</v>
      </c>
      <c r="C133" s="3" t="s">
        <v>14</v>
      </c>
      <c r="D133" s="3" t="s">
        <v>12</v>
      </c>
      <c r="E133" s="4">
        <v>9</v>
      </c>
      <c r="F133" s="4">
        <f>IF($B133="","",IF($D133="kg",N($E133),IF($D133="sacos",N($E133)*95,IF($D133="jabas",N($E133)*IFERROR(VLOOKUP($C133,LISTAS!$A$2:$B$12,2,0),0),""))))</f>
        <v>153</v>
      </c>
      <c r="G133" s="3"/>
      <c r="H133" s="3" t="s">
        <v>40</v>
      </c>
      <c r="I133">
        <f t="shared" ref="I133:I196" si="2">N($F133)</f>
        <v>153</v>
      </c>
    </row>
    <row r="134" spans="1:9" x14ac:dyDescent="0.2">
      <c r="A134" s="2">
        <v>46225</v>
      </c>
      <c r="B134" s="3" t="s">
        <v>34</v>
      </c>
      <c r="C134" s="3" t="s">
        <v>11</v>
      </c>
      <c r="D134" s="3" t="s">
        <v>12</v>
      </c>
      <c r="E134" s="4">
        <v>1</v>
      </c>
      <c r="F134" s="4">
        <f>IF($B134="","",IF($D134="kg",N($E134),IF($D134="sacos",N($E134)*95,IF($D134="jabas",N($E134)*IFERROR(VLOOKUP($C134,LISTAS!$A$2:$B$12,2,0),0),""))))</f>
        <v>15</v>
      </c>
      <c r="G134" s="3"/>
      <c r="H134" s="3"/>
      <c r="I134">
        <f t="shared" si="2"/>
        <v>15</v>
      </c>
    </row>
    <row r="135" spans="1:9" x14ac:dyDescent="0.2">
      <c r="A135" s="2">
        <v>46225</v>
      </c>
      <c r="B135" s="3" t="s">
        <v>41</v>
      </c>
      <c r="C135" s="3" t="s">
        <v>18</v>
      </c>
      <c r="D135" s="3" t="s">
        <v>42</v>
      </c>
      <c r="E135" s="4">
        <v>162</v>
      </c>
      <c r="F135" s="4">
        <f>IF($B135="","",IF($D135="kg",N($E135),IF($D135="sacos",N($E135)*95,IF($D135="jabas",N($E135)*IFERROR(VLOOKUP($C135,LISTAS!$A$2:$B$12,2,0),0),""))))</f>
        <v>162</v>
      </c>
      <c r="G135" s="3"/>
      <c r="H135" s="3" t="s">
        <v>43</v>
      </c>
      <c r="I135">
        <f t="shared" si="2"/>
        <v>162</v>
      </c>
    </row>
    <row r="136" spans="1:9" x14ac:dyDescent="0.2">
      <c r="A136" s="2">
        <v>46225</v>
      </c>
      <c r="B136" s="3" t="s">
        <v>17</v>
      </c>
      <c r="C136" s="3" t="s">
        <v>18</v>
      </c>
      <c r="D136" s="3" t="s">
        <v>16</v>
      </c>
      <c r="E136" s="4">
        <v>40</v>
      </c>
      <c r="F136" s="4">
        <f>IF($B136="","",IF($D136="kg",N($E136),IF($D136="sacos",N($E136)*95,IF($D136="jabas",N($E136)*IFERROR(VLOOKUP($C136,LISTAS!$A$2:$B$12,2,0),0),""))))</f>
        <v>3800</v>
      </c>
      <c r="G136" s="3"/>
      <c r="H136" s="3" t="s">
        <v>19</v>
      </c>
      <c r="I136">
        <f t="shared" si="2"/>
        <v>3800</v>
      </c>
    </row>
    <row r="137" spans="1:9" x14ac:dyDescent="0.2">
      <c r="A137" s="2">
        <v>46226</v>
      </c>
      <c r="B137" s="3" t="s">
        <v>20</v>
      </c>
      <c r="C137" s="3" t="s">
        <v>11</v>
      </c>
      <c r="D137" s="3" t="s">
        <v>12</v>
      </c>
      <c r="E137" s="4">
        <v>78</v>
      </c>
      <c r="F137" s="4">
        <f>IF($B137="","",IF($D137="kg",N($E137),IF($D137="sacos",N($E137)*95,IF($D137="jabas",N($E137)*IFERROR(VLOOKUP($C137,LISTAS!$A$2:$B$12,2,0),0),""))))</f>
        <v>1170</v>
      </c>
      <c r="G137" s="3"/>
      <c r="H137" s="3"/>
      <c r="I137">
        <f t="shared" si="2"/>
        <v>1170</v>
      </c>
    </row>
    <row r="138" spans="1:9" x14ac:dyDescent="0.2">
      <c r="A138" s="2">
        <v>46226</v>
      </c>
      <c r="B138" s="3" t="s">
        <v>20</v>
      </c>
      <c r="C138" s="3" t="s">
        <v>21</v>
      </c>
      <c r="D138" s="3" t="s">
        <v>12</v>
      </c>
      <c r="E138" s="4">
        <v>11</v>
      </c>
      <c r="F138" s="4">
        <f>IF($B138="","",IF($D138="kg",N($E138),IF($D138="sacos",N($E138)*95,IF($D138="jabas",N($E138)*IFERROR(VLOOKUP($C138,LISTAS!$A$2:$B$12,2,0),0),""))))</f>
        <v>198</v>
      </c>
      <c r="G138" s="3"/>
      <c r="H138" s="3"/>
      <c r="I138">
        <f t="shared" si="2"/>
        <v>198</v>
      </c>
    </row>
    <row r="139" spans="1:9" x14ac:dyDescent="0.2">
      <c r="A139" s="2">
        <v>46226</v>
      </c>
      <c r="B139" s="3" t="s">
        <v>20</v>
      </c>
      <c r="C139" s="3" t="s">
        <v>22</v>
      </c>
      <c r="D139" s="3" t="s">
        <v>12</v>
      </c>
      <c r="E139" s="4">
        <v>12</v>
      </c>
      <c r="F139" s="4">
        <f>IF($B139="","",IF($D139="kg",N($E139),IF($D139="sacos",N($E139)*95,IF($D139="jabas",N($E139)*IFERROR(VLOOKUP($C139,LISTAS!$A$2:$B$12,2,0),0),""))))</f>
        <v>204</v>
      </c>
      <c r="G139" s="3"/>
      <c r="H139" s="3"/>
      <c r="I139">
        <f t="shared" si="2"/>
        <v>204</v>
      </c>
    </row>
    <row r="140" spans="1:9" x14ac:dyDescent="0.2">
      <c r="A140" s="2">
        <v>46226</v>
      </c>
      <c r="B140" s="3" t="s">
        <v>20</v>
      </c>
      <c r="C140" s="3" t="s">
        <v>14</v>
      </c>
      <c r="D140" s="3" t="s">
        <v>12</v>
      </c>
      <c r="E140" s="4">
        <v>94</v>
      </c>
      <c r="F140" s="4">
        <f>IF($B140="","",IF($D140="kg",N($E140),IF($D140="sacos",N($E140)*95,IF($D140="jabas",N($E140)*IFERROR(VLOOKUP($C140,LISTAS!$A$2:$B$12,2,0),0),""))))</f>
        <v>1598</v>
      </c>
      <c r="G140" s="3"/>
      <c r="H140" s="3"/>
      <c r="I140">
        <f t="shared" si="2"/>
        <v>1598</v>
      </c>
    </row>
    <row r="141" spans="1:9" x14ac:dyDescent="0.2">
      <c r="A141" s="2">
        <v>46226</v>
      </c>
      <c r="B141" s="3" t="s">
        <v>20</v>
      </c>
      <c r="C141" s="3" t="s">
        <v>15</v>
      </c>
      <c r="D141" s="3" t="s">
        <v>16</v>
      </c>
      <c r="E141" s="4">
        <v>6.5</v>
      </c>
      <c r="F141" s="4">
        <f>IF($B141="","",IF($D141="kg",N($E141),IF($D141="sacos",N($E141)*95,IF($D141="jabas",N($E141)*IFERROR(VLOOKUP($C141,LISTAS!$A$2:$B$12,2,0),0),""))))</f>
        <v>617.5</v>
      </c>
      <c r="G141" s="3"/>
      <c r="H141" s="3"/>
      <c r="I141">
        <f t="shared" si="2"/>
        <v>617.5</v>
      </c>
    </row>
    <row r="142" spans="1:9" x14ac:dyDescent="0.2">
      <c r="A142" s="2">
        <v>46226</v>
      </c>
      <c r="B142" s="3" t="s">
        <v>23</v>
      </c>
      <c r="C142" s="3" t="s">
        <v>11</v>
      </c>
      <c r="D142" s="3" t="s">
        <v>12</v>
      </c>
      <c r="E142" s="4">
        <v>67</v>
      </c>
      <c r="F142" s="4">
        <f>IF($B142="","",IF($D142="kg",N($E142),IF($D142="sacos",N($E142)*95,IF($D142="jabas",N($E142)*IFERROR(VLOOKUP($C142,LISTAS!$A$2:$B$12,2,0),0),""))))</f>
        <v>1005</v>
      </c>
      <c r="G142" s="3" t="s">
        <v>47</v>
      </c>
      <c r="H142" s="3"/>
      <c r="I142">
        <f t="shared" si="2"/>
        <v>1005</v>
      </c>
    </row>
    <row r="143" spans="1:9" x14ac:dyDescent="0.2">
      <c r="A143" s="2">
        <v>46226</v>
      </c>
      <c r="B143" s="3" t="s">
        <v>23</v>
      </c>
      <c r="C143" s="3" t="s">
        <v>21</v>
      </c>
      <c r="D143" s="3" t="s">
        <v>12</v>
      </c>
      <c r="E143" s="4">
        <v>11</v>
      </c>
      <c r="F143" s="4">
        <f>IF($B143="","",IF($D143="kg",N($E143),IF($D143="sacos",N($E143)*95,IF($D143="jabas",N($E143)*IFERROR(VLOOKUP($C143,LISTAS!$A$2:$B$12,2,0),0),""))))</f>
        <v>198</v>
      </c>
      <c r="G143" s="3" t="s">
        <v>47</v>
      </c>
      <c r="H143" s="3"/>
      <c r="I143">
        <f t="shared" si="2"/>
        <v>198</v>
      </c>
    </row>
    <row r="144" spans="1:9" x14ac:dyDescent="0.2">
      <c r="A144" s="2">
        <v>46226</v>
      </c>
      <c r="B144" s="3" t="s">
        <v>23</v>
      </c>
      <c r="C144" s="3" t="s">
        <v>22</v>
      </c>
      <c r="D144" s="3" t="s">
        <v>12</v>
      </c>
      <c r="E144" s="4">
        <v>12</v>
      </c>
      <c r="F144" s="4">
        <f>IF($B144="","",IF($D144="kg",N($E144),IF($D144="sacos",N($E144)*95,IF($D144="jabas",N($E144)*IFERROR(VLOOKUP($C144,LISTAS!$A$2:$B$12,2,0),0),""))))</f>
        <v>204</v>
      </c>
      <c r="G144" s="3" t="s">
        <v>47</v>
      </c>
      <c r="H144" s="3"/>
      <c r="I144">
        <f t="shared" si="2"/>
        <v>204</v>
      </c>
    </row>
    <row r="145" spans="1:9" x14ac:dyDescent="0.2">
      <c r="A145" s="2">
        <v>46226</v>
      </c>
      <c r="B145" s="3" t="s">
        <v>23</v>
      </c>
      <c r="C145" s="3" t="s">
        <v>14</v>
      </c>
      <c r="D145" s="3" t="s">
        <v>12</v>
      </c>
      <c r="E145" s="4">
        <v>118</v>
      </c>
      <c r="F145" s="4">
        <f>IF($B145="","",IF($D145="kg",N($E145),IF($D145="sacos",N($E145)*95,IF($D145="jabas",N($E145)*IFERROR(VLOOKUP($C145,LISTAS!$A$2:$B$12,2,0),0),""))))</f>
        <v>2006</v>
      </c>
      <c r="G145" s="3" t="s">
        <v>47</v>
      </c>
      <c r="H145" s="3"/>
      <c r="I145">
        <f t="shared" si="2"/>
        <v>2006</v>
      </c>
    </row>
    <row r="146" spans="1:9" x14ac:dyDescent="0.2">
      <c r="A146" s="2">
        <v>46226</v>
      </c>
      <c r="B146" s="3" t="s">
        <v>28</v>
      </c>
      <c r="C146" s="3" t="s">
        <v>15</v>
      </c>
      <c r="D146" s="3" t="s">
        <v>16</v>
      </c>
      <c r="E146" s="4">
        <v>0.5</v>
      </c>
      <c r="F146" s="4">
        <f>IF($B146="","",IF($D146="kg",N($E146),IF($D146="sacos",N($E146)*95,IF($D146="jabas",N($E146)*IFERROR(VLOOKUP($C146,LISTAS!$A$2:$B$12,2,0),0),""))))</f>
        <v>47.5</v>
      </c>
      <c r="G146" s="3" t="s">
        <v>46</v>
      </c>
      <c r="H146" s="3"/>
      <c r="I146">
        <f t="shared" si="2"/>
        <v>47.5</v>
      </c>
    </row>
    <row r="147" spans="1:9" x14ac:dyDescent="0.2">
      <c r="A147" s="2">
        <v>46226</v>
      </c>
      <c r="B147" s="3" t="s">
        <v>17</v>
      </c>
      <c r="C147" s="3" t="s">
        <v>18</v>
      </c>
      <c r="D147" s="3" t="s">
        <v>16</v>
      </c>
      <c r="E147" s="4">
        <v>43</v>
      </c>
      <c r="F147" s="4">
        <f>IF($B147="","",IF($D147="kg",N($E147),IF($D147="sacos",N($E147)*95,IF($D147="jabas",N($E147)*IFERROR(VLOOKUP($C147,LISTAS!$A$2:$B$12,2,0),0),""))))</f>
        <v>4085</v>
      </c>
      <c r="G147" s="3"/>
      <c r="H147" s="3" t="s">
        <v>19</v>
      </c>
      <c r="I147">
        <f t="shared" si="2"/>
        <v>4085</v>
      </c>
    </row>
    <row r="148" spans="1:9" x14ac:dyDescent="0.2">
      <c r="A148" s="2">
        <v>46226</v>
      </c>
      <c r="B148" s="3" t="s">
        <v>17</v>
      </c>
      <c r="C148" s="3" t="s">
        <v>18</v>
      </c>
      <c r="D148" s="3" t="s">
        <v>16</v>
      </c>
      <c r="E148" s="4">
        <v>37</v>
      </c>
      <c r="F148" s="4">
        <f>IF($B148="","",IF($D148="kg",N($E148),IF($D148="sacos",N($E148)*95,IF($D148="jabas",N($E148)*IFERROR(VLOOKUP($C148,LISTAS!$A$2:$B$12,2,0),0),""))))</f>
        <v>3515</v>
      </c>
      <c r="G148" s="3"/>
      <c r="H148" s="3" t="s">
        <v>19</v>
      </c>
      <c r="I148">
        <f t="shared" si="2"/>
        <v>3515</v>
      </c>
    </row>
    <row r="149" spans="1:9" x14ac:dyDescent="0.2">
      <c r="A149" s="2">
        <v>46227</v>
      </c>
      <c r="B149" s="3" t="s">
        <v>20</v>
      </c>
      <c r="C149" s="3" t="s">
        <v>11</v>
      </c>
      <c r="D149" s="3" t="s">
        <v>12</v>
      </c>
      <c r="E149" s="4">
        <v>37</v>
      </c>
      <c r="F149" s="4">
        <f>IF($B149="","",IF($D149="kg",N($E149),IF($D149="sacos",N($E149)*95,IF($D149="jabas",N($E149)*IFERROR(VLOOKUP($C149,LISTAS!$A$2:$B$12,2,0),0),""))))</f>
        <v>555</v>
      </c>
      <c r="G149" s="3"/>
      <c r="H149" s="3"/>
      <c r="I149">
        <f t="shared" si="2"/>
        <v>555</v>
      </c>
    </row>
    <row r="150" spans="1:9" x14ac:dyDescent="0.2">
      <c r="A150" s="2">
        <v>46227</v>
      </c>
      <c r="B150" s="3" t="s">
        <v>20</v>
      </c>
      <c r="C150" s="3" t="s">
        <v>21</v>
      </c>
      <c r="D150" s="3" t="s">
        <v>12</v>
      </c>
      <c r="E150" s="4">
        <v>3</v>
      </c>
      <c r="F150" s="4">
        <f>IF($B150="","",IF($D150="kg",N($E150),IF($D150="sacos",N($E150)*95,IF($D150="jabas",N($E150)*IFERROR(VLOOKUP($C150,LISTAS!$A$2:$B$12,2,0),0),""))))</f>
        <v>54</v>
      </c>
      <c r="G150" s="3"/>
      <c r="H150" s="3"/>
      <c r="I150">
        <f t="shared" si="2"/>
        <v>54</v>
      </c>
    </row>
    <row r="151" spans="1:9" x14ac:dyDescent="0.2">
      <c r="A151" s="2">
        <v>46227</v>
      </c>
      <c r="B151" s="3" t="s">
        <v>20</v>
      </c>
      <c r="C151" s="3" t="s">
        <v>22</v>
      </c>
      <c r="D151" s="3" t="s">
        <v>12</v>
      </c>
      <c r="E151" s="4">
        <v>5</v>
      </c>
      <c r="F151" s="4">
        <f>IF($B151="","",IF($D151="kg",N($E151),IF($D151="sacos",N($E151)*95,IF($D151="jabas",N($E151)*IFERROR(VLOOKUP($C151,LISTAS!$A$2:$B$12,2,0),0),""))))</f>
        <v>85</v>
      </c>
      <c r="G151" s="3"/>
      <c r="H151" s="3"/>
      <c r="I151">
        <f t="shared" si="2"/>
        <v>85</v>
      </c>
    </row>
    <row r="152" spans="1:9" x14ac:dyDescent="0.2">
      <c r="A152" s="2">
        <v>46227</v>
      </c>
      <c r="B152" s="3" t="s">
        <v>20</v>
      </c>
      <c r="C152" s="3" t="s">
        <v>14</v>
      </c>
      <c r="D152" s="3" t="s">
        <v>12</v>
      </c>
      <c r="E152" s="4">
        <v>95</v>
      </c>
      <c r="F152" s="4">
        <f>IF($B152="","",IF($D152="kg",N($E152),IF($D152="sacos",N($E152)*95,IF($D152="jabas",N($E152)*IFERROR(VLOOKUP($C152,LISTAS!$A$2:$B$12,2,0),0),""))))</f>
        <v>1615</v>
      </c>
      <c r="G152" s="3"/>
      <c r="H152" s="3"/>
      <c r="I152">
        <f t="shared" si="2"/>
        <v>1615</v>
      </c>
    </row>
    <row r="153" spans="1:9" x14ac:dyDescent="0.2">
      <c r="A153" s="2">
        <v>46227</v>
      </c>
      <c r="B153" s="3" t="s">
        <v>20</v>
      </c>
      <c r="C153" s="3" t="s">
        <v>15</v>
      </c>
      <c r="D153" s="3" t="s">
        <v>16</v>
      </c>
      <c r="E153" s="4">
        <v>6</v>
      </c>
      <c r="F153" s="4">
        <f>IF($B153="","",IF($D153="kg",N($E153),IF($D153="sacos",N($E153)*95,IF($D153="jabas",N($E153)*IFERROR(VLOOKUP($C153,LISTAS!$A$2:$B$12,2,0),0),""))))</f>
        <v>570</v>
      </c>
      <c r="G153" s="3"/>
      <c r="H153" s="3"/>
      <c r="I153">
        <f t="shared" si="2"/>
        <v>570</v>
      </c>
    </row>
    <row r="154" spans="1:9" x14ac:dyDescent="0.2">
      <c r="A154" s="2">
        <v>46227</v>
      </c>
      <c r="B154" s="3" t="s">
        <v>23</v>
      </c>
      <c r="C154" s="3" t="s">
        <v>11</v>
      </c>
      <c r="D154" s="3" t="s">
        <v>12</v>
      </c>
      <c r="E154" s="4">
        <v>67</v>
      </c>
      <c r="F154" s="4">
        <f>IF($B154="","",IF($D154="kg",N($E154),IF($D154="sacos",N($E154)*95,IF($D154="jabas",N($E154)*IFERROR(VLOOKUP($C154,LISTAS!$A$2:$B$12,2,0),0),""))))</f>
        <v>1005</v>
      </c>
      <c r="G154" s="3" t="s">
        <v>48</v>
      </c>
      <c r="H154" s="3"/>
      <c r="I154">
        <f t="shared" si="2"/>
        <v>1005</v>
      </c>
    </row>
    <row r="155" spans="1:9" x14ac:dyDescent="0.2">
      <c r="A155" s="2">
        <v>46227</v>
      </c>
      <c r="B155" s="3" t="s">
        <v>23</v>
      </c>
      <c r="C155" s="3" t="s">
        <v>21</v>
      </c>
      <c r="D155" s="3" t="s">
        <v>12</v>
      </c>
      <c r="E155" s="4">
        <v>11</v>
      </c>
      <c r="F155" s="4">
        <f>IF($B155="","",IF($D155="kg",N($E155),IF($D155="sacos",N($E155)*95,IF($D155="jabas",N($E155)*IFERROR(VLOOKUP($C155,LISTAS!$A$2:$B$12,2,0),0),""))))</f>
        <v>198</v>
      </c>
      <c r="G155" s="3" t="s">
        <v>48</v>
      </c>
      <c r="H155" s="3"/>
      <c r="I155">
        <f t="shared" si="2"/>
        <v>198</v>
      </c>
    </row>
    <row r="156" spans="1:9" x14ac:dyDescent="0.2">
      <c r="A156" s="2">
        <v>46227</v>
      </c>
      <c r="B156" s="3" t="s">
        <v>23</v>
      </c>
      <c r="C156" s="3" t="s">
        <v>22</v>
      </c>
      <c r="D156" s="3" t="s">
        <v>12</v>
      </c>
      <c r="E156" s="4">
        <v>12</v>
      </c>
      <c r="F156" s="4">
        <f>IF($B156="","",IF($D156="kg",N($E156),IF($D156="sacos",N($E156)*95,IF($D156="jabas",N($E156)*IFERROR(VLOOKUP($C156,LISTAS!$A$2:$B$12,2,0),0),""))))</f>
        <v>204</v>
      </c>
      <c r="G156" s="3" t="s">
        <v>48</v>
      </c>
      <c r="H156" s="3"/>
      <c r="I156">
        <f t="shared" si="2"/>
        <v>204</v>
      </c>
    </row>
    <row r="157" spans="1:9" x14ac:dyDescent="0.2">
      <c r="A157" s="2">
        <v>46227</v>
      </c>
      <c r="B157" s="3" t="s">
        <v>23</v>
      </c>
      <c r="C157" s="3" t="s">
        <v>14</v>
      </c>
      <c r="D157" s="3" t="s">
        <v>12</v>
      </c>
      <c r="E157" s="4">
        <v>118</v>
      </c>
      <c r="F157" s="4">
        <f>IF($B157="","",IF($D157="kg",N($E157),IF($D157="sacos",N($E157)*95,IF($D157="jabas",N($E157)*IFERROR(VLOOKUP($C157,LISTAS!$A$2:$B$12,2,0),0),""))))</f>
        <v>2006</v>
      </c>
      <c r="G157" s="3" t="s">
        <v>48</v>
      </c>
      <c r="H157" s="3"/>
      <c r="I157">
        <f t="shared" si="2"/>
        <v>2006</v>
      </c>
    </row>
    <row r="158" spans="1:9" x14ac:dyDescent="0.2">
      <c r="A158" s="2">
        <v>46227</v>
      </c>
      <c r="B158" s="3" t="s">
        <v>28</v>
      </c>
      <c r="C158" s="3" t="s">
        <v>15</v>
      </c>
      <c r="D158" s="3" t="s">
        <v>16</v>
      </c>
      <c r="E158" s="4">
        <v>9</v>
      </c>
      <c r="F158" s="4">
        <f>IF($B158="","",IF($D158="kg",N($E158),IF($D158="sacos",N($E158)*95,IF($D158="jabas",N($E158)*IFERROR(VLOOKUP($C158,LISTAS!$A$2:$B$12,2,0),0),""))))</f>
        <v>855</v>
      </c>
      <c r="G158" s="3" t="s">
        <v>49</v>
      </c>
      <c r="H158" s="3"/>
      <c r="I158">
        <f t="shared" si="2"/>
        <v>855</v>
      </c>
    </row>
    <row r="159" spans="1:9" x14ac:dyDescent="0.2">
      <c r="A159" s="2">
        <v>46227</v>
      </c>
      <c r="B159" s="3" t="s">
        <v>50</v>
      </c>
      <c r="C159" s="3" t="s">
        <v>11</v>
      </c>
      <c r="D159" s="3" t="s">
        <v>12</v>
      </c>
      <c r="E159" s="4">
        <v>3</v>
      </c>
      <c r="F159" s="4">
        <f>IF($B159="","",IF($D159="kg",N($E159),IF($D159="sacos",N($E159)*95,IF($D159="jabas",N($E159)*IFERROR(VLOOKUP($C159,LISTAS!$A$2:$B$12,2,0),0),""))))</f>
        <v>45</v>
      </c>
      <c r="G159" s="3"/>
      <c r="H159" s="3" t="s">
        <v>51</v>
      </c>
      <c r="I159">
        <f t="shared" si="2"/>
        <v>45</v>
      </c>
    </row>
    <row r="160" spans="1:9" x14ac:dyDescent="0.2">
      <c r="A160" s="2">
        <v>46227</v>
      </c>
      <c r="B160" s="3" t="s">
        <v>28</v>
      </c>
      <c r="C160" s="3" t="s">
        <v>15</v>
      </c>
      <c r="D160" s="3" t="s">
        <v>16</v>
      </c>
      <c r="E160" s="4">
        <v>1</v>
      </c>
      <c r="F160" s="4">
        <f>IF($B160="","",IF($D160="kg",N($E160),IF($D160="sacos",N($E160)*95,IF($D160="jabas",N($E160)*IFERROR(VLOOKUP($C160,LISTAS!$A$2:$B$12,2,0),0),""))))</f>
        <v>95</v>
      </c>
      <c r="G160" s="3"/>
      <c r="H160" s="14" t="s">
        <v>79</v>
      </c>
      <c r="I160">
        <f t="shared" si="2"/>
        <v>95</v>
      </c>
    </row>
    <row r="161" spans="1:9" x14ac:dyDescent="0.2">
      <c r="A161" s="2">
        <v>46227</v>
      </c>
      <c r="B161" s="3" t="s">
        <v>23</v>
      </c>
      <c r="C161" s="3" t="s">
        <v>75</v>
      </c>
      <c r="D161" s="3" t="s">
        <v>42</v>
      </c>
      <c r="E161" s="4">
        <v>48</v>
      </c>
      <c r="F161" s="4">
        <f>IF($B161="","",IF($D161="kg",N($E161),IF($D161="sacos",N($E161)*95,IF($D161="jabas",N($E161)*IFERROR(VLOOKUP($C161,LISTAS!$A$2:$B$12,2,0),0),""))))</f>
        <v>48</v>
      </c>
      <c r="G161" s="3"/>
      <c r="H161" s="14" t="s">
        <v>80</v>
      </c>
      <c r="I161">
        <f t="shared" si="2"/>
        <v>48</v>
      </c>
    </row>
    <row r="162" spans="1:9" x14ac:dyDescent="0.2">
      <c r="A162" s="2"/>
      <c r="B162" s="3"/>
      <c r="C162" s="3"/>
      <c r="D162" s="3"/>
      <c r="E162" s="4"/>
      <c r="F162" s="4" t="str">
        <f>IF($B162="","",IF($D162="kg",N($E162),IF($D162="sacos",N($E162)*95,IF($D162="jabas",N($E162)*IFERROR(VLOOKUP($C162,LISTAS!$A$2:$B$12,2,0),0),""))))</f>
        <v/>
      </c>
      <c r="G162" s="3"/>
      <c r="H162" s="3"/>
      <c r="I162">
        <f t="shared" si="2"/>
        <v>0</v>
      </c>
    </row>
    <row r="163" spans="1:9" x14ac:dyDescent="0.2">
      <c r="A163" s="2"/>
      <c r="B163" s="3"/>
      <c r="C163" s="3"/>
      <c r="D163" s="3"/>
      <c r="E163" s="4"/>
      <c r="F163" s="4" t="str">
        <f>IF($B163="","",IF($D163="kg",N($E163),IF($D163="sacos",N($E163)*95,IF($D163="jabas",N($E163)*IFERROR(VLOOKUP($C163,LISTAS!$A$2:$B$12,2,0),0),""))))</f>
        <v/>
      </c>
      <c r="G163" s="3"/>
      <c r="H163" s="3"/>
      <c r="I163">
        <f t="shared" si="2"/>
        <v>0</v>
      </c>
    </row>
    <row r="164" spans="1:9" x14ac:dyDescent="0.2">
      <c r="A164" s="2"/>
      <c r="B164" s="3"/>
      <c r="C164" s="3"/>
      <c r="D164" s="3"/>
      <c r="E164" s="4"/>
      <c r="F164" s="4" t="str">
        <f>IF($B164="","",IF($D164="kg",N($E164),IF($D164="sacos",N($E164)*95,IF($D164="jabas",N($E164)*IFERROR(VLOOKUP($C164,LISTAS!$A$2:$B$12,2,0),0),""))))</f>
        <v/>
      </c>
      <c r="G164" s="3"/>
      <c r="H164" s="3"/>
      <c r="I164">
        <f t="shared" si="2"/>
        <v>0</v>
      </c>
    </row>
    <row r="165" spans="1:9" x14ac:dyDescent="0.2">
      <c r="A165" s="2"/>
      <c r="B165" s="3"/>
      <c r="C165" s="3"/>
      <c r="D165" s="3"/>
      <c r="E165" s="4"/>
      <c r="F165" s="4" t="str">
        <f>IF($B165="","",IF($D165="kg",N($E165),IF($D165="sacos",N($E165)*95,IF($D165="jabas",N($E165)*IFERROR(VLOOKUP($C165,LISTAS!$A$2:$B$12,2,0),0),""))))</f>
        <v/>
      </c>
      <c r="G165" s="3"/>
      <c r="H165" s="3"/>
      <c r="I165">
        <f t="shared" si="2"/>
        <v>0</v>
      </c>
    </row>
    <row r="166" spans="1:9" x14ac:dyDescent="0.2">
      <c r="A166" s="2"/>
      <c r="B166" s="3"/>
      <c r="C166" s="3"/>
      <c r="D166" s="3"/>
      <c r="E166" s="4"/>
      <c r="F166" s="4" t="str">
        <f>IF($B166="","",IF($D166="kg",N($E166),IF($D166="sacos",N($E166)*95,IF($D166="jabas",N($E166)*IFERROR(VLOOKUP($C166,LISTAS!$A$2:$B$12,2,0),0),""))))</f>
        <v/>
      </c>
      <c r="G166" s="3"/>
      <c r="H166" s="3"/>
      <c r="I166">
        <f t="shared" si="2"/>
        <v>0</v>
      </c>
    </row>
    <row r="167" spans="1:9" x14ac:dyDescent="0.2">
      <c r="A167" s="2"/>
      <c r="B167" s="3"/>
      <c r="C167" s="3"/>
      <c r="D167" s="3"/>
      <c r="E167" s="4"/>
      <c r="F167" s="4" t="str">
        <f>IF($B167="","",IF($D167="kg",N($E167),IF($D167="sacos",N($E167)*95,IF($D167="jabas",N($E167)*IFERROR(VLOOKUP($C167,LISTAS!$A$2:$B$12,2,0),0),""))))</f>
        <v/>
      </c>
      <c r="G167" s="3"/>
      <c r="H167" s="3"/>
      <c r="I167">
        <f t="shared" si="2"/>
        <v>0</v>
      </c>
    </row>
    <row r="168" spans="1:9" x14ac:dyDescent="0.2">
      <c r="A168" s="2"/>
      <c r="B168" s="3"/>
      <c r="C168" s="3"/>
      <c r="D168" s="3"/>
      <c r="E168" s="4"/>
      <c r="F168" s="4" t="str">
        <f>IF($B168="","",IF($D168="kg",N($E168),IF($D168="sacos",N($E168)*95,IF($D168="jabas",N($E168)*IFERROR(VLOOKUP($C168,LISTAS!$A$2:$B$12,2,0),0),""))))</f>
        <v/>
      </c>
      <c r="G168" s="3"/>
      <c r="H168" s="3"/>
      <c r="I168">
        <f t="shared" si="2"/>
        <v>0</v>
      </c>
    </row>
    <row r="169" spans="1:9" x14ac:dyDescent="0.2">
      <c r="A169" s="2"/>
      <c r="B169" s="3"/>
      <c r="C169" s="3"/>
      <c r="D169" s="3"/>
      <c r="E169" s="4"/>
      <c r="F169" s="4" t="str">
        <f>IF($B169="","",IF($D169="kg",N($E169),IF($D169="sacos",N($E169)*95,IF($D169="jabas",N($E169)*IFERROR(VLOOKUP($C169,LISTAS!$A$2:$B$12,2,0),0),""))))</f>
        <v/>
      </c>
      <c r="G169" s="3"/>
      <c r="H169" s="3"/>
      <c r="I169">
        <f t="shared" si="2"/>
        <v>0</v>
      </c>
    </row>
    <row r="170" spans="1:9" x14ac:dyDescent="0.2">
      <c r="A170" s="2"/>
      <c r="B170" s="3"/>
      <c r="C170" s="3"/>
      <c r="D170" s="3"/>
      <c r="E170" s="4"/>
      <c r="F170" s="4" t="str">
        <f>IF($B170="","",IF($D170="kg",N($E170),IF($D170="sacos",N($E170)*95,IF($D170="jabas",N($E170)*IFERROR(VLOOKUP($C170,LISTAS!$A$2:$B$12,2,0),0),""))))</f>
        <v/>
      </c>
      <c r="G170" s="3"/>
      <c r="H170" s="3"/>
      <c r="I170">
        <f t="shared" si="2"/>
        <v>0</v>
      </c>
    </row>
    <row r="171" spans="1:9" x14ac:dyDescent="0.2">
      <c r="A171" s="2"/>
      <c r="B171" s="3"/>
      <c r="C171" s="3"/>
      <c r="D171" s="3"/>
      <c r="E171" s="4"/>
      <c r="F171" s="4" t="str">
        <f>IF($B171="","",IF($D171="kg",N($E171),IF($D171="sacos",N($E171)*95,IF($D171="jabas",N($E171)*IFERROR(VLOOKUP($C171,LISTAS!$A$2:$B$12,2,0),0),""))))</f>
        <v/>
      </c>
      <c r="G171" s="3"/>
      <c r="H171" s="3"/>
      <c r="I171">
        <f t="shared" si="2"/>
        <v>0</v>
      </c>
    </row>
    <row r="172" spans="1:9" x14ac:dyDescent="0.2">
      <c r="A172" s="2"/>
      <c r="B172" s="3"/>
      <c r="C172" s="3"/>
      <c r="D172" s="3"/>
      <c r="E172" s="4"/>
      <c r="F172" s="4" t="str">
        <f>IF($B172="","",IF($D172="kg",N($E172),IF($D172="sacos",N($E172)*95,IF($D172="jabas",N($E172)*IFERROR(VLOOKUP($C172,LISTAS!$A$2:$B$12,2,0),0),""))))</f>
        <v/>
      </c>
      <c r="G172" s="3"/>
      <c r="H172" s="3"/>
      <c r="I172">
        <f t="shared" si="2"/>
        <v>0</v>
      </c>
    </row>
    <row r="173" spans="1:9" x14ac:dyDescent="0.2">
      <c r="A173" s="2"/>
      <c r="B173" s="3"/>
      <c r="C173" s="3"/>
      <c r="D173" s="3"/>
      <c r="E173" s="4"/>
      <c r="F173" s="4" t="str">
        <f>IF($B173="","",IF($D173="kg",N($E173),IF($D173="sacos",N($E173)*95,IF($D173="jabas",N($E173)*IFERROR(VLOOKUP($C173,LISTAS!$A$2:$B$12,2,0),0),""))))</f>
        <v/>
      </c>
      <c r="G173" s="3"/>
      <c r="H173" s="3"/>
      <c r="I173">
        <f t="shared" si="2"/>
        <v>0</v>
      </c>
    </row>
    <row r="174" spans="1:9" x14ac:dyDescent="0.2">
      <c r="A174" s="2"/>
      <c r="B174" s="3"/>
      <c r="C174" s="3"/>
      <c r="D174" s="3"/>
      <c r="E174" s="4"/>
      <c r="F174" s="4" t="str">
        <f>IF($B174="","",IF($D174="kg",N($E174),IF($D174="sacos",N($E174)*95,IF($D174="jabas",N($E174)*IFERROR(VLOOKUP($C174,LISTAS!$A$2:$B$12,2,0),0),""))))</f>
        <v/>
      </c>
      <c r="G174" s="3"/>
      <c r="H174" s="3"/>
      <c r="I174">
        <f t="shared" si="2"/>
        <v>0</v>
      </c>
    </row>
    <row r="175" spans="1:9" x14ac:dyDescent="0.2">
      <c r="A175" s="2"/>
      <c r="B175" s="3"/>
      <c r="C175" s="3"/>
      <c r="D175" s="3"/>
      <c r="E175" s="4"/>
      <c r="F175" s="4" t="str">
        <f>IF($B175="","",IF($D175="kg",N($E175),IF($D175="sacos",N($E175)*95,IF($D175="jabas",N($E175)*IFERROR(VLOOKUP($C175,LISTAS!$A$2:$B$12,2,0),0),""))))</f>
        <v/>
      </c>
      <c r="G175" s="3"/>
      <c r="H175" s="3"/>
      <c r="I175">
        <f t="shared" si="2"/>
        <v>0</v>
      </c>
    </row>
    <row r="176" spans="1:9" x14ac:dyDescent="0.2">
      <c r="A176" s="2"/>
      <c r="B176" s="3"/>
      <c r="C176" s="3"/>
      <c r="D176" s="3"/>
      <c r="E176" s="4"/>
      <c r="F176" s="4" t="str">
        <f>IF($B176="","",IF($D176="kg",N($E176),IF($D176="sacos",N($E176)*95,IF($D176="jabas",N($E176)*IFERROR(VLOOKUP($C176,LISTAS!$A$2:$B$12,2,0),0),""))))</f>
        <v/>
      </c>
      <c r="G176" s="3"/>
      <c r="H176" s="3"/>
      <c r="I176">
        <f t="shared" si="2"/>
        <v>0</v>
      </c>
    </row>
    <row r="177" spans="1:9" x14ac:dyDescent="0.2">
      <c r="A177" s="2"/>
      <c r="B177" s="3"/>
      <c r="C177" s="3"/>
      <c r="D177" s="3"/>
      <c r="E177" s="4"/>
      <c r="F177" s="4" t="str">
        <f>IF($B177="","",IF($D177="kg",N($E177),IF($D177="sacos",N($E177)*95,IF($D177="jabas",N($E177)*IFERROR(VLOOKUP($C177,LISTAS!$A$2:$B$12,2,0),0),""))))</f>
        <v/>
      </c>
      <c r="G177" s="3"/>
      <c r="H177" s="3"/>
      <c r="I177">
        <f t="shared" si="2"/>
        <v>0</v>
      </c>
    </row>
    <row r="178" spans="1:9" x14ac:dyDescent="0.2">
      <c r="A178" s="2"/>
      <c r="B178" s="3"/>
      <c r="C178" s="3"/>
      <c r="D178" s="3"/>
      <c r="E178" s="4"/>
      <c r="F178" s="4" t="str">
        <f>IF($B178="","",IF($D178="kg",N($E178),IF($D178="sacos",N($E178)*95,IF($D178="jabas",N($E178)*IFERROR(VLOOKUP($C178,LISTAS!$A$2:$B$12,2,0),0),""))))</f>
        <v/>
      </c>
      <c r="G178" s="3"/>
      <c r="H178" s="3"/>
      <c r="I178">
        <f t="shared" si="2"/>
        <v>0</v>
      </c>
    </row>
    <row r="179" spans="1:9" x14ac:dyDescent="0.2">
      <c r="A179" s="2"/>
      <c r="B179" s="3"/>
      <c r="C179" s="3"/>
      <c r="D179" s="3"/>
      <c r="E179" s="4"/>
      <c r="F179" s="4" t="str">
        <f>IF($B179="","",IF($D179="kg",N($E179),IF($D179="sacos",N($E179)*95,IF($D179="jabas",N($E179)*IFERROR(VLOOKUP($C179,LISTAS!$A$2:$B$12,2,0),0),""))))</f>
        <v/>
      </c>
      <c r="G179" s="3"/>
      <c r="H179" s="3"/>
      <c r="I179">
        <f t="shared" si="2"/>
        <v>0</v>
      </c>
    </row>
    <row r="180" spans="1:9" x14ac:dyDescent="0.2">
      <c r="A180" s="2"/>
      <c r="B180" s="3"/>
      <c r="C180" s="3"/>
      <c r="D180" s="3"/>
      <c r="E180" s="4"/>
      <c r="F180" s="4" t="str">
        <f>IF($B180="","",IF($D180="kg",N($E180),IF($D180="sacos",N($E180)*95,IF($D180="jabas",N($E180)*IFERROR(VLOOKUP($C180,LISTAS!$A$2:$B$12,2,0),0),""))))</f>
        <v/>
      </c>
      <c r="G180" s="3"/>
      <c r="H180" s="3"/>
      <c r="I180">
        <f t="shared" si="2"/>
        <v>0</v>
      </c>
    </row>
    <row r="181" spans="1:9" x14ac:dyDescent="0.2">
      <c r="A181" s="2"/>
      <c r="B181" s="3"/>
      <c r="C181" s="3"/>
      <c r="D181" s="3"/>
      <c r="E181" s="4"/>
      <c r="F181" s="4" t="str">
        <f>IF($B181="","",IF($D181="kg",N($E181),IF($D181="sacos",N($E181)*95,IF($D181="jabas",N($E181)*IFERROR(VLOOKUP($C181,LISTAS!$A$2:$B$12,2,0),0),""))))</f>
        <v/>
      </c>
      <c r="G181" s="3"/>
      <c r="H181" s="3"/>
      <c r="I181">
        <f t="shared" si="2"/>
        <v>0</v>
      </c>
    </row>
    <row r="182" spans="1:9" x14ac:dyDescent="0.2">
      <c r="A182" s="2"/>
      <c r="B182" s="3"/>
      <c r="C182" s="3"/>
      <c r="D182" s="3"/>
      <c r="E182" s="4"/>
      <c r="F182" s="4" t="str">
        <f>IF($B182="","",IF($D182="kg",N($E182),IF($D182="sacos",N($E182)*95,IF($D182="jabas",N($E182)*IFERROR(VLOOKUP($C182,LISTAS!$A$2:$B$12,2,0),0),""))))</f>
        <v/>
      </c>
      <c r="G182" s="3"/>
      <c r="H182" s="3"/>
      <c r="I182">
        <f t="shared" si="2"/>
        <v>0</v>
      </c>
    </row>
    <row r="183" spans="1:9" x14ac:dyDescent="0.2">
      <c r="A183" s="2"/>
      <c r="B183" s="3"/>
      <c r="C183" s="3"/>
      <c r="D183" s="3"/>
      <c r="E183" s="4"/>
      <c r="F183" s="4" t="str">
        <f>IF($B183="","",IF($D183="kg",N($E183),IF($D183="sacos",N($E183)*95,IF($D183="jabas",N($E183)*IFERROR(VLOOKUP($C183,LISTAS!$A$2:$B$12,2,0),0),""))))</f>
        <v/>
      </c>
      <c r="G183" s="3"/>
      <c r="H183" s="3"/>
      <c r="I183">
        <f t="shared" si="2"/>
        <v>0</v>
      </c>
    </row>
    <row r="184" spans="1:9" x14ac:dyDescent="0.2">
      <c r="A184" s="2"/>
      <c r="B184" s="3"/>
      <c r="C184" s="3"/>
      <c r="D184" s="3"/>
      <c r="E184" s="4"/>
      <c r="F184" s="4" t="str">
        <f>IF($B184="","",IF($D184="kg",N($E184),IF($D184="sacos",N($E184)*95,IF($D184="jabas",N($E184)*IFERROR(VLOOKUP($C184,LISTAS!$A$2:$B$12,2,0),0),""))))</f>
        <v/>
      </c>
      <c r="G184" s="3"/>
      <c r="H184" s="3"/>
      <c r="I184">
        <f t="shared" si="2"/>
        <v>0</v>
      </c>
    </row>
    <row r="185" spans="1:9" x14ac:dyDescent="0.2">
      <c r="A185" s="2"/>
      <c r="B185" s="3"/>
      <c r="C185" s="3"/>
      <c r="D185" s="3"/>
      <c r="E185" s="4"/>
      <c r="F185" s="4" t="str">
        <f>IF($B185="","",IF($D185="kg",N($E185),IF($D185="sacos",N($E185)*95,IF($D185="jabas",N($E185)*IFERROR(VLOOKUP($C185,LISTAS!$A$2:$B$12,2,0),0),""))))</f>
        <v/>
      </c>
      <c r="G185" s="3"/>
      <c r="H185" s="3"/>
      <c r="I185">
        <f t="shared" si="2"/>
        <v>0</v>
      </c>
    </row>
    <row r="186" spans="1:9" x14ac:dyDescent="0.2">
      <c r="A186" s="2"/>
      <c r="B186" s="3"/>
      <c r="C186" s="3"/>
      <c r="D186" s="3"/>
      <c r="E186" s="4"/>
      <c r="F186" s="4" t="str">
        <f>IF($B186="","",IF($D186="kg",N($E186),IF($D186="sacos",N($E186)*95,IF($D186="jabas",N($E186)*IFERROR(VLOOKUP($C186,LISTAS!$A$2:$B$12,2,0),0),""))))</f>
        <v/>
      </c>
      <c r="G186" s="3"/>
      <c r="H186" s="3"/>
      <c r="I186">
        <f t="shared" si="2"/>
        <v>0</v>
      </c>
    </row>
    <row r="187" spans="1:9" x14ac:dyDescent="0.2">
      <c r="A187" s="2"/>
      <c r="B187" s="3"/>
      <c r="C187" s="3"/>
      <c r="D187" s="3"/>
      <c r="E187" s="4"/>
      <c r="F187" s="4" t="str">
        <f>IF($B187="","",IF($D187="kg",N($E187),IF($D187="sacos",N($E187)*95,IF($D187="jabas",N($E187)*IFERROR(VLOOKUP($C187,LISTAS!$A$2:$B$12,2,0),0),""))))</f>
        <v/>
      </c>
      <c r="G187" s="3"/>
      <c r="H187" s="3"/>
      <c r="I187">
        <f t="shared" si="2"/>
        <v>0</v>
      </c>
    </row>
    <row r="188" spans="1:9" x14ac:dyDescent="0.2">
      <c r="A188" s="2"/>
      <c r="B188" s="3"/>
      <c r="C188" s="3"/>
      <c r="D188" s="3"/>
      <c r="E188" s="4"/>
      <c r="F188" s="4" t="str">
        <f>IF($B188="","",IF($D188="kg",N($E188),IF($D188="sacos",N($E188)*95,IF($D188="jabas",N($E188)*IFERROR(VLOOKUP($C188,LISTAS!$A$2:$B$12,2,0),0),""))))</f>
        <v/>
      </c>
      <c r="G188" s="3"/>
      <c r="H188" s="3"/>
      <c r="I188">
        <f t="shared" si="2"/>
        <v>0</v>
      </c>
    </row>
    <row r="189" spans="1:9" x14ac:dyDescent="0.2">
      <c r="A189" s="2"/>
      <c r="B189" s="3"/>
      <c r="C189" s="3"/>
      <c r="D189" s="3"/>
      <c r="E189" s="4"/>
      <c r="F189" s="4" t="str">
        <f>IF($B189="","",IF($D189="kg",N($E189),IF($D189="sacos",N($E189)*95,IF($D189="jabas",N($E189)*IFERROR(VLOOKUP($C189,LISTAS!$A$2:$B$12,2,0),0),""))))</f>
        <v/>
      </c>
      <c r="G189" s="3"/>
      <c r="H189" s="3"/>
      <c r="I189">
        <f t="shared" si="2"/>
        <v>0</v>
      </c>
    </row>
    <row r="190" spans="1:9" x14ac:dyDescent="0.2">
      <c r="A190" s="2"/>
      <c r="B190" s="3"/>
      <c r="C190" s="3"/>
      <c r="D190" s="3"/>
      <c r="E190" s="4"/>
      <c r="F190" s="4" t="str">
        <f>IF($B190="","",IF($D190="kg",N($E190),IF($D190="sacos",N($E190)*95,IF($D190="jabas",N($E190)*IFERROR(VLOOKUP($C190,LISTAS!$A$2:$B$12,2,0),0),""))))</f>
        <v/>
      </c>
      <c r="G190" s="3"/>
      <c r="H190" s="3"/>
      <c r="I190">
        <f t="shared" si="2"/>
        <v>0</v>
      </c>
    </row>
    <row r="191" spans="1:9" x14ac:dyDescent="0.2">
      <c r="A191" s="2"/>
      <c r="B191" s="3"/>
      <c r="C191" s="3"/>
      <c r="D191" s="3"/>
      <c r="E191" s="4"/>
      <c r="F191" s="4" t="str">
        <f>IF($B191="","",IF($D191="kg",N($E191),IF($D191="sacos",N($E191)*95,IF($D191="jabas",N($E191)*IFERROR(VLOOKUP($C191,LISTAS!$A$2:$B$12,2,0),0),""))))</f>
        <v/>
      </c>
      <c r="G191" s="3"/>
      <c r="H191" s="3"/>
      <c r="I191">
        <f t="shared" si="2"/>
        <v>0</v>
      </c>
    </row>
    <row r="192" spans="1:9" x14ac:dyDescent="0.2">
      <c r="A192" s="2"/>
      <c r="B192" s="3"/>
      <c r="C192" s="3"/>
      <c r="D192" s="3"/>
      <c r="E192" s="4"/>
      <c r="F192" s="4" t="str">
        <f>IF($B192="","",IF($D192="kg",N($E192),IF($D192="sacos",N($E192)*95,IF($D192="jabas",N($E192)*IFERROR(VLOOKUP($C192,LISTAS!$A$2:$B$12,2,0),0),""))))</f>
        <v/>
      </c>
      <c r="G192" s="3"/>
      <c r="H192" s="3"/>
      <c r="I192">
        <f t="shared" si="2"/>
        <v>0</v>
      </c>
    </row>
    <row r="193" spans="1:9" x14ac:dyDescent="0.2">
      <c r="A193" s="2"/>
      <c r="B193" s="3"/>
      <c r="C193" s="3"/>
      <c r="D193" s="3"/>
      <c r="E193" s="4"/>
      <c r="F193" s="4" t="str">
        <f>IF($B193="","",IF($D193="kg",N($E193),IF($D193="sacos",N($E193)*95,IF($D193="jabas",N($E193)*IFERROR(VLOOKUP($C193,LISTAS!$A$2:$B$12,2,0),0),""))))</f>
        <v/>
      </c>
      <c r="G193" s="3"/>
      <c r="H193" s="3"/>
      <c r="I193">
        <f t="shared" si="2"/>
        <v>0</v>
      </c>
    </row>
    <row r="194" spans="1:9" x14ac:dyDescent="0.2">
      <c r="A194" s="2"/>
      <c r="B194" s="3"/>
      <c r="C194" s="3"/>
      <c r="D194" s="3"/>
      <c r="E194" s="4"/>
      <c r="F194" s="4" t="str">
        <f>IF($B194="","",IF($D194="kg",N($E194),IF($D194="sacos",N($E194)*95,IF($D194="jabas",N($E194)*IFERROR(VLOOKUP($C194,LISTAS!$A$2:$B$12,2,0),0),""))))</f>
        <v/>
      </c>
      <c r="G194" s="3"/>
      <c r="H194" s="3"/>
      <c r="I194">
        <f t="shared" si="2"/>
        <v>0</v>
      </c>
    </row>
    <row r="195" spans="1:9" x14ac:dyDescent="0.2">
      <c r="A195" s="2"/>
      <c r="B195" s="3"/>
      <c r="C195" s="3"/>
      <c r="D195" s="3"/>
      <c r="E195" s="4"/>
      <c r="F195" s="4" t="str">
        <f>IF($B195="","",IF($D195="kg",N($E195),IF($D195="sacos",N($E195)*95,IF($D195="jabas",N($E195)*IFERROR(VLOOKUP($C195,LISTAS!$A$2:$B$12,2,0),0),""))))</f>
        <v/>
      </c>
      <c r="G195" s="3"/>
      <c r="H195" s="3"/>
      <c r="I195">
        <f t="shared" si="2"/>
        <v>0</v>
      </c>
    </row>
    <row r="196" spans="1:9" x14ac:dyDescent="0.2">
      <c r="A196" s="2"/>
      <c r="B196" s="3"/>
      <c r="C196" s="3"/>
      <c r="D196" s="3"/>
      <c r="E196" s="4"/>
      <c r="F196" s="4" t="str">
        <f>IF($B196="","",IF($D196="kg",N($E196),IF($D196="sacos",N($E196)*95,IF($D196="jabas",N($E196)*IFERROR(VLOOKUP($C196,LISTAS!$A$2:$B$12,2,0),0),""))))</f>
        <v/>
      </c>
      <c r="G196" s="3"/>
      <c r="H196" s="3"/>
      <c r="I196">
        <f t="shared" si="2"/>
        <v>0</v>
      </c>
    </row>
    <row r="197" spans="1:9" x14ac:dyDescent="0.2">
      <c r="A197" s="2"/>
      <c r="B197" s="3"/>
      <c r="C197" s="3"/>
      <c r="D197" s="3"/>
      <c r="E197" s="4"/>
      <c r="F197" s="4" t="str">
        <f>IF($B197="","",IF($D197="kg",N($E197),IF($D197="sacos",N($E197)*95,IF($D197="jabas",N($E197)*IFERROR(VLOOKUP($C197,LISTAS!$A$2:$B$12,2,0),0),""))))</f>
        <v/>
      </c>
      <c r="G197" s="3"/>
      <c r="H197" s="3"/>
      <c r="I197">
        <f t="shared" ref="I197:I260" si="3">N($F197)</f>
        <v>0</v>
      </c>
    </row>
    <row r="198" spans="1:9" x14ac:dyDescent="0.2">
      <c r="A198" s="2"/>
      <c r="B198" s="3"/>
      <c r="C198" s="3"/>
      <c r="D198" s="3"/>
      <c r="E198" s="4"/>
      <c r="F198" s="4" t="str">
        <f>IF($B198="","",IF($D198="kg",N($E198),IF($D198="sacos",N($E198)*95,IF($D198="jabas",N($E198)*IFERROR(VLOOKUP($C198,LISTAS!$A$2:$B$12,2,0),0),""))))</f>
        <v/>
      </c>
      <c r="G198" s="3"/>
      <c r="H198" s="3"/>
      <c r="I198">
        <f t="shared" si="3"/>
        <v>0</v>
      </c>
    </row>
    <row r="199" spans="1:9" x14ac:dyDescent="0.2">
      <c r="A199" s="2"/>
      <c r="B199" s="3"/>
      <c r="C199" s="3"/>
      <c r="D199" s="3"/>
      <c r="E199" s="4"/>
      <c r="F199" s="4" t="str">
        <f>IF($B199="","",IF($D199="kg",N($E199),IF($D199="sacos",N($E199)*95,IF($D199="jabas",N($E199)*IFERROR(VLOOKUP($C199,LISTAS!$A$2:$B$12,2,0),0),""))))</f>
        <v/>
      </c>
      <c r="G199" s="3"/>
      <c r="H199" s="3"/>
      <c r="I199">
        <f t="shared" si="3"/>
        <v>0</v>
      </c>
    </row>
    <row r="200" spans="1:9" x14ac:dyDescent="0.2">
      <c r="A200" s="2"/>
      <c r="B200" s="3"/>
      <c r="C200" s="3"/>
      <c r="D200" s="3"/>
      <c r="E200" s="4"/>
      <c r="F200" s="4" t="str">
        <f>IF($B200="","",IF($D200="kg",N($E200),IF($D200="sacos",N($E200)*95,IF($D200="jabas",N($E200)*IFERROR(VLOOKUP($C200,LISTAS!$A$2:$B$12,2,0),0),""))))</f>
        <v/>
      </c>
      <c r="G200" s="3"/>
      <c r="H200" s="3"/>
      <c r="I200">
        <f t="shared" si="3"/>
        <v>0</v>
      </c>
    </row>
    <row r="201" spans="1:9" x14ac:dyDescent="0.2">
      <c r="A201" s="2"/>
      <c r="B201" s="3"/>
      <c r="C201" s="3"/>
      <c r="D201" s="3"/>
      <c r="E201" s="4"/>
      <c r="F201" s="4" t="str">
        <f>IF($B201="","",IF($D201="kg",N($E201),IF($D201="sacos",N($E201)*95,IF($D201="jabas",N($E201)*IFERROR(VLOOKUP($C201,LISTAS!$A$2:$B$12,2,0),0),""))))</f>
        <v/>
      </c>
      <c r="G201" s="3"/>
      <c r="H201" s="3"/>
      <c r="I201">
        <f t="shared" si="3"/>
        <v>0</v>
      </c>
    </row>
    <row r="202" spans="1:9" x14ac:dyDescent="0.2">
      <c r="A202" s="2"/>
      <c r="B202" s="3"/>
      <c r="C202" s="3"/>
      <c r="D202" s="3"/>
      <c r="E202" s="4"/>
      <c r="F202" s="4" t="str">
        <f>IF($B202="","",IF($D202="kg",N($E202),IF($D202="sacos",N($E202)*95,IF($D202="jabas",N($E202)*IFERROR(VLOOKUP($C202,LISTAS!$A$2:$B$12,2,0),0),""))))</f>
        <v/>
      </c>
      <c r="G202" s="3"/>
      <c r="H202" s="3"/>
      <c r="I202">
        <f t="shared" si="3"/>
        <v>0</v>
      </c>
    </row>
    <row r="203" spans="1:9" x14ac:dyDescent="0.2">
      <c r="A203" s="2"/>
      <c r="B203" s="3"/>
      <c r="C203" s="3"/>
      <c r="D203" s="3"/>
      <c r="E203" s="4"/>
      <c r="F203" s="4" t="str">
        <f>IF($B203="","",IF($D203="kg",N($E203),IF($D203="sacos",N($E203)*95,IF($D203="jabas",N($E203)*IFERROR(VLOOKUP($C203,LISTAS!$A$2:$B$12,2,0),0),""))))</f>
        <v/>
      </c>
      <c r="G203" s="3"/>
      <c r="H203" s="3"/>
      <c r="I203">
        <f t="shared" si="3"/>
        <v>0</v>
      </c>
    </row>
    <row r="204" spans="1:9" x14ac:dyDescent="0.2">
      <c r="A204" s="2"/>
      <c r="B204" s="3"/>
      <c r="C204" s="3"/>
      <c r="D204" s="3"/>
      <c r="E204" s="4"/>
      <c r="F204" s="4" t="str">
        <f>IF($B204="","",IF($D204="kg",N($E204),IF($D204="sacos",N($E204)*95,IF($D204="jabas",N($E204)*IFERROR(VLOOKUP($C204,LISTAS!$A$2:$B$12,2,0),0),""))))</f>
        <v/>
      </c>
      <c r="G204" s="3"/>
      <c r="H204" s="3"/>
      <c r="I204">
        <f t="shared" si="3"/>
        <v>0</v>
      </c>
    </row>
    <row r="205" spans="1:9" x14ac:dyDescent="0.2">
      <c r="A205" s="2"/>
      <c r="B205" s="3"/>
      <c r="C205" s="3"/>
      <c r="D205" s="3"/>
      <c r="E205" s="4"/>
      <c r="F205" s="4" t="str">
        <f>IF($B205="","",IF($D205="kg",N($E205),IF($D205="sacos",N($E205)*95,IF($D205="jabas",N($E205)*IFERROR(VLOOKUP($C205,LISTAS!$A$2:$B$12,2,0),0),""))))</f>
        <v/>
      </c>
      <c r="G205" s="3"/>
      <c r="H205" s="3"/>
      <c r="I205">
        <f t="shared" si="3"/>
        <v>0</v>
      </c>
    </row>
    <row r="206" spans="1:9" x14ac:dyDescent="0.2">
      <c r="A206" s="2"/>
      <c r="B206" s="3"/>
      <c r="C206" s="3"/>
      <c r="D206" s="3"/>
      <c r="E206" s="4"/>
      <c r="F206" s="4" t="str">
        <f>IF($B206="","",IF($D206="kg",N($E206),IF($D206="sacos",N($E206)*95,IF($D206="jabas",N($E206)*IFERROR(VLOOKUP($C206,LISTAS!$A$2:$B$12,2,0),0),""))))</f>
        <v/>
      </c>
      <c r="G206" s="3"/>
      <c r="H206" s="3"/>
      <c r="I206">
        <f t="shared" si="3"/>
        <v>0</v>
      </c>
    </row>
    <row r="207" spans="1:9" x14ac:dyDescent="0.2">
      <c r="A207" s="2"/>
      <c r="B207" s="3"/>
      <c r="C207" s="3"/>
      <c r="D207" s="3"/>
      <c r="E207" s="4"/>
      <c r="F207" s="4" t="str">
        <f>IF($B207="","",IF($D207="kg",N($E207),IF($D207="sacos",N($E207)*95,IF($D207="jabas",N($E207)*IFERROR(VLOOKUP($C207,LISTAS!$A$2:$B$12,2,0),0),""))))</f>
        <v/>
      </c>
      <c r="G207" s="3"/>
      <c r="H207" s="3"/>
      <c r="I207">
        <f t="shared" si="3"/>
        <v>0</v>
      </c>
    </row>
    <row r="208" spans="1:9" x14ac:dyDescent="0.2">
      <c r="A208" s="2"/>
      <c r="B208" s="3"/>
      <c r="C208" s="3"/>
      <c r="D208" s="3"/>
      <c r="E208" s="4"/>
      <c r="F208" s="4" t="str">
        <f>IF($B208="","",IF($D208="kg",N($E208),IF($D208="sacos",N($E208)*95,IF($D208="jabas",N($E208)*IFERROR(VLOOKUP($C208,LISTAS!$A$2:$B$12,2,0),0),""))))</f>
        <v/>
      </c>
      <c r="G208" s="3"/>
      <c r="H208" s="3"/>
      <c r="I208">
        <f t="shared" si="3"/>
        <v>0</v>
      </c>
    </row>
    <row r="209" spans="1:9" x14ac:dyDescent="0.2">
      <c r="A209" s="2"/>
      <c r="B209" s="3"/>
      <c r="C209" s="3"/>
      <c r="D209" s="3"/>
      <c r="E209" s="4"/>
      <c r="F209" s="4" t="str">
        <f>IF($B209="","",IF($D209="kg",N($E209),IF($D209="sacos",N($E209)*95,IF($D209="jabas",N($E209)*IFERROR(VLOOKUP($C209,LISTAS!$A$2:$B$12,2,0),0),""))))</f>
        <v/>
      </c>
      <c r="G209" s="3"/>
      <c r="H209" s="3"/>
      <c r="I209">
        <f t="shared" si="3"/>
        <v>0</v>
      </c>
    </row>
    <row r="210" spans="1:9" x14ac:dyDescent="0.2">
      <c r="A210" s="2"/>
      <c r="B210" s="3"/>
      <c r="C210" s="3"/>
      <c r="D210" s="3"/>
      <c r="E210" s="4"/>
      <c r="F210" s="4" t="str">
        <f>IF($B210="","",IF($D210="kg",N($E210),IF($D210="sacos",N($E210)*95,IF($D210="jabas",N($E210)*IFERROR(VLOOKUP($C210,LISTAS!$A$2:$B$12,2,0),0),""))))</f>
        <v/>
      </c>
      <c r="G210" s="3"/>
      <c r="H210" s="3"/>
      <c r="I210">
        <f t="shared" si="3"/>
        <v>0</v>
      </c>
    </row>
    <row r="211" spans="1:9" x14ac:dyDescent="0.2">
      <c r="A211" s="2"/>
      <c r="B211" s="3"/>
      <c r="C211" s="3"/>
      <c r="D211" s="3"/>
      <c r="E211" s="4"/>
      <c r="F211" s="4" t="str">
        <f>IF($B211="","",IF($D211="kg",N($E211),IF($D211="sacos",N($E211)*95,IF($D211="jabas",N($E211)*IFERROR(VLOOKUP($C211,LISTAS!$A$2:$B$12,2,0),0),""))))</f>
        <v/>
      </c>
      <c r="G211" s="3"/>
      <c r="H211" s="3"/>
      <c r="I211">
        <f t="shared" si="3"/>
        <v>0</v>
      </c>
    </row>
    <row r="212" spans="1:9" x14ac:dyDescent="0.2">
      <c r="A212" s="2"/>
      <c r="B212" s="3"/>
      <c r="C212" s="3"/>
      <c r="D212" s="3"/>
      <c r="E212" s="4"/>
      <c r="F212" s="4" t="str">
        <f>IF($B212="","",IF($D212="kg",N($E212),IF($D212="sacos",N($E212)*95,IF($D212="jabas",N($E212)*IFERROR(VLOOKUP($C212,LISTAS!$A$2:$B$12,2,0),0),""))))</f>
        <v/>
      </c>
      <c r="G212" s="3"/>
      <c r="H212" s="3"/>
      <c r="I212">
        <f t="shared" si="3"/>
        <v>0</v>
      </c>
    </row>
    <row r="213" spans="1:9" x14ac:dyDescent="0.2">
      <c r="A213" s="2"/>
      <c r="B213" s="3"/>
      <c r="C213" s="3"/>
      <c r="D213" s="3"/>
      <c r="E213" s="4"/>
      <c r="F213" s="4" t="str">
        <f>IF($B213="","",IF($D213="kg",N($E213),IF($D213="sacos",N($E213)*95,IF($D213="jabas",N($E213)*IFERROR(VLOOKUP($C213,LISTAS!$A$2:$B$12,2,0),0),""))))</f>
        <v/>
      </c>
      <c r="G213" s="3"/>
      <c r="H213" s="3"/>
      <c r="I213">
        <f t="shared" si="3"/>
        <v>0</v>
      </c>
    </row>
    <row r="214" spans="1:9" x14ac:dyDescent="0.2">
      <c r="A214" s="2"/>
      <c r="B214" s="3"/>
      <c r="C214" s="3"/>
      <c r="D214" s="3"/>
      <c r="E214" s="4"/>
      <c r="F214" s="4" t="str">
        <f>IF($B214="","",IF($D214="kg",N($E214),IF($D214="sacos",N($E214)*95,IF($D214="jabas",N($E214)*IFERROR(VLOOKUP($C214,LISTAS!$A$2:$B$12,2,0),0),""))))</f>
        <v/>
      </c>
      <c r="G214" s="3"/>
      <c r="H214" s="3"/>
      <c r="I214">
        <f t="shared" si="3"/>
        <v>0</v>
      </c>
    </row>
    <row r="215" spans="1:9" x14ac:dyDescent="0.2">
      <c r="A215" s="2"/>
      <c r="B215" s="3"/>
      <c r="C215" s="3"/>
      <c r="D215" s="3"/>
      <c r="E215" s="4"/>
      <c r="F215" s="4" t="str">
        <f>IF($B215="","",IF($D215="kg",N($E215),IF($D215="sacos",N($E215)*95,IF($D215="jabas",N($E215)*IFERROR(VLOOKUP($C215,LISTAS!$A$2:$B$12,2,0),0),""))))</f>
        <v/>
      </c>
      <c r="G215" s="3"/>
      <c r="H215" s="3"/>
      <c r="I215">
        <f t="shared" si="3"/>
        <v>0</v>
      </c>
    </row>
    <row r="216" spans="1:9" x14ac:dyDescent="0.2">
      <c r="A216" s="2"/>
      <c r="B216" s="3"/>
      <c r="C216" s="3"/>
      <c r="D216" s="3"/>
      <c r="E216" s="4"/>
      <c r="F216" s="4" t="str">
        <f>IF($B216="","",IF($D216="kg",N($E216),IF($D216="sacos",N($E216)*95,IF($D216="jabas",N($E216)*IFERROR(VLOOKUP($C216,LISTAS!$A$2:$B$12,2,0),0),""))))</f>
        <v/>
      </c>
      <c r="G216" s="3"/>
      <c r="H216" s="3"/>
      <c r="I216">
        <f t="shared" si="3"/>
        <v>0</v>
      </c>
    </row>
    <row r="217" spans="1:9" x14ac:dyDescent="0.2">
      <c r="A217" s="2"/>
      <c r="B217" s="3"/>
      <c r="C217" s="3"/>
      <c r="D217" s="3"/>
      <c r="E217" s="4"/>
      <c r="F217" s="4" t="str">
        <f>IF($B217="","",IF($D217="kg",N($E217),IF($D217="sacos",N($E217)*95,IF($D217="jabas",N($E217)*IFERROR(VLOOKUP($C217,LISTAS!$A$2:$B$12,2,0),0),""))))</f>
        <v/>
      </c>
      <c r="G217" s="3"/>
      <c r="H217" s="3"/>
      <c r="I217">
        <f t="shared" si="3"/>
        <v>0</v>
      </c>
    </row>
    <row r="218" spans="1:9" x14ac:dyDescent="0.2">
      <c r="A218" s="2"/>
      <c r="B218" s="3"/>
      <c r="C218" s="3"/>
      <c r="D218" s="3"/>
      <c r="E218" s="4"/>
      <c r="F218" s="4" t="str">
        <f>IF($B218="","",IF($D218="kg",N($E218),IF($D218="sacos",N($E218)*95,IF($D218="jabas",N($E218)*IFERROR(VLOOKUP($C218,LISTAS!$A$2:$B$12,2,0),0),""))))</f>
        <v/>
      </c>
      <c r="G218" s="3"/>
      <c r="H218" s="3"/>
      <c r="I218">
        <f t="shared" si="3"/>
        <v>0</v>
      </c>
    </row>
    <row r="219" spans="1:9" x14ac:dyDescent="0.2">
      <c r="A219" s="2"/>
      <c r="B219" s="3"/>
      <c r="C219" s="3"/>
      <c r="D219" s="3"/>
      <c r="E219" s="4"/>
      <c r="F219" s="4" t="str">
        <f>IF($B219="","",IF($D219="kg",N($E219),IF($D219="sacos",N($E219)*95,IF($D219="jabas",N($E219)*IFERROR(VLOOKUP($C219,LISTAS!$A$2:$B$12,2,0),0),""))))</f>
        <v/>
      </c>
      <c r="G219" s="3"/>
      <c r="H219" s="3"/>
      <c r="I219">
        <f t="shared" si="3"/>
        <v>0</v>
      </c>
    </row>
    <row r="220" spans="1:9" x14ac:dyDescent="0.2">
      <c r="A220" s="2"/>
      <c r="B220" s="3"/>
      <c r="C220" s="3"/>
      <c r="D220" s="3"/>
      <c r="E220" s="4"/>
      <c r="F220" s="4" t="str">
        <f>IF($B220="","",IF($D220="kg",N($E220),IF($D220="sacos",N($E220)*95,IF($D220="jabas",N($E220)*IFERROR(VLOOKUP($C220,LISTAS!$A$2:$B$12,2,0),0),""))))</f>
        <v/>
      </c>
      <c r="G220" s="3"/>
      <c r="H220" s="3"/>
      <c r="I220">
        <f t="shared" si="3"/>
        <v>0</v>
      </c>
    </row>
    <row r="221" spans="1:9" x14ac:dyDescent="0.2">
      <c r="A221" s="2"/>
      <c r="B221" s="3"/>
      <c r="C221" s="3"/>
      <c r="D221" s="3"/>
      <c r="E221" s="4"/>
      <c r="F221" s="4" t="str">
        <f>IF($B221="","",IF($D221="kg",N($E221),IF($D221="sacos",N($E221)*95,IF($D221="jabas",N($E221)*IFERROR(VLOOKUP($C221,LISTAS!$A$2:$B$12,2,0),0),""))))</f>
        <v/>
      </c>
      <c r="G221" s="3"/>
      <c r="H221" s="3"/>
      <c r="I221">
        <f t="shared" si="3"/>
        <v>0</v>
      </c>
    </row>
    <row r="222" spans="1:9" x14ac:dyDescent="0.2">
      <c r="A222" s="2"/>
      <c r="B222" s="3"/>
      <c r="C222" s="3"/>
      <c r="D222" s="3"/>
      <c r="E222" s="4"/>
      <c r="F222" s="4" t="str">
        <f>IF($B222="","",IF($D222="kg",N($E222),IF($D222="sacos",N($E222)*95,IF($D222="jabas",N($E222)*IFERROR(VLOOKUP($C222,LISTAS!$A$2:$B$12,2,0),0),""))))</f>
        <v/>
      </c>
      <c r="G222" s="3"/>
      <c r="H222" s="3"/>
      <c r="I222">
        <f t="shared" si="3"/>
        <v>0</v>
      </c>
    </row>
    <row r="223" spans="1:9" x14ac:dyDescent="0.2">
      <c r="A223" s="2"/>
      <c r="B223" s="3"/>
      <c r="C223" s="3"/>
      <c r="D223" s="3"/>
      <c r="E223" s="4"/>
      <c r="F223" s="4" t="str">
        <f>IF($B223="","",IF($D223="kg",N($E223),IF($D223="sacos",N($E223)*95,IF($D223="jabas",N($E223)*IFERROR(VLOOKUP($C223,LISTAS!$A$2:$B$12,2,0),0),""))))</f>
        <v/>
      </c>
      <c r="G223" s="3"/>
      <c r="H223" s="3"/>
      <c r="I223">
        <f t="shared" si="3"/>
        <v>0</v>
      </c>
    </row>
    <row r="224" spans="1:9" x14ac:dyDescent="0.2">
      <c r="A224" s="2"/>
      <c r="B224" s="3"/>
      <c r="C224" s="3"/>
      <c r="D224" s="3"/>
      <c r="E224" s="4"/>
      <c r="F224" s="4" t="str">
        <f>IF($B224="","",IF($D224="kg",N($E224),IF($D224="sacos",N($E224)*95,IF($D224="jabas",N($E224)*IFERROR(VLOOKUP($C224,LISTAS!$A$2:$B$12,2,0),0),""))))</f>
        <v/>
      </c>
      <c r="G224" s="3"/>
      <c r="H224" s="3"/>
      <c r="I224">
        <f t="shared" si="3"/>
        <v>0</v>
      </c>
    </row>
    <row r="225" spans="1:9" x14ac:dyDescent="0.2">
      <c r="A225" s="2"/>
      <c r="B225" s="3"/>
      <c r="C225" s="3"/>
      <c r="D225" s="3"/>
      <c r="E225" s="4"/>
      <c r="F225" s="4" t="str">
        <f>IF($B225="","",IF($D225="kg",N($E225),IF($D225="sacos",N($E225)*95,IF($D225="jabas",N($E225)*IFERROR(VLOOKUP($C225,LISTAS!$A$2:$B$12,2,0),0),""))))</f>
        <v/>
      </c>
      <c r="G225" s="3"/>
      <c r="H225" s="3"/>
      <c r="I225">
        <f t="shared" si="3"/>
        <v>0</v>
      </c>
    </row>
    <row r="226" spans="1:9" x14ac:dyDescent="0.2">
      <c r="A226" s="2"/>
      <c r="B226" s="3"/>
      <c r="C226" s="3"/>
      <c r="D226" s="3"/>
      <c r="E226" s="4"/>
      <c r="F226" s="4" t="str">
        <f>IF($B226="","",IF($D226="kg",N($E226),IF($D226="sacos",N($E226)*95,IF($D226="jabas",N($E226)*IFERROR(VLOOKUP($C226,LISTAS!$A$2:$B$12,2,0),0),""))))</f>
        <v/>
      </c>
      <c r="G226" s="3"/>
      <c r="H226" s="3"/>
      <c r="I226">
        <f t="shared" si="3"/>
        <v>0</v>
      </c>
    </row>
    <row r="227" spans="1:9" x14ac:dyDescent="0.2">
      <c r="A227" s="2"/>
      <c r="B227" s="3"/>
      <c r="C227" s="3"/>
      <c r="D227" s="3"/>
      <c r="E227" s="4"/>
      <c r="F227" s="4" t="str">
        <f>IF($B227="","",IF($D227="kg",N($E227),IF($D227="sacos",N($E227)*95,IF($D227="jabas",N($E227)*IFERROR(VLOOKUP($C227,LISTAS!$A$2:$B$12,2,0),0),""))))</f>
        <v/>
      </c>
      <c r="G227" s="3"/>
      <c r="H227" s="3"/>
      <c r="I227">
        <f t="shared" si="3"/>
        <v>0</v>
      </c>
    </row>
    <row r="228" spans="1:9" x14ac:dyDescent="0.2">
      <c r="A228" s="2"/>
      <c r="B228" s="3"/>
      <c r="C228" s="3"/>
      <c r="D228" s="3"/>
      <c r="E228" s="4"/>
      <c r="F228" s="4" t="str">
        <f>IF($B228="","",IF($D228="kg",N($E228),IF($D228="sacos",N($E228)*95,IF($D228="jabas",N($E228)*IFERROR(VLOOKUP($C228,LISTAS!$A$2:$B$12,2,0),0),""))))</f>
        <v/>
      </c>
      <c r="G228" s="3"/>
      <c r="H228" s="3"/>
      <c r="I228">
        <f t="shared" si="3"/>
        <v>0</v>
      </c>
    </row>
    <row r="229" spans="1:9" x14ac:dyDescent="0.2">
      <c r="A229" s="2"/>
      <c r="B229" s="3"/>
      <c r="C229" s="3"/>
      <c r="D229" s="3"/>
      <c r="E229" s="4"/>
      <c r="F229" s="4" t="str">
        <f>IF($B229="","",IF($D229="kg",N($E229),IF($D229="sacos",N($E229)*95,IF($D229="jabas",N($E229)*IFERROR(VLOOKUP($C229,LISTAS!$A$2:$B$12,2,0),0),""))))</f>
        <v/>
      </c>
      <c r="G229" s="3"/>
      <c r="H229" s="3"/>
      <c r="I229">
        <f t="shared" si="3"/>
        <v>0</v>
      </c>
    </row>
    <row r="230" spans="1:9" x14ac:dyDescent="0.2">
      <c r="A230" s="2"/>
      <c r="B230" s="3"/>
      <c r="C230" s="3"/>
      <c r="D230" s="3"/>
      <c r="E230" s="4"/>
      <c r="F230" s="4" t="str">
        <f>IF($B230="","",IF($D230="kg",N($E230),IF($D230="sacos",N($E230)*95,IF($D230="jabas",N($E230)*IFERROR(VLOOKUP($C230,LISTAS!$A$2:$B$12,2,0),0),""))))</f>
        <v/>
      </c>
      <c r="G230" s="3"/>
      <c r="H230" s="3"/>
      <c r="I230">
        <f t="shared" si="3"/>
        <v>0</v>
      </c>
    </row>
    <row r="231" spans="1:9" x14ac:dyDescent="0.2">
      <c r="A231" s="2"/>
      <c r="B231" s="3"/>
      <c r="C231" s="3"/>
      <c r="D231" s="3"/>
      <c r="E231" s="4"/>
      <c r="F231" s="4" t="str">
        <f>IF($B231="","",IF($D231="kg",N($E231),IF($D231="sacos",N($E231)*95,IF($D231="jabas",N($E231)*IFERROR(VLOOKUP($C231,LISTAS!$A$2:$B$12,2,0),0),""))))</f>
        <v/>
      </c>
      <c r="G231" s="3"/>
      <c r="H231" s="3"/>
      <c r="I231">
        <f t="shared" si="3"/>
        <v>0</v>
      </c>
    </row>
    <row r="232" spans="1:9" x14ac:dyDescent="0.2">
      <c r="A232" s="2"/>
      <c r="B232" s="3"/>
      <c r="C232" s="3"/>
      <c r="D232" s="3"/>
      <c r="E232" s="4"/>
      <c r="F232" s="4" t="str">
        <f>IF($B232="","",IF($D232="kg",N($E232),IF($D232="sacos",N($E232)*95,IF($D232="jabas",N($E232)*IFERROR(VLOOKUP($C232,LISTAS!$A$2:$B$12,2,0),0),""))))</f>
        <v/>
      </c>
      <c r="G232" s="3"/>
      <c r="H232" s="3"/>
      <c r="I232">
        <f t="shared" si="3"/>
        <v>0</v>
      </c>
    </row>
    <row r="233" spans="1:9" x14ac:dyDescent="0.2">
      <c r="A233" s="2"/>
      <c r="B233" s="3"/>
      <c r="C233" s="3"/>
      <c r="D233" s="3"/>
      <c r="E233" s="4"/>
      <c r="F233" s="4" t="str">
        <f>IF($B233="","",IF($D233="kg",N($E233),IF($D233="sacos",N($E233)*95,IF($D233="jabas",N($E233)*IFERROR(VLOOKUP($C233,LISTAS!$A$2:$B$12,2,0),0),""))))</f>
        <v/>
      </c>
      <c r="G233" s="3"/>
      <c r="H233" s="3"/>
      <c r="I233">
        <f t="shared" si="3"/>
        <v>0</v>
      </c>
    </row>
    <row r="234" spans="1:9" x14ac:dyDescent="0.2">
      <c r="A234" s="2"/>
      <c r="B234" s="3"/>
      <c r="C234" s="3"/>
      <c r="D234" s="3"/>
      <c r="E234" s="4"/>
      <c r="F234" s="4" t="str">
        <f>IF($B234="","",IF($D234="kg",N($E234),IF($D234="sacos",N($E234)*95,IF($D234="jabas",N($E234)*IFERROR(VLOOKUP($C234,LISTAS!$A$2:$B$12,2,0),0),""))))</f>
        <v/>
      </c>
      <c r="G234" s="3"/>
      <c r="H234" s="3"/>
      <c r="I234">
        <f t="shared" si="3"/>
        <v>0</v>
      </c>
    </row>
    <row r="235" spans="1:9" x14ac:dyDescent="0.2">
      <c r="A235" s="2"/>
      <c r="B235" s="3"/>
      <c r="C235" s="3"/>
      <c r="D235" s="3"/>
      <c r="E235" s="4"/>
      <c r="F235" s="4" t="str">
        <f>IF($B235="","",IF($D235="kg",N($E235),IF($D235="sacos",N($E235)*95,IF($D235="jabas",N($E235)*IFERROR(VLOOKUP($C235,LISTAS!$A$2:$B$12,2,0),0),""))))</f>
        <v/>
      </c>
      <c r="G235" s="3"/>
      <c r="H235" s="3"/>
      <c r="I235">
        <f t="shared" si="3"/>
        <v>0</v>
      </c>
    </row>
    <row r="236" spans="1:9" x14ac:dyDescent="0.2">
      <c r="A236" s="2"/>
      <c r="B236" s="3"/>
      <c r="C236" s="3"/>
      <c r="D236" s="3"/>
      <c r="E236" s="4"/>
      <c r="F236" s="4" t="str">
        <f>IF($B236="","",IF($D236="kg",N($E236),IF($D236="sacos",N($E236)*95,IF($D236="jabas",N($E236)*IFERROR(VLOOKUP($C236,LISTAS!$A$2:$B$12,2,0),0),""))))</f>
        <v/>
      </c>
      <c r="G236" s="3"/>
      <c r="H236" s="3"/>
      <c r="I236">
        <f t="shared" si="3"/>
        <v>0</v>
      </c>
    </row>
    <row r="237" spans="1:9" x14ac:dyDescent="0.2">
      <c r="A237" s="2"/>
      <c r="B237" s="3"/>
      <c r="C237" s="3"/>
      <c r="D237" s="3"/>
      <c r="E237" s="4"/>
      <c r="F237" s="4" t="str">
        <f>IF($B237="","",IF($D237="kg",N($E237),IF($D237="sacos",N($E237)*95,IF($D237="jabas",N($E237)*IFERROR(VLOOKUP($C237,LISTAS!$A$2:$B$12,2,0),0),""))))</f>
        <v/>
      </c>
      <c r="G237" s="3"/>
      <c r="H237" s="3"/>
      <c r="I237">
        <f t="shared" si="3"/>
        <v>0</v>
      </c>
    </row>
    <row r="238" spans="1:9" x14ac:dyDescent="0.2">
      <c r="A238" s="2"/>
      <c r="B238" s="3"/>
      <c r="C238" s="3"/>
      <c r="D238" s="3"/>
      <c r="E238" s="4"/>
      <c r="F238" s="4" t="str">
        <f>IF($B238="","",IF($D238="kg",N($E238),IF($D238="sacos",N($E238)*95,IF($D238="jabas",N($E238)*IFERROR(VLOOKUP($C238,LISTAS!$A$2:$B$12,2,0),0),""))))</f>
        <v/>
      </c>
      <c r="G238" s="3"/>
      <c r="H238" s="3"/>
      <c r="I238">
        <f t="shared" si="3"/>
        <v>0</v>
      </c>
    </row>
    <row r="239" spans="1:9" x14ac:dyDescent="0.2">
      <c r="A239" s="2"/>
      <c r="B239" s="3"/>
      <c r="C239" s="3"/>
      <c r="D239" s="3"/>
      <c r="E239" s="4"/>
      <c r="F239" s="4" t="str">
        <f>IF($B239="","",IF($D239="kg",N($E239),IF($D239="sacos",N($E239)*95,IF($D239="jabas",N($E239)*IFERROR(VLOOKUP($C239,LISTAS!$A$2:$B$12,2,0),0),""))))</f>
        <v/>
      </c>
      <c r="G239" s="3"/>
      <c r="H239" s="3"/>
      <c r="I239">
        <f t="shared" si="3"/>
        <v>0</v>
      </c>
    </row>
    <row r="240" spans="1:9" x14ac:dyDescent="0.2">
      <c r="A240" s="2"/>
      <c r="B240" s="3"/>
      <c r="C240" s="3"/>
      <c r="D240" s="3"/>
      <c r="E240" s="4"/>
      <c r="F240" s="4" t="str">
        <f>IF($B240="","",IF($D240="kg",N($E240),IF($D240="sacos",N($E240)*95,IF($D240="jabas",N($E240)*IFERROR(VLOOKUP($C240,LISTAS!$A$2:$B$12,2,0),0),""))))</f>
        <v/>
      </c>
      <c r="G240" s="3"/>
      <c r="H240" s="3"/>
      <c r="I240">
        <f t="shared" si="3"/>
        <v>0</v>
      </c>
    </row>
    <row r="241" spans="1:9" x14ac:dyDescent="0.2">
      <c r="A241" s="2"/>
      <c r="B241" s="3"/>
      <c r="C241" s="3"/>
      <c r="D241" s="3"/>
      <c r="E241" s="4"/>
      <c r="F241" s="4" t="str">
        <f>IF($B241="","",IF($D241="kg",N($E241),IF($D241="sacos",N($E241)*95,IF($D241="jabas",N($E241)*IFERROR(VLOOKUP($C241,LISTAS!$A$2:$B$12,2,0),0),""))))</f>
        <v/>
      </c>
      <c r="G241" s="3"/>
      <c r="H241" s="3"/>
      <c r="I241">
        <f t="shared" si="3"/>
        <v>0</v>
      </c>
    </row>
    <row r="242" spans="1:9" x14ac:dyDescent="0.2">
      <c r="A242" s="2"/>
      <c r="B242" s="3"/>
      <c r="C242" s="3"/>
      <c r="D242" s="3"/>
      <c r="E242" s="4"/>
      <c r="F242" s="4" t="str">
        <f>IF($B242="","",IF($D242="kg",N($E242),IF($D242="sacos",N($E242)*95,IF($D242="jabas",N($E242)*IFERROR(VLOOKUP($C242,LISTAS!$A$2:$B$12,2,0),0),""))))</f>
        <v/>
      </c>
      <c r="G242" s="3"/>
      <c r="H242" s="3"/>
      <c r="I242">
        <f t="shared" si="3"/>
        <v>0</v>
      </c>
    </row>
    <row r="243" spans="1:9" x14ac:dyDescent="0.2">
      <c r="A243" s="2"/>
      <c r="B243" s="3"/>
      <c r="C243" s="3"/>
      <c r="D243" s="3"/>
      <c r="E243" s="4"/>
      <c r="F243" s="4" t="str">
        <f>IF($B243="","",IF($D243="kg",N($E243),IF($D243="sacos",N($E243)*95,IF($D243="jabas",N($E243)*IFERROR(VLOOKUP($C243,LISTAS!$A$2:$B$12,2,0),0),""))))</f>
        <v/>
      </c>
      <c r="G243" s="3"/>
      <c r="H243" s="3"/>
      <c r="I243">
        <f t="shared" si="3"/>
        <v>0</v>
      </c>
    </row>
    <row r="244" spans="1:9" x14ac:dyDescent="0.2">
      <c r="A244" s="2"/>
      <c r="B244" s="3"/>
      <c r="C244" s="3"/>
      <c r="D244" s="3"/>
      <c r="E244" s="4"/>
      <c r="F244" s="4" t="str">
        <f>IF($B244="","",IF($D244="kg",N($E244),IF($D244="sacos",N($E244)*95,IF($D244="jabas",N($E244)*IFERROR(VLOOKUP($C244,LISTAS!$A$2:$B$12,2,0),0),""))))</f>
        <v/>
      </c>
      <c r="G244" s="3"/>
      <c r="H244" s="3"/>
      <c r="I244">
        <f t="shared" si="3"/>
        <v>0</v>
      </c>
    </row>
    <row r="245" spans="1:9" x14ac:dyDescent="0.2">
      <c r="A245" s="2"/>
      <c r="B245" s="3"/>
      <c r="C245" s="3"/>
      <c r="D245" s="3"/>
      <c r="E245" s="4"/>
      <c r="F245" s="4" t="str">
        <f>IF($B245="","",IF($D245="kg",N($E245),IF($D245="sacos",N($E245)*95,IF($D245="jabas",N($E245)*IFERROR(VLOOKUP($C245,LISTAS!$A$2:$B$12,2,0),0),""))))</f>
        <v/>
      </c>
      <c r="G245" s="3"/>
      <c r="H245" s="3"/>
      <c r="I245">
        <f t="shared" si="3"/>
        <v>0</v>
      </c>
    </row>
    <row r="246" spans="1:9" x14ac:dyDescent="0.2">
      <c r="A246" s="2"/>
      <c r="B246" s="3"/>
      <c r="C246" s="3"/>
      <c r="D246" s="3"/>
      <c r="E246" s="4"/>
      <c r="F246" s="4" t="str">
        <f>IF($B246="","",IF($D246="kg",N($E246),IF($D246="sacos",N($E246)*95,IF($D246="jabas",N($E246)*IFERROR(VLOOKUP($C246,LISTAS!$A$2:$B$12,2,0),0),""))))</f>
        <v/>
      </c>
      <c r="G246" s="3"/>
      <c r="H246" s="3"/>
      <c r="I246">
        <f t="shared" si="3"/>
        <v>0</v>
      </c>
    </row>
    <row r="247" spans="1:9" x14ac:dyDescent="0.2">
      <c r="A247" s="2"/>
      <c r="B247" s="3"/>
      <c r="C247" s="3"/>
      <c r="D247" s="3"/>
      <c r="E247" s="4"/>
      <c r="F247" s="4" t="str">
        <f>IF($B247="","",IF($D247="kg",N($E247),IF($D247="sacos",N($E247)*95,IF($D247="jabas",N($E247)*IFERROR(VLOOKUP($C247,LISTAS!$A$2:$B$12,2,0),0),""))))</f>
        <v/>
      </c>
      <c r="G247" s="3"/>
      <c r="H247" s="3"/>
      <c r="I247">
        <f t="shared" si="3"/>
        <v>0</v>
      </c>
    </row>
    <row r="248" spans="1:9" x14ac:dyDescent="0.2">
      <c r="A248" s="2"/>
      <c r="B248" s="3"/>
      <c r="C248" s="3"/>
      <c r="D248" s="3"/>
      <c r="E248" s="4"/>
      <c r="F248" s="4" t="str">
        <f>IF($B248="","",IF($D248="kg",N($E248),IF($D248="sacos",N($E248)*95,IF($D248="jabas",N($E248)*IFERROR(VLOOKUP($C248,LISTAS!$A$2:$B$12,2,0),0),""))))</f>
        <v/>
      </c>
      <c r="G248" s="3"/>
      <c r="H248" s="3"/>
      <c r="I248">
        <f t="shared" si="3"/>
        <v>0</v>
      </c>
    </row>
    <row r="249" spans="1:9" x14ac:dyDescent="0.2">
      <c r="A249" s="2"/>
      <c r="B249" s="3"/>
      <c r="C249" s="3"/>
      <c r="D249" s="3"/>
      <c r="E249" s="4"/>
      <c r="F249" s="4" t="str">
        <f>IF($B249="","",IF($D249="kg",N($E249),IF($D249="sacos",N($E249)*95,IF($D249="jabas",N($E249)*IFERROR(VLOOKUP($C249,LISTAS!$A$2:$B$12,2,0),0),""))))</f>
        <v/>
      </c>
      <c r="G249" s="3"/>
      <c r="H249" s="3"/>
      <c r="I249">
        <f t="shared" si="3"/>
        <v>0</v>
      </c>
    </row>
    <row r="250" spans="1:9" x14ac:dyDescent="0.2">
      <c r="A250" s="2"/>
      <c r="B250" s="3"/>
      <c r="C250" s="3"/>
      <c r="D250" s="3"/>
      <c r="E250" s="4"/>
      <c r="F250" s="4" t="str">
        <f>IF($B250="","",IF($D250="kg",N($E250),IF($D250="sacos",N($E250)*95,IF($D250="jabas",N($E250)*IFERROR(VLOOKUP($C250,LISTAS!$A$2:$B$12,2,0),0),""))))</f>
        <v/>
      </c>
      <c r="G250" s="3"/>
      <c r="H250" s="3"/>
      <c r="I250">
        <f t="shared" si="3"/>
        <v>0</v>
      </c>
    </row>
    <row r="251" spans="1:9" x14ac:dyDescent="0.2">
      <c r="A251" s="2"/>
      <c r="B251" s="3"/>
      <c r="C251" s="3"/>
      <c r="D251" s="3"/>
      <c r="E251" s="4"/>
      <c r="F251" s="4" t="str">
        <f>IF($B251="","",IF($D251="kg",N($E251),IF($D251="sacos",N($E251)*95,IF($D251="jabas",N($E251)*IFERROR(VLOOKUP($C251,LISTAS!$A$2:$B$12,2,0),0),""))))</f>
        <v/>
      </c>
      <c r="G251" s="3"/>
      <c r="H251" s="3"/>
      <c r="I251">
        <f t="shared" si="3"/>
        <v>0</v>
      </c>
    </row>
    <row r="252" spans="1:9" x14ac:dyDescent="0.2">
      <c r="A252" s="2"/>
      <c r="B252" s="3"/>
      <c r="C252" s="3"/>
      <c r="D252" s="3"/>
      <c r="E252" s="4"/>
      <c r="F252" s="4" t="str">
        <f>IF($B252="","",IF($D252="kg",N($E252),IF($D252="sacos",N($E252)*95,IF($D252="jabas",N($E252)*IFERROR(VLOOKUP($C252,LISTAS!$A$2:$B$12,2,0),0),""))))</f>
        <v/>
      </c>
      <c r="G252" s="3"/>
      <c r="H252" s="3"/>
      <c r="I252">
        <f t="shared" si="3"/>
        <v>0</v>
      </c>
    </row>
    <row r="253" spans="1:9" x14ac:dyDescent="0.2">
      <c r="A253" s="2"/>
      <c r="B253" s="3"/>
      <c r="C253" s="3"/>
      <c r="D253" s="3"/>
      <c r="E253" s="4"/>
      <c r="F253" s="4" t="str">
        <f>IF($B253="","",IF($D253="kg",N($E253),IF($D253="sacos",N($E253)*95,IF($D253="jabas",N($E253)*IFERROR(VLOOKUP($C253,LISTAS!$A$2:$B$12,2,0),0),""))))</f>
        <v/>
      </c>
      <c r="G253" s="3"/>
      <c r="H253" s="3"/>
      <c r="I253">
        <f t="shared" si="3"/>
        <v>0</v>
      </c>
    </row>
    <row r="254" spans="1:9" x14ac:dyDescent="0.2">
      <c r="A254" s="2"/>
      <c r="B254" s="3"/>
      <c r="C254" s="3"/>
      <c r="D254" s="3"/>
      <c r="E254" s="4"/>
      <c r="F254" s="4" t="str">
        <f>IF($B254="","",IF($D254="kg",N($E254),IF($D254="sacos",N($E254)*95,IF($D254="jabas",N($E254)*IFERROR(VLOOKUP($C254,LISTAS!$A$2:$B$12,2,0),0),""))))</f>
        <v/>
      </c>
      <c r="G254" s="3"/>
      <c r="H254" s="3"/>
      <c r="I254">
        <f t="shared" si="3"/>
        <v>0</v>
      </c>
    </row>
    <row r="255" spans="1:9" x14ac:dyDescent="0.2">
      <c r="A255" s="2"/>
      <c r="B255" s="3"/>
      <c r="C255" s="3"/>
      <c r="D255" s="3"/>
      <c r="E255" s="4"/>
      <c r="F255" s="4" t="str">
        <f>IF($B255="","",IF($D255="kg",N($E255),IF($D255="sacos",N($E255)*95,IF($D255="jabas",N($E255)*IFERROR(VLOOKUP($C255,LISTAS!$A$2:$B$12,2,0),0),""))))</f>
        <v/>
      </c>
      <c r="G255" s="3"/>
      <c r="H255" s="3"/>
      <c r="I255">
        <f t="shared" si="3"/>
        <v>0</v>
      </c>
    </row>
    <row r="256" spans="1:9" x14ac:dyDescent="0.2">
      <c r="A256" s="2"/>
      <c r="B256" s="3"/>
      <c r="C256" s="3"/>
      <c r="D256" s="3"/>
      <c r="E256" s="4"/>
      <c r="F256" s="4" t="str">
        <f>IF($B256="","",IF($D256="kg",N($E256),IF($D256="sacos",N($E256)*95,IF($D256="jabas",N($E256)*IFERROR(VLOOKUP($C256,LISTAS!$A$2:$B$12,2,0),0),""))))</f>
        <v/>
      </c>
      <c r="G256" s="3"/>
      <c r="H256" s="3"/>
      <c r="I256">
        <f t="shared" si="3"/>
        <v>0</v>
      </c>
    </row>
    <row r="257" spans="1:9" x14ac:dyDescent="0.2">
      <c r="A257" s="2"/>
      <c r="B257" s="3"/>
      <c r="C257" s="3"/>
      <c r="D257" s="3"/>
      <c r="E257" s="4"/>
      <c r="F257" s="4" t="str">
        <f>IF($B257="","",IF($D257="kg",N($E257),IF($D257="sacos",N($E257)*95,IF($D257="jabas",N($E257)*IFERROR(VLOOKUP($C257,LISTAS!$A$2:$B$12,2,0),0),""))))</f>
        <v/>
      </c>
      <c r="G257" s="3"/>
      <c r="H257" s="3"/>
      <c r="I257">
        <f t="shared" si="3"/>
        <v>0</v>
      </c>
    </row>
    <row r="258" spans="1:9" x14ac:dyDescent="0.2">
      <c r="A258" s="2"/>
      <c r="B258" s="3"/>
      <c r="C258" s="3"/>
      <c r="D258" s="3"/>
      <c r="E258" s="4"/>
      <c r="F258" s="4" t="str">
        <f>IF($B258="","",IF($D258="kg",N($E258),IF($D258="sacos",N($E258)*95,IF($D258="jabas",N($E258)*IFERROR(VLOOKUP($C258,LISTAS!$A$2:$B$12,2,0),0),""))))</f>
        <v/>
      </c>
      <c r="G258" s="3"/>
      <c r="H258" s="3"/>
      <c r="I258">
        <f t="shared" si="3"/>
        <v>0</v>
      </c>
    </row>
    <row r="259" spans="1:9" x14ac:dyDescent="0.2">
      <c r="A259" s="2"/>
      <c r="B259" s="3"/>
      <c r="C259" s="3"/>
      <c r="D259" s="3"/>
      <c r="E259" s="4"/>
      <c r="F259" s="4" t="str">
        <f>IF($B259="","",IF($D259="kg",N($E259),IF($D259="sacos",N($E259)*95,IF($D259="jabas",N($E259)*IFERROR(VLOOKUP($C259,LISTAS!$A$2:$B$12,2,0),0),""))))</f>
        <v/>
      </c>
      <c r="G259" s="3"/>
      <c r="H259" s="3"/>
      <c r="I259">
        <f t="shared" si="3"/>
        <v>0</v>
      </c>
    </row>
    <row r="260" spans="1:9" x14ac:dyDescent="0.2">
      <c r="A260" s="2"/>
      <c r="B260" s="3"/>
      <c r="C260" s="3"/>
      <c r="D260" s="3"/>
      <c r="E260" s="4"/>
      <c r="F260" s="4" t="str">
        <f>IF($B260="","",IF($D260="kg",N($E260),IF($D260="sacos",N($E260)*95,IF($D260="jabas",N($E260)*IFERROR(VLOOKUP($C260,LISTAS!$A$2:$B$12,2,0),0),""))))</f>
        <v/>
      </c>
      <c r="G260" s="3"/>
      <c r="H260" s="3"/>
      <c r="I260">
        <f t="shared" si="3"/>
        <v>0</v>
      </c>
    </row>
    <row r="261" spans="1:9" x14ac:dyDescent="0.2">
      <c r="A261" s="2"/>
      <c r="B261" s="3"/>
      <c r="C261" s="3"/>
      <c r="D261" s="3"/>
      <c r="E261" s="4"/>
      <c r="F261" s="4" t="str">
        <f>IF($B261="","",IF($D261="kg",N($E261),IF($D261="sacos",N($E261)*95,IF($D261="jabas",N($E261)*IFERROR(VLOOKUP($C261,LISTAS!$A$2:$B$12,2,0),0),""))))</f>
        <v/>
      </c>
      <c r="G261" s="3"/>
      <c r="H261" s="3"/>
      <c r="I261">
        <f t="shared" ref="I261:I324" si="4">N($F261)</f>
        <v>0</v>
      </c>
    </row>
    <row r="262" spans="1:9" x14ac:dyDescent="0.2">
      <c r="A262" s="2"/>
      <c r="B262" s="3"/>
      <c r="C262" s="3"/>
      <c r="D262" s="3"/>
      <c r="E262" s="4"/>
      <c r="F262" s="4" t="str">
        <f>IF($B262="","",IF($D262="kg",N($E262),IF($D262="sacos",N($E262)*95,IF($D262="jabas",N($E262)*IFERROR(VLOOKUP($C262,LISTAS!$A$2:$B$12,2,0),0),""))))</f>
        <v/>
      </c>
      <c r="G262" s="3"/>
      <c r="H262" s="3"/>
      <c r="I262">
        <f t="shared" si="4"/>
        <v>0</v>
      </c>
    </row>
    <row r="263" spans="1:9" x14ac:dyDescent="0.2">
      <c r="A263" s="2"/>
      <c r="B263" s="3"/>
      <c r="C263" s="3"/>
      <c r="D263" s="3"/>
      <c r="E263" s="4"/>
      <c r="F263" s="4" t="str">
        <f>IF($B263="","",IF($D263="kg",N($E263),IF($D263="sacos",N($E263)*95,IF($D263="jabas",N($E263)*IFERROR(VLOOKUP($C263,LISTAS!$A$2:$B$12,2,0),0),""))))</f>
        <v/>
      </c>
      <c r="G263" s="3"/>
      <c r="H263" s="3"/>
      <c r="I263">
        <f t="shared" si="4"/>
        <v>0</v>
      </c>
    </row>
    <row r="264" spans="1:9" x14ac:dyDescent="0.2">
      <c r="A264" s="2"/>
      <c r="B264" s="3"/>
      <c r="C264" s="3"/>
      <c r="D264" s="3"/>
      <c r="E264" s="4"/>
      <c r="F264" s="4" t="str">
        <f>IF($B264="","",IF($D264="kg",N($E264),IF($D264="sacos",N($E264)*95,IF($D264="jabas",N($E264)*IFERROR(VLOOKUP($C264,LISTAS!$A$2:$B$12,2,0),0),""))))</f>
        <v/>
      </c>
      <c r="G264" s="3"/>
      <c r="H264" s="3"/>
      <c r="I264">
        <f t="shared" si="4"/>
        <v>0</v>
      </c>
    </row>
    <row r="265" spans="1:9" x14ac:dyDescent="0.2">
      <c r="A265" s="2"/>
      <c r="B265" s="3"/>
      <c r="C265" s="3"/>
      <c r="D265" s="3"/>
      <c r="E265" s="4"/>
      <c r="F265" s="4" t="str">
        <f>IF($B265="","",IF($D265="kg",N($E265),IF($D265="sacos",N($E265)*95,IF($D265="jabas",N($E265)*IFERROR(VLOOKUP($C265,LISTAS!$A$2:$B$12,2,0),0),""))))</f>
        <v/>
      </c>
      <c r="G265" s="3"/>
      <c r="H265" s="3"/>
      <c r="I265">
        <f t="shared" si="4"/>
        <v>0</v>
      </c>
    </row>
    <row r="266" spans="1:9" x14ac:dyDescent="0.2">
      <c r="A266" s="2"/>
      <c r="B266" s="3"/>
      <c r="C266" s="3"/>
      <c r="D266" s="3"/>
      <c r="E266" s="4"/>
      <c r="F266" s="4" t="str">
        <f>IF($B266="","",IF($D266="kg",N($E266),IF($D266="sacos",N($E266)*95,IF($D266="jabas",N($E266)*IFERROR(VLOOKUP($C266,LISTAS!$A$2:$B$12,2,0),0),""))))</f>
        <v/>
      </c>
      <c r="G266" s="3"/>
      <c r="H266" s="3"/>
      <c r="I266">
        <f t="shared" si="4"/>
        <v>0</v>
      </c>
    </row>
    <row r="267" spans="1:9" x14ac:dyDescent="0.2">
      <c r="A267" s="2"/>
      <c r="B267" s="3"/>
      <c r="C267" s="3"/>
      <c r="D267" s="3"/>
      <c r="E267" s="4"/>
      <c r="F267" s="4" t="str">
        <f>IF($B267="","",IF($D267="kg",N($E267),IF($D267="sacos",N($E267)*95,IF($D267="jabas",N($E267)*IFERROR(VLOOKUP($C267,LISTAS!$A$2:$B$12,2,0),0),""))))</f>
        <v/>
      </c>
      <c r="G267" s="3"/>
      <c r="H267" s="3"/>
      <c r="I267">
        <f t="shared" si="4"/>
        <v>0</v>
      </c>
    </row>
    <row r="268" spans="1:9" x14ac:dyDescent="0.2">
      <c r="A268" s="2"/>
      <c r="B268" s="3"/>
      <c r="C268" s="3"/>
      <c r="D268" s="3"/>
      <c r="E268" s="4"/>
      <c r="F268" s="4" t="str">
        <f>IF($B268="","",IF($D268="kg",N($E268),IF($D268="sacos",N($E268)*95,IF($D268="jabas",N($E268)*IFERROR(VLOOKUP($C268,LISTAS!$A$2:$B$12,2,0),0),""))))</f>
        <v/>
      </c>
      <c r="G268" s="3"/>
      <c r="H268" s="3"/>
      <c r="I268">
        <f t="shared" si="4"/>
        <v>0</v>
      </c>
    </row>
    <row r="269" spans="1:9" x14ac:dyDescent="0.2">
      <c r="A269" s="2"/>
      <c r="B269" s="3"/>
      <c r="C269" s="3"/>
      <c r="D269" s="3"/>
      <c r="E269" s="4"/>
      <c r="F269" s="4" t="str">
        <f>IF($B269="","",IF($D269="kg",N($E269),IF($D269="sacos",N($E269)*95,IF($D269="jabas",N($E269)*IFERROR(VLOOKUP($C269,LISTAS!$A$2:$B$12,2,0),0),""))))</f>
        <v/>
      </c>
      <c r="G269" s="3"/>
      <c r="H269" s="3"/>
      <c r="I269">
        <f t="shared" si="4"/>
        <v>0</v>
      </c>
    </row>
    <row r="270" spans="1:9" x14ac:dyDescent="0.2">
      <c r="A270" s="2"/>
      <c r="B270" s="3"/>
      <c r="C270" s="3"/>
      <c r="D270" s="3"/>
      <c r="E270" s="4"/>
      <c r="F270" s="4" t="str">
        <f>IF($B270="","",IF($D270="kg",N($E270),IF($D270="sacos",N($E270)*95,IF($D270="jabas",N($E270)*IFERROR(VLOOKUP($C270,LISTAS!$A$2:$B$12,2,0),0),""))))</f>
        <v/>
      </c>
      <c r="G270" s="3"/>
      <c r="H270" s="3"/>
      <c r="I270">
        <f t="shared" si="4"/>
        <v>0</v>
      </c>
    </row>
    <row r="271" spans="1:9" x14ac:dyDescent="0.2">
      <c r="A271" s="2"/>
      <c r="B271" s="3"/>
      <c r="C271" s="3"/>
      <c r="D271" s="3"/>
      <c r="E271" s="4"/>
      <c r="F271" s="4" t="str">
        <f>IF($B271="","",IF($D271="kg",N($E271),IF($D271="sacos",N($E271)*95,IF($D271="jabas",N($E271)*IFERROR(VLOOKUP($C271,LISTAS!$A$2:$B$12,2,0),0),""))))</f>
        <v/>
      </c>
      <c r="G271" s="3"/>
      <c r="H271" s="3"/>
      <c r="I271">
        <f t="shared" si="4"/>
        <v>0</v>
      </c>
    </row>
    <row r="272" spans="1:9" x14ac:dyDescent="0.2">
      <c r="A272" s="2"/>
      <c r="B272" s="3"/>
      <c r="C272" s="3"/>
      <c r="D272" s="3"/>
      <c r="E272" s="4"/>
      <c r="F272" s="4" t="str">
        <f>IF($B272="","",IF($D272="kg",N($E272),IF($D272="sacos",N($E272)*95,IF($D272="jabas",N($E272)*IFERROR(VLOOKUP($C272,LISTAS!$A$2:$B$12,2,0),0),""))))</f>
        <v/>
      </c>
      <c r="G272" s="3"/>
      <c r="H272" s="3"/>
      <c r="I272">
        <f t="shared" si="4"/>
        <v>0</v>
      </c>
    </row>
    <row r="273" spans="1:9" x14ac:dyDescent="0.2">
      <c r="A273" s="2"/>
      <c r="B273" s="3"/>
      <c r="C273" s="3"/>
      <c r="D273" s="3"/>
      <c r="E273" s="4"/>
      <c r="F273" s="4" t="str">
        <f>IF($B273="","",IF($D273="kg",N($E273),IF($D273="sacos",N($E273)*95,IF($D273="jabas",N($E273)*IFERROR(VLOOKUP($C273,LISTAS!$A$2:$B$12,2,0),0),""))))</f>
        <v/>
      </c>
      <c r="G273" s="3"/>
      <c r="H273" s="3"/>
      <c r="I273">
        <f t="shared" si="4"/>
        <v>0</v>
      </c>
    </row>
    <row r="274" spans="1:9" x14ac:dyDescent="0.2">
      <c r="A274" s="2"/>
      <c r="B274" s="3"/>
      <c r="C274" s="3"/>
      <c r="D274" s="3"/>
      <c r="E274" s="4"/>
      <c r="F274" s="4" t="str">
        <f>IF($B274="","",IF($D274="kg",N($E274),IF($D274="sacos",N($E274)*95,IF($D274="jabas",N($E274)*IFERROR(VLOOKUP($C274,LISTAS!$A$2:$B$12,2,0),0),""))))</f>
        <v/>
      </c>
      <c r="G274" s="3"/>
      <c r="H274" s="3"/>
      <c r="I274">
        <f t="shared" si="4"/>
        <v>0</v>
      </c>
    </row>
    <row r="275" spans="1:9" x14ac:dyDescent="0.2">
      <c r="A275" s="2"/>
      <c r="B275" s="3"/>
      <c r="C275" s="3"/>
      <c r="D275" s="3"/>
      <c r="E275" s="4"/>
      <c r="F275" s="4" t="str">
        <f>IF($B275="","",IF($D275="kg",N($E275),IF($D275="sacos",N($E275)*95,IF($D275="jabas",N($E275)*IFERROR(VLOOKUP($C275,LISTAS!$A$2:$B$12,2,0),0),""))))</f>
        <v/>
      </c>
      <c r="G275" s="3"/>
      <c r="H275" s="3"/>
      <c r="I275">
        <f t="shared" si="4"/>
        <v>0</v>
      </c>
    </row>
    <row r="276" spans="1:9" x14ac:dyDescent="0.2">
      <c r="A276" s="2"/>
      <c r="B276" s="3"/>
      <c r="C276" s="3"/>
      <c r="D276" s="3"/>
      <c r="E276" s="4"/>
      <c r="F276" s="4" t="str">
        <f>IF($B276="","",IF($D276="kg",N($E276),IF($D276="sacos",N($E276)*95,IF($D276="jabas",N($E276)*IFERROR(VLOOKUP($C276,LISTAS!$A$2:$B$12,2,0),0),""))))</f>
        <v/>
      </c>
      <c r="G276" s="3"/>
      <c r="H276" s="3"/>
      <c r="I276">
        <f t="shared" si="4"/>
        <v>0</v>
      </c>
    </row>
    <row r="277" spans="1:9" x14ac:dyDescent="0.2">
      <c r="A277" s="2"/>
      <c r="B277" s="3"/>
      <c r="C277" s="3"/>
      <c r="D277" s="3"/>
      <c r="E277" s="4"/>
      <c r="F277" s="4" t="str">
        <f>IF($B277="","",IF($D277="kg",N($E277),IF($D277="sacos",N($E277)*95,IF($D277="jabas",N($E277)*IFERROR(VLOOKUP($C277,LISTAS!$A$2:$B$12,2,0),0),""))))</f>
        <v/>
      </c>
      <c r="G277" s="3"/>
      <c r="H277" s="3"/>
      <c r="I277">
        <f t="shared" si="4"/>
        <v>0</v>
      </c>
    </row>
    <row r="278" spans="1:9" x14ac:dyDescent="0.2">
      <c r="A278" s="2"/>
      <c r="B278" s="3"/>
      <c r="C278" s="3"/>
      <c r="D278" s="3"/>
      <c r="E278" s="4"/>
      <c r="F278" s="4" t="str">
        <f>IF($B278="","",IF($D278="kg",N($E278),IF($D278="sacos",N($E278)*95,IF($D278="jabas",N($E278)*IFERROR(VLOOKUP($C278,LISTAS!$A$2:$B$12,2,0),0),""))))</f>
        <v/>
      </c>
      <c r="G278" s="3"/>
      <c r="H278" s="3"/>
      <c r="I278">
        <f t="shared" si="4"/>
        <v>0</v>
      </c>
    </row>
    <row r="279" spans="1:9" x14ac:dyDescent="0.2">
      <c r="A279" s="2"/>
      <c r="B279" s="3"/>
      <c r="C279" s="3"/>
      <c r="D279" s="3"/>
      <c r="E279" s="4"/>
      <c r="F279" s="4" t="str">
        <f>IF($B279="","",IF($D279="kg",N($E279),IF($D279="sacos",N($E279)*95,IF($D279="jabas",N($E279)*IFERROR(VLOOKUP($C279,LISTAS!$A$2:$B$12,2,0),0),""))))</f>
        <v/>
      </c>
      <c r="G279" s="3"/>
      <c r="H279" s="3"/>
      <c r="I279">
        <f t="shared" si="4"/>
        <v>0</v>
      </c>
    </row>
    <row r="280" spans="1:9" x14ac:dyDescent="0.2">
      <c r="A280" s="2"/>
      <c r="B280" s="3"/>
      <c r="C280" s="3"/>
      <c r="D280" s="3"/>
      <c r="E280" s="4"/>
      <c r="F280" s="4" t="str">
        <f>IF($B280="","",IF($D280="kg",N($E280),IF($D280="sacos",N($E280)*95,IF($D280="jabas",N($E280)*IFERROR(VLOOKUP($C280,LISTAS!$A$2:$B$12,2,0),0),""))))</f>
        <v/>
      </c>
      <c r="G280" s="3"/>
      <c r="H280" s="3"/>
      <c r="I280">
        <f t="shared" si="4"/>
        <v>0</v>
      </c>
    </row>
    <row r="281" spans="1:9" x14ac:dyDescent="0.2">
      <c r="A281" s="2"/>
      <c r="B281" s="3"/>
      <c r="C281" s="3"/>
      <c r="D281" s="3"/>
      <c r="E281" s="4"/>
      <c r="F281" s="4" t="str">
        <f>IF($B281="","",IF($D281="kg",N($E281),IF($D281="sacos",N($E281)*95,IF($D281="jabas",N($E281)*IFERROR(VLOOKUP($C281,LISTAS!$A$2:$B$12,2,0),0),""))))</f>
        <v/>
      </c>
      <c r="G281" s="3"/>
      <c r="H281" s="3"/>
      <c r="I281">
        <f t="shared" si="4"/>
        <v>0</v>
      </c>
    </row>
    <row r="282" spans="1:9" x14ac:dyDescent="0.2">
      <c r="A282" s="2"/>
      <c r="B282" s="3"/>
      <c r="C282" s="3"/>
      <c r="D282" s="3"/>
      <c r="E282" s="4"/>
      <c r="F282" s="4" t="str">
        <f>IF($B282="","",IF($D282="kg",N($E282),IF($D282="sacos",N($E282)*95,IF($D282="jabas",N($E282)*IFERROR(VLOOKUP($C282,LISTAS!$A$2:$B$12,2,0),0),""))))</f>
        <v/>
      </c>
      <c r="G282" s="3"/>
      <c r="H282" s="3"/>
      <c r="I282">
        <f t="shared" si="4"/>
        <v>0</v>
      </c>
    </row>
    <row r="283" spans="1:9" x14ac:dyDescent="0.2">
      <c r="A283" s="2"/>
      <c r="B283" s="3"/>
      <c r="C283" s="3"/>
      <c r="D283" s="3"/>
      <c r="E283" s="4"/>
      <c r="F283" s="4" t="str">
        <f>IF($B283="","",IF($D283="kg",N($E283),IF($D283="sacos",N($E283)*95,IF($D283="jabas",N($E283)*IFERROR(VLOOKUP($C283,LISTAS!$A$2:$B$12,2,0),0),""))))</f>
        <v/>
      </c>
      <c r="G283" s="3"/>
      <c r="H283" s="3"/>
      <c r="I283">
        <f t="shared" si="4"/>
        <v>0</v>
      </c>
    </row>
    <row r="284" spans="1:9" x14ac:dyDescent="0.2">
      <c r="A284" s="2"/>
      <c r="B284" s="3"/>
      <c r="C284" s="3"/>
      <c r="D284" s="3"/>
      <c r="E284" s="4"/>
      <c r="F284" s="4" t="str">
        <f>IF($B284="","",IF($D284="kg",N($E284),IF($D284="sacos",N($E284)*95,IF($D284="jabas",N($E284)*IFERROR(VLOOKUP($C284,LISTAS!$A$2:$B$12,2,0),0),""))))</f>
        <v/>
      </c>
      <c r="G284" s="3"/>
      <c r="H284" s="3"/>
      <c r="I284">
        <f t="shared" si="4"/>
        <v>0</v>
      </c>
    </row>
    <row r="285" spans="1:9" x14ac:dyDescent="0.2">
      <c r="A285" s="2"/>
      <c r="B285" s="3"/>
      <c r="C285" s="3"/>
      <c r="D285" s="3"/>
      <c r="E285" s="4"/>
      <c r="F285" s="4" t="str">
        <f>IF($B285="","",IF($D285="kg",N($E285),IF($D285="sacos",N($E285)*95,IF($D285="jabas",N($E285)*IFERROR(VLOOKUP($C285,LISTAS!$A$2:$B$12,2,0),0),""))))</f>
        <v/>
      </c>
      <c r="G285" s="3"/>
      <c r="H285" s="3"/>
      <c r="I285">
        <f t="shared" si="4"/>
        <v>0</v>
      </c>
    </row>
    <row r="286" spans="1:9" x14ac:dyDescent="0.2">
      <c r="A286" s="2"/>
      <c r="B286" s="3"/>
      <c r="C286" s="3"/>
      <c r="D286" s="3"/>
      <c r="E286" s="4"/>
      <c r="F286" s="4" t="str">
        <f>IF($B286="","",IF($D286="kg",N($E286),IF($D286="sacos",N($E286)*95,IF($D286="jabas",N($E286)*IFERROR(VLOOKUP($C286,LISTAS!$A$2:$B$12,2,0),0),""))))</f>
        <v/>
      </c>
      <c r="G286" s="3"/>
      <c r="H286" s="3"/>
      <c r="I286">
        <f t="shared" si="4"/>
        <v>0</v>
      </c>
    </row>
    <row r="287" spans="1:9" x14ac:dyDescent="0.2">
      <c r="A287" s="2"/>
      <c r="B287" s="3"/>
      <c r="C287" s="3"/>
      <c r="D287" s="3"/>
      <c r="E287" s="4"/>
      <c r="F287" s="4" t="str">
        <f>IF($B287="","",IF($D287="kg",N($E287),IF($D287="sacos",N($E287)*95,IF($D287="jabas",N($E287)*IFERROR(VLOOKUP($C287,LISTAS!$A$2:$B$12,2,0),0),""))))</f>
        <v/>
      </c>
      <c r="G287" s="3"/>
      <c r="H287" s="3"/>
      <c r="I287">
        <f t="shared" si="4"/>
        <v>0</v>
      </c>
    </row>
    <row r="288" spans="1:9" x14ac:dyDescent="0.2">
      <c r="A288" s="2"/>
      <c r="B288" s="3"/>
      <c r="C288" s="3"/>
      <c r="D288" s="3"/>
      <c r="E288" s="4"/>
      <c r="F288" s="4" t="str">
        <f>IF($B288="","",IF($D288="kg",N($E288),IF($D288="sacos",N($E288)*95,IF($D288="jabas",N($E288)*IFERROR(VLOOKUP($C288,LISTAS!$A$2:$B$12,2,0),0),""))))</f>
        <v/>
      </c>
      <c r="G288" s="3"/>
      <c r="H288" s="3"/>
      <c r="I288">
        <f t="shared" si="4"/>
        <v>0</v>
      </c>
    </row>
    <row r="289" spans="1:9" x14ac:dyDescent="0.2">
      <c r="A289" s="2"/>
      <c r="B289" s="3"/>
      <c r="C289" s="3"/>
      <c r="D289" s="3"/>
      <c r="E289" s="4"/>
      <c r="F289" s="4" t="str">
        <f>IF($B289="","",IF($D289="kg",N($E289),IF($D289="sacos",N($E289)*95,IF($D289="jabas",N($E289)*IFERROR(VLOOKUP($C289,LISTAS!$A$2:$B$12,2,0),0),""))))</f>
        <v/>
      </c>
      <c r="G289" s="3"/>
      <c r="H289" s="3"/>
      <c r="I289">
        <f t="shared" si="4"/>
        <v>0</v>
      </c>
    </row>
    <row r="290" spans="1:9" x14ac:dyDescent="0.2">
      <c r="A290" s="2"/>
      <c r="B290" s="3"/>
      <c r="C290" s="3"/>
      <c r="D290" s="3"/>
      <c r="E290" s="4"/>
      <c r="F290" s="4" t="str">
        <f>IF($B290="","",IF($D290="kg",N($E290),IF($D290="sacos",N($E290)*95,IF($D290="jabas",N($E290)*IFERROR(VLOOKUP($C290,LISTAS!$A$2:$B$12,2,0),0),""))))</f>
        <v/>
      </c>
      <c r="G290" s="3"/>
      <c r="H290" s="3"/>
      <c r="I290">
        <f t="shared" si="4"/>
        <v>0</v>
      </c>
    </row>
    <row r="291" spans="1:9" x14ac:dyDescent="0.2">
      <c r="A291" s="2"/>
      <c r="B291" s="3"/>
      <c r="C291" s="3"/>
      <c r="D291" s="3"/>
      <c r="E291" s="4"/>
      <c r="F291" s="4" t="str">
        <f>IF($B291="","",IF($D291="kg",N($E291),IF($D291="sacos",N($E291)*95,IF($D291="jabas",N($E291)*IFERROR(VLOOKUP($C291,LISTAS!$A$2:$B$12,2,0),0),""))))</f>
        <v/>
      </c>
      <c r="G291" s="3"/>
      <c r="H291" s="3"/>
      <c r="I291">
        <f t="shared" si="4"/>
        <v>0</v>
      </c>
    </row>
    <row r="292" spans="1:9" x14ac:dyDescent="0.2">
      <c r="A292" s="2"/>
      <c r="B292" s="3"/>
      <c r="C292" s="3"/>
      <c r="D292" s="3"/>
      <c r="E292" s="4"/>
      <c r="F292" s="4" t="str">
        <f>IF($B292="","",IF($D292="kg",N($E292),IF($D292="sacos",N($E292)*95,IF($D292="jabas",N($E292)*IFERROR(VLOOKUP($C292,LISTAS!$A$2:$B$12,2,0),0),""))))</f>
        <v/>
      </c>
      <c r="G292" s="3"/>
      <c r="H292" s="3"/>
      <c r="I292">
        <f t="shared" si="4"/>
        <v>0</v>
      </c>
    </row>
    <row r="293" spans="1:9" x14ac:dyDescent="0.2">
      <c r="A293" s="2"/>
      <c r="B293" s="3"/>
      <c r="C293" s="3"/>
      <c r="D293" s="3"/>
      <c r="E293" s="4"/>
      <c r="F293" s="4" t="str">
        <f>IF($B293="","",IF($D293="kg",N($E293),IF($D293="sacos",N($E293)*95,IF($D293="jabas",N($E293)*IFERROR(VLOOKUP($C293,LISTAS!$A$2:$B$12,2,0),0),""))))</f>
        <v/>
      </c>
      <c r="G293" s="3"/>
      <c r="H293" s="3"/>
      <c r="I293">
        <f t="shared" si="4"/>
        <v>0</v>
      </c>
    </row>
    <row r="294" spans="1:9" x14ac:dyDescent="0.2">
      <c r="A294" s="2"/>
      <c r="B294" s="3"/>
      <c r="C294" s="3"/>
      <c r="D294" s="3"/>
      <c r="E294" s="4"/>
      <c r="F294" s="4" t="str">
        <f>IF($B294="","",IF($D294="kg",N($E294),IF($D294="sacos",N($E294)*95,IF($D294="jabas",N($E294)*IFERROR(VLOOKUP($C294,LISTAS!$A$2:$B$12,2,0),0),""))))</f>
        <v/>
      </c>
      <c r="G294" s="3"/>
      <c r="H294" s="3"/>
      <c r="I294">
        <f t="shared" si="4"/>
        <v>0</v>
      </c>
    </row>
    <row r="295" spans="1:9" x14ac:dyDescent="0.2">
      <c r="A295" s="2"/>
      <c r="B295" s="3"/>
      <c r="C295" s="3"/>
      <c r="D295" s="3"/>
      <c r="E295" s="4"/>
      <c r="F295" s="4" t="str">
        <f>IF($B295="","",IF($D295="kg",N($E295),IF($D295="sacos",N($E295)*95,IF($D295="jabas",N($E295)*IFERROR(VLOOKUP($C295,LISTAS!$A$2:$B$12,2,0),0),""))))</f>
        <v/>
      </c>
      <c r="G295" s="3"/>
      <c r="H295" s="3"/>
      <c r="I295">
        <f t="shared" si="4"/>
        <v>0</v>
      </c>
    </row>
    <row r="296" spans="1:9" x14ac:dyDescent="0.2">
      <c r="A296" s="2"/>
      <c r="B296" s="3"/>
      <c r="C296" s="3"/>
      <c r="D296" s="3"/>
      <c r="E296" s="4"/>
      <c r="F296" s="4" t="str">
        <f>IF($B296="","",IF($D296="kg",N($E296),IF($D296="sacos",N($E296)*95,IF($D296="jabas",N($E296)*IFERROR(VLOOKUP($C296,LISTAS!$A$2:$B$12,2,0),0),""))))</f>
        <v/>
      </c>
      <c r="G296" s="3"/>
      <c r="H296" s="3"/>
      <c r="I296">
        <f t="shared" si="4"/>
        <v>0</v>
      </c>
    </row>
    <row r="297" spans="1:9" x14ac:dyDescent="0.2">
      <c r="A297" s="2"/>
      <c r="B297" s="3"/>
      <c r="C297" s="3"/>
      <c r="D297" s="3"/>
      <c r="E297" s="4"/>
      <c r="F297" s="4" t="str">
        <f>IF($B297="","",IF($D297="kg",N($E297),IF($D297="sacos",N($E297)*95,IF($D297="jabas",N($E297)*IFERROR(VLOOKUP($C297,LISTAS!$A$2:$B$12,2,0),0),""))))</f>
        <v/>
      </c>
      <c r="G297" s="3"/>
      <c r="H297" s="3"/>
      <c r="I297">
        <f t="shared" si="4"/>
        <v>0</v>
      </c>
    </row>
    <row r="298" spans="1:9" x14ac:dyDescent="0.2">
      <c r="A298" s="2"/>
      <c r="B298" s="3"/>
      <c r="C298" s="3"/>
      <c r="D298" s="3"/>
      <c r="E298" s="4"/>
      <c r="F298" s="4" t="str">
        <f>IF($B298="","",IF($D298="kg",N($E298),IF($D298="sacos",N($E298)*95,IF($D298="jabas",N($E298)*IFERROR(VLOOKUP($C298,LISTAS!$A$2:$B$12,2,0),0),""))))</f>
        <v/>
      </c>
      <c r="G298" s="3"/>
      <c r="H298" s="3"/>
      <c r="I298">
        <f t="shared" si="4"/>
        <v>0</v>
      </c>
    </row>
    <row r="299" spans="1:9" x14ac:dyDescent="0.2">
      <c r="A299" s="2"/>
      <c r="B299" s="3"/>
      <c r="C299" s="3"/>
      <c r="D299" s="3"/>
      <c r="E299" s="4"/>
      <c r="F299" s="4" t="str">
        <f>IF($B299="","",IF($D299="kg",N($E299),IF($D299="sacos",N($E299)*95,IF($D299="jabas",N($E299)*IFERROR(VLOOKUP($C299,LISTAS!$A$2:$B$12,2,0),0),""))))</f>
        <v/>
      </c>
      <c r="G299" s="3"/>
      <c r="H299" s="3"/>
      <c r="I299">
        <f t="shared" si="4"/>
        <v>0</v>
      </c>
    </row>
    <row r="300" spans="1:9" x14ac:dyDescent="0.2">
      <c r="A300" s="2"/>
      <c r="B300" s="3"/>
      <c r="C300" s="3"/>
      <c r="D300" s="3"/>
      <c r="E300" s="4"/>
      <c r="F300" s="4" t="str">
        <f>IF($B300="","",IF($D300="kg",N($E300),IF($D300="sacos",N($E300)*95,IF($D300="jabas",N($E300)*IFERROR(VLOOKUP($C300,LISTAS!$A$2:$B$12,2,0),0),""))))</f>
        <v/>
      </c>
      <c r="G300" s="3"/>
      <c r="H300" s="3"/>
      <c r="I300">
        <f t="shared" si="4"/>
        <v>0</v>
      </c>
    </row>
    <row r="301" spans="1:9" x14ac:dyDescent="0.2">
      <c r="A301" s="2"/>
      <c r="B301" s="3"/>
      <c r="C301" s="3"/>
      <c r="D301" s="3"/>
      <c r="E301" s="4"/>
      <c r="F301" s="4" t="str">
        <f>IF($B301="","",IF($D301="kg",N($E301),IF($D301="sacos",N($E301)*95,IF($D301="jabas",N($E301)*IFERROR(VLOOKUP($C301,LISTAS!$A$2:$B$12,2,0),0),""))))</f>
        <v/>
      </c>
      <c r="G301" s="3"/>
      <c r="H301" s="3"/>
      <c r="I301">
        <f t="shared" si="4"/>
        <v>0</v>
      </c>
    </row>
    <row r="302" spans="1:9" x14ac:dyDescent="0.2">
      <c r="A302" s="2"/>
      <c r="B302" s="3"/>
      <c r="C302" s="3"/>
      <c r="D302" s="3"/>
      <c r="E302" s="4"/>
      <c r="F302" s="4" t="str">
        <f>IF($B302="","",IF($D302="kg",N($E302),IF($D302="sacos",N($E302)*95,IF($D302="jabas",N($E302)*IFERROR(VLOOKUP($C302,LISTAS!$A$2:$B$12,2,0),0),""))))</f>
        <v/>
      </c>
      <c r="G302" s="3"/>
      <c r="H302" s="3"/>
      <c r="I302">
        <f t="shared" si="4"/>
        <v>0</v>
      </c>
    </row>
    <row r="303" spans="1:9" x14ac:dyDescent="0.2">
      <c r="A303" s="2"/>
      <c r="B303" s="3"/>
      <c r="C303" s="3"/>
      <c r="D303" s="3"/>
      <c r="E303" s="4"/>
      <c r="F303" s="4" t="str">
        <f>IF($B303="","",IF($D303="kg",N($E303),IF($D303="sacos",N($E303)*95,IF($D303="jabas",N($E303)*IFERROR(VLOOKUP($C303,LISTAS!$A$2:$B$12,2,0),0),""))))</f>
        <v/>
      </c>
      <c r="G303" s="3"/>
      <c r="H303" s="3"/>
      <c r="I303">
        <f t="shared" si="4"/>
        <v>0</v>
      </c>
    </row>
    <row r="304" spans="1:9" x14ac:dyDescent="0.2">
      <c r="A304" s="2"/>
      <c r="B304" s="3"/>
      <c r="C304" s="3"/>
      <c r="D304" s="3"/>
      <c r="E304" s="4"/>
      <c r="F304" s="4" t="str">
        <f>IF($B304="","",IF($D304="kg",N($E304),IF($D304="sacos",N($E304)*95,IF($D304="jabas",N($E304)*IFERROR(VLOOKUP($C304,LISTAS!$A$2:$B$12,2,0),0),""))))</f>
        <v/>
      </c>
      <c r="G304" s="3"/>
      <c r="H304" s="3"/>
      <c r="I304">
        <f t="shared" si="4"/>
        <v>0</v>
      </c>
    </row>
    <row r="305" spans="1:9" x14ac:dyDescent="0.2">
      <c r="A305" s="2"/>
      <c r="B305" s="3"/>
      <c r="C305" s="3"/>
      <c r="D305" s="3"/>
      <c r="E305" s="4"/>
      <c r="F305" s="4" t="str">
        <f>IF($B305="","",IF($D305="kg",N($E305),IF($D305="sacos",N($E305)*95,IF($D305="jabas",N($E305)*IFERROR(VLOOKUP($C305,LISTAS!$A$2:$B$12,2,0),0),""))))</f>
        <v/>
      </c>
      <c r="G305" s="3"/>
      <c r="H305" s="3"/>
      <c r="I305">
        <f t="shared" si="4"/>
        <v>0</v>
      </c>
    </row>
    <row r="306" spans="1:9" x14ac:dyDescent="0.2">
      <c r="A306" s="2"/>
      <c r="B306" s="3"/>
      <c r="C306" s="3"/>
      <c r="D306" s="3"/>
      <c r="E306" s="4"/>
      <c r="F306" s="4" t="str">
        <f>IF($B306="","",IF($D306="kg",N($E306),IF($D306="sacos",N($E306)*95,IF($D306="jabas",N($E306)*IFERROR(VLOOKUP($C306,LISTAS!$A$2:$B$12,2,0),0),""))))</f>
        <v/>
      </c>
      <c r="G306" s="3"/>
      <c r="H306" s="3"/>
      <c r="I306">
        <f t="shared" si="4"/>
        <v>0</v>
      </c>
    </row>
    <row r="307" spans="1:9" x14ac:dyDescent="0.2">
      <c r="A307" s="2"/>
      <c r="B307" s="3"/>
      <c r="C307" s="3"/>
      <c r="D307" s="3"/>
      <c r="E307" s="4"/>
      <c r="F307" s="4" t="str">
        <f>IF($B307="","",IF($D307="kg",N($E307),IF($D307="sacos",N($E307)*95,IF($D307="jabas",N($E307)*IFERROR(VLOOKUP($C307,LISTAS!$A$2:$B$12,2,0),0),""))))</f>
        <v/>
      </c>
      <c r="G307" s="3"/>
      <c r="H307" s="3"/>
      <c r="I307">
        <f t="shared" si="4"/>
        <v>0</v>
      </c>
    </row>
    <row r="308" spans="1:9" x14ac:dyDescent="0.2">
      <c r="A308" s="2"/>
      <c r="B308" s="3"/>
      <c r="C308" s="3"/>
      <c r="D308" s="3"/>
      <c r="E308" s="4"/>
      <c r="F308" s="4" t="str">
        <f>IF($B308="","",IF($D308="kg",N($E308),IF($D308="sacos",N($E308)*95,IF($D308="jabas",N($E308)*IFERROR(VLOOKUP($C308,LISTAS!$A$2:$B$12,2,0),0),""))))</f>
        <v/>
      </c>
      <c r="G308" s="3"/>
      <c r="H308" s="3"/>
      <c r="I308">
        <f t="shared" si="4"/>
        <v>0</v>
      </c>
    </row>
    <row r="309" spans="1:9" x14ac:dyDescent="0.2">
      <c r="A309" s="2"/>
      <c r="B309" s="3"/>
      <c r="C309" s="3"/>
      <c r="D309" s="3"/>
      <c r="E309" s="4"/>
      <c r="F309" s="4" t="str">
        <f>IF($B309="","",IF($D309="kg",N($E309),IF($D309="sacos",N($E309)*95,IF($D309="jabas",N($E309)*IFERROR(VLOOKUP($C309,LISTAS!$A$2:$B$12,2,0),0),""))))</f>
        <v/>
      </c>
      <c r="G309" s="3"/>
      <c r="H309" s="3"/>
      <c r="I309">
        <f t="shared" si="4"/>
        <v>0</v>
      </c>
    </row>
    <row r="310" spans="1:9" x14ac:dyDescent="0.2">
      <c r="A310" s="2"/>
      <c r="B310" s="3"/>
      <c r="C310" s="3"/>
      <c r="D310" s="3"/>
      <c r="E310" s="4"/>
      <c r="F310" s="4" t="str">
        <f>IF($B310="","",IF($D310="kg",N($E310),IF($D310="sacos",N($E310)*95,IF($D310="jabas",N($E310)*IFERROR(VLOOKUP($C310,LISTAS!$A$2:$B$12,2,0),0),""))))</f>
        <v/>
      </c>
      <c r="G310" s="3"/>
      <c r="H310" s="3"/>
      <c r="I310">
        <f t="shared" si="4"/>
        <v>0</v>
      </c>
    </row>
    <row r="311" spans="1:9" x14ac:dyDescent="0.2">
      <c r="A311" s="2"/>
      <c r="B311" s="3"/>
      <c r="C311" s="3"/>
      <c r="D311" s="3"/>
      <c r="E311" s="4"/>
      <c r="F311" s="4" t="str">
        <f>IF($B311="","",IF($D311="kg",N($E311),IF($D311="sacos",N($E311)*95,IF($D311="jabas",N($E311)*IFERROR(VLOOKUP($C311,LISTAS!$A$2:$B$12,2,0),0),""))))</f>
        <v/>
      </c>
      <c r="G311" s="3"/>
      <c r="H311" s="3"/>
      <c r="I311">
        <f t="shared" si="4"/>
        <v>0</v>
      </c>
    </row>
    <row r="312" spans="1:9" x14ac:dyDescent="0.2">
      <c r="A312" s="2"/>
      <c r="B312" s="3"/>
      <c r="C312" s="3"/>
      <c r="D312" s="3"/>
      <c r="E312" s="4"/>
      <c r="F312" s="4" t="str">
        <f>IF($B312="","",IF($D312="kg",N($E312),IF($D312="sacos",N($E312)*95,IF($D312="jabas",N($E312)*IFERROR(VLOOKUP($C312,LISTAS!$A$2:$B$12,2,0),0),""))))</f>
        <v/>
      </c>
      <c r="G312" s="3"/>
      <c r="H312" s="3"/>
      <c r="I312">
        <f t="shared" si="4"/>
        <v>0</v>
      </c>
    </row>
    <row r="313" spans="1:9" x14ac:dyDescent="0.2">
      <c r="A313" s="2"/>
      <c r="B313" s="3"/>
      <c r="C313" s="3"/>
      <c r="D313" s="3"/>
      <c r="E313" s="4"/>
      <c r="F313" s="4" t="str">
        <f>IF($B313="","",IF($D313="kg",N($E313),IF($D313="sacos",N($E313)*95,IF($D313="jabas",N($E313)*IFERROR(VLOOKUP($C313,LISTAS!$A$2:$B$12,2,0),0),""))))</f>
        <v/>
      </c>
      <c r="G313" s="3"/>
      <c r="H313" s="3"/>
      <c r="I313">
        <f t="shared" si="4"/>
        <v>0</v>
      </c>
    </row>
    <row r="314" spans="1:9" x14ac:dyDescent="0.2">
      <c r="A314" s="2"/>
      <c r="B314" s="3"/>
      <c r="C314" s="3"/>
      <c r="D314" s="3"/>
      <c r="E314" s="4"/>
      <c r="F314" s="4" t="str">
        <f>IF($B314="","",IF($D314="kg",N($E314),IF($D314="sacos",N($E314)*95,IF($D314="jabas",N($E314)*IFERROR(VLOOKUP($C314,LISTAS!$A$2:$B$12,2,0),0),""))))</f>
        <v/>
      </c>
      <c r="G314" s="3"/>
      <c r="H314" s="3"/>
      <c r="I314">
        <f t="shared" si="4"/>
        <v>0</v>
      </c>
    </row>
    <row r="315" spans="1:9" x14ac:dyDescent="0.2">
      <c r="A315" s="2"/>
      <c r="B315" s="3"/>
      <c r="C315" s="3"/>
      <c r="D315" s="3"/>
      <c r="E315" s="4"/>
      <c r="F315" s="4" t="str">
        <f>IF($B315="","",IF($D315="kg",N($E315),IF($D315="sacos",N($E315)*95,IF($D315="jabas",N($E315)*IFERROR(VLOOKUP($C315,LISTAS!$A$2:$B$12,2,0),0),""))))</f>
        <v/>
      </c>
      <c r="G315" s="3"/>
      <c r="H315" s="3"/>
      <c r="I315">
        <f t="shared" si="4"/>
        <v>0</v>
      </c>
    </row>
    <row r="316" spans="1:9" x14ac:dyDescent="0.2">
      <c r="A316" s="2"/>
      <c r="B316" s="3"/>
      <c r="C316" s="3"/>
      <c r="D316" s="3"/>
      <c r="E316" s="4"/>
      <c r="F316" s="4" t="str">
        <f>IF($B316="","",IF($D316="kg",N($E316),IF($D316="sacos",N($E316)*95,IF($D316="jabas",N($E316)*IFERROR(VLOOKUP($C316,LISTAS!$A$2:$B$12,2,0),0),""))))</f>
        <v/>
      </c>
      <c r="G316" s="3"/>
      <c r="H316" s="3"/>
      <c r="I316">
        <f t="shared" si="4"/>
        <v>0</v>
      </c>
    </row>
    <row r="317" spans="1:9" x14ac:dyDescent="0.2">
      <c r="A317" s="2"/>
      <c r="B317" s="3"/>
      <c r="C317" s="3"/>
      <c r="D317" s="3"/>
      <c r="E317" s="4"/>
      <c r="F317" s="4" t="str">
        <f>IF($B317="","",IF($D317="kg",N($E317),IF($D317="sacos",N($E317)*95,IF($D317="jabas",N($E317)*IFERROR(VLOOKUP($C317,LISTAS!$A$2:$B$12,2,0),0),""))))</f>
        <v/>
      </c>
      <c r="G317" s="3"/>
      <c r="H317" s="3"/>
      <c r="I317">
        <f t="shared" si="4"/>
        <v>0</v>
      </c>
    </row>
    <row r="318" spans="1:9" x14ac:dyDescent="0.2">
      <c r="A318" s="2"/>
      <c r="B318" s="3"/>
      <c r="C318" s="3"/>
      <c r="D318" s="3"/>
      <c r="E318" s="4"/>
      <c r="F318" s="4" t="str">
        <f>IF($B318="","",IF($D318="kg",N($E318),IF($D318="sacos",N($E318)*95,IF($D318="jabas",N($E318)*IFERROR(VLOOKUP($C318,LISTAS!$A$2:$B$12,2,0),0),""))))</f>
        <v/>
      </c>
      <c r="G318" s="3"/>
      <c r="H318" s="3"/>
      <c r="I318">
        <f t="shared" si="4"/>
        <v>0</v>
      </c>
    </row>
    <row r="319" spans="1:9" x14ac:dyDescent="0.2">
      <c r="A319" s="2"/>
      <c r="B319" s="3"/>
      <c r="C319" s="3"/>
      <c r="D319" s="3"/>
      <c r="E319" s="4"/>
      <c r="F319" s="4" t="str">
        <f>IF($B319="","",IF($D319="kg",N($E319),IF($D319="sacos",N($E319)*95,IF($D319="jabas",N($E319)*IFERROR(VLOOKUP($C319,LISTAS!$A$2:$B$12,2,0),0),""))))</f>
        <v/>
      </c>
      <c r="G319" s="3"/>
      <c r="H319" s="3"/>
      <c r="I319">
        <f t="shared" si="4"/>
        <v>0</v>
      </c>
    </row>
    <row r="320" spans="1:9" x14ac:dyDescent="0.2">
      <c r="A320" s="2"/>
      <c r="B320" s="3"/>
      <c r="C320" s="3"/>
      <c r="D320" s="3"/>
      <c r="E320" s="4"/>
      <c r="F320" s="4" t="str">
        <f>IF($B320="","",IF($D320="kg",N($E320),IF($D320="sacos",N($E320)*95,IF($D320="jabas",N($E320)*IFERROR(VLOOKUP($C320,LISTAS!$A$2:$B$12,2,0),0),""))))</f>
        <v/>
      </c>
      <c r="G320" s="3"/>
      <c r="H320" s="3"/>
      <c r="I320">
        <f t="shared" si="4"/>
        <v>0</v>
      </c>
    </row>
    <row r="321" spans="1:9" x14ac:dyDescent="0.2">
      <c r="A321" s="2"/>
      <c r="B321" s="3"/>
      <c r="C321" s="3"/>
      <c r="D321" s="3"/>
      <c r="E321" s="4"/>
      <c r="F321" s="4" t="str">
        <f>IF($B321="","",IF($D321="kg",N($E321),IF($D321="sacos",N($E321)*95,IF($D321="jabas",N($E321)*IFERROR(VLOOKUP($C321,LISTAS!$A$2:$B$12,2,0),0),""))))</f>
        <v/>
      </c>
      <c r="G321" s="3"/>
      <c r="H321" s="3"/>
      <c r="I321">
        <f t="shared" si="4"/>
        <v>0</v>
      </c>
    </row>
    <row r="322" spans="1:9" x14ac:dyDescent="0.2">
      <c r="A322" s="2"/>
      <c r="B322" s="3"/>
      <c r="C322" s="3"/>
      <c r="D322" s="3"/>
      <c r="E322" s="4"/>
      <c r="F322" s="4" t="str">
        <f>IF($B322="","",IF($D322="kg",N($E322),IF($D322="sacos",N($E322)*95,IF($D322="jabas",N($E322)*IFERROR(VLOOKUP($C322,LISTAS!$A$2:$B$12,2,0),0),""))))</f>
        <v/>
      </c>
      <c r="G322" s="3"/>
      <c r="H322" s="3"/>
      <c r="I322">
        <f t="shared" si="4"/>
        <v>0</v>
      </c>
    </row>
    <row r="323" spans="1:9" x14ac:dyDescent="0.2">
      <c r="A323" s="2"/>
      <c r="B323" s="3"/>
      <c r="C323" s="3"/>
      <c r="D323" s="3"/>
      <c r="E323" s="4"/>
      <c r="F323" s="4" t="str">
        <f>IF($B323="","",IF($D323="kg",N($E323),IF($D323="sacos",N($E323)*95,IF($D323="jabas",N($E323)*IFERROR(VLOOKUP($C323,LISTAS!$A$2:$B$12,2,0),0),""))))</f>
        <v/>
      </c>
      <c r="G323" s="3"/>
      <c r="H323" s="3"/>
      <c r="I323">
        <f t="shared" si="4"/>
        <v>0</v>
      </c>
    </row>
    <row r="324" spans="1:9" x14ac:dyDescent="0.2">
      <c r="A324" s="2"/>
      <c r="B324" s="3"/>
      <c r="C324" s="3"/>
      <c r="D324" s="3"/>
      <c r="E324" s="4"/>
      <c r="F324" s="4" t="str">
        <f>IF($B324="","",IF($D324="kg",N($E324),IF($D324="sacos",N($E324)*95,IF($D324="jabas",N($E324)*IFERROR(VLOOKUP($C324,LISTAS!$A$2:$B$12,2,0),0),""))))</f>
        <v/>
      </c>
      <c r="G324" s="3"/>
      <c r="H324" s="3"/>
      <c r="I324">
        <f t="shared" si="4"/>
        <v>0</v>
      </c>
    </row>
    <row r="325" spans="1:9" x14ac:dyDescent="0.2">
      <c r="A325" s="2"/>
      <c r="B325" s="3"/>
      <c r="C325" s="3"/>
      <c r="D325" s="3"/>
      <c r="E325" s="4"/>
      <c r="F325" s="4" t="str">
        <f>IF($B325="","",IF($D325="kg",N($E325),IF($D325="sacos",N($E325)*95,IF($D325="jabas",N($E325)*IFERROR(VLOOKUP($C325,LISTAS!$A$2:$B$12,2,0),0),""))))</f>
        <v/>
      </c>
      <c r="G325" s="3"/>
      <c r="H325" s="3"/>
      <c r="I325">
        <f t="shared" ref="I325:I388" si="5">N($F325)</f>
        <v>0</v>
      </c>
    </row>
    <row r="326" spans="1:9" x14ac:dyDescent="0.2">
      <c r="A326" s="2"/>
      <c r="B326" s="3"/>
      <c r="C326" s="3"/>
      <c r="D326" s="3"/>
      <c r="E326" s="4"/>
      <c r="F326" s="4" t="str">
        <f>IF($B326="","",IF($D326="kg",N($E326),IF($D326="sacos",N($E326)*95,IF($D326="jabas",N($E326)*IFERROR(VLOOKUP($C326,LISTAS!$A$2:$B$12,2,0),0),""))))</f>
        <v/>
      </c>
      <c r="G326" s="3"/>
      <c r="H326" s="3"/>
      <c r="I326">
        <f t="shared" si="5"/>
        <v>0</v>
      </c>
    </row>
    <row r="327" spans="1:9" x14ac:dyDescent="0.2">
      <c r="A327" s="2"/>
      <c r="B327" s="3"/>
      <c r="C327" s="3"/>
      <c r="D327" s="3"/>
      <c r="E327" s="4"/>
      <c r="F327" s="4" t="str">
        <f>IF($B327="","",IF($D327="kg",N($E327),IF($D327="sacos",N($E327)*95,IF($D327="jabas",N($E327)*IFERROR(VLOOKUP($C327,LISTAS!$A$2:$B$12,2,0),0),""))))</f>
        <v/>
      </c>
      <c r="G327" s="3"/>
      <c r="H327" s="3"/>
      <c r="I327">
        <f t="shared" si="5"/>
        <v>0</v>
      </c>
    </row>
    <row r="328" spans="1:9" x14ac:dyDescent="0.2">
      <c r="A328" s="2"/>
      <c r="B328" s="3"/>
      <c r="C328" s="3"/>
      <c r="D328" s="3"/>
      <c r="E328" s="4"/>
      <c r="F328" s="4" t="str">
        <f>IF($B328="","",IF($D328="kg",N($E328),IF($D328="sacos",N($E328)*95,IF($D328="jabas",N($E328)*IFERROR(VLOOKUP($C328,LISTAS!$A$2:$B$12,2,0),0),""))))</f>
        <v/>
      </c>
      <c r="G328" s="3"/>
      <c r="H328" s="3"/>
      <c r="I328">
        <f t="shared" si="5"/>
        <v>0</v>
      </c>
    </row>
    <row r="329" spans="1:9" x14ac:dyDescent="0.2">
      <c r="A329" s="2"/>
      <c r="B329" s="3"/>
      <c r="C329" s="3"/>
      <c r="D329" s="3"/>
      <c r="E329" s="4"/>
      <c r="F329" s="4" t="str">
        <f>IF($B329="","",IF($D329="kg",N($E329),IF($D329="sacos",N($E329)*95,IF($D329="jabas",N($E329)*IFERROR(VLOOKUP($C329,LISTAS!$A$2:$B$12,2,0),0),""))))</f>
        <v/>
      </c>
      <c r="G329" s="3"/>
      <c r="H329" s="3"/>
      <c r="I329">
        <f t="shared" si="5"/>
        <v>0</v>
      </c>
    </row>
    <row r="330" spans="1:9" x14ac:dyDescent="0.2">
      <c r="A330" s="2"/>
      <c r="B330" s="3"/>
      <c r="C330" s="3"/>
      <c r="D330" s="3"/>
      <c r="E330" s="4"/>
      <c r="F330" s="4" t="str">
        <f>IF($B330="","",IF($D330="kg",N($E330),IF($D330="sacos",N($E330)*95,IF($D330="jabas",N($E330)*IFERROR(VLOOKUP($C330,LISTAS!$A$2:$B$12,2,0),0),""))))</f>
        <v/>
      </c>
      <c r="G330" s="3"/>
      <c r="H330" s="3"/>
      <c r="I330">
        <f t="shared" si="5"/>
        <v>0</v>
      </c>
    </row>
    <row r="331" spans="1:9" x14ac:dyDescent="0.2">
      <c r="A331" s="2"/>
      <c r="B331" s="3"/>
      <c r="C331" s="3"/>
      <c r="D331" s="3"/>
      <c r="E331" s="4"/>
      <c r="F331" s="4" t="str">
        <f>IF($B331="","",IF($D331="kg",N($E331),IF($D331="sacos",N($E331)*95,IF($D331="jabas",N($E331)*IFERROR(VLOOKUP($C331,LISTAS!$A$2:$B$12,2,0),0),""))))</f>
        <v/>
      </c>
      <c r="G331" s="3"/>
      <c r="H331" s="3"/>
      <c r="I331">
        <f t="shared" si="5"/>
        <v>0</v>
      </c>
    </row>
    <row r="332" spans="1:9" x14ac:dyDescent="0.2">
      <c r="A332" s="2"/>
      <c r="B332" s="3"/>
      <c r="C332" s="3"/>
      <c r="D332" s="3"/>
      <c r="E332" s="4"/>
      <c r="F332" s="4" t="str">
        <f>IF($B332="","",IF($D332="kg",N($E332),IF($D332="sacos",N($E332)*95,IF($D332="jabas",N($E332)*IFERROR(VLOOKUP($C332,LISTAS!$A$2:$B$12,2,0),0),""))))</f>
        <v/>
      </c>
      <c r="G332" s="3"/>
      <c r="H332" s="3"/>
      <c r="I332">
        <f t="shared" si="5"/>
        <v>0</v>
      </c>
    </row>
    <row r="333" spans="1:9" x14ac:dyDescent="0.2">
      <c r="A333" s="2"/>
      <c r="B333" s="3"/>
      <c r="C333" s="3"/>
      <c r="D333" s="3"/>
      <c r="E333" s="4"/>
      <c r="F333" s="4" t="str">
        <f>IF($B333="","",IF($D333="kg",N($E333),IF($D333="sacos",N($E333)*95,IF($D333="jabas",N($E333)*IFERROR(VLOOKUP($C333,LISTAS!$A$2:$B$12,2,0),0),""))))</f>
        <v/>
      </c>
      <c r="G333" s="3"/>
      <c r="H333" s="3"/>
      <c r="I333">
        <f t="shared" si="5"/>
        <v>0</v>
      </c>
    </row>
    <row r="334" spans="1:9" x14ac:dyDescent="0.2">
      <c r="A334" s="2"/>
      <c r="B334" s="3"/>
      <c r="C334" s="3"/>
      <c r="D334" s="3"/>
      <c r="E334" s="4"/>
      <c r="F334" s="4" t="str">
        <f>IF($B334="","",IF($D334="kg",N($E334),IF($D334="sacos",N($E334)*95,IF($D334="jabas",N($E334)*IFERROR(VLOOKUP($C334,LISTAS!$A$2:$B$12,2,0),0),""))))</f>
        <v/>
      </c>
      <c r="G334" s="3"/>
      <c r="H334" s="3"/>
      <c r="I334">
        <f t="shared" si="5"/>
        <v>0</v>
      </c>
    </row>
    <row r="335" spans="1:9" x14ac:dyDescent="0.2">
      <c r="A335" s="2"/>
      <c r="B335" s="3"/>
      <c r="C335" s="3"/>
      <c r="D335" s="3"/>
      <c r="E335" s="4"/>
      <c r="F335" s="4" t="str">
        <f>IF($B335="","",IF($D335="kg",N($E335),IF($D335="sacos",N($E335)*95,IF($D335="jabas",N($E335)*IFERROR(VLOOKUP($C335,LISTAS!$A$2:$B$12,2,0),0),""))))</f>
        <v/>
      </c>
      <c r="G335" s="3"/>
      <c r="H335" s="3"/>
      <c r="I335">
        <f t="shared" si="5"/>
        <v>0</v>
      </c>
    </row>
    <row r="336" spans="1:9" x14ac:dyDescent="0.2">
      <c r="A336" s="2"/>
      <c r="B336" s="3"/>
      <c r="C336" s="3"/>
      <c r="D336" s="3"/>
      <c r="E336" s="4"/>
      <c r="F336" s="4" t="str">
        <f>IF($B336="","",IF($D336="kg",N($E336),IF($D336="sacos",N($E336)*95,IF($D336="jabas",N($E336)*IFERROR(VLOOKUP($C336,LISTAS!$A$2:$B$12,2,0),0),""))))</f>
        <v/>
      </c>
      <c r="G336" s="3"/>
      <c r="H336" s="3"/>
      <c r="I336">
        <f t="shared" si="5"/>
        <v>0</v>
      </c>
    </row>
    <row r="337" spans="1:9" x14ac:dyDescent="0.2">
      <c r="A337" s="2"/>
      <c r="B337" s="3"/>
      <c r="C337" s="3"/>
      <c r="D337" s="3"/>
      <c r="E337" s="4"/>
      <c r="F337" s="4" t="str">
        <f>IF($B337="","",IF($D337="kg",N($E337),IF($D337="sacos",N($E337)*95,IF($D337="jabas",N($E337)*IFERROR(VLOOKUP($C337,LISTAS!$A$2:$B$12,2,0),0),""))))</f>
        <v/>
      </c>
      <c r="G337" s="3"/>
      <c r="H337" s="3"/>
      <c r="I337">
        <f t="shared" si="5"/>
        <v>0</v>
      </c>
    </row>
    <row r="338" spans="1:9" x14ac:dyDescent="0.2">
      <c r="A338" s="2"/>
      <c r="B338" s="3"/>
      <c r="C338" s="3"/>
      <c r="D338" s="3"/>
      <c r="E338" s="4"/>
      <c r="F338" s="4" t="str">
        <f>IF($B338="","",IF($D338="kg",N($E338),IF($D338="sacos",N($E338)*95,IF($D338="jabas",N($E338)*IFERROR(VLOOKUP($C338,LISTAS!$A$2:$B$12,2,0),0),""))))</f>
        <v/>
      </c>
      <c r="G338" s="3"/>
      <c r="H338" s="3"/>
      <c r="I338">
        <f t="shared" si="5"/>
        <v>0</v>
      </c>
    </row>
    <row r="339" spans="1:9" x14ac:dyDescent="0.2">
      <c r="A339" s="2"/>
      <c r="B339" s="3"/>
      <c r="C339" s="3"/>
      <c r="D339" s="3"/>
      <c r="E339" s="4"/>
      <c r="F339" s="4" t="str">
        <f>IF($B339="","",IF($D339="kg",N($E339),IF($D339="sacos",N($E339)*95,IF($D339="jabas",N($E339)*IFERROR(VLOOKUP($C339,LISTAS!$A$2:$B$12,2,0),0),""))))</f>
        <v/>
      </c>
      <c r="G339" s="3"/>
      <c r="H339" s="3"/>
      <c r="I339">
        <f t="shared" si="5"/>
        <v>0</v>
      </c>
    </row>
    <row r="340" spans="1:9" x14ac:dyDescent="0.2">
      <c r="A340" s="2"/>
      <c r="B340" s="3"/>
      <c r="C340" s="3"/>
      <c r="D340" s="3"/>
      <c r="E340" s="4"/>
      <c r="F340" s="4" t="str">
        <f>IF($B340="","",IF($D340="kg",N($E340),IF($D340="sacos",N($E340)*95,IF($D340="jabas",N($E340)*IFERROR(VLOOKUP($C340,LISTAS!$A$2:$B$12,2,0),0),""))))</f>
        <v/>
      </c>
      <c r="G340" s="3"/>
      <c r="H340" s="3"/>
      <c r="I340">
        <f t="shared" si="5"/>
        <v>0</v>
      </c>
    </row>
    <row r="341" spans="1:9" x14ac:dyDescent="0.2">
      <c r="A341" s="2"/>
      <c r="B341" s="3"/>
      <c r="C341" s="3"/>
      <c r="D341" s="3"/>
      <c r="E341" s="4"/>
      <c r="F341" s="4" t="str">
        <f>IF($B341="","",IF($D341="kg",N($E341),IF($D341="sacos",N($E341)*95,IF($D341="jabas",N($E341)*IFERROR(VLOOKUP($C341,LISTAS!$A$2:$B$12,2,0),0),""))))</f>
        <v/>
      </c>
      <c r="G341" s="3"/>
      <c r="H341" s="3"/>
      <c r="I341">
        <f t="shared" si="5"/>
        <v>0</v>
      </c>
    </row>
    <row r="342" spans="1:9" x14ac:dyDescent="0.2">
      <c r="A342" s="2"/>
      <c r="B342" s="3"/>
      <c r="C342" s="3"/>
      <c r="D342" s="3"/>
      <c r="E342" s="4"/>
      <c r="F342" s="4" t="str">
        <f>IF($B342="","",IF($D342="kg",N($E342),IF($D342="sacos",N($E342)*95,IF($D342="jabas",N($E342)*IFERROR(VLOOKUP($C342,LISTAS!$A$2:$B$12,2,0),0),""))))</f>
        <v/>
      </c>
      <c r="G342" s="3"/>
      <c r="H342" s="3"/>
      <c r="I342">
        <f t="shared" si="5"/>
        <v>0</v>
      </c>
    </row>
    <row r="343" spans="1:9" x14ac:dyDescent="0.2">
      <c r="A343" s="2"/>
      <c r="B343" s="3"/>
      <c r="C343" s="3"/>
      <c r="D343" s="3"/>
      <c r="E343" s="4"/>
      <c r="F343" s="4" t="str">
        <f>IF($B343="","",IF($D343="kg",N($E343),IF($D343="sacos",N($E343)*95,IF($D343="jabas",N($E343)*IFERROR(VLOOKUP($C343,LISTAS!$A$2:$B$12,2,0),0),""))))</f>
        <v/>
      </c>
      <c r="G343" s="3"/>
      <c r="H343" s="3"/>
      <c r="I343">
        <f t="shared" si="5"/>
        <v>0</v>
      </c>
    </row>
    <row r="344" spans="1:9" x14ac:dyDescent="0.2">
      <c r="A344" s="2"/>
      <c r="B344" s="3"/>
      <c r="C344" s="3"/>
      <c r="D344" s="3"/>
      <c r="E344" s="4"/>
      <c r="F344" s="4" t="str">
        <f>IF($B344="","",IF($D344="kg",N($E344),IF($D344="sacos",N($E344)*95,IF($D344="jabas",N($E344)*IFERROR(VLOOKUP($C344,LISTAS!$A$2:$B$12,2,0),0),""))))</f>
        <v/>
      </c>
      <c r="G344" s="3"/>
      <c r="H344" s="3"/>
      <c r="I344">
        <f t="shared" si="5"/>
        <v>0</v>
      </c>
    </row>
    <row r="345" spans="1:9" x14ac:dyDescent="0.2">
      <c r="A345" s="2"/>
      <c r="B345" s="3"/>
      <c r="C345" s="3"/>
      <c r="D345" s="3"/>
      <c r="E345" s="4"/>
      <c r="F345" s="4" t="str">
        <f>IF($B345="","",IF($D345="kg",N($E345),IF($D345="sacos",N($E345)*95,IF($D345="jabas",N($E345)*IFERROR(VLOOKUP($C345,LISTAS!$A$2:$B$12,2,0),0),""))))</f>
        <v/>
      </c>
      <c r="G345" s="3"/>
      <c r="H345" s="3"/>
      <c r="I345">
        <f t="shared" si="5"/>
        <v>0</v>
      </c>
    </row>
    <row r="346" spans="1:9" x14ac:dyDescent="0.2">
      <c r="A346" s="2"/>
      <c r="B346" s="3"/>
      <c r="C346" s="3"/>
      <c r="D346" s="3"/>
      <c r="E346" s="4"/>
      <c r="F346" s="4" t="str">
        <f>IF($B346="","",IF($D346="kg",N($E346),IF($D346="sacos",N($E346)*95,IF($D346="jabas",N($E346)*IFERROR(VLOOKUP($C346,LISTAS!$A$2:$B$12,2,0),0),""))))</f>
        <v/>
      </c>
      <c r="G346" s="3"/>
      <c r="H346" s="3"/>
      <c r="I346">
        <f t="shared" si="5"/>
        <v>0</v>
      </c>
    </row>
    <row r="347" spans="1:9" x14ac:dyDescent="0.2">
      <c r="A347" s="2"/>
      <c r="B347" s="3"/>
      <c r="C347" s="3"/>
      <c r="D347" s="3"/>
      <c r="E347" s="4"/>
      <c r="F347" s="4" t="str">
        <f>IF($B347="","",IF($D347="kg",N($E347),IF($D347="sacos",N($E347)*95,IF($D347="jabas",N($E347)*IFERROR(VLOOKUP($C347,LISTAS!$A$2:$B$12,2,0),0),""))))</f>
        <v/>
      </c>
      <c r="G347" s="3"/>
      <c r="H347" s="3"/>
      <c r="I347">
        <f t="shared" si="5"/>
        <v>0</v>
      </c>
    </row>
    <row r="348" spans="1:9" x14ac:dyDescent="0.2">
      <c r="A348" s="2"/>
      <c r="B348" s="3"/>
      <c r="C348" s="3"/>
      <c r="D348" s="3"/>
      <c r="E348" s="4"/>
      <c r="F348" s="4" t="str">
        <f>IF($B348="","",IF($D348="kg",N($E348),IF($D348="sacos",N($E348)*95,IF($D348="jabas",N($E348)*IFERROR(VLOOKUP($C348,LISTAS!$A$2:$B$12,2,0),0),""))))</f>
        <v/>
      </c>
      <c r="G348" s="3"/>
      <c r="H348" s="3"/>
      <c r="I348">
        <f t="shared" si="5"/>
        <v>0</v>
      </c>
    </row>
    <row r="349" spans="1:9" x14ac:dyDescent="0.2">
      <c r="A349" s="2"/>
      <c r="B349" s="3"/>
      <c r="C349" s="3"/>
      <c r="D349" s="3"/>
      <c r="E349" s="4"/>
      <c r="F349" s="4" t="str">
        <f>IF($B349="","",IF($D349="kg",N($E349),IF($D349="sacos",N($E349)*95,IF($D349="jabas",N($E349)*IFERROR(VLOOKUP($C349,LISTAS!$A$2:$B$12,2,0),0),""))))</f>
        <v/>
      </c>
      <c r="G349" s="3"/>
      <c r="H349" s="3"/>
      <c r="I349">
        <f t="shared" si="5"/>
        <v>0</v>
      </c>
    </row>
    <row r="350" spans="1:9" x14ac:dyDescent="0.2">
      <c r="A350" s="2"/>
      <c r="B350" s="3"/>
      <c r="C350" s="3"/>
      <c r="D350" s="3"/>
      <c r="E350" s="4"/>
      <c r="F350" s="4" t="str">
        <f>IF($B350="","",IF($D350="kg",N($E350),IF($D350="sacos",N($E350)*95,IF($D350="jabas",N($E350)*IFERROR(VLOOKUP($C350,LISTAS!$A$2:$B$12,2,0),0),""))))</f>
        <v/>
      </c>
      <c r="G350" s="3"/>
      <c r="H350" s="3"/>
      <c r="I350">
        <f t="shared" si="5"/>
        <v>0</v>
      </c>
    </row>
    <row r="351" spans="1:9" x14ac:dyDescent="0.2">
      <c r="A351" s="2"/>
      <c r="B351" s="3"/>
      <c r="C351" s="3"/>
      <c r="D351" s="3"/>
      <c r="E351" s="4"/>
      <c r="F351" s="4" t="str">
        <f>IF($B351="","",IF($D351="kg",N($E351),IF($D351="sacos",N($E351)*95,IF($D351="jabas",N($E351)*IFERROR(VLOOKUP($C351,LISTAS!$A$2:$B$12,2,0),0),""))))</f>
        <v/>
      </c>
      <c r="G351" s="3"/>
      <c r="H351" s="3"/>
      <c r="I351">
        <f t="shared" si="5"/>
        <v>0</v>
      </c>
    </row>
    <row r="352" spans="1:9" x14ac:dyDescent="0.2">
      <c r="A352" s="2"/>
      <c r="B352" s="3"/>
      <c r="C352" s="3"/>
      <c r="D352" s="3"/>
      <c r="E352" s="4"/>
      <c r="F352" s="4" t="str">
        <f>IF($B352="","",IF($D352="kg",N($E352),IF($D352="sacos",N($E352)*95,IF($D352="jabas",N($E352)*IFERROR(VLOOKUP($C352,LISTAS!$A$2:$B$12,2,0),0),""))))</f>
        <v/>
      </c>
      <c r="G352" s="3"/>
      <c r="H352" s="3"/>
      <c r="I352">
        <f t="shared" si="5"/>
        <v>0</v>
      </c>
    </row>
    <row r="353" spans="1:9" x14ac:dyDescent="0.2">
      <c r="A353" s="2"/>
      <c r="B353" s="3"/>
      <c r="C353" s="3"/>
      <c r="D353" s="3"/>
      <c r="E353" s="4"/>
      <c r="F353" s="4" t="str">
        <f>IF($B353="","",IF($D353="kg",N($E353),IF($D353="sacos",N($E353)*95,IF($D353="jabas",N($E353)*IFERROR(VLOOKUP($C353,LISTAS!$A$2:$B$12,2,0),0),""))))</f>
        <v/>
      </c>
      <c r="G353" s="3"/>
      <c r="H353" s="3"/>
      <c r="I353">
        <f t="shared" si="5"/>
        <v>0</v>
      </c>
    </row>
    <row r="354" spans="1:9" x14ac:dyDescent="0.2">
      <c r="A354" s="2"/>
      <c r="B354" s="3"/>
      <c r="C354" s="3"/>
      <c r="D354" s="3"/>
      <c r="E354" s="4"/>
      <c r="F354" s="4" t="str">
        <f>IF($B354="","",IF($D354="kg",N($E354),IF($D354="sacos",N($E354)*95,IF($D354="jabas",N($E354)*IFERROR(VLOOKUP($C354,LISTAS!$A$2:$B$12,2,0),0),""))))</f>
        <v/>
      </c>
      <c r="G354" s="3"/>
      <c r="H354" s="3"/>
      <c r="I354">
        <f t="shared" si="5"/>
        <v>0</v>
      </c>
    </row>
    <row r="355" spans="1:9" x14ac:dyDescent="0.2">
      <c r="A355" s="2"/>
      <c r="B355" s="3"/>
      <c r="C355" s="3"/>
      <c r="D355" s="3"/>
      <c r="E355" s="4"/>
      <c r="F355" s="4" t="str">
        <f>IF($B355="","",IF($D355="kg",N($E355),IF($D355="sacos",N($E355)*95,IF($D355="jabas",N($E355)*IFERROR(VLOOKUP($C355,LISTAS!$A$2:$B$12,2,0),0),""))))</f>
        <v/>
      </c>
      <c r="G355" s="3"/>
      <c r="H355" s="3"/>
      <c r="I355">
        <f t="shared" si="5"/>
        <v>0</v>
      </c>
    </row>
    <row r="356" spans="1:9" x14ac:dyDescent="0.2">
      <c r="A356" s="2"/>
      <c r="B356" s="3"/>
      <c r="C356" s="3"/>
      <c r="D356" s="3"/>
      <c r="E356" s="4"/>
      <c r="F356" s="4" t="str">
        <f>IF($B356="","",IF($D356="kg",N($E356),IF($D356="sacos",N($E356)*95,IF($D356="jabas",N($E356)*IFERROR(VLOOKUP($C356,LISTAS!$A$2:$B$12,2,0),0),""))))</f>
        <v/>
      </c>
      <c r="G356" s="3"/>
      <c r="H356" s="3"/>
      <c r="I356">
        <f t="shared" si="5"/>
        <v>0</v>
      </c>
    </row>
    <row r="357" spans="1:9" x14ac:dyDescent="0.2">
      <c r="A357" s="2"/>
      <c r="B357" s="3"/>
      <c r="C357" s="3"/>
      <c r="D357" s="3"/>
      <c r="E357" s="4"/>
      <c r="F357" s="4" t="str">
        <f>IF($B357="","",IF($D357="kg",N($E357),IF($D357="sacos",N($E357)*95,IF($D357="jabas",N($E357)*IFERROR(VLOOKUP($C357,LISTAS!$A$2:$B$12,2,0),0),""))))</f>
        <v/>
      </c>
      <c r="G357" s="3"/>
      <c r="H357" s="3"/>
      <c r="I357">
        <f t="shared" si="5"/>
        <v>0</v>
      </c>
    </row>
    <row r="358" spans="1:9" x14ac:dyDescent="0.2">
      <c r="A358" s="2"/>
      <c r="B358" s="3"/>
      <c r="C358" s="3"/>
      <c r="D358" s="3"/>
      <c r="E358" s="4"/>
      <c r="F358" s="4" t="str">
        <f>IF($B358="","",IF($D358="kg",N($E358),IF($D358="sacos",N($E358)*95,IF($D358="jabas",N($E358)*IFERROR(VLOOKUP($C358,LISTAS!$A$2:$B$12,2,0),0),""))))</f>
        <v/>
      </c>
      <c r="G358" s="3"/>
      <c r="H358" s="3"/>
      <c r="I358">
        <f t="shared" si="5"/>
        <v>0</v>
      </c>
    </row>
    <row r="359" spans="1:9" x14ac:dyDescent="0.2">
      <c r="A359" s="2"/>
      <c r="B359" s="3"/>
      <c r="C359" s="3"/>
      <c r="D359" s="3"/>
      <c r="E359" s="4"/>
      <c r="F359" s="4" t="str">
        <f>IF($B359="","",IF($D359="kg",N($E359),IF($D359="sacos",N($E359)*95,IF($D359="jabas",N($E359)*IFERROR(VLOOKUP($C359,LISTAS!$A$2:$B$12,2,0),0),""))))</f>
        <v/>
      </c>
      <c r="G359" s="3"/>
      <c r="H359" s="3"/>
      <c r="I359">
        <f t="shared" si="5"/>
        <v>0</v>
      </c>
    </row>
    <row r="360" spans="1:9" x14ac:dyDescent="0.2">
      <c r="A360" s="2"/>
      <c r="B360" s="3"/>
      <c r="C360" s="3"/>
      <c r="D360" s="3"/>
      <c r="E360" s="4"/>
      <c r="F360" s="4" t="str">
        <f>IF($B360="","",IF($D360="kg",N($E360),IF($D360="sacos",N($E360)*95,IF($D360="jabas",N($E360)*IFERROR(VLOOKUP($C360,LISTAS!$A$2:$B$12,2,0),0),""))))</f>
        <v/>
      </c>
      <c r="G360" s="3"/>
      <c r="H360" s="3"/>
      <c r="I360">
        <f t="shared" si="5"/>
        <v>0</v>
      </c>
    </row>
    <row r="361" spans="1:9" x14ac:dyDescent="0.2">
      <c r="A361" s="2"/>
      <c r="B361" s="3"/>
      <c r="C361" s="3"/>
      <c r="D361" s="3"/>
      <c r="E361" s="4"/>
      <c r="F361" s="4" t="str">
        <f>IF($B361="","",IF($D361="kg",N($E361),IF($D361="sacos",N($E361)*95,IF($D361="jabas",N($E361)*IFERROR(VLOOKUP($C361,LISTAS!$A$2:$B$12,2,0),0),""))))</f>
        <v/>
      </c>
      <c r="G361" s="3"/>
      <c r="H361" s="3"/>
      <c r="I361">
        <f t="shared" si="5"/>
        <v>0</v>
      </c>
    </row>
    <row r="362" spans="1:9" x14ac:dyDescent="0.2">
      <c r="A362" s="2"/>
      <c r="B362" s="3"/>
      <c r="C362" s="3"/>
      <c r="D362" s="3"/>
      <c r="E362" s="4"/>
      <c r="F362" s="4" t="str">
        <f>IF($B362="","",IF($D362="kg",N($E362),IF($D362="sacos",N($E362)*95,IF($D362="jabas",N($E362)*IFERROR(VLOOKUP($C362,LISTAS!$A$2:$B$12,2,0),0),""))))</f>
        <v/>
      </c>
      <c r="G362" s="3"/>
      <c r="H362" s="3"/>
      <c r="I362">
        <f t="shared" si="5"/>
        <v>0</v>
      </c>
    </row>
    <row r="363" spans="1:9" x14ac:dyDescent="0.2">
      <c r="A363" s="2"/>
      <c r="B363" s="3"/>
      <c r="C363" s="3"/>
      <c r="D363" s="3"/>
      <c r="E363" s="4"/>
      <c r="F363" s="4" t="str">
        <f>IF($B363="","",IF($D363="kg",N($E363),IF($D363="sacos",N($E363)*95,IF($D363="jabas",N($E363)*IFERROR(VLOOKUP($C363,LISTAS!$A$2:$B$12,2,0),0),""))))</f>
        <v/>
      </c>
      <c r="G363" s="3"/>
      <c r="H363" s="3"/>
      <c r="I363">
        <f t="shared" si="5"/>
        <v>0</v>
      </c>
    </row>
    <row r="364" spans="1:9" x14ac:dyDescent="0.2">
      <c r="A364" s="2"/>
      <c r="B364" s="3"/>
      <c r="C364" s="3"/>
      <c r="D364" s="3"/>
      <c r="E364" s="4"/>
      <c r="F364" s="4" t="str">
        <f>IF($B364="","",IF($D364="kg",N($E364),IF($D364="sacos",N($E364)*95,IF($D364="jabas",N($E364)*IFERROR(VLOOKUP($C364,LISTAS!$A$2:$B$12,2,0),0),""))))</f>
        <v/>
      </c>
      <c r="G364" s="3"/>
      <c r="H364" s="3"/>
      <c r="I364">
        <f t="shared" si="5"/>
        <v>0</v>
      </c>
    </row>
    <row r="365" spans="1:9" x14ac:dyDescent="0.2">
      <c r="A365" s="2"/>
      <c r="B365" s="3"/>
      <c r="C365" s="3"/>
      <c r="D365" s="3"/>
      <c r="E365" s="4"/>
      <c r="F365" s="4" t="str">
        <f>IF($B365="","",IF($D365="kg",N($E365),IF($D365="sacos",N($E365)*95,IF($D365="jabas",N($E365)*IFERROR(VLOOKUP($C365,LISTAS!$A$2:$B$12,2,0),0),""))))</f>
        <v/>
      </c>
      <c r="G365" s="3"/>
      <c r="H365" s="3"/>
      <c r="I365">
        <f t="shared" si="5"/>
        <v>0</v>
      </c>
    </row>
    <row r="366" spans="1:9" x14ac:dyDescent="0.2">
      <c r="A366" s="2"/>
      <c r="B366" s="3"/>
      <c r="C366" s="3"/>
      <c r="D366" s="3"/>
      <c r="E366" s="4"/>
      <c r="F366" s="4" t="str">
        <f>IF($B366="","",IF($D366="kg",N($E366),IF($D366="sacos",N($E366)*95,IF($D366="jabas",N($E366)*IFERROR(VLOOKUP($C366,LISTAS!$A$2:$B$12,2,0),0),""))))</f>
        <v/>
      </c>
      <c r="G366" s="3"/>
      <c r="H366" s="3"/>
      <c r="I366">
        <f t="shared" si="5"/>
        <v>0</v>
      </c>
    </row>
    <row r="367" spans="1:9" x14ac:dyDescent="0.2">
      <c r="A367" s="2"/>
      <c r="B367" s="3"/>
      <c r="C367" s="3"/>
      <c r="D367" s="3"/>
      <c r="E367" s="4"/>
      <c r="F367" s="4" t="str">
        <f>IF($B367="","",IF($D367="kg",N($E367),IF($D367="sacos",N($E367)*95,IF($D367="jabas",N($E367)*IFERROR(VLOOKUP($C367,LISTAS!$A$2:$B$12,2,0),0),""))))</f>
        <v/>
      </c>
      <c r="G367" s="3"/>
      <c r="H367" s="3"/>
      <c r="I367">
        <f t="shared" si="5"/>
        <v>0</v>
      </c>
    </row>
    <row r="368" spans="1:9" x14ac:dyDescent="0.2">
      <c r="A368" s="2"/>
      <c r="B368" s="3"/>
      <c r="C368" s="3"/>
      <c r="D368" s="3"/>
      <c r="E368" s="4"/>
      <c r="F368" s="4" t="str">
        <f>IF($B368="","",IF($D368="kg",N($E368),IF($D368="sacos",N($E368)*95,IF($D368="jabas",N($E368)*IFERROR(VLOOKUP($C368,LISTAS!$A$2:$B$12,2,0),0),""))))</f>
        <v/>
      </c>
      <c r="G368" s="3"/>
      <c r="H368" s="3"/>
      <c r="I368">
        <f t="shared" si="5"/>
        <v>0</v>
      </c>
    </row>
    <row r="369" spans="1:9" x14ac:dyDescent="0.2">
      <c r="A369" s="2"/>
      <c r="B369" s="3"/>
      <c r="C369" s="3"/>
      <c r="D369" s="3"/>
      <c r="E369" s="4"/>
      <c r="F369" s="4" t="str">
        <f>IF($B369="","",IF($D369="kg",N($E369),IF($D369="sacos",N($E369)*95,IF($D369="jabas",N($E369)*IFERROR(VLOOKUP($C369,LISTAS!$A$2:$B$12,2,0),0),""))))</f>
        <v/>
      </c>
      <c r="G369" s="3"/>
      <c r="H369" s="3"/>
      <c r="I369">
        <f t="shared" si="5"/>
        <v>0</v>
      </c>
    </row>
    <row r="370" spans="1:9" x14ac:dyDescent="0.2">
      <c r="A370" s="2"/>
      <c r="B370" s="3"/>
      <c r="C370" s="3"/>
      <c r="D370" s="3"/>
      <c r="E370" s="4"/>
      <c r="F370" s="4" t="str">
        <f>IF($B370="","",IF($D370="kg",N($E370),IF($D370="sacos",N($E370)*95,IF($D370="jabas",N($E370)*IFERROR(VLOOKUP($C370,LISTAS!$A$2:$B$12,2,0),0),""))))</f>
        <v/>
      </c>
      <c r="G370" s="3"/>
      <c r="H370" s="3"/>
      <c r="I370">
        <f t="shared" si="5"/>
        <v>0</v>
      </c>
    </row>
    <row r="371" spans="1:9" x14ac:dyDescent="0.2">
      <c r="A371" s="2"/>
      <c r="B371" s="3"/>
      <c r="C371" s="3"/>
      <c r="D371" s="3"/>
      <c r="E371" s="4"/>
      <c r="F371" s="4" t="str">
        <f>IF($B371="","",IF($D371="kg",N($E371),IF($D371="sacos",N($E371)*95,IF($D371="jabas",N($E371)*IFERROR(VLOOKUP($C371,LISTAS!$A$2:$B$12,2,0),0),""))))</f>
        <v/>
      </c>
      <c r="G371" s="3"/>
      <c r="H371" s="3"/>
      <c r="I371">
        <f t="shared" si="5"/>
        <v>0</v>
      </c>
    </row>
    <row r="372" spans="1:9" x14ac:dyDescent="0.2">
      <c r="A372" s="2"/>
      <c r="B372" s="3"/>
      <c r="C372" s="3"/>
      <c r="D372" s="3"/>
      <c r="E372" s="4"/>
      <c r="F372" s="4" t="str">
        <f>IF($B372="","",IF($D372="kg",N($E372),IF($D372="sacos",N($E372)*95,IF($D372="jabas",N($E372)*IFERROR(VLOOKUP($C372,LISTAS!$A$2:$B$12,2,0),0),""))))</f>
        <v/>
      </c>
      <c r="G372" s="3"/>
      <c r="H372" s="3"/>
      <c r="I372">
        <f t="shared" si="5"/>
        <v>0</v>
      </c>
    </row>
    <row r="373" spans="1:9" x14ac:dyDescent="0.2">
      <c r="A373" s="2"/>
      <c r="B373" s="3"/>
      <c r="C373" s="3"/>
      <c r="D373" s="3"/>
      <c r="E373" s="4"/>
      <c r="F373" s="4" t="str">
        <f>IF($B373="","",IF($D373="kg",N($E373),IF($D373="sacos",N($E373)*95,IF($D373="jabas",N($E373)*IFERROR(VLOOKUP($C373,LISTAS!$A$2:$B$12,2,0),0),""))))</f>
        <v/>
      </c>
      <c r="G373" s="3"/>
      <c r="H373" s="3"/>
      <c r="I373">
        <f t="shared" si="5"/>
        <v>0</v>
      </c>
    </row>
    <row r="374" spans="1:9" x14ac:dyDescent="0.2">
      <c r="A374" s="2"/>
      <c r="B374" s="3"/>
      <c r="C374" s="3"/>
      <c r="D374" s="3"/>
      <c r="E374" s="4"/>
      <c r="F374" s="4" t="str">
        <f>IF($B374="","",IF($D374="kg",N($E374),IF($D374="sacos",N($E374)*95,IF($D374="jabas",N($E374)*IFERROR(VLOOKUP($C374,LISTAS!$A$2:$B$12,2,0),0),""))))</f>
        <v/>
      </c>
      <c r="G374" s="3"/>
      <c r="H374" s="3"/>
      <c r="I374">
        <f t="shared" si="5"/>
        <v>0</v>
      </c>
    </row>
    <row r="375" spans="1:9" x14ac:dyDescent="0.2">
      <c r="A375" s="2"/>
      <c r="B375" s="3"/>
      <c r="C375" s="3"/>
      <c r="D375" s="3"/>
      <c r="E375" s="4"/>
      <c r="F375" s="4" t="str">
        <f>IF($B375="","",IF($D375="kg",N($E375),IF($D375="sacos",N($E375)*95,IF($D375="jabas",N($E375)*IFERROR(VLOOKUP($C375,LISTAS!$A$2:$B$12,2,0),0),""))))</f>
        <v/>
      </c>
      <c r="G375" s="3"/>
      <c r="H375" s="3"/>
      <c r="I375">
        <f t="shared" si="5"/>
        <v>0</v>
      </c>
    </row>
    <row r="376" spans="1:9" x14ac:dyDescent="0.2">
      <c r="A376" s="2"/>
      <c r="B376" s="3"/>
      <c r="C376" s="3"/>
      <c r="D376" s="3"/>
      <c r="E376" s="4"/>
      <c r="F376" s="4" t="str">
        <f>IF($B376="","",IF($D376="kg",N($E376),IF($D376="sacos",N($E376)*95,IF($D376="jabas",N($E376)*IFERROR(VLOOKUP($C376,LISTAS!$A$2:$B$12,2,0),0),""))))</f>
        <v/>
      </c>
      <c r="G376" s="3"/>
      <c r="H376" s="3"/>
      <c r="I376">
        <f t="shared" si="5"/>
        <v>0</v>
      </c>
    </row>
    <row r="377" spans="1:9" x14ac:dyDescent="0.2">
      <c r="A377" s="2"/>
      <c r="B377" s="3"/>
      <c r="C377" s="3"/>
      <c r="D377" s="3"/>
      <c r="E377" s="4"/>
      <c r="F377" s="4" t="str">
        <f>IF($B377="","",IF($D377="kg",N($E377),IF($D377="sacos",N($E377)*95,IF($D377="jabas",N($E377)*IFERROR(VLOOKUP($C377,LISTAS!$A$2:$B$12,2,0),0),""))))</f>
        <v/>
      </c>
      <c r="G377" s="3"/>
      <c r="H377" s="3"/>
      <c r="I377">
        <f t="shared" si="5"/>
        <v>0</v>
      </c>
    </row>
    <row r="378" spans="1:9" x14ac:dyDescent="0.2">
      <c r="A378" s="2"/>
      <c r="B378" s="3"/>
      <c r="C378" s="3"/>
      <c r="D378" s="3"/>
      <c r="E378" s="4"/>
      <c r="F378" s="4" t="str">
        <f>IF($B378="","",IF($D378="kg",N($E378),IF($D378="sacos",N($E378)*95,IF($D378="jabas",N($E378)*IFERROR(VLOOKUP($C378,LISTAS!$A$2:$B$12,2,0),0),""))))</f>
        <v/>
      </c>
      <c r="G378" s="3"/>
      <c r="H378" s="3"/>
      <c r="I378">
        <f t="shared" si="5"/>
        <v>0</v>
      </c>
    </row>
    <row r="379" spans="1:9" x14ac:dyDescent="0.2">
      <c r="A379" s="2"/>
      <c r="B379" s="3"/>
      <c r="C379" s="3"/>
      <c r="D379" s="3"/>
      <c r="E379" s="4"/>
      <c r="F379" s="4" t="str">
        <f>IF($B379="","",IF($D379="kg",N($E379),IF($D379="sacos",N($E379)*95,IF($D379="jabas",N($E379)*IFERROR(VLOOKUP($C379,LISTAS!$A$2:$B$12,2,0),0),""))))</f>
        <v/>
      </c>
      <c r="G379" s="3"/>
      <c r="H379" s="3"/>
      <c r="I379">
        <f t="shared" si="5"/>
        <v>0</v>
      </c>
    </row>
    <row r="380" spans="1:9" x14ac:dyDescent="0.2">
      <c r="A380" s="2"/>
      <c r="B380" s="3"/>
      <c r="C380" s="3"/>
      <c r="D380" s="3"/>
      <c r="E380" s="4"/>
      <c r="F380" s="4" t="str">
        <f>IF($B380="","",IF($D380="kg",N($E380),IF($D380="sacos",N($E380)*95,IF($D380="jabas",N($E380)*IFERROR(VLOOKUP($C380,LISTAS!$A$2:$B$12,2,0),0),""))))</f>
        <v/>
      </c>
      <c r="G380" s="3"/>
      <c r="H380" s="3"/>
      <c r="I380">
        <f t="shared" si="5"/>
        <v>0</v>
      </c>
    </row>
    <row r="381" spans="1:9" x14ac:dyDescent="0.2">
      <c r="A381" s="2"/>
      <c r="B381" s="3"/>
      <c r="C381" s="3"/>
      <c r="D381" s="3"/>
      <c r="E381" s="4"/>
      <c r="F381" s="4" t="str">
        <f>IF($B381="","",IF($D381="kg",N($E381),IF($D381="sacos",N($E381)*95,IF($D381="jabas",N($E381)*IFERROR(VLOOKUP($C381,LISTAS!$A$2:$B$12,2,0),0),""))))</f>
        <v/>
      </c>
      <c r="G381" s="3"/>
      <c r="H381" s="3"/>
      <c r="I381">
        <f t="shared" si="5"/>
        <v>0</v>
      </c>
    </row>
    <row r="382" spans="1:9" x14ac:dyDescent="0.2">
      <c r="A382" s="2"/>
      <c r="B382" s="3"/>
      <c r="C382" s="3"/>
      <c r="D382" s="3"/>
      <c r="E382" s="4"/>
      <c r="F382" s="4" t="str">
        <f>IF($B382="","",IF($D382="kg",N($E382),IF($D382="sacos",N($E382)*95,IF($D382="jabas",N($E382)*IFERROR(VLOOKUP($C382,LISTAS!$A$2:$B$12,2,0),0),""))))</f>
        <v/>
      </c>
      <c r="G382" s="3"/>
      <c r="H382" s="3"/>
      <c r="I382">
        <f t="shared" si="5"/>
        <v>0</v>
      </c>
    </row>
    <row r="383" spans="1:9" x14ac:dyDescent="0.2">
      <c r="A383" s="2"/>
      <c r="B383" s="3"/>
      <c r="C383" s="3"/>
      <c r="D383" s="3"/>
      <c r="E383" s="4"/>
      <c r="F383" s="4" t="str">
        <f>IF($B383="","",IF($D383="kg",N($E383),IF($D383="sacos",N($E383)*95,IF($D383="jabas",N($E383)*IFERROR(VLOOKUP($C383,LISTAS!$A$2:$B$12,2,0),0),""))))</f>
        <v/>
      </c>
      <c r="G383" s="3"/>
      <c r="H383" s="3"/>
      <c r="I383">
        <f t="shared" si="5"/>
        <v>0</v>
      </c>
    </row>
    <row r="384" spans="1:9" x14ac:dyDescent="0.2">
      <c r="A384" s="2"/>
      <c r="B384" s="3"/>
      <c r="C384" s="3"/>
      <c r="D384" s="3"/>
      <c r="E384" s="4"/>
      <c r="F384" s="4" t="str">
        <f>IF($B384="","",IF($D384="kg",N($E384),IF($D384="sacos",N($E384)*95,IF($D384="jabas",N($E384)*IFERROR(VLOOKUP($C384,LISTAS!$A$2:$B$12,2,0),0),""))))</f>
        <v/>
      </c>
      <c r="G384" s="3"/>
      <c r="H384" s="3"/>
      <c r="I384">
        <f t="shared" si="5"/>
        <v>0</v>
      </c>
    </row>
    <row r="385" spans="1:9" x14ac:dyDescent="0.2">
      <c r="A385" s="2"/>
      <c r="B385" s="3"/>
      <c r="C385" s="3"/>
      <c r="D385" s="3"/>
      <c r="E385" s="4"/>
      <c r="F385" s="4" t="str">
        <f>IF($B385="","",IF($D385="kg",N($E385),IF($D385="sacos",N($E385)*95,IF($D385="jabas",N($E385)*IFERROR(VLOOKUP($C385,LISTAS!$A$2:$B$12,2,0),0),""))))</f>
        <v/>
      </c>
      <c r="G385" s="3"/>
      <c r="H385" s="3"/>
      <c r="I385">
        <f t="shared" si="5"/>
        <v>0</v>
      </c>
    </row>
    <row r="386" spans="1:9" x14ac:dyDescent="0.2">
      <c r="A386" s="2"/>
      <c r="B386" s="3"/>
      <c r="C386" s="3"/>
      <c r="D386" s="3"/>
      <c r="E386" s="4"/>
      <c r="F386" s="4" t="str">
        <f>IF($B386="","",IF($D386="kg",N($E386),IF($D386="sacos",N($E386)*95,IF($D386="jabas",N($E386)*IFERROR(VLOOKUP($C386,LISTAS!$A$2:$B$12,2,0),0),""))))</f>
        <v/>
      </c>
      <c r="G386" s="3"/>
      <c r="H386" s="3"/>
      <c r="I386">
        <f t="shared" si="5"/>
        <v>0</v>
      </c>
    </row>
    <row r="387" spans="1:9" x14ac:dyDescent="0.2">
      <c r="A387" s="2"/>
      <c r="B387" s="3"/>
      <c r="C387" s="3"/>
      <c r="D387" s="3"/>
      <c r="E387" s="4"/>
      <c r="F387" s="4" t="str">
        <f>IF($B387="","",IF($D387="kg",N($E387),IF($D387="sacos",N($E387)*95,IF($D387="jabas",N($E387)*IFERROR(VLOOKUP($C387,LISTAS!$A$2:$B$12,2,0),0),""))))</f>
        <v/>
      </c>
      <c r="G387" s="3"/>
      <c r="H387" s="3"/>
      <c r="I387">
        <f t="shared" si="5"/>
        <v>0</v>
      </c>
    </row>
    <row r="388" spans="1:9" x14ac:dyDescent="0.2">
      <c r="A388" s="2"/>
      <c r="B388" s="3"/>
      <c r="C388" s="3"/>
      <c r="D388" s="3"/>
      <c r="E388" s="4"/>
      <c r="F388" s="4" t="str">
        <f>IF($B388="","",IF($D388="kg",N($E388),IF($D388="sacos",N($E388)*95,IF($D388="jabas",N($E388)*IFERROR(VLOOKUP($C388,LISTAS!$A$2:$B$12,2,0),0),""))))</f>
        <v/>
      </c>
      <c r="G388" s="3"/>
      <c r="H388" s="3"/>
      <c r="I388">
        <f t="shared" si="5"/>
        <v>0</v>
      </c>
    </row>
    <row r="389" spans="1:9" x14ac:dyDescent="0.2">
      <c r="A389" s="2"/>
      <c r="B389" s="3"/>
      <c r="C389" s="3"/>
      <c r="D389" s="3"/>
      <c r="E389" s="4"/>
      <c r="F389" s="4" t="str">
        <f>IF($B389="","",IF($D389="kg",N($E389),IF($D389="sacos",N($E389)*95,IF($D389="jabas",N($E389)*IFERROR(VLOOKUP($C389,LISTAS!$A$2:$B$12,2,0),0),""))))</f>
        <v/>
      </c>
      <c r="G389" s="3"/>
      <c r="H389" s="3"/>
      <c r="I389">
        <f t="shared" ref="I389:I400" si="6">N($F389)</f>
        <v>0</v>
      </c>
    </row>
    <row r="390" spans="1:9" x14ac:dyDescent="0.2">
      <c r="A390" s="2"/>
      <c r="B390" s="3"/>
      <c r="C390" s="3"/>
      <c r="D390" s="3"/>
      <c r="E390" s="4"/>
      <c r="F390" s="4" t="str">
        <f>IF($B390="","",IF($D390="kg",N($E390),IF($D390="sacos",N($E390)*95,IF($D390="jabas",N($E390)*IFERROR(VLOOKUP($C390,LISTAS!$A$2:$B$12,2,0),0),""))))</f>
        <v/>
      </c>
      <c r="G390" s="3"/>
      <c r="H390" s="3"/>
      <c r="I390">
        <f t="shared" si="6"/>
        <v>0</v>
      </c>
    </row>
    <row r="391" spans="1:9" x14ac:dyDescent="0.2">
      <c r="A391" s="2"/>
      <c r="B391" s="3"/>
      <c r="C391" s="3"/>
      <c r="D391" s="3"/>
      <c r="E391" s="4"/>
      <c r="F391" s="4" t="str">
        <f>IF($B391="","",IF($D391="kg",N($E391),IF($D391="sacos",N($E391)*95,IF($D391="jabas",N($E391)*IFERROR(VLOOKUP($C391,LISTAS!$A$2:$B$12,2,0),0),""))))</f>
        <v/>
      </c>
      <c r="G391" s="3"/>
      <c r="H391" s="3"/>
      <c r="I391">
        <f t="shared" si="6"/>
        <v>0</v>
      </c>
    </row>
    <row r="392" spans="1:9" x14ac:dyDescent="0.2">
      <c r="A392" s="2"/>
      <c r="B392" s="3"/>
      <c r="C392" s="3"/>
      <c r="D392" s="3"/>
      <c r="E392" s="4"/>
      <c r="F392" s="4" t="str">
        <f>IF($B392="","",IF($D392="kg",N($E392),IF($D392="sacos",N($E392)*95,IF($D392="jabas",N($E392)*IFERROR(VLOOKUP($C392,LISTAS!$A$2:$B$12,2,0),0),""))))</f>
        <v/>
      </c>
      <c r="G392" s="3"/>
      <c r="H392" s="3"/>
      <c r="I392">
        <f t="shared" si="6"/>
        <v>0</v>
      </c>
    </row>
    <row r="393" spans="1:9" x14ac:dyDescent="0.2">
      <c r="A393" s="2"/>
      <c r="B393" s="3"/>
      <c r="C393" s="3"/>
      <c r="D393" s="3"/>
      <c r="E393" s="4"/>
      <c r="F393" s="4" t="str">
        <f>IF($B393="","",IF($D393="kg",N($E393),IF($D393="sacos",N($E393)*95,IF($D393="jabas",N($E393)*IFERROR(VLOOKUP($C393,LISTAS!$A$2:$B$12,2,0),0),""))))</f>
        <v/>
      </c>
      <c r="G393" s="3"/>
      <c r="H393" s="3"/>
      <c r="I393">
        <f t="shared" si="6"/>
        <v>0</v>
      </c>
    </row>
    <row r="394" spans="1:9" x14ac:dyDescent="0.2">
      <c r="A394" s="2"/>
      <c r="B394" s="3"/>
      <c r="C394" s="3"/>
      <c r="D394" s="3"/>
      <c r="E394" s="4"/>
      <c r="F394" s="4" t="str">
        <f>IF($B394="","",IF($D394="kg",N($E394),IF($D394="sacos",N($E394)*95,IF($D394="jabas",N($E394)*IFERROR(VLOOKUP($C394,LISTAS!$A$2:$B$12,2,0),0),""))))</f>
        <v/>
      </c>
      <c r="G394" s="3"/>
      <c r="H394" s="3"/>
      <c r="I394">
        <f t="shared" si="6"/>
        <v>0</v>
      </c>
    </row>
    <row r="395" spans="1:9" x14ac:dyDescent="0.2">
      <c r="A395" s="2"/>
      <c r="B395" s="3"/>
      <c r="C395" s="3"/>
      <c r="D395" s="3"/>
      <c r="E395" s="4"/>
      <c r="F395" s="4" t="str">
        <f>IF($B395="","",IF($D395="kg",N($E395),IF($D395="sacos",N($E395)*95,IF($D395="jabas",N($E395)*IFERROR(VLOOKUP($C395,LISTAS!$A$2:$B$12,2,0),0),""))))</f>
        <v/>
      </c>
      <c r="G395" s="3"/>
      <c r="H395" s="3"/>
      <c r="I395">
        <f t="shared" si="6"/>
        <v>0</v>
      </c>
    </row>
    <row r="396" spans="1:9" x14ac:dyDescent="0.2">
      <c r="A396" s="2"/>
      <c r="B396" s="3"/>
      <c r="C396" s="3"/>
      <c r="D396" s="3"/>
      <c r="E396" s="4"/>
      <c r="F396" s="4" t="str">
        <f>IF($B396="","",IF($D396="kg",N($E396),IF($D396="sacos",N($E396)*95,IF($D396="jabas",N($E396)*IFERROR(VLOOKUP($C396,LISTAS!$A$2:$B$12,2,0),0),""))))</f>
        <v/>
      </c>
      <c r="G396" s="3"/>
      <c r="H396" s="3"/>
      <c r="I396">
        <f t="shared" si="6"/>
        <v>0</v>
      </c>
    </row>
    <row r="397" spans="1:9" x14ac:dyDescent="0.2">
      <c r="A397" s="2"/>
      <c r="B397" s="3"/>
      <c r="C397" s="3"/>
      <c r="D397" s="3"/>
      <c r="E397" s="4"/>
      <c r="F397" s="4" t="str">
        <f>IF($B397="","",IF($D397="kg",N($E397),IF($D397="sacos",N($E397)*95,IF($D397="jabas",N($E397)*IFERROR(VLOOKUP($C397,LISTAS!$A$2:$B$12,2,0),0),""))))</f>
        <v/>
      </c>
      <c r="G397" s="3"/>
      <c r="H397" s="3"/>
      <c r="I397">
        <f t="shared" si="6"/>
        <v>0</v>
      </c>
    </row>
    <row r="398" spans="1:9" x14ac:dyDescent="0.2">
      <c r="A398" s="2"/>
      <c r="B398" s="3"/>
      <c r="C398" s="3"/>
      <c r="D398" s="3"/>
      <c r="E398" s="4"/>
      <c r="F398" s="4" t="str">
        <f>IF($B398="","",IF($D398="kg",N($E398),IF($D398="sacos",N($E398)*95,IF($D398="jabas",N($E398)*IFERROR(VLOOKUP($C398,LISTAS!$A$2:$B$12,2,0),0),""))))</f>
        <v/>
      </c>
      <c r="G398" s="3"/>
      <c r="H398" s="3"/>
      <c r="I398">
        <f t="shared" si="6"/>
        <v>0</v>
      </c>
    </row>
    <row r="399" spans="1:9" x14ac:dyDescent="0.2">
      <c r="A399" s="2"/>
      <c r="B399" s="3"/>
      <c r="C399" s="3"/>
      <c r="D399" s="3"/>
      <c r="E399" s="4"/>
      <c r="F399" s="4" t="str">
        <f>IF($B399="","",IF($D399="kg",N($E399),IF($D399="sacos",N($E399)*95,IF($D399="jabas",N($E399)*IFERROR(VLOOKUP($C399,LISTAS!$A$2:$B$12,2,0),0),""))))</f>
        <v/>
      </c>
      <c r="G399" s="3"/>
      <c r="H399" s="3"/>
      <c r="I399">
        <f t="shared" si="6"/>
        <v>0</v>
      </c>
    </row>
    <row r="400" spans="1:9" x14ac:dyDescent="0.2">
      <c r="A400" s="2"/>
      <c r="B400" s="3"/>
      <c r="C400" s="3"/>
      <c r="D400" s="3"/>
      <c r="E400" s="4"/>
      <c r="F400" s="4" t="str">
        <f>IF($B400="","",IF($D400="kg",N($E400),IF($D400="sacos",N($E400)*95,IF($D400="jabas",N($E400)*IFERROR(VLOOKUP($C400,LISTAS!$A$2:$B$12,2,0),0),""))))</f>
        <v/>
      </c>
      <c r="G400" s="3"/>
      <c r="H400" s="3"/>
      <c r="I400">
        <f t="shared" si="6"/>
        <v>0</v>
      </c>
    </row>
  </sheetData>
  <autoFilter ref="A4:H400" xr:uid="{00000000-0009-0000-0000-000000000000}"/>
  <mergeCells count="2">
    <mergeCell ref="A1:H1"/>
    <mergeCell ref="A2:H2"/>
  </mergeCells>
  <conditionalFormatting sqref="A5:H400">
    <cfRule type="expression" dxfId="26" priority="2">
      <formula>$B5="COMPRA"</formula>
    </cfRule>
    <cfRule type="expression" dxfId="25" priority="3">
      <formula>$B5="PROCESO"</formula>
    </cfRule>
    <cfRule type="expression" dxfId="24" priority="4">
      <formula>$B5="ENVÍO A SUPESA"</formula>
    </cfRule>
    <cfRule type="expression" dxfId="23" priority="5">
      <formula>$B5="VENTA"</formula>
    </cfRule>
    <cfRule type="expression" dxfId="22" priority="6">
      <formula>$B5="VENTA CHANCHO"</formula>
    </cfRule>
    <cfRule type="expression" dxfId="21" priority="7">
      <formula>$B5="DEVOLUCIÓN"</formula>
    </cfRule>
    <cfRule type="expression" dxfId="20" priority="8">
      <formula>$B5="REPROCESO"</formula>
    </cfRule>
    <cfRule type="expression" dxfId="19" priority="9">
      <formula>$B5="MALOGRADO"</formula>
    </cfRule>
    <cfRule type="expression" dxfId="18" priority="10">
      <formula>$B5="OTRA SALIDA"</formula>
    </cfRule>
    <cfRule type="expression" dxfId="17" priority="11">
      <formula>$B5="TRASIEGO"</formula>
    </cfRule>
    <cfRule type="expression" dxfId="16" priority="12">
      <formula>$B5="AJUSTE"</formula>
    </cfRule>
    <cfRule type="expression" dxfId="15" priority="13">
      <formula>$B5="REGALO"</formula>
    </cfRule>
    <cfRule type="expression" dxfId="14" priority="14">
      <formula>$B5="SALDO INICIAL"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LISTAS!$D$2:$D$14</xm:f>
          </x14:formula1>
          <x14:formula2>
            <xm:f>0</xm:f>
          </x14:formula2>
          <xm:sqref>B5:B400</xm:sqref>
        </x14:dataValidation>
        <x14:dataValidation type="list" allowBlank="1" xr:uid="{00000000-0002-0000-0000-000001000000}">
          <x14:formula1>
            <xm:f>LISTAS!$F$2:$F$9</xm:f>
          </x14:formula1>
          <x14:formula2>
            <xm:f>0</xm:f>
          </x14:formula2>
          <xm:sqref>C5:C400</xm:sqref>
        </x14:dataValidation>
        <x14:dataValidation type="list" allowBlank="1" xr:uid="{00000000-0002-0000-0000-000002000000}">
          <x14:formula1>
            <xm:f>LISTAS!$H$2:$H$4</xm:f>
          </x14:formula1>
          <x14:formula2>
            <xm:f>0</xm:f>
          </x14:formula2>
          <xm:sqref>D5:D400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1"/>
  <sheetViews>
    <sheetView showGridLines="0" zoomScaleNormal="100" workbookViewId="0">
      <pane ySplit="5" topLeftCell="A80" activePane="bottomLeft" state="frozen"/>
      <selection pane="bottomLeft" activeCell="E109" sqref="E109"/>
    </sheetView>
  </sheetViews>
  <sheetFormatPr baseColWidth="10" defaultColWidth="8.6640625" defaultRowHeight="15" x14ac:dyDescent="0.2"/>
  <cols>
    <col min="1" max="1" width="13" customWidth="1"/>
    <col min="2" max="2" width="26" customWidth="1"/>
    <col min="3" max="4" width="12" customWidth="1"/>
    <col min="5" max="5" width="32" customWidth="1"/>
    <col min="6" max="6" width="12" customWidth="1"/>
    <col min="10" max="16" width="13" hidden="1" customWidth="1"/>
  </cols>
  <sheetData>
    <row r="1" spans="1:16" ht="21.75" customHeight="1" x14ac:dyDescent="0.2">
      <c r="A1" s="15" t="s">
        <v>52</v>
      </c>
      <c r="B1" s="15"/>
      <c r="C1" s="15"/>
      <c r="D1" s="15"/>
      <c r="E1" s="15"/>
      <c r="F1" s="15"/>
    </row>
    <row r="2" spans="1:16" x14ac:dyDescent="0.2">
      <c r="A2" s="16" t="s">
        <v>53</v>
      </c>
      <c r="B2" s="16"/>
      <c r="C2" s="16"/>
      <c r="D2" s="16"/>
      <c r="E2" s="16"/>
      <c r="F2" s="16"/>
    </row>
    <row r="4" spans="1:16" x14ac:dyDescent="0.2">
      <c r="C4" s="5" t="s">
        <v>54</v>
      </c>
      <c r="D4" s="6" t="s">
        <v>55</v>
      </c>
    </row>
    <row r="5" spans="1:16" x14ac:dyDescent="0.2">
      <c r="A5" s="1" t="s">
        <v>2</v>
      </c>
      <c r="B5" s="1" t="s">
        <v>56</v>
      </c>
      <c r="C5" s="1" t="s">
        <v>57</v>
      </c>
      <c r="D5" s="1" t="s">
        <v>58</v>
      </c>
      <c r="E5" s="1" t="s">
        <v>59</v>
      </c>
      <c r="F5" s="1" t="s">
        <v>60</v>
      </c>
    </row>
    <row r="6" spans="1:16" x14ac:dyDescent="0.2">
      <c r="A6" s="7">
        <f t="shared" ref="A6:A69" si="0">IFERROR(INDEX(K$6:K$401,MATCH(ROW()-5,J$6:J$401,0)),"")</f>
        <v>46214</v>
      </c>
      <c r="B6" s="8" t="str">
        <f t="shared" ref="B6:B69" si="1">IFERROR(INDEX(L$6:L$401,MATCH(ROW()-5,J$6:J$401,0)),"")</f>
        <v>APERTURA (A)</v>
      </c>
      <c r="C6" s="9">
        <f t="shared" ref="C6:C69" si="2">IFERROR(INDEX(M$6:M$401,MATCH(ROW()-5,J$6:J$401,0)),"")</f>
        <v>120</v>
      </c>
      <c r="D6" s="9" t="str">
        <f t="shared" ref="D6:D69" si="3">IFERROR(INDEX(N$6:N$401,MATCH(ROW()-5,J$6:J$401,0)),"")</f>
        <v/>
      </c>
      <c r="E6" s="8" t="str">
        <f t="shared" ref="E6:E69" si="4">IFERROR(INDEX(O$6:O$401,MATCH(ROW()-5,J$6:J$401,0)),"")</f>
        <v>8 jabas</v>
      </c>
      <c r="F6" s="9">
        <f t="shared" ref="F6:F69" si="5">IFERROR(INDEX(P$6:P$401,MATCH(ROW()-5,J$6:J$401,0)),"")</f>
        <v>120</v>
      </c>
      <c r="J6">
        <f>IF(AND(MOVIMIENTOS!$B5&lt;&gt;"",NOT(AND(MOVIMIENTOS!$B5="PROCESO",MOVIMIENTOS!$C5&lt;&gt;"Chancho")),NOT(AND(MOVIMIENTOS!$B5="SALDO INICIAL",MOVIMIENTOS!$C5="Chancho"))),COUNT(J$5:J5)+1,"")</f>
        <v>1</v>
      </c>
      <c r="K6" s="10">
        <f>IF(AND(MOVIMIENTOS!$B5&lt;&gt;"",NOT(AND(MOVIMIENTOS!$B5="PROCESO",MOVIMIENTOS!$C5&lt;&gt;"Chancho")),NOT(AND(MOVIMIENTOS!$B5="SALDO INICIAL",MOVIMIENTOS!$C5="Chancho"))),MOVIMIENTOS!$A5,"")</f>
        <v>46214</v>
      </c>
      <c r="L6" t="str">
        <f>IF(AND(MOVIMIENTOS!$B5&lt;&gt;"",NOT(AND(MOVIMIENTOS!$B5="PROCESO",MOVIMIENTOS!$C5&lt;&gt;"Chancho")),NOT(AND(MOVIMIENTOS!$B5="SALDO INICIAL",MOVIMIENTOS!$C5="Chancho"))),IF(MOVIMIENTOS!$B5="SALDO INICIAL","APERTURA ("&amp;MOVIMIENTOS!$C5&amp;")",IF(MOVIMIENTOS!$B5="COMPRA","INGRESO (compra)",IF(MOVIMIENTOS!$B5="PROCESO","CHANCHO (proceso)",IF(MOVIMIENTOS!$B5="ENVÍO A SUPESA","ENVÍO SUPESA cal. "&amp;MOVIMIENTOS!$C5,IF(MOVIMIENTOS!$B5="VENTA CHANCHO","VENTA CHANCHO",IF(MOVIMIENTOS!$B5="DEVOLUCIÓN","DEVOLUCIÓN cal. "&amp;MOVIMIENTOS!$C5,IF(MOVIMIENTOS!$B5="TRASIEGO","TRASIEGO cal. "&amp;MOVIMIENTOS!$C5,IF(MOVIMIENTOS!$B5="REGALO","REGALO "&amp;MOVIMIENTOS!$C5,IF(MOVIMIENTOS!$B5="VENTA","VENTA "&amp;MOVIMIENTOS!$C5,IF(MOVIMIENTOS!$B5="AJUSTE","AJUSTE inventario ("&amp;MOVIMIENTOS!$C5&amp;")",MOVIMIENTOS!$B5)))))))))),"")</f>
        <v>APERTURA (A)</v>
      </c>
      <c r="M6">
        <f>IF(AND(AND(MOVIMIENTOS!$B5&lt;&gt;"",NOT(AND(MOVIMIENTOS!$B5="PROCESO",MOVIMIENTOS!$C5&lt;&gt;"Chancho")),NOT(AND(MOVIMIENTOS!$B5="SALDO INICIAL",MOVIMIENTOS!$C5="Chancho"))),OR(MOVIMIENTOS!$B5="SALDO INICIAL",MOVIMIENTOS!$B5="COMPRA",MOVIMIENTOS!$B5="REPROCESO",AND(MOVIMIENTOS!$B5="AJUSTE",MOVIMIENTOS!$C5&lt;&gt;"Chancho",N(MOVIMIENTOS!$F5)&gt;=0))),N(MOVIMIENTOS!$F5),"")</f>
        <v>120</v>
      </c>
      <c r="N6" t="str">
        <f>IF(AND(AND(MOVIMIENTOS!$B5&lt;&gt;"",NOT(AND(MOVIMIENTOS!$B5="PROCESO",MOVIMIENTOS!$C5&lt;&gt;"Chancho")),NOT(AND(MOVIMIENTOS!$B5="SALDO INICIAL",MOVIMIENTOS!$C5="Chancho"))),OR(MOVIMIENTOS!$B5="ENVÍO A SUPESA",MOVIMIENTOS!$B5="MALOGRADO",MOVIMIENTOS!$B5="OTRA SALIDA",MOVIMIENTOS!$B5="TRASIEGO",AND(MOVIMIENTOS!$B5="PROCESO",MOVIMIENTOS!$C5="Chancho"),AND(MOVIMIENTOS!$B5="REGALO",MOVIMIENTOS!$C5&lt;&gt;"Chancho"),AND(MOVIMIENTOS!$B5="VENTA",MOVIMIENTOS!$C5&lt;&gt;"Chancho"),AND(MOVIMIENTOS!$B5="AJUSTE",MOVIMIENTOS!$C5&lt;&gt;"Chancho",N(MOVIMIENTOS!$F5)&lt;0))),IF(MOVIMIENTOS!$B5="AJUSTE",-N(MOVIMIENTOS!$F5),N(MOVIMIENTOS!$F5)),"")</f>
        <v/>
      </c>
      <c r="O6" t="str">
        <f>IF(AND(MOVIMIENTOS!$B5&lt;&gt;"",NOT(AND(MOVIMIENTOS!$B5="PROCESO",MOVIMIENTOS!$C5&lt;&gt;"Chancho")),NOT(AND(MOVIMIENTOS!$B5="SALDO INICIAL",MOVIMIENTOS!$C5="Chancho"))),TRIM(IF(MOVIMIENTOS!$G5&lt;&gt;"",IF(MOVIMIENTOS!$B5="ENVÍO A SUPESA","G-"&amp;MOVIMIENTOS!$G5,MOVIMIENTOS!$G5)&amp;"  ","")&amp;IF(N(MOVIMIENTOS!$E5)&gt;0,MOVIMIENTOS!$E5&amp;" "&amp;MOVIMIENTOS!$D5,"")),"")</f>
        <v>8 jabas</v>
      </c>
      <c r="P6">
        <f t="shared" ref="P6:P69" si="6">N(P5)+N(M6)-N(N6)</f>
        <v>120</v>
      </c>
    </row>
    <row r="7" spans="1:16" x14ac:dyDescent="0.2">
      <c r="A7" s="7">
        <f t="shared" si="0"/>
        <v>46214</v>
      </c>
      <c r="B7" s="8" t="str">
        <f t="shared" si="1"/>
        <v>APERTURA (M)</v>
      </c>
      <c r="C7" s="9">
        <f t="shared" si="2"/>
        <v>119</v>
      </c>
      <c r="D7" s="9" t="str">
        <f t="shared" si="3"/>
        <v/>
      </c>
      <c r="E7" s="8" t="str">
        <f t="shared" si="4"/>
        <v>7 jabas</v>
      </c>
      <c r="F7" s="9">
        <f t="shared" si="5"/>
        <v>239</v>
      </c>
      <c r="J7">
        <f>IF(AND(MOVIMIENTOS!$B6&lt;&gt;"",NOT(AND(MOVIMIENTOS!$B6="PROCESO",MOVIMIENTOS!$C6&lt;&gt;"Chancho")),NOT(AND(MOVIMIENTOS!$B6="SALDO INICIAL",MOVIMIENTOS!$C6="Chancho"))),COUNT(J$5:J6)+1,"")</f>
        <v>2</v>
      </c>
      <c r="K7" s="10">
        <f>IF(AND(MOVIMIENTOS!$B6&lt;&gt;"",NOT(AND(MOVIMIENTOS!$B6="PROCESO",MOVIMIENTOS!$C6&lt;&gt;"Chancho")),NOT(AND(MOVIMIENTOS!$B6="SALDO INICIAL",MOVIMIENTOS!$C6="Chancho"))),MOVIMIENTOS!$A6,"")</f>
        <v>46214</v>
      </c>
      <c r="L7" t="str">
        <f>IF(AND(MOVIMIENTOS!$B6&lt;&gt;"",NOT(AND(MOVIMIENTOS!$B6="PROCESO",MOVIMIENTOS!$C6&lt;&gt;"Chancho")),NOT(AND(MOVIMIENTOS!$B6="SALDO INICIAL",MOVIMIENTOS!$C6="Chancho"))),IF(MOVIMIENTOS!$B6="SALDO INICIAL","APERTURA ("&amp;MOVIMIENTOS!$C6&amp;")",IF(MOVIMIENTOS!$B6="COMPRA","INGRESO (compra)",IF(MOVIMIENTOS!$B6="PROCESO","CHANCHO (proceso)",IF(MOVIMIENTOS!$B6="ENVÍO A SUPESA","ENVÍO SUPESA cal. "&amp;MOVIMIENTOS!$C6,IF(MOVIMIENTOS!$B6="VENTA CHANCHO","VENTA CHANCHO",IF(MOVIMIENTOS!$B6="DEVOLUCIÓN","DEVOLUCIÓN cal. "&amp;MOVIMIENTOS!$C6,IF(MOVIMIENTOS!$B6="TRASIEGO","TRASIEGO cal. "&amp;MOVIMIENTOS!$C6,IF(MOVIMIENTOS!$B6="REGALO","REGALO "&amp;MOVIMIENTOS!$C6,IF(MOVIMIENTOS!$B6="VENTA","VENTA "&amp;MOVIMIENTOS!$C6,IF(MOVIMIENTOS!$B6="AJUSTE","AJUSTE inventario ("&amp;MOVIMIENTOS!$C6&amp;")",MOVIMIENTOS!$B6)))))))))),"")</f>
        <v>APERTURA (M)</v>
      </c>
      <c r="M7">
        <f>IF(AND(AND(MOVIMIENTOS!$B6&lt;&gt;"",NOT(AND(MOVIMIENTOS!$B6="PROCESO",MOVIMIENTOS!$C6&lt;&gt;"Chancho")),NOT(AND(MOVIMIENTOS!$B6="SALDO INICIAL",MOVIMIENTOS!$C6="Chancho"))),OR(MOVIMIENTOS!$B6="SALDO INICIAL",MOVIMIENTOS!$B6="COMPRA",MOVIMIENTOS!$B6="REPROCESO",AND(MOVIMIENTOS!$B6="AJUSTE",MOVIMIENTOS!$C6&lt;&gt;"Chancho",N(MOVIMIENTOS!$F6)&gt;=0))),N(MOVIMIENTOS!$F6),"")</f>
        <v>119</v>
      </c>
      <c r="N7" t="str">
        <f>IF(AND(AND(MOVIMIENTOS!$B6&lt;&gt;"",NOT(AND(MOVIMIENTOS!$B6="PROCESO",MOVIMIENTOS!$C6&lt;&gt;"Chancho")),NOT(AND(MOVIMIENTOS!$B6="SALDO INICIAL",MOVIMIENTOS!$C6="Chancho"))),OR(MOVIMIENTOS!$B6="ENVÍO A SUPESA",MOVIMIENTOS!$B6="MALOGRADO",MOVIMIENTOS!$B6="OTRA SALIDA",MOVIMIENTOS!$B6="TRASIEGO",AND(MOVIMIENTOS!$B6="PROCESO",MOVIMIENTOS!$C6="Chancho"),AND(MOVIMIENTOS!$B6="REGALO",MOVIMIENTOS!$C6&lt;&gt;"Chancho"),AND(MOVIMIENTOS!$B6="VENTA",MOVIMIENTOS!$C6&lt;&gt;"Chancho"),AND(MOVIMIENTOS!$B6="AJUSTE",MOVIMIENTOS!$C6&lt;&gt;"Chancho",N(MOVIMIENTOS!$F6)&lt;0))),IF(MOVIMIENTOS!$B6="AJUSTE",-N(MOVIMIENTOS!$F6),N(MOVIMIENTOS!$F6)),"")</f>
        <v/>
      </c>
      <c r="O7" t="str">
        <f>IF(AND(MOVIMIENTOS!$B6&lt;&gt;"",NOT(AND(MOVIMIENTOS!$B6="PROCESO",MOVIMIENTOS!$C6&lt;&gt;"Chancho")),NOT(AND(MOVIMIENTOS!$B6="SALDO INICIAL",MOVIMIENTOS!$C6="Chancho"))),TRIM(IF(MOVIMIENTOS!$G6&lt;&gt;"",IF(MOVIMIENTOS!$B6="ENVÍO A SUPESA","G-"&amp;MOVIMIENTOS!$G6,MOVIMIENTOS!$G6)&amp;"  ","")&amp;IF(N(MOVIMIENTOS!$E6)&gt;0,MOVIMIENTOS!$E6&amp;" "&amp;MOVIMIENTOS!$D6,"")),"")</f>
        <v>7 jabas</v>
      </c>
      <c r="P7">
        <f t="shared" si="6"/>
        <v>239</v>
      </c>
    </row>
    <row r="8" spans="1:16" x14ac:dyDescent="0.2">
      <c r="A8" s="7">
        <f t="shared" si="0"/>
        <v>46215</v>
      </c>
      <c r="B8" s="8" t="str">
        <f t="shared" si="1"/>
        <v>INGRESO (compra)</v>
      </c>
      <c r="C8" s="9">
        <f t="shared" si="2"/>
        <v>2850</v>
      </c>
      <c r="D8" s="9" t="str">
        <f t="shared" si="3"/>
        <v/>
      </c>
      <c r="E8" s="8" t="str">
        <f t="shared" si="4"/>
        <v>30 sacos</v>
      </c>
      <c r="F8" s="9">
        <f t="shared" si="5"/>
        <v>3089</v>
      </c>
      <c r="J8" t="str">
        <f>IF(AND(MOVIMIENTOS!$B7&lt;&gt;"",NOT(AND(MOVIMIENTOS!$B7="PROCESO",MOVIMIENTOS!$C7&lt;&gt;"Chancho")),NOT(AND(MOVIMIENTOS!$B7="SALDO INICIAL",MOVIMIENTOS!$C7="Chancho"))),COUNT(J$5:J7)+1,"")</f>
        <v/>
      </c>
      <c r="K8" t="str">
        <f>IF(AND(MOVIMIENTOS!$B7&lt;&gt;"",NOT(AND(MOVIMIENTOS!$B7="PROCESO",MOVIMIENTOS!$C7&lt;&gt;"Chancho")),NOT(AND(MOVIMIENTOS!$B7="SALDO INICIAL",MOVIMIENTOS!$C7="Chancho"))),MOVIMIENTOS!$A7,"")</f>
        <v/>
      </c>
      <c r="L8" t="str">
        <f>IF(AND(MOVIMIENTOS!$B7&lt;&gt;"",NOT(AND(MOVIMIENTOS!$B7="PROCESO",MOVIMIENTOS!$C7&lt;&gt;"Chancho")),NOT(AND(MOVIMIENTOS!$B7="SALDO INICIAL",MOVIMIENTOS!$C7="Chancho"))),IF(MOVIMIENTOS!$B7="SALDO INICIAL","APERTURA ("&amp;MOVIMIENTOS!$C7&amp;")",IF(MOVIMIENTOS!$B7="COMPRA","INGRESO (compra)",IF(MOVIMIENTOS!$B7="PROCESO","CHANCHO (proceso)",IF(MOVIMIENTOS!$B7="ENVÍO A SUPESA","ENVÍO SUPESA cal. "&amp;MOVIMIENTOS!$C7,IF(MOVIMIENTOS!$B7="VENTA CHANCHO","VENTA CHANCHO",IF(MOVIMIENTOS!$B7="DEVOLUCIÓN","DEVOLUCIÓN cal. "&amp;MOVIMIENTOS!$C7,IF(MOVIMIENTOS!$B7="TRASIEGO","TRASIEGO cal. "&amp;MOVIMIENTOS!$C7,IF(MOVIMIENTOS!$B7="REGALO","REGALO "&amp;MOVIMIENTOS!$C7,IF(MOVIMIENTOS!$B7="VENTA","VENTA "&amp;MOVIMIENTOS!$C7,IF(MOVIMIENTOS!$B7="AJUSTE","AJUSTE inventario ("&amp;MOVIMIENTOS!$C7&amp;")",MOVIMIENTOS!$B7)))))))))),"")</f>
        <v/>
      </c>
      <c r="M8" t="str">
        <f>IF(AND(AND(MOVIMIENTOS!$B7&lt;&gt;"",NOT(AND(MOVIMIENTOS!$B7="PROCESO",MOVIMIENTOS!$C7&lt;&gt;"Chancho")),NOT(AND(MOVIMIENTOS!$B7="SALDO INICIAL",MOVIMIENTOS!$C7="Chancho"))),OR(MOVIMIENTOS!$B7="SALDO INICIAL",MOVIMIENTOS!$B7="COMPRA",MOVIMIENTOS!$B7="REPROCESO",AND(MOVIMIENTOS!$B7="AJUSTE",MOVIMIENTOS!$C7&lt;&gt;"Chancho",N(MOVIMIENTOS!$F7)&gt;=0))),N(MOVIMIENTOS!$F7),"")</f>
        <v/>
      </c>
      <c r="N8" t="str">
        <f>IF(AND(AND(MOVIMIENTOS!$B7&lt;&gt;"",NOT(AND(MOVIMIENTOS!$B7="PROCESO",MOVIMIENTOS!$C7&lt;&gt;"Chancho")),NOT(AND(MOVIMIENTOS!$B7="SALDO INICIAL",MOVIMIENTOS!$C7="Chancho"))),OR(MOVIMIENTOS!$B7="ENVÍO A SUPESA",MOVIMIENTOS!$B7="MALOGRADO",MOVIMIENTOS!$B7="OTRA SALIDA",MOVIMIENTOS!$B7="TRASIEGO",AND(MOVIMIENTOS!$B7="PROCESO",MOVIMIENTOS!$C7="Chancho"),AND(MOVIMIENTOS!$B7="REGALO",MOVIMIENTOS!$C7&lt;&gt;"Chancho"),AND(MOVIMIENTOS!$B7="VENTA",MOVIMIENTOS!$C7&lt;&gt;"Chancho"),AND(MOVIMIENTOS!$B7="AJUSTE",MOVIMIENTOS!$C7&lt;&gt;"Chancho",N(MOVIMIENTOS!$F7)&lt;0))),IF(MOVIMIENTOS!$B7="AJUSTE",-N(MOVIMIENTOS!$F7),N(MOVIMIENTOS!$F7)),"")</f>
        <v/>
      </c>
      <c r="O8" t="str">
        <f>IF(AND(MOVIMIENTOS!$B7&lt;&gt;"",NOT(AND(MOVIMIENTOS!$B7="PROCESO",MOVIMIENTOS!$C7&lt;&gt;"Chancho")),NOT(AND(MOVIMIENTOS!$B7="SALDO INICIAL",MOVIMIENTOS!$C7="Chancho"))),TRIM(IF(MOVIMIENTOS!$G7&lt;&gt;"",IF(MOVIMIENTOS!$B7="ENVÍO A SUPESA","G-"&amp;MOVIMIENTOS!$G7,MOVIMIENTOS!$G7)&amp;"  ","")&amp;IF(N(MOVIMIENTOS!$E7)&gt;0,MOVIMIENTOS!$E7&amp;" "&amp;MOVIMIENTOS!$D7,"")),"")</f>
        <v/>
      </c>
      <c r="P8">
        <f t="shared" si="6"/>
        <v>239</v>
      </c>
    </row>
    <row r="9" spans="1:16" x14ac:dyDescent="0.2">
      <c r="A9" s="7">
        <f t="shared" si="0"/>
        <v>46215</v>
      </c>
      <c r="B9" s="8" t="str">
        <f t="shared" si="1"/>
        <v>CHANCHO (proceso)</v>
      </c>
      <c r="C9" s="9" t="str">
        <f t="shared" si="2"/>
        <v/>
      </c>
      <c r="D9" s="9">
        <f t="shared" si="3"/>
        <v>570</v>
      </c>
      <c r="E9" s="8" t="str">
        <f t="shared" si="4"/>
        <v>6 sacos</v>
      </c>
      <c r="F9" s="9">
        <f t="shared" si="5"/>
        <v>2519</v>
      </c>
      <c r="J9">
        <f>IF(AND(MOVIMIENTOS!$B8&lt;&gt;"",NOT(AND(MOVIMIENTOS!$B8="PROCESO",MOVIMIENTOS!$C8&lt;&gt;"Chancho")),NOT(AND(MOVIMIENTOS!$B8="SALDO INICIAL",MOVIMIENTOS!$C8="Chancho"))),COUNT(J$5:J8)+1,"")</f>
        <v>3</v>
      </c>
      <c r="K9" s="10">
        <f>IF(AND(MOVIMIENTOS!$B8&lt;&gt;"",NOT(AND(MOVIMIENTOS!$B8="PROCESO",MOVIMIENTOS!$C8&lt;&gt;"Chancho")),NOT(AND(MOVIMIENTOS!$B8="SALDO INICIAL",MOVIMIENTOS!$C8="Chancho"))),MOVIMIENTOS!$A8,"")</f>
        <v>46215</v>
      </c>
      <c r="L9" t="str">
        <f>IF(AND(MOVIMIENTOS!$B8&lt;&gt;"",NOT(AND(MOVIMIENTOS!$B8="PROCESO",MOVIMIENTOS!$C8&lt;&gt;"Chancho")),NOT(AND(MOVIMIENTOS!$B8="SALDO INICIAL",MOVIMIENTOS!$C8="Chancho"))),IF(MOVIMIENTOS!$B8="SALDO INICIAL","APERTURA ("&amp;MOVIMIENTOS!$C8&amp;")",IF(MOVIMIENTOS!$B8="COMPRA","INGRESO (compra)",IF(MOVIMIENTOS!$B8="PROCESO","CHANCHO (proceso)",IF(MOVIMIENTOS!$B8="ENVÍO A SUPESA","ENVÍO SUPESA cal. "&amp;MOVIMIENTOS!$C8,IF(MOVIMIENTOS!$B8="VENTA CHANCHO","VENTA CHANCHO",IF(MOVIMIENTOS!$B8="DEVOLUCIÓN","DEVOLUCIÓN cal. "&amp;MOVIMIENTOS!$C8,IF(MOVIMIENTOS!$B8="TRASIEGO","TRASIEGO cal. "&amp;MOVIMIENTOS!$C8,IF(MOVIMIENTOS!$B8="REGALO","REGALO "&amp;MOVIMIENTOS!$C8,IF(MOVIMIENTOS!$B8="VENTA","VENTA "&amp;MOVIMIENTOS!$C8,IF(MOVIMIENTOS!$B8="AJUSTE","AJUSTE inventario ("&amp;MOVIMIENTOS!$C8&amp;")",MOVIMIENTOS!$B8)))))))))),"")</f>
        <v>INGRESO (compra)</v>
      </c>
      <c r="M9">
        <f>IF(AND(AND(MOVIMIENTOS!$B8&lt;&gt;"",NOT(AND(MOVIMIENTOS!$B8="PROCESO",MOVIMIENTOS!$C8&lt;&gt;"Chancho")),NOT(AND(MOVIMIENTOS!$B8="SALDO INICIAL",MOVIMIENTOS!$C8="Chancho"))),OR(MOVIMIENTOS!$B8="SALDO INICIAL",MOVIMIENTOS!$B8="COMPRA",MOVIMIENTOS!$B8="REPROCESO",AND(MOVIMIENTOS!$B8="AJUSTE",MOVIMIENTOS!$C8&lt;&gt;"Chancho",N(MOVIMIENTOS!$F8)&gt;=0))),N(MOVIMIENTOS!$F8),"")</f>
        <v>2850</v>
      </c>
      <c r="N9" t="str">
        <f>IF(AND(AND(MOVIMIENTOS!$B8&lt;&gt;"",NOT(AND(MOVIMIENTOS!$B8="PROCESO",MOVIMIENTOS!$C8&lt;&gt;"Chancho")),NOT(AND(MOVIMIENTOS!$B8="SALDO INICIAL",MOVIMIENTOS!$C8="Chancho"))),OR(MOVIMIENTOS!$B8="ENVÍO A SUPESA",MOVIMIENTOS!$B8="MALOGRADO",MOVIMIENTOS!$B8="OTRA SALIDA",MOVIMIENTOS!$B8="TRASIEGO",AND(MOVIMIENTOS!$B8="PROCESO",MOVIMIENTOS!$C8="Chancho"),AND(MOVIMIENTOS!$B8="REGALO",MOVIMIENTOS!$C8&lt;&gt;"Chancho"),AND(MOVIMIENTOS!$B8="VENTA",MOVIMIENTOS!$C8&lt;&gt;"Chancho"),AND(MOVIMIENTOS!$B8="AJUSTE",MOVIMIENTOS!$C8&lt;&gt;"Chancho",N(MOVIMIENTOS!$F8)&lt;0))),IF(MOVIMIENTOS!$B8="AJUSTE",-N(MOVIMIENTOS!$F8),N(MOVIMIENTOS!$F8)),"")</f>
        <v/>
      </c>
      <c r="O9" t="str">
        <f>IF(AND(MOVIMIENTOS!$B8&lt;&gt;"",NOT(AND(MOVIMIENTOS!$B8="PROCESO",MOVIMIENTOS!$C8&lt;&gt;"Chancho")),NOT(AND(MOVIMIENTOS!$B8="SALDO INICIAL",MOVIMIENTOS!$C8="Chancho"))),TRIM(IF(MOVIMIENTOS!$G8&lt;&gt;"",IF(MOVIMIENTOS!$B8="ENVÍO A SUPESA","G-"&amp;MOVIMIENTOS!$G8,MOVIMIENTOS!$G8)&amp;"  ","")&amp;IF(N(MOVIMIENTOS!$E8)&gt;0,MOVIMIENTOS!$E8&amp;" "&amp;MOVIMIENTOS!$D8,"")),"")</f>
        <v>30 sacos</v>
      </c>
      <c r="P9">
        <f t="shared" si="6"/>
        <v>3089</v>
      </c>
    </row>
    <row r="10" spans="1:16" x14ac:dyDescent="0.2">
      <c r="A10" s="7">
        <f t="shared" si="0"/>
        <v>46215</v>
      </c>
      <c r="B10" s="8" t="str">
        <f t="shared" si="1"/>
        <v>ENVÍO SUPESA cal. A</v>
      </c>
      <c r="C10" s="9" t="str">
        <f t="shared" si="2"/>
        <v/>
      </c>
      <c r="D10" s="9">
        <f t="shared" si="3"/>
        <v>1005</v>
      </c>
      <c r="E10" s="8" t="str">
        <f t="shared" si="4"/>
        <v>G-2977 67 jabas</v>
      </c>
      <c r="F10" s="9">
        <f t="shared" si="5"/>
        <v>1514</v>
      </c>
      <c r="J10" t="str">
        <f>IF(AND(MOVIMIENTOS!$B9&lt;&gt;"",NOT(AND(MOVIMIENTOS!$B9="PROCESO",MOVIMIENTOS!$C9&lt;&gt;"Chancho")),NOT(AND(MOVIMIENTOS!$B9="SALDO INICIAL",MOVIMIENTOS!$C9="Chancho"))),COUNT(J$5:J9)+1,"")</f>
        <v/>
      </c>
      <c r="K10" t="str">
        <f>IF(AND(MOVIMIENTOS!$B9&lt;&gt;"",NOT(AND(MOVIMIENTOS!$B9="PROCESO",MOVIMIENTOS!$C9&lt;&gt;"Chancho")),NOT(AND(MOVIMIENTOS!$B9="SALDO INICIAL",MOVIMIENTOS!$C9="Chancho"))),MOVIMIENTOS!$A9,"")</f>
        <v/>
      </c>
      <c r="L10" t="str">
        <f>IF(AND(MOVIMIENTOS!$B9&lt;&gt;"",NOT(AND(MOVIMIENTOS!$B9="PROCESO",MOVIMIENTOS!$C9&lt;&gt;"Chancho")),NOT(AND(MOVIMIENTOS!$B9="SALDO INICIAL",MOVIMIENTOS!$C9="Chancho"))),IF(MOVIMIENTOS!$B9="SALDO INICIAL","APERTURA ("&amp;MOVIMIENTOS!$C9&amp;")",IF(MOVIMIENTOS!$B9="COMPRA","INGRESO (compra)",IF(MOVIMIENTOS!$B9="PROCESO","CHANCHO (proceso)",IF(MOVIMIENTOS!$B9="ENVÍO A SUPESA","ENVÍO SUPESA cal. "&amp;MOVIMIENTOS!$C9,IF(MOVIMIENTOS!$B9="VENTA CHANCHO","VENTA CHANCHO",IF(MOVIMIENTOS!$B9="DEVOLUCIÓN","DEVOLUCIÓN cal. "&amp;MOVIMIENTOS!$C9,IF(MOVIMIENTOS!$B9="TRASIEGO","TRASIEGO cal. "&amp;MOVIMIENTOS!$C9,IF(MOVIMIENTOS!$B9="REGALO","REGALO "&amp;MOVIMIENTOS!$C9,IF(MOVIMIENTOS!$B9="VENTA","VENTA "&amp;MOVIMIENTOS!$C9,IF(MOVIMIENTOS!$B9="AJUSTE","AJUSTE inventario ("&amp;MOVIMIENTOS!$C9&amp;")",MOVIMIENTOS!$B9)))))))))),"")</f>
        <v/>
      </c>
      <c r="M10" t="str">
        <f>IF(AND(AND(MOVIMIENTOS!$B9&lt;&gt;"",NOT(AND(MOVIMIENTOS!$B9="PROCESO",MOVIMIENTOS!$C9&lt;&gt;"Chancho")),NOT(AND(MOVIMIENTOS!$B9="SALDO INICIAL",MOVIMIENTOS!$C9="Chancho"))),OR(MOVIMIENTOS!$B9="SALDO INICIAL",MOVIMIENTOS!$B9="COMPRA",MOVIMIENTOS!$B9="REPROCESO",AND(MOVIMIENTOS!$B9="AJUSTE",MOVIMIENTOS!$C9&lt;&gt;"Chancho",N(MOVIMIENTOS!$F9)&gt;=0))),N(MOVIMIENTOS!$F9),"")</f>
        <v/>
      </c>
      <c r="N10" t="str">
        <f>IF(AND(AND(MOVIMIENTOS!$B9&lt;&gt;"",NOT(AND(MOVIMIENTOS!$B9="PROCESO",MOVIMIENTOS!$C9&lt;&gt;"Chancho")),NOT(AND(MOVIMIENTOS!$B9="SALDO INICIAL",MOVIMIENTOS!$C9="Chancho"))),OR(MOVIMIENTOS!$B9="ENVÍO A SUPESA",MOVIMIENTOS!$B9="MALOGRADO",MOVIMIENTOS!$B9="OTRA SALIDA",MOVIMIENTOS!$B9="TRASIEGO",AND(MOVIMIENTOS!$B9="PROCESO",MOVIMIENTOS!$C9="Chancho"),AND(MOVIMIENTOS!$B9="REGALO",MOVIMIENTOS!$C9&lt;&gt;"Chancho"),AND(MOVIMIENTOS!$B9="VENTA",MOVIMIENTOS!$C9&lt;&gt;"Chancho"),AND(MOVIMIENTOS!$B9="AJUSTE",MOVIMIENTOS!$C9&lt;&gt;"Chancho",N(MOVIMIENTOS!$F9)&lt;0))),IF(MOVIMIENTOS!$B9="AJUSTE",-N(MOVIMIENTOS!$F9),N(MOVIMIENTOS!$F9)),"")</f>
        <v/>
      </c>
      <c r="O10" t="str">
        <f>IF(AND(MOVIMIENTOS!$B9&lt;&gt;"",NOT(AND(MOVIMIENTOS!$B9="PROCESO",MOVIMIENTOS!$C9&lt;&gt;"Chancho")),NOT(AND(MOVIMIENTOS!$B9="SALDO INICIAL",MOVIMIENTOS!$C9="Chancho"))),TRIM(IF(MOVIMIENTOS!$G9&lt;&gt;"",IF(MOVIMIENTOS!$B9="ENVÍO A SUPESA","G-"&amp;MOVIMIENTOS!$G9,MOVIMIENTOS!$G9)&amp;"  ","")&amp;IF(N(MOVIMIENTOS!$E9)&gt;0,MOVIMIENTOS!$E9&amp;" "&amp;MOVIMIENTOS!$D9,"")),"")</f>
        <v/>
      </c>
      <c r="P10">
        <f t="shared" si="6"/>
        <v>3089</v>
      </c>
    </row>
    <row r="11" spans="1:16" x14ac:dyDescent="0.2">
      <c r="A11" s="7">
        <f t="shared" si="0"/>
        <v>46215</v>
      </c>
      <c r="B11" s="8" t="str">
        <f t="shared" si="1"/>
        <v>ENVÍO SUPESA cal. P</v>
      </c>
      <c r="C11" s="9" t="str">
        <f t="shared" si="2"/>
        <v/>
      </c>
      <c r="D11" s="9">
        <f t="shared" si="3"/>
        <v>198</v>
      </c>
      <c r="E11" s="8" t="str">
        <f t="shared" si="4"/>
        <v>G-2977 11 jabas</v>
      </c>
      <c r="F11" s="9">
        <f t="shared" si="5"/>
        <v>1316</v>
      </c>
      <c r="J11" t="str">
        <f>IF(AND(MOVIMIENTOS!$B10&lt;&gt;"",NOT(AND(MOVIMIENTOS!$B10="PROCESO",MOVIMIENTOS!$C10&lt;&gt;"Chancho")),NOT(AND(MOVIMIENTOS!$B10="SALDO INICIAL",MOVIMIENTOS!$C10="Chancho"))),COUNT(J$5:J10)+1,"")</f>
        <v/>
      </c>
      <c r="K11" t="str">
        <f>IF(AND(MOVIMIENTOS!$B10&lt;&gt;"",NOT(AND(MOVIMIENTOS!$B10="PROCESO",MOVIMIENTOS!$C10&lt;&gt;"Chancho")),NOT(AND(MOVIMIENTOS!$B10="SALDO INICIAL",MOVIMIENTOS!$C10="Chancho"))),MOVIMIENTOS!$A10,"")</f>
        <v/>
      </c>
      <c r="L11" t="str">
        <f>IF(AND(MOVIMIENTOS!$B10&lt;&gt;"",NOT(AND(MOVIMIENTOS!$B10="PROCESO",MOVIMIENTOS!$C10&lt;&gt;"Chancho")),NOT(AND(MOVIMIENTOS!$B10="SALDO INICIAL",MOVIMIENTOS!$C10="Chancho"))),IF(MOVIMIENTOS!$B10="SALDO INICIAL","APERTURA ("&amp;MOVIMIENTOS!$C10&amp;")",IF(MOVIMIENTOS!$B10="COMPRA","INGRESO (compra)",IF(MOVIMIENTOS!$B10="PROCESO","CHANCHO (proceso)",IF(MOVIMIENTOS!$B10="ENVÍO A SUPESA","ENVÍO SUPESA cal. "&amp;MOVIMIENTOS!$C10,IF(MOVIMIENTOS!$B10="VENTA CHANCHO","VENTA CHANCHO",IF(MOVIMIENTOS!$B10="DEVOLUCIÓN","DEVOLUCIÓN cal. "&amp;MOVIMIENTOS!$C10,IF(MOVIMIENTOS!$B10="TRASIEGO","TRASIEGO cal. "&amp;MOVIMIENTOS!$C10,IF(MOVIMIENTOS!$B10="REGALO","REGALO "&amp;MOVIMIENTOS!$C10,IF(MOVIMIENTOS!$B10="VENTA","VENTA "&amp;MOVIMIENTOS!$C10,IF(MOVIMIENTOS!$B10="AJUSTE","AJUSTE inventario ("&amp;MOVIMIENTOS!$C10&amp;")",MOVIMIENTOS!$B10)))))))))),"")</f>
        <v/>
      </c>
      <c r="M11" t="str">
        <f>IF(AND(AND(MOVIMIENTOS!$B10&lt;&gt;"",NOT(AND(MOVIMIENTOS!$B10="PROCESO",MOVIMIENTOS!$C10&lt;&gt;"Chancho")),NOT(AND(MOVIMIENTOS!$B10="SALDO INICIAL",MOVIMIENTOS!$C10="Chancho"))),OR(MOVIMIENTOS!$B10="SALDO INICIAL",MOVIMIENTOS!$B10="COMPRA",MOVIMIENTOS!$B10="REPROCESO",AND(MOVIMIENTOS!$B10="AJUSTE",MOVIMIENTOS!$C10&lt;&gt;"Chancho",N(MOVIMIENTOS!$F10)&gt;=0))),N(MOVIMIENTOS!$F10),"")</f>
        <v/>
      </c>
      <c r="N11" t="str">
        <f>IF(AND(AND(MOVIMIENTOS!$B10&lt;&gt;"",NOT(AND(MOVIMIENTOS!$B10="PROCESO",MOVIMIENTOS!$C10&lt;&gt;"Chancho")),NOT(AND(MOVIMIENTOS!$B10="SALDO INICIAL",MOVIMIENTOS!$C10="Chancho"))),OR(MOVIMIENTOS!$B10="ENVÍO A SUPESA",MOVIMIENTOS!$B10="MALOGRADO",MOVIMIENTOS!$B10="OTRA SALIDA",MOVIMIENTOS!$B10="TRASIEGO",AND(MOVIMIENTOS!$B10="PROCESO",MOVIMIENTOS!$C10="Chancho"),AND(MOVIMIENTOS!$B10="REGALO",MOVIMIENTOS!$C10&lt;&gt;"Chancho"),AND(MOVIMIENTOS!$B10="VENTA",MOVIMIENTOS!$C10&lt;&gt;"Chancho"),AND(MOVIMIENTOS!$B10="AJUSTE",MOVIMIENTOS!$C10&lt;&gt;"Chancho",N(MOVIMIENTOS!$F10)&lt;0))),IF(MOVIMIENTOS!$B10="AJUSTE",-N(MOVIMIENTOS!$F10),N(MOVIMIENTOS!$F10)),"")</f>
        <v/>
      </c>
      <c r="O11" t="str">
        <f>IF(AND(MOVIMIENTOS!$B10&lt;&gt;"",NOT(AND(MOVIMIENTOS!$B10="PROCESO",MOVIMIENTOS!$C10&lt;&gt;"Chancho")),NOT(AND(MOVIMIENTOS!$B10="SALDO INICIAL",MOVIMIENTOS!$C10="Chancho"))),TRIM(IF(MOVIMIENTOS!$G10&lt;&gt;"",IF(MOVIMIENTOS!$B10="ENVÍO A SUPESA","G-"&amp;MOVIMIENTOS!$G10,MOVIMIENTOS!$G10)&amp;"  ","")&amp;IF(N(MOVIMIENTOS!$E10)&gt;0,MOVIMIENTOS!$E10&amp;" "&amp;MOVIMIENTOS!$D10,"")),"")</f>
        <v/>
      </c>
      <c r="P11">
        <f t="shared" si="6"/>
        <v>3089</v>
      </c>
    </row>
    <row r="12" spans="1:16" x14ac:dyDescent="0.2">
      <c r="A12" s="7">
        <f t="shared" si="0"/>
        <v>46215</v>
      </c>
      <c r="B12" s="8" t="str">
        <f t="shared" si="1"/>
        <v>ENVÍO SUPESA cal. C</v>
      </c>
      <c r="C12" s="9" t="str">
        <f t="shared" si="2"/>
        <v/>
      </c>
      <c r="D12" s="9">
        <f t="shared" si="3"/>
        <v>204</v>
      </c>
      <c r="E12" s="8" t="str">
        <f t="shared" si="4"/>
        <v>G-2977 12 jabas</v>
      </c>
      <c r="F12" s="9">
        <f t="shared" si="5"/>
        <v>1112</v>
      </c>
      <c r="J12" t="str">
        <f>IF(AND(MOVIMIENTOS!$B11&lt;&gt;"",NOT(AND(MOVIMIENTOS!$B11="PROCESO",MOVIMIENTOS!$C11&lt;&gt;"Chancho")),NOT(AND(MOVIMIENTOS!$B11="SALDO INICIAL",MOVIMIENTOS!$C11="Chancho"))),COUNT(J$5:J11)+1,"")</f>
        <v/>
      </c>
      <c r="K12" t="str">
        <f>IF(AND(MOVIMIENTOS!$B11&lt;&gt;"",NOT(AND(MOVIMIENTOS!$B11="PROCESO",MOVIMIENTOS!$C11&lt;&gt;"Chancho")),NOT(AND(MOVIMIENTOS!$B11="SALDO INICIAL",MOVIMIENTOS!$C11="Chancho"))),MOVIMIENTOS!$A11,"")</f>
        <v/>
      </c>
      <c r="L12" t="str">
        <f>IF(AND(MOVIMIENTOS!$B11&lt;&gt;"",NOT(AND(MOVIMIENTOS!$B11="PROCESO",MOVIMIENTOS!$C11&lt;&gt;"Chancho")),NOT(AND(MOVIMIENTOS!$B11="SALDO INICIAL",MOVIMIENTOS!$C11="Chancho"))),IF(MOVIMIENTOS!$B11="SALDO INICIAL","APERTURA ("&amp;MOVIMIENTOS!$C11&amp;")",IF(MOVIMIENTOS!$B11="COMPRA","INGRESO (compra)",IF(MOVIMIENTOS!$B11="PROCESO","CHANCHO (proceso)",IF(MOVIMIENTOS!$B11="ENVÍO A SUPESA","ENVÍO SUPESA cal. "&amp;MOVIMIENTOS!$C11,IF(MOVIMIENTOS!$B11="VENTA CHANCHO","VENTA CHANCHO",IF(MOVIMIENTOS!$B11="DEVOLUCIÓN","DEVOLUCIÓN cal. "&amp;MOVIMIENTOS!$C11,IF(MOVIMIENTOS!$B11="TRASIEGO","TRASIEGO cal. "&amp;MOVIMIENTOS!$C11,IF(MOVIMIENTOS!$B11="REGALO","REGALO "&amp;MOVIMIENTOS!$C11,IF(MOVIMIENTOS!$B11="VENTA","VENTA "&amp;MOVIMIENTOS!$C11,IF(MOVIMIENTOS!$B11="AJUSTE","AJUSTE inventario ("&amp;MOVIMIENTOS!$C11&amp;")",MOVIMIENTOS!$B11)))))))))),"")</f>
        <v/>
      </c>
      <c r="M12" t="str">
        <f>IF(AND(AND(MOVIMIENTOS!$B11&lt;&gt;"",NOT(AND(MOVIMIENTOS!$B11="PROCESO",MOVIMIENTOS!$C11&lt;&gt;"Chancho")),NOT(AND(MOVIMIENTOS!$B11="SALDO INICIAL",MOVIMIENTOS!$C11="Chancho"))),OR(MOVIMIENTOS!$B11="SALDO INICIAL",MOVIMIENTOS!$B11="COMPRA",MOVIMIENTOS!$B11="REPROCESO",AND(MOVIMIENTOS!$B11="AJUSTE",MOVIMIENTOS!$C11&lt;&gt;"Chancho",N(MOVIMIENTOS!$F11)&gt;=0))),N(MOVIMIENTOS!$F11),"")</f>
        <v/>
      </c>
      <c r="N12" t="str">
        <f>IF(AND(AND(MOVIMIENTOS!$B11&lt;&gt;"",NOT(AND(MOVIMIENTOS!$B11="PROCESO",MOVIMIENTOS!$C11&lt;&gt;"Chancho")),NOT(AND(MOVIMIENTOS!$B11="SALDO INICIAL",MOVIMIENTOS!$C11="Chancho"))),OR(MOVIMIENTOS!$B11="ENVÍO A SUPESA",MOVIMIENTOS!$B11="MALOGRADO",MOVIMIENTOS!$B11="OTRA SALIDA",MOVIMIENTOS!$B11="TRASIEGO",AND(MOVIMIENTOS!$B11="PROCESO",MOVIMIENTOS!$C11="Chancho"),AND(MOVIMIENTOS!$B11="REGALO",MOVIMIENTOS!$C11&lt;&gt;"Chancho"),AND(MOVIMIENTOS!$B11="VENTA",MOVIMIENTOS!$C11&lt;&gt;"Chancho"),AND(MOVIMIENTOS!$B11="AJUSTE",MOVIMIENTOS!$C11&lt;&gt;"Chancho",N(MOVIMIENTOS!$F11)&lt;0))),IF(MOVIMIENTOS!$B11="AJUSTE",-N(MOVIMIENTOS!$F11),N(MOVIMIENTOS!$F11)),"")</f>
        <v/>
      </c>
      <c r="O12" t="str">
        <f>IF(AND(MOVIMIENTOS!$B11&lt;&gt;"",NOT(AND(MOVIMIENTOS!$B11="PROCESO",MOVIMIENTOS!$C11&lt;&gt;"Chancho")),NOT(AND(MOVIMIENTOS!$B11="SALDO INICIAL",MOVIMIENTOS!$C11="Chancho"))),TRIM(IF(MOVIMIENTOS!$G11&lt;&gt;"",IF(MOVIMIENTOS!$B11="ENVÍO A SUPESA","G-"&amp;MOVIMIENTOS!$G11,MOVIMIENTOS!$G11)&amp;"  ","")&amp;IF(N(MOVIMIENTOS!$E11)&gt;0,MOVIMIENTOS!$E11&amp;" "&amp;MOVIMIENTOS!$D11,"")),"")</f>
        <v/>
      </c>
      <c r="P12">
        <f t="shared" si="6"/>
        <v>3089</v>
      </c>
    </row>
    <row r="13" spans="1:16" x14ac:dyDescent="0.2">
      <c r="A13" s="7">
        <f t="shared" si="0"/>
        <v>46215</v>
      </c>
      <c r="B13" s="8" t="str">
        <f t="shared" si="1"/>
        <v>ENVÍO SUPESA cal. M</v>
      </c>
      <c r="C13" s="9" t="str">
        <f t="shared" si="2"/>
        <v/>
      </c>
      <c r="D13" s="9">
        <f t="shared" si="3"/>
        <v>714</v>
      </c>
      <c r="E13" s="8" t="str">
        <f t="shared" si="4"/>
        <v>G-2977 42 jabas</v>
      </c>
      <c r="F13" s="9">
        <f t="shared" si="5"/>
        <v>398</v>
      </c>
      <c r="J13" t="str">
        <f>IF(AND(MOVIMIENTOS!$B12&lt;&gt;"",NOT(AND(MOVIMIENTOS!$B12="PROCESO",MOVIMIENTOS!$C12&lt;&gt;"Chancho")),NOT(AND(MOVIMIENTOS!$B12="SALDO INICIAL",MOVIMIENTOS!$C12="Chancho"))),COUNT(J$5:J12)+1,"")</f>
        <v/>
      </c>
      <c r="K13" t="str">
        <f>IF(AND(MOVIMIENTOS!$B12&lt;&gt;"",NOT(AND(MOVIMIENTOS!$B12="PROCESO",MOVIMIENTOS!$C12&lt;&gt;"Chancho")),NOT(AND(MOVIMIENTOS!$B12="SALDO INICIAL",MOVIMIENTOS!$C12="Chancho"))),MOVIMIENTOS!$A12,"")</f>
        <v/>
      </c>
      <c r="L13" t="str">
        <f>IF(AND(MOVIMIENTOS!$B12&lt;&gt;"",NOT(AND(MOVIMIENTOS!$B12="PROCESO",MOVIMIENTOS!$C12&lt;&gt;"Chancho")),NOT(AND(MOVIMIENTOS!$B12="SALDO INICIAL",MOVIMIENTOS!$C12="Chancho"))),IF(MOVIMIENTOS!$B12="SALDO INICIAL","APERTURA ("&amp;MOVIMIENTOS!$C12&amp;")",IF(MOVIMIENTOS!$B12="COMPRA","INGRESO (compra)",IF(MOVIMIENTOS!$B12="PROCESO","CHANCHO (proceso)",IF(MOVIMIENTOS!$B12="ENVÍO A SUPESA","ENVÍO SUPESA cal. "&amp;MOVIMIENTOS!$C12,IF(MOVIMIENTOS!$B12="VENTA CHANCHO","VENTA CHANCHO",IF(MOVIMIENTOS!$B12="DEVOLUCIÓN","DEVOLUCIÓN cal. "&amp;MOVIMIENTOS!$C12,IF(MOVIMIENTOS!$B12="TRASIEGO","TRASIEGO cal. "&amp;MOVIMIENTOS!$C12,IF(MOVIMIENTOS!$B12="REGALO","REGALO "&amp;MOVIMIENTOS!$C12,IF(MOVIMIENTOS!$B12="VENTA","VENTA "&amp;MOVIMIENTOS!$C12,IF(MOVIMIENTOS!$B12="AJUSTE","AJUSTE inventario ("&amp;MOVIMIENTOS!$C12&amp;")",MOVIMIENTOS!$B12)))))))))),"")</f>
        <v/>
      </c>
      <c r="M13" t="str">
        <f>IF(AND(AND(MOVIMIENTOS!$B12&lt;&gt;"",NOT(AND(MOVIMIENTOS!$B12="PROCESO",MOVIMIENTOS!$C12&lt;&gt;"Chancho")),NOT(AND(MOVIMIENTOS!$B12="SALDO INICIAL",MOVIMIENTOS!$C12="Chancho"))),OR(MOVIMIENTOS!$B12="SALDO INICIAL",MOVIMIENTOS!$B12="COMPRA",MOVIMIENTOS!$B12="REPROCESO",AND(MOVIMIENTOS!$B12="AJUSTE",MOVIMIENTOS!$C12&lt;&gt;"Chancho",N(MOVIMIENTOS!$F12)&gt;=0))),N(MOVIMIENTOS!$F12),"")</f>
        <v/>
      </c>
      <c r="N13" t="str">
        <f>IF(AND(AND(MOVIMIENTOS!$B12&lt;&gt;"",NOT(AND(MOVIMIENTOS!$B12="PROCESO",MOVIMIENTOS!$C12&lt;&gt;"Chancho")),NOT(AND(MOVIMIENTOS!$B12="SALDO INICIAL",MOVIMIENTOS!$C12="Chancho"))),OR(MOVIMIENTOS!$B12="ENVÍO A SUPESA",MOVIMIENTOS!$B12="MALOGRADO",MOVIMIENTOS!$B12="OTRA SALIDA",MOVIMIENTOS!$B12="TRASIEGO",AND(MOVIMIENTOS!$B12="PROCESO",MOVIMIENTOS!$C12="Chancho"),AND(MOVIMIENTOS!$B12="REGALO",MOVIMIENTOS!$C12&lt;&gt;"Chancho"),AND(MOVIMIENTOS!$B12="VENTA",MOVIMIENTOS!$C12&lt;&gt;"Chancho"),AND(MOVIMIENTOS!$B12="AJUSTE",MOVIMIENTOS!$C12&lt;&gt;"Chancho",N(MOVIMIENTOS!$F12)&lt;0))),IF(MOVIMIENTOS!$B12="AJUSTE",-N(MOVIMIENTOS!$F12),N(MOVIMIENTOS!$F12)),"")</f>
        <v/>
      </c>
      <c r="O13" t="str">
        <f>IF(AND(MOVIMIENTOS!$B12&lt;&gt;"",NOT(AND(MOVIMIENTOS!$B12="PROCESO",MOVIMIENTOS!$C12&lt;&gt;"Chancho")),NOT(AND(MOVIMIENTOS!$B12="SALDO INICIAL",MOVIMIENTOS!$C12="Chancho"))),TRIM(IF(MOVIMIENTOS!$G12&lt;&gt;"",IF(MOVIMIENTOS!$B12="ENVÍO A SUPESA","G-"&amp;MOVIMIENTOS!$G12,MOVIMIENTOS!$G12)&amp;"  ","")&amp;IF(N(MOVIMIENTOS!$E12)&gt;0,MOVIMIENTOS!$E12&amp;" "&amp;MOVIMIENTOS!$D12,"")),"")</f>
        <v/>
      </c>
      <c r="P13">
        <f t="shared" si="6"/>
        <v>3089</v>
      </c>
    </row>
    <row r="14" spans="1:16" x14ac:dyDescent="0.2">
      <c r="A14" s="7">
        <f t="shared" si="0"/>
        <v>46216</v>
      </c>
      <c r="B14" s="8" t="str">
        <f t="shared" si="1"/>
        <v>INGRESO (compra)</v>
      </c>
      <c r="C14" s="9">
        <f t="shared" si="2"/>
        <v>3800</v>
      </c>
      <c r="D14" s="9" t="str">
        <f t="shared" si="3"/>
        <v/>
      </c>
      <c r="E14" s="8" t="str">
        <f t="shared" si="4"/>
        <v>40 sacos</v>
      </c>
      <c r="F14" s="9">
        <f t="shared" si="5"/>
        <v>4198</v>
      </c>
      <c r="J14">
        <f>IF(AND(MOVIMIENTOS!$B13&lt;&gt;"",NOT(AND(MOVIMIENTOS!$B13="PROCESO",MOVIMIENTOS!$C13&lt;&gt;"Chancho")),NOT(AND(MOVIMIENTOS!$B13="SALDO INICIAL",MOVIMIENTOS!$C13="Chancho"))),COUNT(J$5:J13)+1,"")</f>
        <v>4</v>
      </c>
      <c r="K14" s="10">
        <f>IF(AND(MOVIMIENTOS!$B13&lt;&gt;"",NOT(AND(MOVIMIENTOS!$B13="PROCESO",MOVIMIENTOS!$C13&lt;&gt;"Chancho")),NOT(AND(MOVIMIENTOS!$B13="SALDO INICIAL",MOVIMIENTOS!$C13="Chancho"))),MOVIMIENTOS!$A13,"")</f>
        <v>46215</v>
      </c>
      <c r="L14" t="str">
        <f>IF(AND(MOVIMIENTOS!$B13&lt;&gt;"",NOT(AND(MOVIMIENTOS!$B13="PROCESO",MOVIMIENTOS!$C13&lt;&gt;"Chancho")),NOT(AND(MOVIMIENTOS!$B13="SALDO INICIAL",MOVIMIENTOS!$C13="Chancho"))),IF(MOVIMIENTOS!$B13="SALDO INICIAL","APERTURA ("&amp;MOVIMIENTOS!$C13&amp;")",IF(MOVIMIENTOS!$B13="COMPRA","INGRESO (compra)",IF(MOVIMIENTOS!$B13="PROCESO","CHANCHO (proceso)",IF(MOVIMIENTOS!$B13="ENVÍO A SUPESA","ENVÍO SUPESA cal. "&amp;MOVIMIENTOS!$C13,IF(MOVIMIENTOS!$B13="VENTA CHANCHO","VENTA CHANCHO",IF(MOVIMIENTOS!$B13="DEVOLUCIÓN","DEVOLUCIÓN cal. "&amp;MOVIMIENTOS!$C13,IF(MOVIMIENTOS!$B13="TRASIEGO","TRASIEGO cal. "&amp;MOVIMIENTOS!$C13,IF(MOVIMIENTOS!$B13="REGALO","REGALO "&amp;MOVIMIENTOS!$C13,IF(MOVIMIENTOS!$B13="VENTA","VENTA "&amp;MOVIMIENTOS!$C13,IF(MOVIMIENTOS!$B13="AJUSTE","AJUSTE inventario ("&amp;MOVIMIENTOS!$C13&amp;")",MOVIMIENTOS!$B13)))))))))),"")</f>
        <v>CHANCHO (proceso)</v>
      </c>
      <c r="M14" t="str">
        <f>IF(AND(AND(MOVIMIENTOS!$B13&lt;&gt;"",NOT(AND(MOVIMIENTOS!$B13="PROCESO",MOVIMIENTOS!$C13&lt;&gt;"Chancho")),NOT(AND(MOVIMIENTOS!$B13="SALDO INICIAL",MOVIMIENTOS!$C13="Chancho"))),OR(MOVIMIENTOS!$B13="SALDO INICIAL",MOVIMIENTOS!$B13="COMPRA",MOVIMIENTOS!$B13="REPROCESO",AND(MOVIMIENTOS!$B13="AJUSTE",MOVIMIENTOS!$C13&lt;&gt;"Chancho",N(MOVIMIENTOS!$F13)&gt;=0))),N(MOVIMIENTOS!$F13),"")</f>
        <v/>
      </c>
      <c r="N14">
        <f>IF(AND(AND(MOVIMIENTOS!$B13&lt;&gt;"",NOT(AND(MOVIMIENTOS!$B13="PROCESO",MOVIMIENTOS!$C13&lt;&gt;"Chancho")),NOT(AND(MOVIMIENTOS!$B13="SALDO INICIAL",MOVIMIENTOS!$C13="Chancho"))),OR(MOVIMIENTOS!$B13="ENVÍO A SUPESA",MOVIMIENTOS!$B13="MALOGRADO",MOVIMIENTOS!$B13="OTRA SALIDA",MOVIMIENTOS!$B13="TRASIEGO",AND(MOVIMIENTOS!$B13="PROCESO",MOVIMIENTOS!$C13="Chancho"),AND(MOVIMIENTOS!$B13="REGALO",MOVIMIENTOS!$C13&lt;&gt;"Chancho"),AND(MOVIMIENTOS!$B13="VENTA",MOVIMIENTOS!$C13&lt;&gt;"Chancho"),AND(MOVIMIENTOS!$B13="AJUSTE",MOVIMIENTOS!$C13&lt;&gt;"Chancho",N(MOVIMIENTOS!$F13)&lt;0))),IF(MOVIMIENTOS!$B13="AJUSTE",-N(MOVIMIENTOS!$F13),N(MOVIMIENTOS!$F13)),"")</f>
        <v>570</v>
      </c>
      <c r="O14" t="str">
        <f>IF(AND(MOVIMIENTOS!$B13&lt;&gt;"",NOT(AND(MOVIMIENTOS!$B13="PROCESO",MOVIMIENTOS!$C13&lt;&gt;"Chancho")),NOT(AND(MOVIMIENTOS!$B13="SALDO INICIAL",MOVIMIENTOS!$C13="Chancho"))),TRIM(IF(MOVIMIENTOS!$G13&lt;&gt;"",IF(MOVIMIENTOS!$B13="ENVÍO A SUPESA","G-"&amp;MOVIMIENTOS!$G13,MOVIMIENTOS!$G13)&amp;"  ","")&amp;IF(N(MOVIMIENTOS!$E13)&gt;0,MOVIMIENTOS!$E13&amp;" "&amp;MOVIMIENTOS!$D13,"")),"")</f>
        <v>6 sacos</v>
      </c>
      <c r="P14">
        <f t="shared" si="6"/>
        <v>2519</v>
      </c>
    </row>
    <row r="15" spans="1:16" x14ac:dyDescent="0.2">
      <c r="A15" s="7">
        <f t="shared" si="0"/>
        <v>46216</v>
      </c>
      <c r="B15" s="8" t="str">
        <f t="shared" si="1"/>
        <v>CHANCHO (proceso)</v>
      </c>
      <c r="C15" s="9" t="str">
        <f t="shared" si="2"/>
        <v/>
      </c>
      <c r="D15" s="9">
        <f t="shared" si="3"/>
        <v>190</v>
      </c>
      <c r="E15" s="8" t="str">
        <f t="shared" si="4"/>
        <v>2 sacos</v>
      </c>
      <c r="F15" s="9">
        <f t="shared" si="5"/>
        <v>4008</v>
      </c>
      <c r="J15">
        <f>IF(AND(MOVIMIENTOS!$B14&lt;&gt;"",NOT(AND(MOVIMIENTOS!$B14="PROCESO",MOVIMIENTOS!$C14&lt;&gt;"Chancho")),NOT(AND(MOVIMIENTOS!$B14="SALDO INICIAL",MOVIMIENTOS!$C14="Chancho"))),COUNT(J$5:J14)+1,"")</f>
        <v>5</v>
      </c>
      <c r="K15" s="10">
        <f>IF(AND(MOVIMIENTOS!$B14&lt;&gt;"",NOT(AND(MOVIMIENTOS!$B14="PROCESO",MOVIMIENTOS!$C14&lt;&gt;"Chancho")),NOT(AND(MOVIMIENTOS!$B14="SALDO INICIAL",MOVIMIENTOS!$C14="Chancho"))),MOVIMIENTOS!$A14,"")</f>
        <v>46215</v>
      </c>
      <c r="L15" t="str">
        <f>IF(AND(MOVIMIENTOS!$B14&lt;&gt;"",NOT(AND(MOVIMIENTOS!$B14="PROCESO",MOVIMIENTOS!$C14&lt;&gt;"Chancho")),NOT(AND(MOVIMIENTOS!$B14="SALDO INICIAL",MOVIMIENTOS!$C14="Chancho"))),IF(MOVIMIENTOS!$B14="SALDO INICIAL","APERTURA ("&amp;MOVIMIENTOS!$C14&amp;")",IF(MOVIMIENTOS!$B14="COMPRA","INGRESO (compra)",IF(MOVIMIENTOS!$B14="PROCESO","CHANCHO (proceso)",IF(MOVIMIENTOS!$B14="ENVÍO A SUPESA","ENVÍO SUPESA cal. "&amp;MOVIMIENTOS!$C14,IF(MOVIMIENTOS!$B14="VENTA CHANCHO","VENTA CHANCHO",IF(MOVIMIENTOS!$B14="DEVOLUCIÓN","DEVOLUCIÓN cal. "&amp;MOVIMIENTOS!$C14,IF(MOVIMIENTOS!$B14="TRASIEGO","TRASIEGO cal. "&amp;MOVIMIENTOS!$C14,IF(MOVIMIENTOS!$B14="REGALO","REGALO "&amp;MOVIMIENTOS!$C14,IF(MOVIMIENTOS!$B14="VENTA","VENTA "&amp;MOVIMIENTOS!$C14,IF(MOVIMIENTOS!$B14="AJUSTE","AJUSTE inventario ("&amp;MOVIMIENTOS!$C14&amp;")",MOVIMIENTOS!$B14)))))))))),"")</f>
        <v>ENVÍO SUPESA cal. A</v>
      </c>
      <c r="M15" t="str">
        <f>IF(AND(AND(MOVIMIENTOS!$B14&lt;&gt;"",NOT(AND(MOVIMIENTOS!$B14="PROCESO",MOVIMIENTOS!$C14&lt;&gt;"Chancho")),NOT(AND(MOVIMIENTOS!$B14="SALDO INICIAL",MOVIMIENTOS!$C14="Chancho"))),OR(MOVIMIENTOS!$B14="SALDO INICIAL",MOVIMIENTOS!$B14="COMPRA",MOVIMIENTOS!$B14="REPROCESO",AND(MOVIMIENTOS!$B14="AJUSTE",MOVIMIENTOS!$C14&lt;&gt;"Chancho",N(MOVIMIENTOS!$F14)&gt;=0))),N(MOVIMIENTOS!$F14),"")</f>
        <v/>
      </c>
      <c r="N15">
        <f>IF(AND(AND(MOVIMIENTOS!$B14&lt;&gt;"",NOT(AND(MOVIMIENTOS!$B14="PROCESO",MOVIMIENTOS!$C14&lt;&gt;"Chancho")),NOT(AND(MOVIMIENTOS!$B14="SALDO INICIAL",MOVIMIENTOS!$C14="Chancho"))),OR(MOVIMIENTOS!$B14="ENVÍO A SUPESA",MOVIMIENTOS!$B14="MALOGRADO",MOVIMIENTOS!$B14="OTRA SALIDA",MOVIMIENTOS!$B14="TRASIEGO",AND(MOVIMIENTOS!$B14="PROCESO",MOVIMIENTOS!$C14="Chancho"),AND(MOVIMIENTOS!$B14="REGALO",MOVIMIENTOS!$C14&lt;&gt;"Chancho"),AND(MOVIMIENTOS!$B14="VENTA",MOVIMIENTOS!$C14&lt;&gt;"Chancho"),AND(MOVIMIENTOS!$B14="AJUSTE",MOVIMIENTOS!$C14&lt;&gt;"Chancho",N(MOVIMIENTOS!$F14)&lt;0))),IF(MOVIMIENTOS!$B14="AJUSTE",-N(MOVIMIENTOS!$F14),N(MOVIMIENTOS!$F14)),"")</f>
        <v>1005</v>
      </c>
      <c r="O15" t="str">
        <f>IF(AND(MOVIMIENTOS!$B14&lt;&gt;"",NOT(AND(MOVIMIENTOS!$B14="PROCESO",MOVIMIENTOS!$C14&lt;&gt;"Chancho")),NOT(AND(MOVIMIENTOS!$B14="SALDO INICIAL",MOVIMIENTOS!$C14="Chancho"))),TRIM(IF(MOVIMIENTOS!$G14&lt;&gt;"",IF(MOVIMIENTOS!$B14="ENVÍO A SUPESA","G-"&amp;MOVIMIENTOS!$G14,MOVIMIENTOS!$G14)&amp;"  ","")&amp;IF(N(MOVIMIENTOS!$E14)&gt;0,MOVIMIENTOS!$E14&amp;" "&amp;MOVIMIENTOS!$D14,"")),"")</f>
        <v>G-2977 67 jabas</v>
      </c>
      <c r="P15">
        <f t="shared" si="6"/>
        <v>1514</v>
      </c>
    </row>
    <row r="16" spans="1:16" x14ac:dyDescent="0.2">
      <c r="A16" s="7">
        <f t="shared" si="0"/>
        <v>46216</v>
      </c>
      <c r="B16" s="8" t="str">
        <f t="shared" si="1"/>
        <v>ENVÍO SUPESA cal. A</v>
      </c>
      <c r="C16" s="9" t="str">
        <f t="shared" si="2"/>
        <v/>
      </c>
      <c r="D16" s="9">
        <f t="shared" si="3"/>
        <v>1005</v>
      </c>
      <c r="E16" s="8" t="str">
        <f t="shared" si="4"/>
        <v>G-2980 67 jabas</v>
      </c>
      <c r="F16" s="9">
        <f t="shared" si="5"/>
        <v>3003</v>
      </c>
      <c r="J16">
        <f>IF(AND(MOVIMIENTOS!$B15&lt;&gt;"",NOT(AND(MOVIMIENTOS!$B15="PROCESO",MOVIMIENTOS!$C15&lt;&gt;"Chancho")),NOT(AND(MOVIMIENTOS!$B15="SALDO INICIAL",MOVIMIENTOS!$C15="Chancho"))),COUNT(J$5:J15)+1,"")</f>
        <v>6</v>
      </c>
      <c r="K16" s="10">
        <f>IF(AND(MOVIMIENTOS!$B15&lt;&gt;"",NOT(AND(MOVIMIENTOS!$B15="PROCESO",MOVIMIENTOS!$C15&lt;&gt;"Chancho")),NOT(AND(MOVIMIENTOS!$B15="SALDO INICIAL",MOVIMIENTOS!$C15="Chancho"))),MOVIMIENTOS!$A15,"")</f>
        <v>46215</v>
      </c>
      <c r="L16" t="str">
        <f>IF(AND(MOVIMIENTOS!$B15&lt;&gt;"",NOT(AND(MOVIMIENTOS!$B15="PROCESO",MOVIMIENTOS!$C15&lt;&gt;"Chancho")),NOT(AND(MOVIMIENTOS!$B15="SALDO INICIAL",MOVIMIENTOS!$C15="Chancho"))),IF(MOVIMIENTOS!$B15="SALDO INICIAL","APERTURA ("&amp;MOVIMIENTOS!$C15&amp;")",IF(MOVIMIENTOS!$B15="COMPRA","INGRESO (compra)",IF(MOVIMIENTOS!$B15="PROCESO","CHANCHO (proceso)",IF(MOVIMIENTOS!$B15="ENVÍO A SUPESA","ENVÍO SUPESA cal. "&amp;MOVIMIENTOS!$C15,IF(MOVIMIENTOS!$B15="VENTA CHANCHO","VENTA CHANCHO",IF(MOVIMIENTOS!$B15="DEVOLUCIÓN","DEVOLUCIÓN cal. "&amp;MOVIMIENTOS!$C15,IF(MOVIMIENTOS!$B15="TRASIEGO","TRASIEGO cal. "&amp;MOVIMIENTOS!$C15,IF(MOVIMIENTOS!$B15="REGALO","REGALO "&amp;MOVIMIENTOS!$C15,IF(MOVIMIENTOS!$B15="VENTA","VENTA "&amp;MOVIMIENTOS!$C15,IF(MOVIMIENTOS!$B15="AJUSTE","AJUSTE inventario ("&amp;MOVIMIENTOS!$C15&amp;")",MOVIMIENTOS!$B15)))))))))),"")</f>
        <v>ENVÍO SUPESA cal. P</v>
      </c>
      <c r="M16" t="str">
        <f>IF(AND(AND(MOVIMIENTOS!$B15&lt;&gt;"",NOT(AND(MOVIMIENTOS!$B15="PROCESO",MOVIMIENTOS!$C15&lt;&gt;"Chancho")),NOT(AND(MOVIMIENTOS!$B15="SALDO INICIAL",MOVIMIENTOS!$C15="Chancho"))),OR(MOVIMIENTOS!$B15="SALDO INICIAL",MOVIMIENTOS!$B15="COMPRA",MOVIMIENTOS!$B15="REPROCESO",AND(MOVIMIENTOS!$B15="AJUSTE",MOVIMIENTOS!$C15&lt;&gt;"Chancho",N(MOVIMIENTOS!$F15)&gt;=0))),N(MOVIMIENTOS!$F15),"")</f>
        <v/>
      </c>
      <c r="N16">
        <f>IF(AND(AND(MOVIMIENTOS!$B15&lt;&gt;"",NOT(AND(MOVIMIENTOS!$B15="PROCESO",MOVIMIENTOS!$C15&lt;&gt;"Chancho")),NOT(AND(MOVIMIENTOS!$B15="SALDO INICIAL",MOVIMIENTOS!$C15="Chancho"))),OR(MOVIMIENTOS!$B15="ENVÍO A SUPESA",MOVIMIENTOS!$B15="MALOGRADO",MOVIMIENTOS!$B15="OTRA SALIDA",MOVIMIENTOS!$B15="TRASIEGO",AND(MOVIMIENTOS!$B15="PROCESO",MOVIMIENTOS!$C15="Chancho"),AND(MOVIMIENTOS!$B15="REGALO",MOVIMIENTOS!$C15&lt;&gt;"Chancho"),AND(MOVIMIENTOS!$B15="VENTA",MOVIMIENTOS!$C15&lt;&gt;"Chancho"),AND(MOVIMIENTOS!$B15="AJUSTE",MOVIMIENTOS!$C15&lt;&gt;"Chancho",N(MOVIMIENTOS!$F15)&lt;0))),IF(MOVIMIENTOS!$B15="AJUSTE",-N(MOVIMIENTOS!$F15),N(MOVIMIENTOS!$F15)),"")</f>
        <v>198</v>
      </c>
      <c r="O16" t="str">
        <f>IF(AND(MOVIMIENTOS!$B15&lt;&gt;"",NOT(AND(MOVIMIENTOS!$B15="PROCESO",MOVIMIENTOS!$C15&lt;&gt;"Chancho")),NOT(AND(MOVIMIENTOS!$B15="SALDO INICIAL",MOVIMIENTOS!$C15="Chancho"))),TRIM(IF(MOVIMIENTOS!$G15&lt;&gt;"",IF(MOVIMIENTOS!$B15="ENVÍO A SUPESA","G-"&amp;MOVIMIENTOS!$G15,MOVIMIENTOS!$G15)&amp;"  ","")&amp;IF(N(MOVIMIENTOS!$E15)&gt;0,MOVIMIENTOS!$E15&amp;" "&amp;MOVIMIENTOS!$D15,"")),"")</f>
        <v>G-2977 11 jabas</v>
      </c>
      <c r="P16">
        <f t="shared" si="6"/>
        <v>1316</v>
      </c>
    </row>
    <row r="17" spans="1:16" x14ac:dyDescent="0.2">
      <c r="A17" s="7">
        <f t="shared" si="0"/>
        <v>46216</v>
      </c>
      <c r="B17" s="8" t="str">
        <f t="shared" si="1"/>
        <v>ENVÍO SUPESA cal. P</v>
      </c>
      <c r="C17" s="9" t="str">
        <f t="shared" si="2"/>
        <v/>
      </c>
      <c r="D17" s="9">
        <f t="shared" si="3"/>
        <v>198</v>
      </c>
      <c r="E17" s="8" t="str">
        <f t="shared" si="4"/>
        <v>G-2980 11 jabas</v>
      </c>
      <c r="F17" s="9">
        <f t="shared" si="5"/>
        <v>2805</v>
      </c>
      <c r="J17">
        <f>IF(AND(MOVIMIENTOS!$B16&lt;&gt;"",NOT(AND(MOVIMIENTOS!$B16="PROCESO",MOVIMIENTOS!$C16&lt;&gt;"Chancho")),NOT(AND(MOVIMIENTOS!$B16="SALDO INICIAL",MOVIMIENTOS!$C16="Chancho"))),COUNT(J$5:J16)+1,"")</f>
        <v>7</v>
      </c>
      <c r="K17" s="10">
        <f>IF(AND(MOVIMIENTOS!$B16&lt;&gt;"",NOT(AND(MOVIMIENTOS!$B16="PROCESO",MOVIMIENTOS!$C16&lt;&gt;"Chancho")),NOT(AND(MOVIMIENTOS!$B16="SALDO INICIAL",MOVIMIENTOS!$C16="Chancho"))),MOVIMIENTOS!$A16,"")</f>
        <v>46215</v>
      </c>
      <c r="L17" t="str">
        <f>IF(AND(MOVIMIENTOS!$B16&lt;&gt;"",NOT(AND(MOVIMIENTOS!$B16="PROCESO",MOVIMIENTOS!$C16&lt;&gt;"Chancho")),NOT(AND(MOVIMIENTOS!$B16="SALDO INICIAL",MOVIMIENTOS!$C16="Chancho"))),IF(MOVIMIENTOS!$B16="SALDO INICIAL","APERTURA ("&amp;MOVIMIENTOS!$C16&amp;")",IF(MOVIMIENTOS!$B16="COMPRA","INGRESO (compra)",IF(MOVIMIENTOS!$B16="PROCESO","CHANCHO (proceso)",IF(MOVIMIENTOS!$B16="ENVÍO A SUPESA","ENVÍO SUPESA cal. "&amp;MOVIMIENTOS!$C16,IF(MOVIMIENTOS!$B16="VENTA CHANCHO","VENTA CHANCHO",IF(MOVIMIENTOS!$B16="DEVOLUCIÓN","DEVOLUCIÓN cal. "&amp;MOVIMIENTOS!$C16,IF(MOVIMIENTOS!$B16="TRASIEGO","TRASIEGO cal. "&amp;MOVIMIENTOS!$C16,IF(MOVIMIENTOS!$B16="REGALO","REGALO "&amp;MOVIMIENTOS!$C16,IF(MOVIMIENTOS!$B16="VENTA","VENTA "&amp;MOVIMIENTOS!$C16,IF(MOVIMIENTOS!$B16="AJUSTE","AJUSTE inventario ("&amp;MOVIMIENTOS!$C16&amp;")",MOVIMIENTOS!$B16)))))))))),"")</f>
        <v>ENVÍO SUPESA cal. C</v>
      </c>
      <c r="M17" t="str">
        <f>IF(AND(AND(MOVIMIENTOS!$B16&lt;&gt;"",NOT(AND(MOVIMIENTOS!$B16="PROCESO",MOVIMIENTOS!$C16&lt;&gt;"Chancho")),NOT(AND(MOVIMIENTOS!$B16="SALDO INICIAL",MOVIMIENTOS!$C16="Chancho"))),OR(MOVIMIENTOS!$B16="SALDO INICIAL",MOVIMIENTOS!$B16="COMPRA",MOVIMIENTOS!$B16="REPROCESO",AND(MOVIMIENTOS!$B16="AJUSTE",MOVIMIENTOS!$C16&lt;&gt;"Chancho",N(MOVIMIENTOS!$F16)&gt;=0))),N(MOVIMIENTOS!$F16),"")</f>
        <v/>
      </c>
      <c r="N17">
        <f>IF(AND(AND(MOVIMIENTOS!$B16&lt;&gt;"",NOT(AND(MOVIMIENTOS!$B16="PROCESO",MOVIMIENTOS!$C16&lt;&gt;"Chancho")),NOT(AND(MOVIMIENTOS!$B16="SALDO INICIAL",MOVIMIENTOS!$C16="Chancho"))),OR(MOVIMIENTOS!$B16="ENVÍO A SUPESA",MOVIMIENTOS!$B16="MALOGRADO",MOVIMIENTOS!$B16="OTRA SALIDA",MOVIMIENTOS!$B16="TRASIEGO",AND(MOVIMIENTOS!$B16="PROCESO",MOVIMIENTOS!$C16="Chancho"),AND(MOVIMIENTOS!$B16="REGALO",MOVIMIENTOS!$C16&lt;&gt;"Chancho"),AND(MOVIMIENTOS!$B16="VENTA",MOVIMIENTOS!$C16&lt;&gt;"Chancho"),AND(MOVIMIENTOS!$B16="AJUSTE",MOVIMIENTOS!$C16&lt;&gt;"Chancho",N(MOVIMIENTOS!$F16)&lt;0))),IF(MOVIMIENTOS!$B16="AJUSTE",-N(MOVIMIENTOS!$F16),N(MOVIMIENTOS!$F16)),"")</f>
        <v>204</v>
      </c>
      <c r="O17" t="str">
        <f>IF(AND(MOVIMIENTOS!$B16&lt;&gt;"",NOT(AND(MOVIMIENTOS!$B16="PROCESO",MOVIMIENTOS!$C16&lt;&gt;"Chancho")),NOT(AND(MOVIMIENTOS!$B16="SALDO INICIAL",MOVIMIENTOS!$C16="Chancho"))),TRIM(IF(MOVIMIENTOS!$G16&lt;&gt;"",IF(MOVIMIENTOS!$B16="ENVÍO A SUPESA","G-"&amp;MOVIMIENTOS!$G16,MOVIMIENTOS!$G16)&amp;"  ","")&amp;IF(N(MOVIMIENTOS!$E16)&gt;0,MOVIMIENTOS!$E16&amp;" "&amp;MOVIMIENTOS!$D16,"")),"")</f>
        <v>G-2977 12 jabas</v>
      </c>
      <c r="P17">
        <f t="shared" si="6"/>
        <v>1112</v>
      </c>
    </row>
    <row r="18" spans="1:16" x14ac:dyDescent="0.2">
      <c r="A18" s="7">
        <f t="shared" si="0"/>
        <v>46216</v>
      </c>
      <c r="B18" s="8" t="str">
        <f t="shared" si="1"/>
        <v>ENVÍO SUPESA cal. C</v>
      </c>
      <c r="C18" s="9" t="str">
        <f t="shared" si="2"/>
        <v/>
      </c>
      <c r="D18" s="9">
        <f t="shared" si="3"/>
        <v>204</v>
      </c>
      <c r="E18" s="8" t="str">
        <f t="shared" si="4"/>
        <v>G-2980 12 jabas</v>
      </c>
      <c r="F18" s="9">
        <f t="shared" si="5"/>
        <v>2601</v>
      </c>
      <c r="J18">
        <f>IF(AND(MOVIMIENTOS!$B17&lt;&gt;"",NOT(AND(MOVIMIENTOS!$B17="PROCESO",MOVIMIENTOS!$C17&lt;&gt;"Chancho")),NOT(AND(MOVIMIENTOS!$B17="SALDO INICIAL",MOVIMIENTOS!$C17="Chancho"))),COUNT(J$5:J17)+1,"")</f>
        <v>8</v>
      </c>
      <c r="K18" s="10">
        <f>IF(AND(MOVIMIENTOS!$B17&lt;&gt;"",NOT(AND(MOVIMIENTOS!$B17="PROCESO",MOVIMIENTOS!$C17&lt;&gt;"Chancho")),NOT(AND(MOVIMIENTOS!$B17="SALDO INICIAL",MOVIMIENTOS!$C17="Chancho"))),MOVIMIENTOS!$A17,"")</f>
        <v>46215</v>
      </c>
      <c r="L18" t="str">
        <f>IF(AND(MOVIMIENTOS!$B17&lt;&gt;"",NOT(AND(MOVIMIENTOS!$B17="PROCESO",MOVIMIENTOS!$C17&lt;&gt;"Chancho")),NOT(AND(MOVIMIENTOS!$B17="SALDO INICIAL",MOVIMIENTOS!$C17="Chancho"))),IF(MOVIMIENTOS!$B17="SALDO INICIAL","APERTURA ("&amp;MOVIMIENTOS!$C17&amp;")",IF(MOVIMIENTOS!$B17="COMPRA","INGRESO (compra)",IF(MOVIMIENTOS!$B17="PROCESO","CHANCHO (proceso)",IF(MOVIMIENTOS!$B17="ENVÍO A SUPESA","ENVÍO SUPESA cal. "&amp;MOVIMIENTOS!$C17,IF(MOVIMIENTOS!$B17="VENTA CHANCHO","VENTA CHANCHO",IF(MOVIMIENTOS!$B17="DEVOLUCIÓN","DEVOLUCIÓN cal. "&amp;MOVIMIENTOS!$C17,IF(MOVIMIENTOS!$B17="TRASIEGO","TRASIEGO cal. "&amp;MOVIMIENTOS!$C17,IF(MOVIMIENTOS!$B17="REGALO","REGALO "&amp;MOVIMIENTOS!$C17,IF(MOVIMIENTOS!$B17="VENTA","VENTA "&amp;MOVIMIENTOS!$C17,IF(MOVIMIENTOS!$B17="AJUSTE","AJUSTE inventario ("&amp;MOVIMIENTOS!$C17&amp;")",MOVIMIENTOS!$B17)))))))))),"")</f>
        <v>ENVÍO SUPESA cal. M</v>
      </c>
      <c r="M18" t="str">
        <f>IF(AND(AND(MOVIMIENTOS!$B17&lt;&gt;"",NOT(AND(MOVIMIENTOS!$B17="PROCESO",MOVIMIENTOS!$C17&lt;&gt;"Chancho")),NOT(AND(MOVIMIENTOS!$B17="SALDO INICIAL",MOVIMIENTOS!$C17="Chancho"))),OR(MOVIMIENTOS!$B17="SALDO INICIAL",MOVIMIENTOS!$B17="COMPRA",MOVIMIENTOS!$B17="REPROCESO",AND(MOVIMIENTOS!$B17="AJUSTE",MOVIMIENTOS!$C17&lt;&gt;"Chancho",N(MOVIMIENTOS!$F17)&gt;=0))),N(MOVIMIENTOS!$F17),"")</f>
        <v/>
      </c>
      <c r="N18">
        <f>IF(AND(AND(MOVIMIENTOS!$B17&lt;&gt;"",NOT(AND(MOVIMIENTOS!$B17="PROCESO",MOVIMIENTOS!$C17&lt;&gt;"Chancho")),NOT(AND(MOVIMIENTOS!$B17="SALDO INICIAL",MOVIMIENTOS!$C17="Chancho"))),OR(MOVIMIENTOS!$B17="ENVÍO A SUPESA",MOVIMIENTOS!$B17="MALOGRADO",MOVIMIENTOS!$B17="OTRA SALIDA",MOVIMIENTOS!$B17="TRASIEGO",AND(MOVIMIENTOS!$B17="PROCESO",MOVIMIENTOS!$C17="Chancho"),AND(MOVIMIENTOS!$B17="REGALO",MOVIMIENTOS!$C17&lt;&gt;"Chancho"),AND(MOVIMIENTOS!$B17="VENTA",MOVIMIENTOS!$C17&lt;&gt;"Chancho"),AND(MOVIMIENTOS!$B17="AJUSTE",MOVIMIENTOS!$C17&lt;&gt;"Chancho",N(MOVIMIENTOS!$F17)&lt;0))),IF(MOVIMIENTOS!$B17="AJUSTE",-N(MOVIMIENTOS!$F17),N(MOVIMIENTOS!$F17)),"")</f>
        <v>714</v>
      </c>
      <c r="O18" t="str">
        <f>IF(AND(MOVIMIENTOS!$B17&lt;&gt;"",NOT(AND(MOVIMIENTOS!$B17="PROCESO",MOVIMIENTOS!$C17&lt;&gt;"Chancho")),NOT(AND(MOVIMIENTOS!$B17="SALDO INICIAL",MOVIMIENTOS!$C17="Chancho"))),TRIM(IF(MOVIMIENTOS!$G17&lt;&gt;"",IF(MOVIMIENTOS!$B17="ENVÍO A SUPESA","G-"&amp;MOVIMIENTOS!$G17,MOVIMIENTOS!$G17)&amp;"  ","")&amp;IF(N(MOVIMIENTOS!$E17)&gt;0,MOVIMIENTOS!$E17&amp;" "&amp;MOVIMIENTOS!$D17,"")),"")</f>
        <v>G-2977 42 jabas</v>
      </c>
      <c r="P18">
        <f t="shared" si="6"/>
        <v>398</v>
      </c>
    </row>
    <row r="19" spans="1:16" x14ac:dyDescent="0.2">
      <c r="A19" s="7">
        <f t="shared" si="0"/>
        <v>46216</v>
      </c>
      <c r="B19" s="8" t="str">
        <f t="shared" si="1"/>
        <v>ENVÍO SUPESA cal. M</v>
      </c>
      <c r="C19" s="9" t="str">
        <f t="shared" si="2"/>
        <v/>
      </c>
      <c r="D19" s="9">
        <f t="shared" si="3"/>
        <v>1649</v>
      </c>
      <c r="E19" s="8" t="str">
        <f t="shared" si="4"/>
        <v>G-2980 97 jabas</v>
      </c>
      <c r="F19" s="9">
        <f t="shared" si="5"/>
        <v>952</v>
      </c>
      <c r="J19">
        <f>IF(AND(MOVIMIENTOS!$B18&lt;&gt;"",NOT(AND(MOVIMIENTOS!$B18="PROCESO",MOVIMIENTOS!$C18&lt;&gt;"Chancho")),NOT(AND(MOVIMIENTOS!$B18="SALDO INICIAL",MOVIMIENTOS!$C18="Chancho"))),COUNT(J$5:J18)+1,"")</f>
        <v>9</v>
      </c>
      <c r="K19" s="10">
        <f>IF(AND(MOVIMIENTOS!$B18&lt;&gt;"",NOT(AND(MOVIMIENTOS!$B18="PROCESO",MOVIMIENTOS!$C18&lt;&gt;"Chancho")),NOT(AND(MOVIMIENTOS!$B18="SALDO INICIAL",MOVIMIENTOS!$C18="Chancho"))),MOVIMIENTOS!$A18,"")</f>
        <v>46216</v>
      </c>
      <c r="L19" t="str">
        <f>IF(AND(MOVIMIENTOS!$B18&lt;&gt;"",NOT(AND(MOVIMIENTOS!$B18="PROCESO",MOVIMIENTOS!$C18&lt;&gt;"Chancho")),NOT(AND(MOVIMIENTOS!$B18="SALDO INICIAL",MOVIMIENTOS!$C18="Chancho"))),IF(MOVIMIENTOS!$B18="SALDO INICIAL","APERTURA ("&amp;MOVIMIENTOS!$C18&amp;")",IF(MOVIMIENTOS!$B18="COMPRA","INGRESO (compra)",IF(MOVIMIENTOS!$B18="PROCESO","CHANCHO (proceso)",IF(MOVIMIENTOS!$B18="ENVÍO A SUPESA","ENVÍO SUPESA cal. "&amp;MOVIMIENTOS!$C18,IF(MOVIMIENTOS!$B18="VENTA CHANCHO","VENTA CHANCHO",IF(MOVIMIENTOS!$B18="DEVOLUCIÓN","DEVOLUCIÓN cal. "&amp;MOVIMIENTOS!$C18,IF(MOVIMIENTOS!$B18="TRASIEGO","TRASIEGO cal. "&amp;MOVIMIENTOS!$C18,IF(MOVIMIENTOS!$B18="REGALO","REGALO "&amp;MOVIMIENTOS!$C18,IF(MOVIMIENTOS!$B18="VENTA","VENTA "&amp;MOVIMIENTOS!$C18,IF(MOVIMIENTOS!$B18="AJUSTE","AJUSTE inventario ("&amp;MOVIMIENTOS!$C18&amp;")",MOVIMIENTOS!$B18)))))))))),"")</f>
        <v>INGRESO (compra)</v>
      </c>
      <c r="M19">
        <f>IF(AND(AND(MOVIMIENTOS!$B18&lt;&gt;"",NOT(AND(MOVIMIENTOS!$B18="PROCESO",MOVIMIENTOS!$C18&lt;&gt;"Chancho")),NOT(AND(MOVIMIENTOS!$B18="SALDO INICIAL",MOVIMIENTOS!$C18="Chancho"))),OR(MOVIMIENTOS!$B18="SALDO INICIAL",MOVIMIENTOS!$B18="COMPRA",MOVIMIENTOS!$B18="REPROCESO",AND(MOVIMIENTOS!$B18="AJUSTE",MOVIMIENTOS!$C18&lt;&gt;"Chancho",N(MOVIMIENTOS!$F18)&gt;=0))),N(MOVIMIENTOS!$F18),"")</f>
        <v>3800</v>
      </c>
      <c r="N19" t="str">
        <f>IF(AND(AND(MOVIMIENTOS!$B18&lt;&gt;"",NOT(AND(MOVIMIENTOS!$B18="PROCESO",MOVIMIENTOS!$C18&lt;&gt;"Chancho")),NOT(AND(MOVIMIENTOS!$B18="SALDO INICIAL",MOVIMIENTOS!$C18="Chancho"))),OR(MOVIMIENTOS!$B18="ENVÍO A SUPESA",MOVIMIENTOS!$B18="MALOGRADO",MOVIMIENTOS!$B18="OTRA SALIDA",MOVIMIENTOS!$B18="TRASIEGO",AND(MOVIMIENTOS!$B18="PROCESO",MOVIMIENTOS!$C18="Chancho"),AND(MOVIMIENTOS!$B18="REGALO",MOVIMIENTOS!$C18&lt;&gt;"Chancho"),AND(MOVIMIENTOS!$B18="VENTA",MOVIMIENTOS!$C18&lt;&gt;"Chancho"),AND(MOVIMIENTOS!$B18="AJUSTE",MOVIMIENTOS!$C18&lt;&gt;"Chancho",N(MOVIMIENTOS!$F18)&lt;0))),IF(MOVIMIENTOS!$B18="AJUSTE",-N(MOVIMIENTOS!$F18),N(MOVIMIENTOS!$F18)),"")</f>
        <v/>
      </c>
      <c r="O19" t="str">
        <f>IF(AND(MOVIMIENTOS!$B18&lt;&gt;"",NOT(AND(MOVIMIENTOS!$B18="PROCESO",MOVIMIENTOS!$C18&lt;&gt;"Chancho")),NOT(AND(MOVIMIENTOS!$B18="SALDO INICIAL",MOVIMIENTOS!$C18="Chancho"))),TRIM(IF(MOVIMIENTOS!$G18&lt;&gt;"",IF(MOVIMIENTOS!$B18="ENVÍO A SUPESA","G-"&amp;MOVIMIENTOS!$G18,MOVIMIENTOS!$G18)&amp;"  ","")&amp;IF(N(MOVIMIENTOS!$E18)&gt;0,MOVIMIENTOS!$E18&amp;" "&amp;MOVIMIENTOS!$D18,"")),"")</f>
        <v>40 sacos</v>
      </c>
      <c r="P19">
        <f t="shared" si="6"/>
        <v>4198</v>
      </c>
    </row>
    <row r="20" spans="1:16" x14ac:dyDescent="0.2">
      <c r="A20" s="7">
        <f t="shared" si="0"/>
        <v>46217</v>
      </c>
      <c r="B20" s="8" t="str">
        <f t="shared" si="1"/>
        <v>INGRESO (compra)</v>
      </c>
      <c r="C20" s="9">
        <f t="shared" si="2"/>
        <v>3800</v>
      </c>
      <c r="D20" s="9" t="str">
        <f t="shared" si="3"/>
        <v/>
      </c>
      <c r="E20" s="8" t="str">
        <f t="shared" si="4"/>
        <v>40 sacos</v>
      </c>
      <c r="F20" s="9">
        <f t="shared" si="5"/>
        <v>4752</v>
      </c>
      <c r="J20" t="str">
        <f>IF(AND(MOVIMIENTOS!$B19&lt;&gt;"",NOT(AND(MOVIMIENTOS!$B19="PROCESO",MOVIMIENTOS!$C19&lt;&gt;"Chancho")),NOT(AND(MOVIMIENTOS!$B19="SALDO INICIAL",MOVIMIENTOS!$C19="Chancho"))),COUNT(J$5:J19)+1,"")</f>
        <v/>
      </c>
      <c r="K20" t="str">
        <f>IF(AND(MOVIMIENTOS!$B19&lt;&gt;"",NOT(AND(MOVIMIENTOS!$B19="PROCESO",MOVIMIENTOS!$C19&lt;&gt;"Chancho")),NOT(AND(MOVIMIENTOS!$B19="SALDO INICIAL",MOVIMIENTOS!$C19="Chancho"))),MOVIMIENTOS!$A19,"")</f>
        <v/>
      </c>
      <c r="L20" t="str">
        <f>IF(AND(MOVIMIENTOS!$B19&lt;&gt;"",NOT(AND(MOVIMIENTOS!$B19="PROCESO",MOVIMIENTOS!$C19&lt;&gt;"Chancho")),NOT(AND(MOVIMIENTOS!$B19="SALDO INICIAL",MOVIMIENTOS!$C19="Chancho"))),IF(MOVIMIENTOS!$B19="SALDO INICIAL","APERTURA ("&amp;MOVIMIENTOS!$C19&amp;")",IF(MOVIMIENTOS!$B19="COMPRA","INGRESO (compra)",IF(MOVIMIENTOS!$B19="PROCESO","CHANCHO (proceso)",IF(MOVIMIENTOS!$B19="ENVÍO A SUPESA","ENVÍO SUPESA cal. "&amp;MOVIMIENTOS!$C19,IF(MOVIMIENTOS!$B19="VENTA CHANCHO","VENTA CHANCHO",IF(MOVIMIENTOS!$B19="DEVOLUCIÓN","DEVOLUCIÓN cal. "&amp;MOVIMIENTOS!$C19,IF(MOVIMIENTOS!$B19="TRASIEGO","TRASIEGO cal. "&amp;MOVIMIENTOS!$C19,IF(MOVIMIENTOS!$B19="REGALO","REGALO "&amp;MOVIMIENTOS!$C19,IF(MOVIMIENTOS!$B19="VENTA","VENTA "&amp;MOVIMIENTOS!$C19,IF(MOVIMIENTOS!$B19="AJUSTE","AJUSTE inventario ("&amp;MOVIMIENTOS!$C19&amp;")",MOVIMIENTOS!$B19)))))))))),"")</f>
        <v/>
      </c>
      <c r="M20" t="str">
        <f>IF(AND(AND(MOVIMIENTOS!$B19&lt;&gt;"",NOT(AND(MOVIMIENTOS!$B19="PROCESO",MOVIMIENTOS!$C19&lt;&gt;"Chancho")),NOT(AND(MOVIMIENTOS!$B19="SALDO INICIAL",MOVIMIENTOS!$C19="Chancho"))),OR(MOVIMIENTOS!$B19="SALDO INICIAL",MOVIMIENTOS!$B19="COMPRA",MOVIMIENTOS!$B19="REPROCESO",AND(MOVIMIENTOS!$B19="AJUSTE",MOVIMIENTOS!$C19&lt;&gt;"Chancho",N(MOVIMIENTOS!$F19)&gt;=0))),N(MOVIMIENTOS!$F19),"")</f>
        <v/>
      </c>
      <c r="N20" t="str">
        <f>IF(AND(AND(MOVIMIENTOS!$B19&lt;&gt;"",NOT(AND(MOVIMIENTOS!$B19="PROCESO",MOVIMIENTOS!$C19&lt;&gt;"Chancho")),NOT(AND(MOVIMIENTOS!$B19="SALDO INICIAL",MOVIMIENTOS!$C19="Chancho"))),OR(MOVIMIENTOS!$B19="ENVÍO A SUPESA",MOVIMIENTOS!$B19="MALOGRADO",MOVIMIENTOS!$B19="OTRA SALIDA",MOVIMIENTOS!$B19="TRASIEGO",AND(MOVIMIENTOS!$B19="PROCESO",MOVIMIENTOS!$C19="Chancho"),AND(MOVIMIENTOS!$B19="REGALO",MOVIMIENTOS!$C19&lt;&gt;"Chancho"),AND(MOVIMIENTOS!$B19="VENTA",MOVIMIENTOS!$C19&lt;&gt;"Chancho"),AND(MOVIMIENTOS!$B19="AJUSTE",MOVIMIENTOS!$C19&lt;&gt;"Chancho",N(MOVIMIENTOS!$F19)&lt;0))),IF(MOVIMIENTOS!$B19="AJUSTE",-N(MOVIMIENTOS!$F19),N(MOVIMIENTOS!$F19)),"")</f>
        <v/>
      </c>
      <c r="O20" t="str">
        <f>IF(AND(MOVIMIENTOS!$B19&lt;&gt;"",NOT(AND(MOVIMIENTOS!$B19="PROCESO",MOVIMIENTOS!$C19&lt;&gt;"Chancho")),NOT(AND(MOVIMIENTOS!$B19="SALDO INICIAL",MOVIMIENTOS!$C19="Chancho"))),TRIM(IF(MOVIMIENTOS!$G19&lt;&gt;"",IF(MOVIMIENTOS!$B19="ENVÍO A SUPESA","G-"&amp;MOVIMIENTOS!$G19,MOVIMIENTOS!$G19)&amp;"  ","")&amp;IF(N(MOVIMIENTOS!$E19)&gt;0,MOVIMIENTOS!$E19&amp;" "&amp;MOVIMIENTOS!$D19,"")),"")</f>
        <v/>
      </c>
      <c r="P20">
        <f t="shared" si="6"/>
        <v>4198</v>
      </c>
    </row>
    <row r="21" spans="1:16" x14ac:dyDescent="0.2">
      <c r="A21" s="7">
        <f t="shared" si="0"/>
        <v>46217</v>
      </c>
      <c r="B21" s="8" t="str">
        <f t="shared" si="1"/>
        <v>CHANCHO (proceso)</v>
      </c>
      <c r="C21" s="9" t="str">
        <f t="shared" si="2"/>
        <v/>
      </c>
      <c r="D21" s="9">
        <f t="shared" si="3"/>
        <v>665</v>
      </c>
      <c r="E21" s="8" t="str">
        <f t="shared" si="4"/>
        <v>7 sacos</v>
      </c>
      <c r="F21" s="9">
        <f t="shared" si="5"/>
        <v>4087</v>
      </c>
      <c r="J21" t="str">
        <f>IF(AND(MOVIMIENTOS!$B20&lt;&gt;"",NOT(AND(MOVIMIENTOS!$B20="PROCESO",MOVIMIENTOS!$C20&lt;&gt;"Chancho")),NOT(AND(MOVIMIENTOS!$B20="SALDO INICIAL",MOVIMIENTOS!$C20="Chancho"))),COUNT(J$5:J20)+1,"")</f>
        <v/>
      </c>
      <c r="K21" t="str">
        <f>IF(AND(MOVIMIENTOS!$B20&lt;&gt;"",NOT(AND(MOVIMIENTOS!$B20="PROCESO",MOVIMIENTOS!$C20&lt;&gt;"Chancho")),NOT(AND(MOVIMIENTOS!$B20="SALDO INICIAL",MOVIMIENTOS!$C20="Chancho"))),MOVIMIENTOS!$A20,"")</f>
        <v/>
      </c>
      <c r="L21" t="str">
        <f>IF(AND(MOVIMIENTOS!$B20&lt;&gt;"",NOT(AND(MOVIMIENTOS!$B20="PROCESO",MOVIMIENTOS!$C20&lt;&gt;"Chancho")),NOT(AND(MOVIMIENTOS!$B20="SALDO INICIAL",MOVIMIENTOS!$C20="Chancho"))),IF(MOVIMIENTOS!$B20="SALDO INICIAL","APERTURA ("&amp;MOVIMIENTOS!$C20&amp;")",IF(MOVIMIENTOS!$B20="COMPRA","INGRESO (compra)",IF(MOVIMIENTOS!$B20="PROCESO","CHANCHO (proceso)",IF(MOVIMIENTOS!$B20="ENVÍO A SUPESA","ENVÍO SUPESA cal. "&amp;MOVIMIENTOS!$C20,IF(MOVIMIENTOS!$B20="VENTA CHANCHO","VENTA CHANCHO",IF(MOVIMIENTOS!$B20="DEVOLUCIÓN","DEVOLUCIÓN cal. "&amp;MOVIMIENTOS!$C20,IF(MOVIMIENTOS!$B20="TRASIEGO","TRASIEGO cal. "&amp;MOVIMIENTOS!$C20,IF(MOVIMIENTOS!$B20="REGALO","REGALO "&amp;MOVIMIENTOS!$C20,IF(MOVIMIENTOS!$B20="VENTA","VENTA "&amp;MOVIMIENTOS!$C20,IF(MOVIMIENTOS!$B20="AJUSTE","AJUSTE inventario ("&amp;MOVIMIENTOS!$C20&amp;")",MOVIMIENTOS!$B20)))))))))),"")</f>
        <v/>
      </c>
      <c r="M21" t="str">
        <f>IF(AND(AND(MOVIMIENTOS!$B20&lt;&gt;"",NOT(AND(MOVIMIENTOS!$B20="PROCESO",MOVIMIENTOS!$C20&lt;&gt;"Chancho")),NOT(AND(MOVIMIENTOS!$B20="SALDO INICIAL",MOVIMIENTOS!$C20="Chancho"))),OR(MOVIMIENTOS!$B20="SALDO INICIAL",MOVIMIENTOS!$B20="COMPRA",MOVIMIENTOS!$B20="REPROCESO",AND(MOVIMIENTOS!$B20="AJUSTE",MOVIMIENTOS!$C20&lt;&gt;"Chancho",N(MOVIMIENTOS!$F20)&gt;=0))),N(MOVIMIENTOS!$F20),"")</f>
        <v/>
      </c>
      <c r="N21" t="str">
        <f>IF(AND(AND(MOVIMIENTOS!$B20&lt;&gt;"",NOT(AND(MOVIMIENTOS!$B20="PROCESO",MOVIMIENTOS!$C20&lt;&gt;"Chancho")),NOT(AND(MOVIMIENTOS!$B20="SALDO INICIAL",MOVIMIENTOS!$C20="Chancho"))),OR(MOVIMIENTOS!$B20="ENVÍO A SUPESA",MOVIMIENTOS!$B20="MALOGRADO",MOVIMIENTOS!$B20="OTRA SALIDA",MOVIMIENTOS!$B20="TRASIEGO",AND(MOVIMIENTOS!$B20="PROCESO",MOVIMIENTOS!$C20="Chancho"),AND(MOVIMIENTOS!$B20="REGALO",MOVIMIENTOS!$C20&lt;&gt;"Chancho"),AND(MOVIMIENTOS!$B20="VENTA",MOVIMIENTOS!$C20&lt;&gt;"Chancho"),AND(MOVIMIENTOS!$B20="AJUSTE",MOVIMIENTOS!$C20&lt;&gt;"Chancho",N(MOVIMIENTOS!$F20)&lt;0))),IF(MOVIMIENTOS!$B20="AJUSTE",-N(MOVIMIENTOS!$F20),N(MOVIMIENTOS!$F20)),"")</f>
        <v/>
      </c>
      <c r="O21" t="str">
        <f>IF(AND(MOVIMIENTOS!$B20&lt;&gt;"",NOT(AND(MOVIMIENTOS!$B20="PROCESO",MOVIMIENTOS!$C20&lt;&gt;"Chancho")),NOT(AND(MOVIMIENTOS!$B20="SALDO INICIAL",MOVIMIENTOS!$C20="Chancho"))),TRIM(IF(MOVIMIENTOS!$G20&lt;&gt;"",IF(MOVIMIENTOS!$B20="ENVÍO A SUPESA","G-"&amp;MOVIMIENTOS!$G20,MOVIMIENTOS!$G20)&amp;"  ","")&amp;IF(N(MOVIMIENTOS!$E20)&gt;0,MOVIMIENTOS!$E20&amp;" "&amp;MOVIMIENTOS!$D20,"")),"")</f>
        <v/>
      </c>
      <c r="P21">
        <f t="shared" si="6"/>
        <v>4198</v>
      </c>
    </row>
    <row r="22" spans="1:16" x14ac:dyDescent="0.2">
      <c r="A22" s="7">
        <f t="shared" si="0"/>
        <v>46217</v>
      </c>
      <c r="B22" s="8" t="str">
        <f t="shared" si="1"/>
        <v>ENVÍO SUPESA cal. A</v>
      </c>
      <c r="C22" s="9" t="str">
        <f t="shared" si="2"/>
        <v/>
      </c>
      <c r="D22" s="9">
        <f t="shared" si="3"/>
        <v>1005</v>
      </c>
      <c r="E22" s="8" t="str">
        <f t="shared" si="4"/>
        <v>G-2984 67 jabas</v>
      </c>
      <c r="F22" s="9">
        <f t="shared" si="5"/>
        <v>3082</v>
      </c>
      <c r="J22" t="str">
        <f>IF(AND(MOVIMIENTOS!$B21&lt;&gt;"",NOT(AND(MOVIMIENTOS!$B21="PROCESO",MOVIMIENTOS!$C21&lt;&gt;"Chancho")),NOT(AND(MOVIMIENTOS!$B21="SALDO INICIAL",MOVIMIENTOS!$C21="Chancho"))),COUNT(J$5:J21)+1,"")</f>
        <v/>
      </c>
      <c r="K22" t="str">
        <f>IF(AND(MOVIMIENTOS!$B21&lt;&gt;"",NOT(AND(MOVIMIENTOS!$B21="PROCESO",MOVIMIENTOS!$C21&lt;&gt;"Chancho")),NOT(AND(MOVIMIENTOS!$B21="SALDO INICIAL",MOVIMIENTOS!$C21="Chancho"))),MOVIMIENTOS!$A21,"")</f>
        <v/>
      </c>
      <c r="L22" t="str">
        <f>IF(AND(MOVIMIENTOS!$B21&lt;&gt;"",NOT(AND(MOVIMIENTOS!$B21="PROCESO",MOVIMIENTOS!$C21&lt;&gt;"Chancho")),NOT(AND(MOVIMIENTOS!$B21="SALDO INICIAL",MOVIMIENTOS!$C21="Chancho"))),IF(MOVIMIENTOS!$B21="SALDO INICIAL","APERTURA ("&amp;MOVIMIENTOS!$C21&amp;")",IF(MOVIMIENTOS!$B21="COMPRA","INGRESO (compra)",IF(MOVIMIENTOS!$B21="PROCESO","CHANCHO (proceso)",IF(MOVIMIENTOS!$B21="ENVÍO A SUPESA","ENVÍO SUPESA cal. "&amp;MOVIMIENTOS!$C21,IF(MOVIMIENTOS!$B21="VENTA CHANCHO","VENTA CHANCHO",IF(MOVIMIENTOS!$B21="DEVOLUCIÓN","DEVOLUCIÓN cal. "&amp;MOVIMIENTOS!$C21,IF(MOVIMIENTOS!$B21="TRASIEGO","TRASIEGO cal. "&amp;MOVIMIENTOS!$C21,IF(MOVIMIENTOS!$B21="REGALO","REGALO "&amp;MOVIMIENTOS!$C21,IF(MOVIMIENTOS!$B21="VENTA","VENTA "&amp;MOVIMIENTOS!$C21,IF(MOVIMIENTOS!$B21="AJUSTE","AJUSTE inventario ("&amp;MOVIMIENTOS!$C21&amp;")",MOVIMIENTOS!$B21)))))))))),"")</f>
        <v/>
      </c>
      <c r="M22" t="str">
        <f>IF(AND(AND(MOVIMIENTOS!$B21&lt;&gt;"",NOT(AND(MOVIMIENTOS!$B21="PROCESO",MOVIMIENTOS!$C21&lt;&gt;"Chancho")),NOT(AND(MOVIMIENTOS!$B21="SALDO INICIAL",MOVIMIENTOS!$C21="Chancho"))),OR(MOVIMIENTOS!$B21="SALDO INICIAL",MOVIMIENTOS!$B21="COMPRA",MOVIMIENTOS!$B21="REPROCESO",AND(MOVIMIENTOS!$B21="AJUSTE",MOVIMIENTOS!$C21&lt;&gt;"Chancho",N(MOVIMIENTOS!$F21)&gt;=0))),N(MOVIMIENTOS!$F21),"")</f>
        <v/>
      </c>
      <c r="N22" t="str">
        <f>IF(AND(AND(MOVIMIENTOS!$B21&lt;&gt;"",NOT(AND(MOVIMIENTOS!$B21="PROCESO",MOVIMIENTOS!$C21&lt;&gt;"Chancho")),NOT(AND(MOVIMIENTOS!$B21="SALDO INICIAL",MOVIMIENTOS!$C21="Chancho"))),OR(MOVIMIENTOS!$B21="ENVÍO A SUPESA",MOVIMIENTOS!$B21="MALOGRADO",MOVIMIENTOS!$B21="OTRA SALIDA",MOVIMIENTOS!$B21="TRASIEGO",AND(MOVIMIENTOS!$B21="PROCESO",MOVIMIENTOS!$C21="Chancho"),AND(MOVIMIENTOS!$B21="REGALO",MOVIMIENTOS!$C21&lt;&gt;"Chancho"),AND(MOVIMIENTOS!$B21="VENTA",MOVIMIENTOS!$C21&lt;&gt;"Chancho"),AND(MOVIMIENTOS!$B21="AJUSTE",MOVIMIENTOS!$C21&lt;&gt;"Chancho",N(MOVIMIENTOS!$F21)&lt;0))),IF(MOVIMIENTOS!$B21="AJUSTE",-N(MOVIMIENTOS!$F21),N(MOVIMIENTOS!$F21)),"")</f>
        <v/>
      </c>
      <c r="O22" t="str">
        <f>IF(AND(MOVIMIENTOS!$B21&lt;&gt;"",NOT(AND(MOVIMIENTOS!$B21="PROCESO",MOVIMIENTOS!$C21&lt;&gt;"Chancho")),NOT(AND(MOVIMIENTOS!$B21="SALDO INICIAL",MOVIMIENTOS!$C21="Chancho"))),TRIM(IF(MOVIMIENTOS!$G21&lt;&gt;"",IF(MOVIMIENTOS!$B21="ENVÍO A SUPESA","G-"&amp;MOVIMIENTOS!$G21,MOVIMIENTOS!$G21)&amp;"  ","")&amp;IF(N(MOVIMIENTOS!$E21)&gt;0,MOVIMIENTOS!$E21&amp;" "&amp;MOVIMIENTOS!$D21,"")),"")</f>
        <v/>
      </c>
      <c r="P22">
        <f t="shared" si="6"/>
        <v>4198</v>
      </c>
    </row>
    <row r="23" spans="1:16" x14ac:dyDescent="0.2">
      <c r="A23" s="7">
        <f t="shared" si="0"/>
        <v>46217</v>
      </c>
      <c r="B23" s="8" t="str">
        <f t="shared" si="1"/>
        <v>ENVÍO SUPESA cal. P</v>
      </c>
      <c r="C23" s="9" t="str">
        <f t="shared" si="2"/>
        <v/>
      </c>
      <c r="D23" s="9">
        <f t="shared" si="3"/>
        <v>198</v>
      </c>
      <c r="E23" s="8" t="str">
        <f t="shared" si="4"/>
        <v>G-2984 11 jabas</v>
      </c>
      <c r="F23" s="9">
        <f t="shared" si="5"/>
        <v>2884</v>
      </c>
      <c r="J23" t="str">
        <f>IF(AND(MOVIMIENTOS!$B22&lt;&gt;"",NOT(AND(MOVIMIENTOS!$B22="PROCESO",MOVIMIENTOS!$C22&lt;&gt;"Chancho")),NOT(AND(MOVIMIENTOS!$B22="SALDO INICIAL",MOVIMIENTOS!$C22="Chancho"))),COUNT(J$5:J22)+1,"")</f>
        <v/>
      </c>
      <c r="K23" t="str">
        <f>IF(AND(MOVIMIENTOS!$B22&lt;&gt;"",NOT(AND(MOVIMIENTOS!$B22="PROCESO",MOVIMIENTOS!$C22&lt;&gt;"Chancho")),NOT(AND(MOVIMIENTOS!$B22="SALDO INICIAL",MOVIMIENTOS!$C22="Chancho"))),MOVIMIENTOS!$A22,"")</f>
        <v/>
      </c>
      <c r="L23" t="str">
        <f>IF(AND(MOVIMIENTOS!$B22&lt;&gt;"",NOT(AND(MOVIMIENTOS!$B22="PROCESO",MOVIMIENTOS!$C22&lt;&gt;"Chancho")),NOT(AND(MOVIMIENTOS!$B22="SALDO INICIAL",MOVIMIENTOS!$C22="Chancho"))),IF(MOVIMIENTOS!$B22="SALDO INICIAL","APERTURA ("&amp;MOVIMIENTOS!$C22&amp;")",IF(MOVIMIENTOS!$B22="COMPRA","INGRESO (compra)",IF(MOVIMIENTOS!$B22="PROCESO","CHANCHO (proceso)",IF(MOVIMIENTOS!$B22="ENVÍO A SUPESA","ENVÍO SUPESA cal. "&amp;MOVIMIENTOS!$C22,IF(MOVIMIENTOS!$B22="VENTA CHANCHO","VENTA CHANCHO",IF(MOVIMIENTOS!$B22="DEVOLUCIÓN","DEVOLUCIÓN cal. "&amp;MOVIMIENTOS!$C22,IF(MOVIMIENTOS!$B22="TRASIEGO","TRASIEGO cal. "&amp;MOVIMIENTOS!$C22,IF(MOVIMIENTOS!$B22="REGALO","REGALO "&amp;MOVIMIENTOS!$C22,IF(MOVIMIENTOS!$B22="VENTA","VENTA "&amp;MOVIMIENTOS!$C22,IF(MOVIMIENTOS!$B22="AJUSTE","AJUSTE inventario ("&amp;MOVIMIENTOS!$C22&amp;")",MOVIMIENTOS!$B22)))))))))),"")</f>
        <v/>
      </c>
      <c r="M23" t="str">
        <f>IF(AND(AND(MOVIMIENTOS!$B22&lt;&gt;"",NOT(AND(MOVIMIENTOS!$B22="PROCESO",MOVIMIENTOS!$C22&lt;&gt;"Chancho")),NOT(AND(MOVIMIENTOS!$B22="SALDO INICIAL",MOVIMIENTOS!$C22="Chancho"))),OR(MOVIMIENTOS!$B22="SALDO INICIAL",MOVIMIENTOS!$B22="COMPRA",MOVIMIENTOS!$B22="REPROCESO",AND(MOVIMIENTOS!$B22="AJUSTE",MOVIMIENTOS!$C22&lt;&gt;"Chancho",N(MOVIMIENTOS!$F22)&gt;=0))),N(MOVIMIENTOS!$F22),"")</f>
        <v/>
      </c>
      <c r="N23" t="str">
        <f>IF(AND(AND(MOVIMIENTOS!$B22&lt;&gt;"",NOT(AND(MOVIMIENTOS!$B22="PROCESO",MOVIMIENTOS!$C22&lt;&gt;"Chancho")),NOT(AND(MOVIMIENTOS!$B22="SALDO INICIAL",MOVIMIENTOS!$C22="Chancho"))),OR(MOVIMIENTOS!$B22="ENVÍO A SUPESA",MOVIMIENTOS!$B22="MALOGRADO",MOVIMIENTOS!$B22="OTRA SALIDA",MOVIMIENTOS!$B22="TRASIEGO",AND(MOVIMIENTOS!$B22="PROCESO",MOVIMIENTOS!$C22="Chancho"),AND(MOVIMIENTOS!$B22="REGALO",MOVIMIENTOS!$C22&lt;&gt;"Chancho"),AND(MOVIMIENTOS!$B22="VENTA",MOVIMIENTOS!$C22&lt;&gt;"Chancho"),AND(MOVIMIENTOS!$B22="AJUSTE",MOVIMIENTOS!$C22&lt;&gt;"Chancho",N(MOVIMIENTOS!$F22)&lt;0))),IF(MOVIMIENTOS!$B22="AJUSTE",-N(MOVIMIENTOS!$F22),N(MOVIMIENTOS!$F22)),"")</f>
        <v/>
      </c>
      <c r="O23" t="str">
        <f>IF(AND(MOVIMIENTOS!$B22&lt;&gt;"",NOT(AND(MOVIMIENTOS!$B22="PROCESO",MOVIMIENTOS!$C22&lt;&gt;"Chancho")),NOT(AND(MOVIMIENTOS!$B22="SALDO INICIAL",MOVIMIENTOS!$C22="Chancho"))),TRIM(IF(MOVIMIENTOS!$G22&lt;&gt;"",IF(MOVIMIENTOS!$B22="ENVÍO A SUPESA","G-"&amp;MOVIMIENTOS!$G22,MOVIMIENTOS!$G22)&amp;"  ","")&amp;IF(N(MOVIMIENTOS!$E22)&gt;0,MOVIMIENTOS!$E22&amp;" "&amp;MOVIMIENTOS!$D22,"")),"")</f>
        <v/>
      </c>
      <c r="P23">
        <f t="shared" si="6"/>
        <v>4198</v>
      </c>
    </row>
    <row r="24" spans="1:16" x14ac:dyDescent="0.2">
      <c r="A24" s="7">
        <f t="shared" si="0"/>
        <v>46217</v>
      </c>
      <c r="B24" s="8" t="str">
        <f t="shared" si="1"/>
        <v>ENVÍO SUPESA cal. C</v>
      </c>
      <c r="C24" s="9" t="str">
        <f t="shared" si="2"/>
        <v/>
      </c>
      <c r="D24" s="9">
        <f t="shared" si="3"/>
        <v>204</v>
      </c>
      <c r="E24" s="8" t="str">
        <f t="shared" si="4"/>
        <v>G-2984 12 jabas</v>
      </c>
      <c r="F24" s="9">
        <f t="shared" si="5"/>
        <v>2680</v>
      </c>
      <c r="J24">
        <f>IF(AND(MOVIMIENTOS!$B23&lt;&gt;"",NOT(AND(MOVIMIENTOS!$B23="PROCESO",MOVIMIENTOS!$C23&lt;&gt;"Chancho")),NOT(AND(MOVIMIENTOS!$B23="SALDO INICIAL",MOVIMIENTOS!$C23="Chancho"))),COUNT(J$5:J23)+1,"")</f>
        <v>10</v>
      </c>
      <c r="K24" s="10">
        <f>IF(AND(MOVIMIENTOS!$B23&lt;&gt;"",NOT(AND(MOVIMIENTOS!$B23="PROCESO",MOVIMIENTOS!$C23&lt;&gt;"Chancho")),NOT(AND(MOVIMIENTOS!$B23="SALDO INICIAL",MOVIMIENTOS!$C23="Chancho"))),MOVIMIENTOS!$A23,"")</f>
        <v>46216</v>
      </c>
      <c r="L24" t="str">
        <f>IF(AND(MOVIMIENTOS!$B23&lt;&gt;"",NOT(AND(MOVIMIENTOS!$B23="PROCESO",MOVIMIENTOS!$C23&lt;&gt;"Chancho")),NOT(AND(MOVIMIENTOS!$B23="SALDO INICIAL",MOVIMIENTOS!$C23="Chancho"))),IF(MOVIMIENTOS!$B23="SALDO INICIAL","APERTURA ("&amp;MOVIMIENTOS!$C23&amp;")",IF(MOVIMIENTOS!$B23="COMPRA","INGRESO (compra)",IF(MOVIMIENTOS!$B23="PROCESO","CHANCHO (proceso)",IF(MOVIMIENTOS!$B23="ENVÍO A SUPESA","ENVÍO SUPESA cal. "&amp;MOVIMIENTOS!$C23,IF(MOVIMIENTOS!$B23="VENTA CHANCHO","VENTA CHANCHO",IF(MOVIMIENTOS!$B23="DEVOLUCIÓN","DEVOLUCIÓN cal. "&amp;MOVIMIENTOS!$C23,IF(MOVIMIENTOS!$B23="TRASIEGO","TRASIEGO cal. "&amp;MOVIMIENTOS!$C23,IF(MOVIMIENTOS!$B23="REGALO","REGALO "&amp;MOVIMIENTOS!$C23,IF(MOVIMIENTOS!$B23="VENTA","VENTA "&amp;MOVIMIENTOS!$C23,IF(MOVIMIENTOS!$B23="AJUSTE","AJUSTE inventario ("&amp;MOVIMIENTOS!$C23&amp;")",MOVIMIENTOS!$B23)))))))))),"")</f>
        <v>CHANCHO (proceso)</v>
      </c>
      <c r="M24" t="str">
        <f>IF(AND(AND(MOVIMIENTOS!$B23&lt;&gt;"",NOT(AND(MOVIMIENTOS!$B23="PROCESO",MOVIMIENTOS!$C23&lt;&gt;"Chancho")),NOT(AND(MOVIMIENTOS!$B23="SALDO INICIAL",MOVIMIENTOS!$C23="Chancho"))),OR(MOVIMIENTOS!$B23="SALDO INICIAL",MOVIMIENTOS!$B23="COMPRA",MOVIMIENTOS!$B23="REPROCESO",AND(MOVIMIENTOS!$B23="AJUSTE",MOVIMIENTOS!$C23&lt;&gt;"Chancho",N(MOVIMIENTOS!$F23)&gt;=0))),N(MOVIMIENTOS!$F23),"")</f>
        <v/>
      </c>
      <c r="N24">
        <f>IF(AND(AND(MOVIMIENTOS!$B23&lt;&gt;"",NOT(AND(MOVIMIENTOS!$B23="PROCESO",MOVIMIENTOS!$C23&lt;&gt;"Chancho")),NOT(AND(MOVIMIENTOS!$B23="SALDO INICIAL",MOVIMIENTOS!$C23="Chancho"))),OR(MOVIMIENTOS!$B23="ENVÍO A SUPESA",MOVIMIENTOS!$B23="MALOGRADO",MOVIMIENTOS!$B23="OTRA SALIDA",MOVIMIENTOS!$B23="TRASIEGO",AND(MOVIMIENTOS!$B23="PROCESO",MOVIMIENTOS!$C23="Chancho"),AND(MOVIMIENTOS!$B23="REGALO",MOVIMIENTOS!$C23&lt;&gt;"Chancho"),AND(MOVIMIENTOS!$B23="VENTA",MOVIMIENTOS!$C23&lt;&gt;"Chancho"),AND(MOVIMIENTOS!$B23="AJUSTE",MOVIMIENTOS!$C23&lt;&gt;"Chancho",N(MOVIMIENTOS!$F23)&lt;0))),IF(MOVIMIENTOS!$B23="AJUSTE",-N(MOVIMIENTOS!$F23),N(MOVIMIENTOS!$F23)),"")</f>
        <v>190</v>
      </c>
      <c r="O24" t="str">
        <f>IF(AND(MOVIMIENTOS!$B23&lt;&gt;"",NOT(AND(MOVIMIENTOS!$B23="PROCESO",MOVIMIENTOS!$C23&lt;&gt;"Chancho")),NOT(AND(MOVIMIENTOS!$B23="SALDO INICIAL",MOVIMIENTOS!$C23="Chancho"))),TRIM(IF(MOVIMIENTOS!$G23&lt;&gt;"",IF(MOVIMIENTOS!$B23="ENVÍO A SUPESA","G-"&amp;MOVIMIENTOS!$G23,MOVIMIENTOS!$G23)&amp;"  ","")&amp;IF(N(MOVIMIENTOS!$E23)&gt;0,MOVIMIENTOS!$E23&amp;" "&amp;MOVIMIENTOS!$D23,"")),"")</f>
        <v>2 sacos</v>
      </c>
      <c r="P24">
        <f t="shared" si="6"/>
        <v>4008</v>
      </c>
    </row>
    <row r="25" spans="1:16" x14ac:dyDescent="0.2">
      <c r="A25" s="7">
        <f t="shared" si="0"/>
        <v>46217</v>
      </c>
      <c r="B25" s="8" t="str">
        <f t="shared" si="1"/>
        <v>ENVÍO SUPESA cal. M</v>
      </c>
      <c r="C25" s="9" t="str">
        <f t="shared" si="2"/>
        <v/>
      </c>
      <c r="D25" s="9">
        <f t="shared" si="3"/>
        <v>1972</v>
      </c>
      <c r="E25" s="8" t="str">
        <f t="shared" si="4"/>
        <v>G-2984 116 jabas</v>
      </c>
      <c r="F25" s="9">
        <f t="shared" si="5"/>
        <v>708</v>
      </c>
      <c r="J25">
        <f>IF(AND(MOVIMIENTOS!$B24&lt;&gt;"",NOT(AND(MOVIMIENTOS!$B24="PROCESO",MOVIMIENTOS!$C24&lt;&gt;"Chancho")),NOT(AND(MOVIMIENTOS!$B24="SALDO INICIAL",MOVIMIENTOS!$C24="Chancho"))),COUNT(J$5:J24)+1,"")</f>
        <v>11</v>
      </c>
      <c r="K25" s="10">
        <f>IF(AND(MOVIMIENTOS!$B24&lt;&gt;"",NOT(AND(MOVIMIENTOS!$B24="PROCESO",MOVIMIENTOS!$C24&lt;&gt;"Chancho")),NOT(AND(MOVIMIENTOS!$B24="SALDO INICIAL",MOVIMIENTOS!$C24="Chancho"))),MOVIMIENTOS!$A24,"")</f>
        <v>46216</v>
      </c>
      <c r="L25" t="str">
        <f>IF(AND(MOVIMIENTOS!$B24&lt;&gt;"",NOT(AND(MOVIMIENTOS!$B24="PROCESO",MOVIMIENTOS!$C24&lt;&gt;"Chancho")),NOT(AND(MOVIMIENTOS!$B24="SALDO INICIAL",MOVIMIENTOS!$C24="Chancho"))),IF(MOVIMIENTOS!$B24="SALDO INICIAL","APERTURA ("&amp;MOVIMIENTOS!$C24&amp;")",IF(MOVIMIENTOS!$B24="COMPRA","INGRESO (compra)",IF(MOVIMIENTOS!$B24="PROCESO","CHANCHO (proceso)",IF(MOVIMIENTOS!$B24="ENVÍO A SUPESA","ENVÍO SUPESA cal. "&amp;MOVIMIENTOS!$C24,IF(MOVIMIENTOS!$B24="VENTA CHANCHO","VENTA CHANCHO",IF(MOVIMIENTOS!$B24="DEVOLUCIÓN","DEVOLUCIÓN cal. "&amp;MOVIMIENTOS!$C24,IF(MOVIMIENTOS!$B24="TRASIEGO","TRASIEGO cal. "&amp;MOVIMIENTOS!$C24,IF(MOVIMIENTOS!$B24="REGALO","REGALO "&amp;MOVIMIENTOS!$C24,IF(MOVIMIENTOS!$B24="VENTA","VENTA "&amp;MOVIMIENTOS!$C24,IF(MOVIMIENTOS!$B24="AJUSTE","AJUSTE inventario ("&amp;MOVIMIENTOS!$C24&amp;")",MOVIMIENTOS!$B24)))))))))),"")</f>
        <v>ENVÍO SUPESA cal. A</v>
      </c>
      <c r="M25" t="str">
        <f>IF(AND(AND(MOVIMIENTOS!$B24&lt;&gt;"",NOT(AND(MOVIMIENTOS!$B24="PROCESO",MOVIMIENTOS!$C24&lt;&gt;"Chancho")),NOT(AND(MOVIMIENTOS!$B24="SALDO INICIAL",MOVIMIENTOS!$C24="Chancho"))),OR(MOVIMIENTOS!$B24="SALDO INICIAL",MOVIMIENTOS!$B24="COMPRA",MOVIMIENTOS!$B24="REPROCESO",AND(MOVIMIENTOS!$B24="AJUSTE",MOVIMIENTOS!$C24&lt;&gt;"Chancho",N(MOVIMIENTOS!$F24)&gt;=0))),N(MOVIMIENTOS!$F24),"")</f>
        <v/>
      </c>
      <c r="N25">
        <f>IF(AND(AND(MOVIMIENTOS!$B24&lt;&gt;"",NOT(AND(MOVIMIENTOS!$B24="PROCESO",MOVIMIENTOS!$C24&lt;&gt;"Chancho")),NOT(AND(MOVIMIENTOS!$B24="SALDO INICIAL",MOVIMIENTOS!$C24="Chancho"))),OR(MOVIMIENTOS!$B24="ENVÍO A SUPESA",MOVIMIENTOS!$B24="MALOGRADO",MOVIMIENTOS!$B24="OTRA SALIDA",MOVIMIENTOS!$B24="TRASIEGO",AND(MOVIMIENTOS!$B24="PROCESO",MOVIMIENTOS!$C24="Chancho"),AND(MOVIMIENTOS!$B24="REGALO",MOVIMIENTOS!$C24&lt;&gt;"Chancho"),AND(MOVIMIENTOS!$B24="VENTA",MOVIMIENTOS!$C24&lt;&gt;"Chancho"),AND(MOVIMIENTOS!$B24="AJUSTE",MOVIMIENTOS!$C24&lt;&gt;"Chancho",N(MOVIMIENTOS!$F24)&lt;0))),IF(MOVIMIENTOS!$B24="AJUSTE",-N(MOVIMIENTOS!$F24),N(MOVIMIENTOS!$F24)),"")</f>
        <v>1005</v>
      </c>
      <c r="O25" t="str">
        <f>IF(AND(MOVIMIENTOS!$B24&lt;&gt;"",NOT(AND(MOVIMIENTOS!$B24="PROCESO",MOVIMIENTOS!$C24&lt;&gt;"Chancho")),NOT(AND(MOVIMIENTOS!$B24="SALDO INICIAL",MOVIMIENTOS!$C24="Chancho"))),TRIM(IF(MOVIMIENTOS!$G24&lt;&gt;"",IF(MOVIMIENTOS!$B24="ENVÍO A SUPESA","G-"&amp;MOVIMIENTOS!$G24,MOVIMIENTOS!$G24)&amp;"  ","")&amp;IF(N(MOVIMIENTOS!$E24)&gt;0,MOVIMIENTOS!$E24&amp;" "&amp;MOVIMIENTOS!$D24,"")),"")</f>
        <v>G-2980 67 jabas</v>
      </c>
      <c r="P25">
        <f t="shared" si="6"/>
        <v>3003</v>
      </c>
    </row>
    <row r="26" spans="1:16" x14ac:dyDescent="0.2">
      <c r="A26" s="7">
        <f t="shared" si="0"/>
        <v>46218</v>
      </c>
      <c r="B26" s="8" t="str">
        <f t="shared" si="1"/>
        <v>INGRESO (compra)</v>
      </c>
      <c r="C26" s="9">
        <f t="shared" si="2"/>
        <v>3800</v>
      </c>
      <c r="D26" s="9" t="str">
        <f t="shared" si="3"/>
        <v/>
      </c>
      <c r="E26" s="8" t="str">
        <f t="shared" si="4"/>
        <v>40 sacos</v>
      </c>
      <c r="F26" s="9">
        <f t="shared" si="5"/>
        <v>4508</v>
      </c>
      <c r="J26">
        <f>IF(AND(MOVIMIENTOS!$B25&lt;&gt;"",NOT(AND(MOVIMIENTOS!$B25="PROCESO",MOVIMIENTOS!$C25&lt;&gt;"Chancho")),NOT(AND(MOVIMIENTOS!$B25="SALDO INICIAL",MOVIMIENTOS!$C25="Chancho"))),COUNT(J$5:J25)+1,"")</f>
        <v>12</v>
      </c>
      <c r="K26" s="10">
        <f>IF(AND(MOVIMIENTOS!$B25&lt;&gt;"",NOT(AND(MOVIMIENTOS!$B25="PROCESO",MOVIMIENTOS!$C25&lt;&gt;"Chancho")),NOT(AND(MOVIMIENTOS!$B25="SALDO INICIAL",MOVIMIENTOS!$C25="Chancho"))),MOVIMIENTOS!$A25,"")</f>
        <v>46216</v>
      </c>
      <c r="L26" t="str">
        <f>IF(AND(MOVIMIENTOS!$B25&lt;&gt;"",NOT(AND(MOVIMIENTOS!$B25="PROCESO",MOVIMIENTOS!$C25&lt;&gt;"Chancho")),NOT(AND(MOVIMIENTOS!$B25="SALDO INICIAL",MOVIMIENTOS!$C25="Chancho"))),IF(MOVIMIENTOS!$B25="SALDO INICIAL","APERTURA ("&amp;MOVIMIENTOS!$C25&amp;")",IF(MOVIMIENTOS!$B25="COMPRA","INGRESO (compra)",IF(MOVIMIENTOS!$B25="PROCESO","CHANCHO (proceso)",IF(MOVIMIENTOS!$B25="ENVÍO A SUPESA","ENVÍO SUPESA cal. "&amp;MOVIMIENTOS!$C25,IF(MOVIMIENTOS!$B25="VENTA CHANCHO","VENTA CHANCHO",IF(MOVIMIENTOS!$B25="DEVOLUCIÓN","DEVOLUCIÓN cal. "&amp;MOVIMIENTOS!$C25,IF(MOVIMIENTOS!$B25="TRASIEGO","TRASIEGO cal. "&amp;MOVIMIENTOS!$C25,IF(MOVIMIENTOS!$B25="REGALO","REGALO "&amp;MOVIMIENTOS!$C25,IF(MOVIMIENTOS!$B25="VENTA","VENTA "&amp;MOVIMIENTOS!$C25,IF(MOVIMIENTOS!$B25="AJUSTE","AJUSTE inventario ("&amp;MOVIMIENTOS!$C25&amp;")",MOVIMIENTOS!$B25)))))))))),"")</f>
        <v>ENVÍO SUPESA cal. P</v>
      </c>
      <c r="M26" t="str">
        <f>IF(AND(AND(MOVIMIENTOS!$B25&lt;&gt;"",NOT(AND(MOVIMIENTOS!$B25="PROCESO",MOVIMIENTOS!$C25&lt;&gt;"Chancho")),NOT(AND(MOVIMIENTOS!$B25="SALDO INICIAL",MOVIMIENTOS!$C25="Chancho"))),OR(MOVIMIENTOS!$B25="SALDO INICIAL",MOVIMIENTOS!$B25="COMPRA",MOVIMIENTOS!$B25="REPROCESO",AND(MOVIMIENTOS!$B25="AJUSTE",MOVIMIENTOS!$C25&lt;&gt;"Chancho",N(MOVIMIENTOS!$F25)&gt;=0))),N(MOVIMIENTOS!$F25),"")</f>
        <v/>
      </c>
      <c r="N26">
        <f>IF(AND(AND(MOVIMIENTOS!$B25&lt;&gt;"",NOT(AND(MOVIMIENTOS!$B25="PROCESO",MOVIMIENTOS!$C25&lt;&gt;"Chancho")),NOT(AND(MOVIMIENTOS!$B25="SALDO INICIAL",MOVIMIENTOS!$C25="Chancho"))),OR(MOVIMIENTOS!$B25="ENVÍO A SUPESA",MOVIMIENTOS!$B25="MALOGRADO",MOVIMIENTOS!$B25="OTRA SALIDA",MOVIMIENTOS!$B25="TRASIEGO",AND(MOVIMIENTOS!$B25="PROCESO",MOVIMIENTOS!$C25="Chancho"),AND(MOVIMIENTOS!$B25="REGALO",MOVIMIENTOS!$C25&lt;&gt;"Chancho"),AND(MOVIMIENTOS!$B25="VENTA",MOVIMIENTOS!$C25&lt;&gt;"Chancho"),AND(MOVIMIENTOS!$B25="AJUSTE",MOVIMIENTOS!$C25&lt;&gt;"Chancho",N(MOVIMIENTOS!$F25)&lt;0))),IF(MOVIMIENTOS!$B25="AJUSTE",-N(MOVIMIENTOS!$F25),N(MOVIMIENTOS!$F25)),"")</f>
        <v>198</v>
      </c>
      <c r="O26" t="str">
        <f>IF(AND(MOVIMIENTOS!$B25&lt;&gt;"",NOT(AND(MOVIMIENTOS!$B25="PROCESO",MOVIMIENTOS!$C25&lt;&gt;"Chancho")),NOT(AND(MOVIMIENTOS!$B25="SALDO INICIAL",MOVIMIENTOS!$C25="Chancho"))),TRIM(IF(MOVIMIENTOS!$G25&lt;&gt;"",IF(MOVIMIENTOS!$B25="ENVÍO A SUPESA","G-"&amp;MOVIMIENTOS!$G25,MOVIMIENTOS!$G25)&amp;"  ","")&amp;IF(N(MOVIMIENTOS!$E25)&gt;0,MOVIMIENTOS!$E25&amp;" "&amp;MOVIMIENTOS!$D25,"")),"")</f>
        <v>G-2980 11 jabas</v>
      </c>
      <c r="P26">
        <f t="shared" si="6"/>
        <v>2805</v>
      </c>
    </row>
    <row r="27" spans="1:16" x14ac:dyDescent="0.2">
      <c r="A27" s="7">
        <f t="shared" si="0"/>
        <v>46218</v>
      </c>
      <c r="B27" s="8" t="str">
        <f t="shared" si="1"/>
        <v>CHANCHO (proceso)</v>
      </c>
      <c r="C27" s="9" t="str">
        <f t="shared" si="2"/>
        <v/>
      </c>
      <c r="D27" s="9">
        <f t="shared" si="3"/>
        <v>475</v>
      </c>
      <c r="E27" s="8" t="str">
        <f t="shared" si="4"/>
        <v>5 sacos</v>
      </c>
      <c r="F27" s="9">
        <f t="shared" si="5"/>
        <v>4033</v>
      </c>
      <c r="J27">
        <f>IF(AND(MOVIMIENTOS!$B26&lt;&gt;"",NOT(AND(MOVIMIENTOS!$B26="PROCESO",MOVIMIENTOS!$C26&lt;&gt;"Chancho")),NOT(AND(MOVIMIENTOS!$B26="SALDO INICIAL",MOVIMIENTOS!$C26="Chancho"))),COUNT(J$5:J26)+1,"")</f>
        <v>13</v>
      </c>
      <c r="K27" s="10">
        <f>IF(AND(MOVIMIENTOS!$B26&lt;&gt;"",NOT(AND(MOVIMIENTOS!$B26="PROCESO",MOVIMIENTOS!$C26&lt;&gt;"Chancho")),NOT(AND(MOVIMIENTOS!$B26="SALDO INICIAL",MOVIMIENTOS!$C26="Chancho"))),MOVIMIENTOS!$A26,"")</f>
        <v>46216</v>
      </c>
      <c r="L27" t="str">
        <f>IF(AND(MOVIMIENTOS!$B26&lt;&gt;"",NOT(AND(MOVIMIENTOS!$B26="PROCESO",MOVIMIENTOS!$C26&lt;&gt;"Chancho")),NOT(AND(MOVIMIENTOS!$B26="SALDO INICIAL",MOVIMIENTOS!$C26="Chancho"))),IF(MOVIMIENTOS!$B26="SALDO INICIAL","APERTURA ("&amp;MOVIMIENTOS!$C26&amp;")",IF(MOVIMIENTOS!$B26="COMPRA","INGRESO (compra)",IF(MOVIMIENTOS!$B26="PROCESO","CHANCHO (proceso)",IF(MOVIMIENTOS!$B26="ENVÍO A SUPESA","ENVÍO SUPESA cal. "&amp;MOVIMIENTOS!$C26,IF(MOVIMIENTOS!$B26="VENTA CHANCHO","VENTA CHANCHO",IF(MOVIMIENTOS!$B26="DEVOLUCIÓN","DEVOLUCIÓN cal. "&amp;MOVIMIENTOS!$C26,IF(MOVIMIENTOS!$B26="TRASIEGO","TRASIEGO cal. "&amp;MOVIMIENTOS!$C26,IF(MOVIMIENTOS!$B26="REGALO","REGALO "&amp;MOVIMIENTOS!$C26,IF(MOVIMIENTOS!$B26="VENTA","VENTA "&amp;MOVIMIENTOS!$C26,IF(MOVIMIENTOS!$B26="AJUSTE","AJUSTE inventario ("&amp;MOVIMIENTOS!$C26&amp;")",MOVIMIENTOS!$B26)))))))))),"")</f>
        <v>ENVÍO SUPESA cal. C</v>
      </c>
      <c r="M27" t="str">
        <f>IF(AND(AND(MOVIMIENTOS!$B26&lt;&gt;"",NOT(AND(MOVIMIENTOS!$B26="PROCESO",MOVIMIENTOS!$C26&lt;&gt;"Chancho")),NOT(AND(MOVIMIENTOS!$B26="SALDO INICIAL",MOVIMIENTOS!$C26="Chancho"))),OR(MOVIMIENTOS!$B26="SALDO INICIAL",MOVIMIENTOS!$B26="COMPRA",MOVIMIENTOS!$B26="REPROCESO",AND(MOVIMIENTOS!$B26="AJUSTE",MOVIMIENTOS!$C26&lt;&gt;"Chancho",N(MOVIMIENTOS!$F26)&gt;=0))),N(MOVIMIENTOS!$F26),"")</f>
        <v/>
      </c>
      <c r="N27">
        <f>IF(AND(AND(MOVIMIENTOS!$B26&lt;&gt;"",NOT(AND(MOVIMIENTOS!$B26="PROCESO",MOVIMIENTOS!$C26&lt;&gt;"Chancho")),NOT(AND(MOVIMIENTOS!$B26="SALDO INICIAL",MOVIMIENTOS!$C26="Chancho"))),OR(MOVIMIENTOS!$B26="ENVÍO A SUPESA",MOVIMIENTOS!$B26="MALOGRADO",MOVIMIENTOS!$B26="OTRA SALIDA",MOVIMIENTOS!$B26="TRASIEGO",AND(MOVIMIENTOS!$B26="PROCESO",MOVIMIENTOS!$C26="Chancho"),AND(MOVIMIENTOS!$B26="REGALO",MOVIMIENTOS!$C26&lt;&gt;"Chancho"),AND(MOVIMIENTOS!$B26="VENTA",MOVIMIENTOS!$C26&lt;&gt;"Chancho"),AND(MOVIMIENTOS!$B26="AJUSTE",MOVIMIENTOS!$C26&lt;&gt;"Chancho",N(MOVIMIENTOS!$F26)&lt;0))),IF(MOVIMIENTOS!$B26="AJUSTE",-N(MOVIMIENTOS!$F26),N(MOVIMIENTOS!$F26)),"")</f>
        <v>204</v>
      </c>
      <c r="O27" t="str">
        <f>IF(AND(MOVIMIENTOS!$B26&lt;&gt;"",NOT(AND(MOVIMIENTOS!$B26="PROCESO",MOVIMIENTOS!$C26&lt;&gt;"Chancho")),NOT(AND(MOVIMIENTOS!$B26="SALDO INICIAL",MOVIMIENTOS!$C26="Chancho"))),TRIM(IF(MOVIMIENTOS!$G26&lt;&gt;"",IF(MOVIMIENTOS!$B26="ENVÍO A SUPESA","G-"&amp;MOVIMIENTOS!$G26,MOVIMIENTOS!$G26)&amp;"  ","")&amp;IF(N(MOVIMIENTOS!$E26)&gt;0,MOVIMIENTOS!$E26&amp;" "&amp;MOVIMIENTOS!$D26,"")),"")</f>
        <v>G-2980 12 jabas</v>
      </c>
      <c r="P27">
        <f t="shared" si="6"/>
        <v>2601</v>
      </c>
    </row>
    <row r="28" spans="1:16" x14ac:dyDescent="0.2">
      <c r="A28" s="7">
        <f t="shared" si="0"/>
        <v>46218</v>
      </c>
      <c r="B28" s="8" t="str">
        <f t="shared" si="1"/>
        <v>ENVÍO SUPESA cal. A</v>
      </c>
      <c r="C28" s="9" t="str">
        <f t="shared" si="2"/>
        <v/>
      </c>
      <c r="D28" s="9">
        <f t="shared" si="3"/>
        <v>1005</v>
      </c>
      <c r="E28" s="8" t="str">
        <f t="shared" si="4"/>
        <v>G-2986 67 jabas</v>
      </c>
      <c r="F28" s="9">
        <f t="shared" si="5"/>
        <v>3028</v>
      </c>
      <c r="J28">
        <f>IF(AND(MOVIMIENTOS!$B27&lt;&gt;"",NOT(AND(MOVIMIENTOS!$B27="PROCESO",MOVIMIENTOS!$C27&lt;&gt;"Chancho")),NOT(AND(MOVIMIENTOS!$B27="SALDO INICIAL",MOVIMIENTOS!$C27="Chancho"))),COUNT(J$5:J27)+1,"")</f>
        <v>14</v>
      </c>
      <c r="K28" s="10">
        <f>IF(AND(MOVIMIENTOS!$B27&lt;&gt;"",NOT(AND(MOVIMIENTOS!$B27="PROCESO",MOVIMIENTOS!$C27&lt;&gt;"Chancho")),NOT(AND(MOVIMIENTOS!$B27="SALDO INICIAL",MOVIMIENTOS!$C27="Chancho"))),MOVIMIENTOS!$A27,"")</f>
        <v>46216</v>
      </c>
      <c r="L28" t="str">
        <f>IF(AND(MOVIMIENTOS!$B27&lt;&gt;"",NOT(AND(MOVIMIENTOS!$B27="PROCESO",MOVIMIENTOS!$C27&lt;&gt;"Chancho")),NOT(AND(MOVIMIENTOS!$B27="SALDO INICIAL",MOVIMIENTOS!$C27="Chancho"))),IF(MOVIMIENTOS!$B27="SALDO INICIAL","APERTURA ("&amp;MOVIMIENTOS!$C27&amp;")",IF(MOVIMIENTOS!$B27="COMPRA","INGRESO (compra)",IF(MOVIMIENTOS!$B27="PROCESO","CHANCHO (proceso)",IF(MOVIMIENTOS!$B27="ENVÍO A SUPESA","ENVÍO SUPESA cal. "&amp;MOVIMIENTOS!$C27,IF(MOVIMIENTOS!$B27="VENTA CHANCHO","VENTA CHANCHO",IF(MOVIMIENTOS!$B27="DEVOLUCIÓN","DEVOLUCIÓN cal. "&amp;MOVIMIENTOS!$C27,IF(MOVIMIENTOS!$B27="TRASIEGO","TRASIEGO cal. "&amp;MOVIMIENTOS!$C27,IF(MOVIMIENTOS!$B27="REGALO","REGALO "&amp;MOVIMIENTOS!$C27,IF(MOVIMIENTOS!$B27="VENTA","VENTA "&amp;MOVIMIENTOS!$C27,IF(MOVIMIENTOS!$B27="AJUSTE","AJUSTE inventario ("&amp;MOVIMIENTOS!$C27&amp;")",MOVIMIENTOS!$B27)))))))))),"")</f>
        <v>ENVÍO SUPESA cal. M</v>
      </c>
      <c r="M28" t="str">
        <f>IF(AND(AND(MOVIMIENTOS!$B27&lt;&gt;"",NOT(AND(MOVIMIENTOS!$B27="PROCESO",MOVIMIENTOS!$C27&lt;&gt;"Chancho")),NOT(AND(MOVIMIENTOS!$B27="SALDO INICIAL",MOVIMIENTOS!$C27="Chancho"))),OR(MOVIMIENTOS!$B27="SALDO INICIAL",MOVIMIENTOS!$B27="COMPRA",MOVIMIENTOS!$B27="REPROCESO",AND(MOVIMIENTOS!$B27="AJUSTE",MOVIMIENTOS!$C27&lt;&gt;"Chancho",N(MOVIMIENTOS!$F27)&gt;=0))),N(MOVIMIENTOS!$F27),"")</f>
        <v/>
      </c>
      <c r="N28">
        <f>IF(AND(AND(MOVIMIENTOS!$B27&lt;&gt;"",NOT(AND(MOVIMIENTOS!$B27="PROCESO",MOVIMIENTOS!$C27&lt;&gt;"Chancho")),NOT(AND(MOVIMIENTOS!$B27="SALDO INICIAL",MOVIMIENTOS!$C27="Chancho"))),OR(MOVIMIENTOS!$B27="ENVÍO A SUPESA",MOVIMIENTOS!$B27="MALOGRADO",MOVIMIENTOS!$B27="OTRA SALIDA",MOVIMIENTOS!$B27="TRASIEGO",AND(MOVIMIENTOS!$B27="PROCESO",MOVIMIENTOS!$C27="Chancho"),AND(MOVIMIENTOS!$B27="REGALO",MOVIMIENTOS!$C27&lt;&gt;"Chancho"),AND(MOVIMIENTOS!$B27="VENTA",MOVIMIENTOS!$C27&lt;&gt;"Chancho"),AND(MOVIMIENTOS!$B27="AJUSTE",MOVIMIENTOS!$C27&lt;&gt;"Chancho",N(MOVIMIENTOS!$F27)&lt;0))),IF(MOVIMIENTOS!$B27="AJUSTE",-N(MOVIMIENTOS!$F27),N(MOVIMIENTOS!$F27)),"")</f>
        <v>1649</v>
      </c>
      <c r="O28" t="str">
        <f>IF(AND(MOVIMIENTOS!$B27&lt;&gt;"",NOT(AND(MOVIMIENTOS!$B27="PROCESO",MOVIMIENTOS!$C27&lt;&gt;"Chancho")),NOT(AND(MOVIMIENTOS!$B27="SALDO INICIAL",MOVIMIENTOS!$C27="Chancho"))),TRIM(IF(MOVIMIENTOS!$G27&lt;&gt;"",IF(MOVIMIENTOS!$B27="ENVÍO A SUPESA","G-"&amp;MOVIMIENTOS!$G27,MOVIMIENTOS!$G27)&amp;"  ","")&amp;IF(N(MOVIMIENTOS!$E27)&gt;0,MOVIMIENTOS!$E27&amp;" "&amp;MOVIMIENTOS!$D27,"")),"")</f>
        <v>G-2980 97 jabas</v>
      </c>
      <c r="P28">
        <f t="shared" si="6"/>
        <v>952</v>
      </c>
    </row>
    <row r="29" spans="1:16" x14ac:dyDescent="0.2">
      <c r="A29" s="7">
        <f t="shared" si="0"/>
        <v>46218</v>
      </c>
      <c r="B29" s="8" t="str">
        <f t="shared" si="1"/>
        <v>ENVÍO SUPESA cal. P</v>
      </c>
      <c r="C29" s="9" t="str">
        <f t="shared" si="2"/>
        <v/>
      </c>
      <c r="D29" s="9">
        <f t="shared" si="3"/>
        <v>198</v>
      </c>
      <c r="E29" s="8" t="str">
        <f t="shared" si="4"/>
        <v>G-2986 11 jabas</v>
      </c>
      <c r="F29" s="9">
        <f t="shared" si="5"/>
        <v>2830</v>
      </c>
      <c r="J29">
        <f>IF(AND(MOVIMIENTOS!$B28&lt;&gt;"",NOT(AND(MOVIMIENTOS!$B28="PROCESO",MOVIMIENTOS!$C28&lt;&gt;"Chancho")),NOT(AND(MOVIMIENTOS!$B28="SALDO INICIAL",MOVIMIENTOS!$C28="Chancho"))),COUNT(J$5:J28)+1,"")</f>
        <v>15</v>
      </c>
      <c r="K29" s="10">
        <f>IF(AND(MOVIMIENTOS!$B28&lt;&gt;"",NOT(AND(MOVIMIENTOS!$B28="PROCESO",MOVIMIENTOS!$C28&lt;&gt;"Chancho")),NOT(AND(MOVIMIENTOS!$B28="SALDO INICIAL",MOVIMIENTOS!$C28="Chancho"))),MOVIMIENTOS!$A28,"")</f>
        <v>46217</v>
      </c>
      <c r="L29" t="str">
        <f>IF(AND(MOVIMIENTOS!$B28&lt;&gt;"",NOT(AND(MOVIMIENTOS!$B28="PROCESO",MOVIMIENTOS!$C28&lt;&gt;"Chancho")),NOT(AND(MOVIMIENTOS!$B28="SALDO INICIAL",MOVIMIENTOS!$C28="Chancho"))),IF(MOVIMIENTOS!$B28="SALDO INICIAL","APERTURA ("&amp;MOVIMIENTOS!$C28&amp;")",IF(MOVIMIENTOS!$B28="COMPRA","INGRESO (compra)",IF(MOVIMIENTOS!$B28="PROCESO","CHANCHO (proceso)",IF(MOVIMIENTOS!$B28="ENVÍO A SUPESA","ENVÍO SUPESA cal. "&amp;MOVIMIENTOS!$C28,IF(MOVIMIENTOS!$B28="VENTA CHANCHO","VENTA CHANCHO",IF(MOVIMIENTOS!$B28="DEVOLUCIÓN","DEVOLUCIÓN cal. "&amp;MOVIMIENTOS!$C28,IF(MOVIMIENTOS!$B28="TRASIEGO","TRASIEGO cal. "&amp;MOVIMIENTOS!$C28,IF(MOVIMIENTOS!$B28="REGALO","REGALO "&amp;MOVIMIENTOS!$C28,IF(MOVIMIENTOS!$B28="VENTA","VENTA "&amp;MOVIMIENTOS!$C28,IF(MOVIMIENTOS!$B28="AJUSTE","AJUSTE inventario ("&amp;MOVIMIENTOS!$C28&amp;")",MOVIMIENTOS!$B28)))))))))),"")</f>
        <v>INGRESO (compra)</v>
      </c>
      <c r="M29">
        <f>IF(AND(AND(MOVIMIENTOS!$B28&lt;&gt;"",NOT(AND(MOVIMIENTOS!$B28="PROCESO",MOVIMIENTOS!$C28&lt;&gt;"Chancho")),NOT(AND(MOVIMIENTOS!$B28="SALDO INICIAL",MOVIMIENTOS!$C28="Chancho"))),OR(MOVIMIENTOS!$B28="SALDO INICIAL",MOVIMIENTOS!$B28="COMPRA",MOVIMIENTOS!$B28="REPROCESO",AND(MOVIMIENTOS!$B28="AJUSTE",MOVIMIENTOS!$C28&lt;&gt;"Chancho",N(MOVIMIENTOS!$F28)&gt;=0))),N(MOVIMIENTOS!$F28),"")</f>
        <v>3800</v>
      </c>
      <c r="N29" t="str">
        <f>IF(AND(AND(MOVIMIENTOS!$B28&lt;&gt;"",NOT(AND(MOVIMIENTOS!$B28="PROCESO",MOVIMIENTOS!$C28&lt;&gt;"Chancho")),NOT(AND(MOVIMIENTOS!$B28="SALDO INICIAL",MOVIMIENTOS!$C28="Chancho"))),OR(MOVIMIENTOS!$B28="ENVÍO A SUPESA",MOVIMIENTOS!$B28="MALOGRADO",MOVIMIENTOS!$B28="OTRA SALIDA",MOVIMIENTOS!$B28="TRASIEGO",AND(MOVIMIENTOS!$B28="PROCESO",MOVIMIENTOS!$C28="Chancho"),AND(MOVIMIENTOS!$B28="REGALO",MOVIMIENTOS!$C28&lt;&gt;"Chancho"),AND(MOVIMIENTOS!$B28="VENTA",MOVIMIENTOS!$C28&lt;&gt;"Chancho"),AND(MOVIMIENTOS!$B28="AJUSTE",MOVIMIENTOS!$C28&lt;&gt;"Chancho",N(MOVIMIENTOS!$F28)&lt;0))),IF(MOVIMIENTOS!$B28="AJUSTE",-N(MOVIMIENTOS!$F28),N(MOVIMIENTOS!$F28)),"")</f>
        <v/>
      </c>
      <c r="O29" t="str">
        <f>IF(AND(MOVIMIENTOS!$B28&lt;&gt;"",NOT(AND(MOVIMIENTOS!$B28="PROCESO",MOVIMIENTOS!$C28&lt;&gt;"Chancho")),NOT(AND(MOVIMIENTOS!$B28="SALDO INICIAL",MOVIMIENTOS!$C28="Chancho"))),TRIM(IF(MOVIMIENTOS!$G28&lt;&gt;"",IF(MOVIMIENTOS!$B28="ENVÍO A SUPESA","G-"&amp;MOVIMIENTOS!$G28,MOVIMIENTOS!$G28)&amp;"  ","")&amp;IF(N(MOVIMIENTOS!$E28)&gt;0,MOVIMIENTOS!$E28&amp;" "&amp;MOVIMIENTOS!$D28,"")),"")</f>
        <v>40 sacos</v>
      </c>
      <c r="P29">
        <f t="shared" si="6"/>
        <v>4752</v>
      </c>
    </row>
    <row r="30" spans="1:16" x14ac:dyDescent="0.2">
      <c r="A30" s="7">
        <f t="shared" si="0"/>
        <v>46218</v>
      </c>
      <c r="B30" s="8" t="str">
        <f t="shared" si="1"/>
        <v>ENVÍO SUPESA cal. C</v>
      </c>
      <c r="C30" s="9" t="str">
        <f t="shared" si="2"/>
        <v/>
      </c>
      <c r="D30" s="9">
        <f t="shared" si="3"/>
        <v>153</v>
      </c>
      <c r="E30" s="8" t="str">
        <f t="shared" si="4"/>
        <v>G-2986 9 jabas</v>
      </c>
      <c r="F30" s="9">
        <f t="shared" si="5"/>
        <v>2677</v>
      </c>
      <c r="J30" t="str">
        <f>IF(AND(MOVIMIENTOS!$B29&lt;&gt;"",NOT(AND(MOVIMIENTOS!$B29="PROCESO",MOVIMIENTOS!$C29&lt;&gt;"Chancho")),NOT(AND(MOVIMIENTOS!$B29="SALDO INICIAL",MOVIMIENTOS!$C29="Chancho"))),COUNT(J$5:J29)+1,"")</f>
        <v/>
      </c>
      <c r="K30" t="str">
        <f>IF(AND(MOVIMIENTOS!$B29&lt;&gt;"",NOT(AND(MOVIMIENTOS!$B29="PROCESO",MOVIMIENTOS!$C29&lt;&gt;"Chancho")),NOT(AND(MOVIMIENTOS!$B29="SALDO INICIAL",MOVIMIENTOS!$C29="Chancho"))),MOVIMIENTOS!$A29,"")</f>
        <v/>
      </c>
      <c r="L30" t="str">
        <f>IF(AND(MOVIMIENTOS!$B29&lt;&gt;"",NOT(AND(MOVIMIENTOS!$B29="PROCESO",MOVIMIENTOS!$C29&lt;&gt;"Chancho")),NOT(AND(MOVIMIENTOS!$B29="SALDO INICIAL",MOVIMIENTOS!$C29="Chancho"))),IF(MOVIMIENTOS!$B29="SALDO INICIAL","APERTURA ("&amp;MOVIMIENTOS!$C29&amp;")",IF(MOVIMIENTOS!$B29="COMPRA","INGRESO (compra)",IF(MOVIMIENTOS!$B29="PROCESO","CHANCHO (proceso)",IF(MOVIMIENTOS!$B29="ENVÍO A SUPESA","ENVÍO SUPESA cal. "&amp;MOVIMIENTOS!$C29,IF(MOVIMIENTOS!$B29="VENTA CHANCHO","VENTA CHANCHO",IF(MOVIMIENTOS!$B29="DEVOLUCIÓN","DEVOLUCIÓN cal. "&amp;MOVIMIENTOS!$C29,IF(MOVIMIENTOS!$B29="TRASIEGO","TRASIEGO cal. "&amp;MOVIMIENTOS!$C29,IF(MOVIMIENTOS!$B29="REGALO","REGALO "&amp;MOVIMIENTOS!$C29,IF(MOVIMIENTOS!$B29="VENTA","VENTA "&amp;MOVIMIENTOS!$C29,IF(MOVIMIENTOS!$B29="AJUSTE","AJUSTE inventario ("&amp;MOVIMIENTOS!$C29&amp;")",MOVIMIENTOS!$B29)))))))))),"")</f>
        <v/>
      </c>
      <c r="M30" t="str">
        <f>IF(AND(AND(MOVIMIENTOS!$B29&lt;&gt;"",NOT(AND(MOVIMIENTOS!$B29="PROCESO",MOVIMIENTOS!$C29&lt;&gt;"Chancho")),NOT(AND(MOVIMIENTOS!$B29="SALDO INICIAL",MOVIMIENTOS!$C29="Chancho"))),OR(MOVIMIENTOS!$B29="SALDO INICIAL",MOVIMIENTOS!$B29="COMPRA",MOVIMIENTOS!$B29="REPROCESO",AND(MOVIMIENTOS!$B29="AJUSTE",MOVIMIENTOS!$C29&lt;&gt;"Chancho",N(MOVIMIENTOS!$F29)&gt;=0))),N(MOVIMIENTOS!$F29),"")</f>
        <v/>
      </c>
      <c r="N30" t="str">
        <f>IF(AND(AND(MOVIMIENTOS!$B29&lt;&gt;"",NOT(AND(MOVIMIENTOS!$B29="PROCESO",MOVIMIENTOS!$C29&lt;&gt;"Chancho")),NOT(AND(MOVIMIENTOS!$B29="SALDO INICIAL",MOVIMIENTOS!$C29="Chancho"))),OR(MOVIMIENTOS!$B29="ENVÍO A SUPESA",MOVIMIENTOS!$B29="MALOGRADO",MOVIMIENTOS!$B29="OTRA SALIDA",MOVIMIENTOS!$B29="TRASIEGO",AND(MOVIMIENTOS!$B29="PROCESO",MOVIMIENTOS!$C29="Chancho"),AND(MOVIMIENTOS!$B29="REGALO",MOVIMIENTOS!$C29&lt;&gt;"Chancho"),AND(MOVIMIENTOS!$B29="VENTA",MOVIMIENTOS!$C29&lt;&gt;"Chancho"),AND(MOVIMIENTOS!$B29="AJUSTE",MOVIMIENTOS!$C29&lt;&gt;"Chancho",N(MOVIMIENTOS!$F29)&lt;0))),IF(MOVIMIENTOS!$B29="AJUSTE",-N(MOVIMIENTOS!$F29),N(MOVIMIENTOS!$F29)),"")</f>
        <v/>
      </c>
      <c r="O30" t="str">
        <f>IF(AND(MOVIMIENTOS!$B29&lt;&gt;"",NOT(AND(MOVIMIENTOS!$B29="PROCESO",MOVIMIENTOS!$C29&lt;&gt;"Chancho")),NOT(AND(MOVIMIENTOS!$B29="SALDO INICIAL",MOVIMIENTOS!$C29="Chancho"))),TRIM(IF(MOVIMIENTOS!$G29&lt;&gt;"",IF(MOVIMIENTOS!$B29="ENVÍO A SUPESA","G-"&amp;MOVIMIENTOS!$G29,MOVIMIENTOS!$G29)&amp;"  ","")&amp;IF(N(MOVIMIENTOS!$E29)&gt;0,MOVIMIENTOS!$E29&amp;" "&amp;MOVIMIENTOS!$D29,"")),"")</f>
        <v/>
      </c>
      <c r="P30">
        <f t="shared" si="6"/>
        <v>4752</v>
      </c>
    </row>
    <row r="31" spans="1:16" x14ac:dyDescent="0.2">
      <c r="A31" s="7">
        <f t="shared" si="0"/>
        <v>46218</v>
      </c>
      <c r="B31" s="8" t="str">
        <f t="shared" si="1"/>
        <v>ENVÍO SUPESA cal. M</v>
      </c>
      <c r="C31" s="9" t="str">
        <f t="shared" si="2"/>
        <v/>
      </c>
      <c r="D31" s="9">
        <f t="shared" si="3"/>
        <v>1615</v>
      </c>
      <c r="E31" s="8" t="str">
        <f t="shared" si="4"/>
        <v>G-2986 95 jabas</v>
      </c>
      <c r="F31" s="9">
        <f t="shared" si="5"/>
        <v>1062</v>
      </c>
      <c r="J31" t="str">
        <f>IF(AND(MOVIMIENTOS!$B30&lt;&gt;"",NOT(AND(MOVIMIENTOS!$B30="PROCESO",MOVIMIENTOS!$C30&lt;&gt;"Chancho")),NOT(AND(MOVIMIENTOS!$B30="SALDO INICIAL",MOVIMIENTOS!$C30="Chancho"))),COUNT(J$5:J30)+1,"")</f>
        <v/>
      </c>
      <c r="K31" t="str">
        <f>IF(AND(MOVIMIENTOS!$B30&lt;&gt;"",NOT(AND(MOVIMIENTOS!$B30="PROCESO",MOVIMIENTOS!$C30&lt;&gt;"Chancho")),NOT(AND(MOVIMIENTOS!$B30="SALDO INICIAL",MOVIMIENTOS!$C30="Chancho"))),MOVIMIENTOS!$A30,"")</f>
        <v/>
      </c>
      <c r="L31" t="str">
        <f>IF(AND(MOVIMIENTOS!$B30&lt;&gt;"",NOT(AND(MOVIMIENTOS!$B30="PROCESO",MOVIMIENTOS!$C30&lt;&gt;"Chancho")),NOT(AND(MOVIMIENTOS!$B30="SALDO INICIAL",MOVIMIENTOS!$C30="Chancho"))),IF(MOVIMIENTOS!$B30="SALDO INICIAL","APERTURA ("&amp;MOVIMIENTOS!$C30&amp;")",IF(MOVIMIENTOS!$B30="COMPRA","INGRESO (compra)",IF(MOVIMIENTOS!$B30="PROCESO","CHANCHO (proceso)",IF(MOVIMIENTOS!$B30="ENVÍO A SUPESA","ENVÍO SUPESA cal. "&amp;MOVIMIENTOS!$C30,IF(MOVIMIENTOS!$B30="VENTA CHANCHO","VENTA CHANCHO",IF(MOVIMIENTOS!$B30="DEVOLUCIÓN","DEVOLUCIÓN cal. "&amp;MOVIMIENTOS!$C30,IF(MOVIMIENTOS!$B30="TRASIEGO","TRASIEGO cal. "&amp;MOVIMIENTOS!$C30,IF(MOVIMIENTOS!$B30="REGALO","REGALO "&amp;MOVIMIENTOS!$C30,IF(MOVIMIENTOS!$B30="VENTA","VENTA "&amp;MOVIMIENTOS!$C30,IF(MOVIMIENTOS!$B30="AJUSTE","AJUSTE inventario ("&amp;MOVIMIENTOS!$C30&amp;")",MOVIMIENTOS!$B30)))))))))),"")</f>
        <v/>
      </c>
      <c r="M31" t="str">
        <f>IF(AND(AND(MOVIMIENTOS!$B30&lt;&gt;"",NOT(AND(MOVIMIENTOS!$B30="PROCESO",MOVIMIENTOS!$C30&lt;&gt;"Chancho")),NOT(AND(MOVIMIENTOS!$B30="SALDO INICIAL",MOVIMIENTOS!$C30="Chancho"))),OR(MOVIMIENTOS!$B30="SALDO INICIAL",MOVIMIENTOS!$B30="COMPRA",MOVIMIENTOS!$B30="REPROCESO",AND(MOVIMIENTOS!$B30="AJUSTE",MOVIMIENTOS!$C30&lt;&gt;"Chancho",N(MOVIMIENTOS!$F30)&gt;=0))),N(MOVIMIENTOS!$F30),"")</f>
        <v/>
      </c>
      <c r="N31" t="str">
        <f>IF(AND(AND(MOVIMIENTOS!$B30&lt;&gt;"",NOT(AND(MOVIMIENTOS!$B30="PROCESO",MOVIMIENTOS!$C30&lt;&gt;"Chancho")),NOT(AND(MOVIMIENTOS!$B30="SALDO INICIAL",MOVIMIENTOS!$C30="Chancho"))),OR(MOVIMIENTOS!$B30="ENVÍO A SUPESA",MOVIMIENTOS!$B30="MALOGRADO",MOVIMIENTOS!$B30="OTRA SALIDA",MOVIMIENTOS!$B30="TRASIEGO",AND(MOVIMIENTOS!$B30="PROCESO",MOVIMIENTOS!$C30="Chancho"),AND(MOVIMIENTOS!$B30="REGALO",MOVIMIENTOS!$C30&lt;&gt;"Chancho"),AND(MOVIMIENTOS!$B30="VENTA",MOVIMIENTOS!$C30&lt;&gt;"Chancho"),AND(MOVIMIENTOS!$B30="AJUSTE",MOVIMIENTOS!$C30&lt;&gt;"Chancho",N(MOVIMIENTOS!$F30)&lt;0))),IF(MOVIMIENTOS!$B30="AJUSTE",-N(MOVIMIENTOS!$F30),N(MOVIMIENTOS!$F30)),"")</f>
        <v/>
      </c>
      <c r="O31" t="str">
        <f>IF(AND(MOVIMIENTOS!$B30&lt;&gt;"",NOT(AND(MOVIMIENTOS!$B30="PROCESO",MOVIMIENTOS!$C30&lt;&gt;"Chancho")),NOT(AND(MOVIMIENTOS!$B30="SALDO INICIAL",MOVIMIENTOS!$C30="Chancho"))),TRIM(IF(MOVIMIENTOS!$G30&lt;&gt;"",IF(MOVIMIENTOS!$B30="ENVÍO A SUPESA","G-"&amp;MOVIMIENTOS!$G30,MOVIMIENTOS!$G30)&amp;"  ","")&amp;IF(N(MOVIMIENTOS!$E30)&gt;0,MOVIMIENTOS!$E30&amp;" "&amp;MOVIMIENTOS!$D30,"")),"")</f>
        <v/>
      </c>
      <c r="P31">
        <f t="shared" si="6"/>
        <v>4752</v>
      </c>
    </row>
    <row r="32" spans="1:16" x14ac:dyDescent="0.2">
      <c r="A32" s="7">
        <f t="shared" si="0"/>
        <v>46218</v>
      </c>
      <c r="B32" s="8" t="str">
        <f t="shared" si="1"/>
        <v>VENTA CHANCHO</v>
      </c>
      <c r="C32" s="9" t="str">
        <f t="shared" si="2"/>
        <v/>
      </c>
      <c r="D32" s="9" t="str">
        <f t="shared" si="3"/>
        <v/>
      </c>
      <c r="E32" s="8" t="str">
        <f t="shared" si="4"/>
        <v>TCK002-724 35 sacos</v>
      </c>
      <c r="F32" s="9">
        <f t="shared" si="5"/>
        <v>1062</v>
      </c>
      <c r="J32" t="str">
        <f>IF(AND(MOVIMIENTOS!$B31&lt;&gt;"",NOT(AND(MOVIMIENTOS!$B31="PROCESO",MOVIMIENTOS!$C31&lt;&gt;"Chancho")),NOT(AND(MOVIMIENTOS!$B31="SALDO INICIAL",MOVIMIENTOS!$C31="Chancho"))),COUNT(J$5:J31)+1,"")</f>
        <v/>
      </c>
      <c r="K32" t="str">
        <f>IF(AND(MOVIMIENTOS!$B31&lt;&gt;"",NOT(AND(MOVIMIENTOS!$B31="PROCESO",MOVIMIENTOS!$C31&lt;&gt;"Chancho")),NOT(AND(MOVIMIENTOS!$B31="SALDO INICIAL",MOVIMIENTOS!$C31="Chancho"))),MOVIMIENTOS!$A31,"")</f>
        <v/>
      </c>
      <c r="L32" t="str">
        <f>IF(AND(MOVIMIENTOS!$B31&lt;&gt;"",NOT(AND(MOVIMIENTOS!$B31="PROCESO",MOVIMIENTOS!$C31&lt;&gt;"Chancho")),NOT(AND(MOVIMIENTOS!$B31="SALDO INICIAL",MOVIMIENTOS!$C31="Chancho"))),IF(MOVIMIENTOS!$B31="SALDO INICIAL","APERTURA ("&amp;MOVIMIENTOS!$C31&amp;")",IF(MOVIMIENTOS!$B31="COMPRA","INGRESO (compra)",IF(MOVIMIENTOS!$B31="PROCESO","CHANCHO (proceso)",IF(MOVIMIENTOS!$B31="ENVÍO A SUPESA","ENVÍO SUPESA cal. "&amp;MOVIMIENTOS!$C31,IF(MOVIMIENTOS!$B31="VENTA CHANCHO","VENTA CHANCHO",IF(MOVIMIENTOS!$B31="DEVOLUCIÓN","DEVOLUCIÓN cal. "&amp;MOVIMIENTOS!$C31,IF(MOVIMIENTOS!$B31="TRASIEGO","TRASIEGO cal. "&amp;MOVIMIENTOS!$C31,IF(MOVIMIENTOS!$B31="REGALO","REGALO "&amp;MOVIMIENTOS!$C31,IF(MOVIMIENTOS!$B31="VENTA","VENTA "&amp;MOVIMIENTOS!$C31,IF(MOVIMIENTOS!$B31="AJUSTE","AJUSTE inventario ("&amp;MOVIMIENTOS!$C31&amp;")",MOVIMIENTOS!$B31)))))))))),"")</f>
        <v/>
      </c>
      <c r="M32" t="str">
        <f>IF(AND(AND(MOVIMIENTOS!$B31&lt;&gt;"",NOT(AND(MOVIMIENTOS!$B31="PROCESO",MOVIMIENTOS!$C31&lt;&gt;"Chancho")),NOT(AND(MOVIMIENTOS!$B31="SALDO INICIAL",MOVIMIENTOS!$C31="Chancho"))),OR(MOVIMIENTOS!$B31="SALDO INICIAL",MOVIMIENTOS!$B31="COMPRA",MOVIMIENTOS!$B31="REPROCESO",AND(MOVIMIENTOS!$B31="AJUSTE",MOVIMIENTOS!$C31&lt;&gt;"Chancho",N(MOVIMIENTOS!$F31)&gt;=0))),N(MOVIMIENTOS!$F31),"")</f>
        <v/>
      </c>
      <c r="N32" t="str">
        <f>IF(AND(AND(MOVIMIENTOS!$B31&lt;&gt;"",NOT(AND(MOVIMIENTOS!$B31="PROCESO",MOVIMIENTOS!$C31&lt;&gt;"Chancho")),NOT(AND(MOVIMIENTOS!$B31="SALDO INICIAL",MOVIMIENTOS!$C31="Chancho"))),OR(MOVIMIENTOS!$B31="ENVÍO A SUPESA",MOVIMIENTOS!$B31="MALOGRADO",MOVIMIENTOS!$B31="OTRA SALIDA",MOVIMIENTOS!$B31="TRASIEGO",AND(MOVIMIENTOS!$B31="PROCESO",MOVIMIENTOS!$C31="Chancho"),AND(MOVIMIENTOS!$B31="REGALO",MOVIMIENTOS!$C31&lt;&gt;"Chancho"),AND(MOVIMIENTOS!$B31="VENTA",MOVIMIENTOS!$C31&lt;&gt;"Chancho"),AND(MOVIMIENTOS!$B31="AJUSTE",MOVIMIENTOS!$C31&lt;&gt;"Chancho",N(MOVIMIENTOS!$F31)&lt;0))),IF(MOVIMIENTOS!$B31="AJUSTE",-N(MOVIMIENTOS!$F31),N(MOVIMIENTOS!$F31)),"")</f>
        <v/>
      </c>
      <c r="O32" t="str">
        <f>IF(AND(MOVIMIENTOS!$B31&lt;&gt;"",NOT(AND(MOVIMIENTOS!$B31="PROCESO",MOVIMIENTOS!$C31&lt;&gt;"Chancho")),NOT(AND(MOVIMIENTOS!$B31="SALDO INICIAL",MOVIMIENTOS!$C31="Chancho"))),TRIM(IF(MOVIMIENTOS!$G31&lt;&gt;"",IF(MOVIMIENTOS!$B31="ENVÍO A SUPESA","G-"&amp;MOVIMIENTOS!$G31,MOVIMIENTOS!$G31)&amp;"  ","")&amp;IF(N(MOVIMIENTOS!$E31)&gt;0,MOVIMIENTOS!$E31&amp;" "&amp;MOVIMIENTOS!$D31,"")),"")</f>
        <v/>
      </c>
      <c r="P32">
        <f t="shared" si="6"/>
        <v>4752</v>
      </c>
    </row>
    <row r="33" spans="1:16" x14ac:dyDescent="0.2">
      <c r="A33" s="7">
        <f t="shared" si="0"/>
        <v>46219</v>
      </c>
      <c r="B33" s="8" t="str">
        <f t="shared" si="1"/>
        <v>INGRESO (compra)</v>
      </c>
      <c r="C33" s="9">
        <f t="shared" si="2"/>
        <v>3800</v>
      </c>
      <c r="D33" s="9" t="str">
        <f t="shared" si="3"/>
        <v/>
      </c>
      <c r="E33" s="8" t="str">
        <f t="shared" si="4"/>
        <v>40 sacos</v>
      </c>
      <c r="F33" s="9">
        <f t="shared" si="5"/>
        <v>4862</v>
      </c>
      <c r="J33" t="str">
        <f>IF(AND(MOVIMIENTOS!$B32&lt;&gt;"",NOT(AND(MOVIMIENTOS!$B32="PROCESO",MOVIMIENTOS!$C32&lt;&gt;"Chancho")),NOT(AND(MOVIMIENTOS!$B32="SALDO INICIAL",MOVIMIENTOS!$C32="Chancho"))),COUNT(J$5:J32)+1,"")</f>
        <v/>
      </c>
      <c r="K33" t="str">
        <f>IF(AND(MOVIMIENTOS!$B32&lt;&gt;"",NOT(AND(MOVIMIENTOS!$B32="PROCESO",MOVIMIENTOS!$C32&lt;&gt;"Chancho")),NOT(AND(MOVIMIENTOS!$B32="SALDO INICIAL",MOVIMIENTOS!$C32="Chancho"))),MOVIMIENTOS!$A32,"")</f>
        <v/>
      </c>
      <c r="L33" t="str">
        <f>IF(AND(MOVIMIENTOS!$B32&lt;&gt;"",NOT(AND(MOVIMIENTOS!$B32="PROCESO",MOVIMIENTOS!$C32&lt;&gt;"Chancho")),NOT(AND(MOVIMIENTOS!$B32="SALDO INICIAL",MOVIMIENTOS!$C32="Chancho"))),IF(MOVIMIENTOS!$B32="SALDO INICIAL","APERTURA ("&amp;MOVIMIENTOS!$C32&amp;")",IF(MOVIMIENTOS!$B32="COMPRA","INGRESO (compra)",IF(MOVIMIENTOS!$B32="PROCESO","CHANCHO (proceso)",IF(MOVIMIENTOS!$B32="ENVÍO A SUPESA","ENVÍO SUPESA cal. "&amp;MOVIMIENTOS!$C32,IF(MOVIMIENTOS!$B32="VENTA CHANCHO","VENTA CHANCHO",IF(MOVIMIENTOS!$B32="DEVOLUCIÓN","DEVOLUCIÓN cal. "&amp;MOVIMIENTOS!$C32,IF(MOVIMIENTOS!$B32="TRASIEGO","TRASIEGO cal. "&amp;MOVIMIENTOS!$C32,IF(MOVIMIENTOS!$B32="REGALO","REGALO "&amp;MOVIMIENTOS!$C32,IF(MOVIMIENTOS!$B32="VENTA","VENTA "&amp;MOVIMIENTOS!$C32,IF(MOVIMIENTOS!$B32="AJUSTE","AJUSTE inventario ("&amp;MOVIMIENTOS!$C32&amp;")",MOVIMIENTOS!$B32)))))))))),"")</f>
        <v/>
      </c>
      <c r="M33" t="str">
        <f>IF(AND(AND(MOVIMIENTOS!$B32&lt;&gt;"",NOT(AND(MOVIMIENTOS!$B32="PROCESO",MOVIMIENTOS!$C32&lt;&gt;"Chancho")),NOT(AND(MOVIMIENTOS!$B32="SALDO INICIAL",MOVIMIENTOS!$C32="Chancho"))),OR(MOVIMIENTOS!$B32="SALDO INICIAL",MOVIMIENTOS!$B32="COMPRA",MOVIMIENTOS!$B32="REPROCESO",AND(MOVIMIENTOS!$B32="AJUSTE",MOVIMIENTOS!$C32&lt;&gt;"Chancho",N(MOVIMIENTOS!$F32)&gt;=0))),N(MOVIMIENTOS!$F32),"")</f>
        <v/>
      </c>
      <c r="N33" t="str">
        <f>IF(AND(AND(MOVIMIENTOS!$B32&lt;&gt;"",NOT(AND(MOVIMIENTOS!$B32="PROCESO",MOVIMIENTOS!$C32&lt;&gt;"Chancho")),NOT(AND(MOVIMIENTOS!$B32="SALDO INICIAL",MOVIMIENTOS!$C32="Chancho"))),OR(MOVIMIENTOS!$B32="ENVÍO A SUPESA",MOVIMIENTOS!$B32="MALOGRADO",MOVIMIENTOS!$B32="OTRA SALIDA",MOVIMIENTOS!$B32="TRASIEGO",AND(MOVIMIENTOS!$B32="PROCESO",MOVIMIENTOS!$C32="Chancho"),AND(MOVIMIENTOS!$B32="REGALO",MOVIMIENTOS!$C32&lt;&gt;"Chancho"),AND(MOVIMIENTOS!$B32="VENTA",MOVIMIENTOS!$C32&lt;&gt;"Chancho"),AND(MOVIMIENTOS!$B32="AJUSTE",MOVIMIENTOS!$C32&lt;&gt;"Chancho",N(MOVIMIENTOS!$F32)&lt;0))),IF(MOVIMIENTOS!$B32="AJUSTE",-N(MOVIMIENTOS!$F32),N(MOVIMIENTOS!$F32)),"")</f>
        <v/>
      </c>
      <c r="O33" t="str">
        <f>IF(AND(MOVIMIENTOS!$B32&lt;&gt;"",NOT(AND(MOVIMIENTOS!$B32="PROCESO",MOVIMIENTOS!$C32&lt;&gt;"Chancho")),NOT(AND(MOVIMIENTOS!$B32="SALDO INICIAL",MOVIMIENTOS!$C32="Chancho"))),TRIM(IF(MOVIMIENTOS!$G32&lt;&gt;"",IF(MOVIMIENTOS!$B32="ENVÍO A SUPESA","G-"&amp;MOVIMIENTOS!$G32,MOVIMIENTOS!$G32)&amp;"  ","")&amp;IF(N(MOVIMIENTOS!$E32)&gt;0,MOVIMIENTOS!$E32&amp;" "&amp;MOVIMIENTOS!$D32,"")),"")</f>
        <v/>
      </c>
      <c r="P33">
        <f t="shared" si="6"/>
        <v>4752</v>
      </c>
    </row>
    <row r="34" spans="1:16" x14ac:dyDescent="0.2">
      <c r="A34" s="7">
        <f t="shared" si="0"/>
        <v>46219</v>
      </c>
      <c r="B34" s="8" t="str">
        <f t="shared" si="1"/>
        <v>CHANCHO (proceso)</v>
      </c>
      <c r="C34" s="9" t="str">
        <f t="shared" si="2"/>
        <v/>
      </c>
      <c r="D34" s="9">
        <f t="shared" si="3"/>
        <v>380</v>
      </c>
      <c r="E34" s="8" t="str">
        <f t="shared" si="4"/>
        <v>4 sacos</v>
      </c>
      <c r="F34" s="9">
        <f t="shared" si="5"/>
        <v>4482</v>
      </c>
      <c r="J34">
        <f>IF(AND(MOVIMIENTOS!$B33&lt;&gt;"",NOT(AND(MOVIMIENTOS!$B33="PROCESO",MOVIMIENTOS!$C33&lt;&gt;"Chancho")),NOT(AND(MOVIMIENTOS!$B33="SALDO INICIAL",MOVIMIENTOS!$C33="Chancho"))),COUNT(J$5:J33)+1,"")</f>
        <v>16</v>
      </c>
      <c r="K34" s="10">
        <f>IF(AND(MOVIMIENTOS!$B33&lt;&gt;"",NOT(AND(MOVIMIENTOS!$B33="PROCESO",MOVIMIENTOS!$C33&lt;&gt;"Chancho")),NOT(AND(MOVIMIENTOS!$B33="SALDO INICIAL",MOVIMIENTOS!$C33="Chancho"))),MOVIMIENTOS!$A33,"")</f>
        <v>46217</v>
      </c>
      <c r="L34" t="str">
        <f>IF(AND(MOVIMIENTOS!$B33&lt;&gt;"",NOT(AND(MOVIMIENTOS!$B33="PROCESO",MOVIMIENTOS!$C33&lt;&gt;"Chancho")),NOT(AND(MOVIMIENTOS!$B33="SALDO INICIAL",MOVIMIENTOS!$C33="Chancho"))),IF(MOVIMIENTOS!$B33="SALDO INICIAL","APERTURA ("&amp;MOVIMIENTOS!$C33&amp;")",IF(MOVIMIENTOS!$B33="COMPRA","INGRESO (compra)",IF(MOVIMIENTOS!$B33="PROCESO","CHANCHO (proceso)",IF(MOVIMIENTOS!$B33="ENVÍO A SUPESA","ENVÍO SUPESA cal. "&amp;MOVIMIENTOS!$C33,IF(MOVIMIENTOS!$B33="VENTA CHANCHO","VENTA CHANCHO",IF(MOVIMIENTOS!$B33="DEVOLUCIÓN","DEVOLUCIÓN cal. "&amp;MOVIMIENTOS!$C33,IF(MOVIMIENTOS!$B33="TRASIEGO","TRASIEGO cal. "&amp;MOVIMIENTOS!$C33,IF(MOVIMIENTOS!$B33="REGALO","REGALO "&amp;MOVIMIENTOS!$C33,IF(MOVIMIENTOS!$B33="VENTA","VENTA "&amp;MOVIMIENTOS!$C33,IF(MOVIMIENTOS!$B33="AJUSTE","AJUSTE inventario ("&amp;MOVIMIENTOS!$C33&amp;")",MOVIMIENTOS!$B33)))))))))),"")</f>
        <v>CHANCHO (proceso)</v>
      </c>
      <c r="M34" t="str">
        <f>IF(AND(AND(MOVIMIENTOS!$B33&lt;&gt;"",NOT(AND(MOVIMIENTOS!$B33="PROCESO",MOVIMIENTOS!$C33&lt;&gt;"Chancho")),NOT(AND(MOVIMIENTOS!$B33="SALDO INICIAL",MOVIMIENTOS!$C33="Chancho"))),OR(MOVIMIENTOS!$B33="SALDO INICIAL",MOVIMIENTOS!$B33="COMPRA",MOVIMIENTOS!$B33="REPROCESO",AND(MOVIMIENTOS!$B33="AJUSTE",MOVIMIENTOS!$C33&lt;&gt;"Chancho",N(MOVIMIENTOS!$F33)&gt;=0))),N(MOVIMIENTOS!$F33),"")</f>
        <v/>
      </c>
      <c r="N34">
        <f>IF(AND(AND(MOVIMIENTOS!$B33&lt;&gt;"",NOT(AND(MOVIMIENTOS!$B33="PROCESO",MOVIMIENTOS!$C33&lt;&gt;"Chancho")),NOT(AND(MOVIMIENTOS!$B33="SALDO INICIAL",MOVIMIENTOS!$C33="Chancho"))),OR(MOVIMIENTOS!$B33="ENVÍO A SUPESA",MOVIMIENTOS!$B33="MALOGRADO",MOVIMIENTOS!$B33="OTRA SALIDA",MOVIMIENTOS!$B33="TRASIEGO",AND(MOVIMIENTOS!$B33="PROCESO",MOVIMIENTOS!$C33="Chancho"),AND(MOVIMIENTOS!$B33="REGALO",MOVIMIENTOS!$C33&lt;&gt;"Chancho"),AND(MOVIMIENTOS!$B33="VENTA",MOVIMIENTOS!$C33&lt;&gt;"Chancho"),AND(MOVIMIENTOS!$B33="AJUSTE",MOVIMIENTOS!$C33&lt;&gt;"Chancho",N(MOVIMIENTOS!$F33)&lt;0))),IF(MOVIMIENTOS!$B33="AJUSTE",-N(MOVIMIENTOS!$F33),N(MOVIMIENTOS!$F33)),"")</f>
        <v>665</v>
      </c>
      <c r="O34" t="str">
        <f>IF(AND(MOVIMIENTOS!$B33&lt;&gt;"",NOT(AND(MOVIMIENTOS!$B33="PROCESO",MOVIMIENTOS!$C33&lt;&gt;"Chancho")),NOT(AND(MOVIMIENTOS!$B33="SALDO INICIAL",MOVIMIENTOS!$C33="Chancho"))),TRIM(IF(MOVIMIENTOS!$G33&lt;&gt;"",IF(MOVIMIENTOS!$B33="ENVÍO A SUPESA","G-"&amp;MOVIMIENTOS!$G33,MOVIMIENTOS!$G33)&amp;"  ","")&amp;IF(N(MOVIMIENTOS!$E33)&gt;0,MOVIMIENTOS!$E33&amp;" "&amp;MOVIMIENTOS!$D33,"")),"")</f>
        <v>7 sacos</v>
      </c>
      <c r="P34">
        <f t="shared" si="6"/>
        <v>4087</v>
      </c>
    </row>
    <row r="35" spans="1:16" x14ac:dyDescent="0.2">
      <c r="A35" s="7">
        <f t="shared" si="0"/>
        <v>46219</v>
      </c>
      <c r="B35" s="8" t="str">
        <f t="shared" si="1"/>
        <v>ENVÍO SUPESA cal. A</v>
      </c>
      <c r="C35" s="9" t="str">
        <f t="shared" si="2"/>
        <v/>
      </c>
      <c r="D35" s="9">
        <f t="shared" si="3"/>
        <v>945</v>
      </c>
      <c r="E35" s="8" t="str">
        <f t="shared" si="4"/>
        <v>G-2992 63 jabas</v>
      </c>
      <c r="F35" s="9">
        <f t="shared" si="5"/>
        <v>3537</v>
      </c>
      <c r="J35">
        <f>IF(AND(MOVIMIENTOS!$B34&lt;&gt;"",NOT(AND(MOVIMIENTOS!$B34="PROCESO",MOVIMIENTOS!$C34&lt;&gt;"Chancho")),NOT(AND(MOVIMIENTOS!$B34="SALDO INICIAL",MOVIMIENTOS!$C34="Chancho"))),COUNT(J$5:J34)+1,"")</f>
        <v>17</v>
      </c>
      <c r="K35" s="10">
        <f>IF(AND(MOVIMIENTOS!$B34&lt;&gt;"",NOT(AND(MOVIMIENTOS!$B34="PROCESO",MOVIMIENTOS!$C34&lt;&gt;"Chancho")),NOT(AND(MOVIMIENTOS!$B34="SALDO INICIAL",MOVIMIENTOS!$C34="Chancho"))),MOVIMIENTOS!$A34,"")</f>
        <v>46217</v>
      </c>
      <c r="L35" t="str">
        <f>IF(AND(MOVIMIENTOS!$B34&lt;&gt;"",NOT(AND(MOVIMIENTOS!$B34="PROCESO",MOVIMIENTOS!$C34&lt;&gt;"Chancho")),NOT(AND(MOVIMIENTOS!$B34="SALDO INICIAL",MOVIMIENTOS!$C34="Chancho"))),IF(MOVIMIENTOS!$B34="SALDO INICIAL","APERTURA ("&amp;MOVIMIENTOS!$C34&amp;")",IF(MOVIMIENTOS!$B34="COMPRA","INGRESO (compra)",IF(MOVIMIENTOS!$B34="PROCESO","CHANCHO (proceso)",IF(MOVIMIENTOS!$B34="ENVÍO A SUPESA","ENVÍO SUPESA cal. "&amp;MOVIMIENTOS!$C34,IF(MOVIMIENTOS!$B34="VENTA CHANCHO","VENTA CHANCHO",IF(MOVIMIENTOS!$B34="DEVOLUCIÓN","DEVOLUCIÓN cal. "&amp;MOVIMIENTOS!$C34,IF(MOVIMIENTOS!$B34="TRASIEGO","TRASIEGO cal. "&amp;MOVIMIENTOS!$C34,IF(MOVIMIENTOS!$B34="REGALO","REGALO "&amp;MOVIMIENTOS!$C34,IF(MOVIMIENTOS!$B34="VENTA","VENTA "&amp;MOVIMIENTOS!$C34,IF(MOVIMIENTOS!$B34="AJUSTE","AJUSTE inventario ("&amp;MOVIMIENTOS!$C34&amp;")",MOVIMIENTOS!$B34)))))))))),"")</f>
        <v>ENVÍO SUPESA cal. A</v>
      </c>
      <c r="M35" t="str">
        <f>IF(AND(AND(MOVIMIENTOS!$B34&lt;&gt;"",NOT(AND(MOVIMIENTOS!$B34="PROCESO",MOVIMIENTOS!$C34&lt;&gt;"Chancho")),NOT(AND(MOVIMIENTOS!$B34="SALDO INICIAL",MOVIMIENTOS!$C34="Chancho"))),OR(MOVIMIENTOS!$B34="SALDO INICIAL",MOVIMIENTOS!$B34="COMPRA",MOVIMIENTOS!$B34="REPROCESO",AND(MOVIMIENTOS!$B34="AJUSTE",MOVIMIENTOS!$C34&lt;&gt;"Chancho",N(MOVIMIENTOS!$F34)&gt;=0))),N(MOVIMIENTOS!$F34),"")</f>
        <v/>
      </c>
      <c r="N35">
        <f>IF(AND(AND(MOVIMIENTOS!$B34&lt;&gt;"",NOT(AND(MOVIMIENTOS!$B34="PROCESO",MOVIMIENTOS!$C34&lt;&gt;"Chancho")),NOT(AND(MOVIMIENTOS!$B34="SALDO INICIAL",MOVIMIENTOS!$C34="Chancho"))),OR(MOVIMIENTOS!$B34="ENVÍO A SUPESA",MOVIMIENTOS!$B34="MALOGRADO",MOVIMIENTOS!$B34="OTRA SALIDA",MOVIMIENTOS!$B34="TRASIEGO",AND(MOVIMIENTOS!$B34="PROCESO",MOVIMIENTOS!$C34="Chancho"),AND(MOVIMIENTOS!$B34="REGALO",MOVIMIENTOS!$C34&lt;&gt;"Chancho"),AND(MOVIMIENTOS!$B34="VENTA",MOVIMIENTOS!$C34&lt;&gt;"Chancho"),AND(MOVIMIENTOS!$B34="AJUSTE",MOVIMIENTOS!$C34&lt;&gt;"Chancho",N(MOVIMIENTOS!$F34)&lt;0))),IF(MOVIMIENTOS!$B34="AJUSTE",-N(MOVIMIENTOS!$F34),N(MOVIMIENTOS!$F34)),"")</f>
        <v>1005</v>
      </c>
      <c r="O35" t="str">
        <f>IF(AND(MOVIMIENTOS!$B34&lt;&gt;"",NOT(AND(MOVIMIENTOS!$B34="PROCESO",MOVIMIENTOS!$C34&lt;&gt;"Chancho")),NOT(AND(MOVIMIENTOS!$B34="SALDO INICIAL",MOVIMIENTOS!$C34="Chancho"))),TRIM(IF(MOVIMIENTOS!$G34&lt;&gt;"",IF(MOVIMIENTOS!$B34="ENVÍO A SUPESA","G-"&amp;MOVIMIENTOS!$G34,MOVIMIENTOS!$G34)&amp;"  ","")&amp;IF(N(MOVIMIENTOS!$E34)&gt;0,MOVIMIENTOS!$E34&amp;" "&amp;MOVIMIENTOS!$D34,"")),"")</f>
        <v>G-2984 67 jabas</v>
      </c>
      <c r="P35">
        <f t="shared" si="6"/>
        <v>3082</v>
      </c>
    </row>
    <row r="36" spans="1:16" x14ac:dyDescent="0.2">
      <c r="A36" s="7">
        <f t="shared" si="0"/>
        <v>46219</v>
      </c>
      <c r="B36" s="8" t="str">
        <f t="shared" si="1"/>
        <v>ENVÍO SUPESA cal. P</v>
      </c>
      <c r="C36" s="9" t="str">
        <f t="shared" si="2"/>
        <v/>
      </c>
      <c r="D36" s="9">
        <f t="shared" si="3"/>
        <v>198</v>
      </c>
      <c r="E36" s="8" t="str">
        <f t="shared" si="4"/>
        <v>G-2992 11 jabas</v>
      </c>
      <c r="F36" s="9">
        <f t="shared" si="5"/>
        <v>3339</v>
      </c>
      <c r="J36">
        <f>IF(AND(MOVIMIENTOS!$B35&lt;&gt;"",NOT(AND(MOVIMIENTOS!$B35="PROCESO",MOVIMIENTOS!$C35&lt;&gt;"Chancho")),NOT(AND(MOVIMIENTOS!$B35="SALDO INICIAL",MOVIMIENTOS!$C35="Chancho"))),COUNT(J$5:J35)+1,"")</f>
        <v>18</v>
      </c>
      <c r="K36" s="10">
        <f>IF(AND(MOVIMIENTOS!$B35&lt;&gt;"",NOT(AND(MOVIMIENTOS!$B35="PROCESO",MOVIMIENTOS!$C35&lt;&gt;"Chancho")),NOT(AND(MOVIMIENTOS!$B35="SALDO INICIAL",MOVIMIENTOS!$C35="Chancho"))),MOVIMIENTOS!$A35,"")</f>
        <v>46217</v>
      </c>
      <c r="L36" t="str">
        <f>IF(AND(MOVIMIENTOS!$B35&lt;&gt;"",NOT(AND(MOVIMIENTOS!$B35="PROCESO",MOVIMIENTOS!$C35&lt;&gt;"Chancho")),NOT(AND(MOVIMIENTOS!$B35="SALDO INICIAL",MOVIMIENTOS!$C35="Chancho"))),IF(MOVIMIENTOS!$B35="SALDO INICIAL","APERTURA ("&amp;MOVIMIENTOS!$C35&amp;")",IF(MOVIMIENTOS!$B35="COMPRA","INGRESO (compra)",IF(MOVIMIENTOS!$B35="PROCESO","CHANCHO (proceso)",IF(MOVIMIENTOS!$B35="ENVÍO A SUPESA","ENVÍO SUPESA cal. "&amp;MOVIMIENTOS!$C35,IF(MOVIMIENTOS!$B35="VENTA CHANCHO","VENTA CHANCHO",IF(MOVIMIENTOS!$B35="DEVOLUCIÓN","DEVOLUCIÓN cal. "&amp;MOVIMIENTOS!$C35,IF(MOVIMIENTOS!$B35="TRASIEGO","TRASIEGO cal. "&amp;MOVIMIENTOS!$C35,IF(MOVIMIENTOS!$B35="REGALO","REGALO "&amp;MOVIMIENTOS!$C35,IF(MOVIMIENTOS!$B35="VENTA","VENTA "&amp;MOVIMIENTOS!$C35,IF(MOVIMIENTOS!$B35="AJUSTE","AJUSTE inventario ("&amp;MOVIMIENTOS!$C35&amp;")",MOVIMIENTOS!$B35)))))))))),"")</f>
        <v>ENVÍO SUPESA cal. P</v>
      </c>
      <c r="M36" t="str">
        <f>IF(AND(AND(MOVIMIENTOS!$B35&lt;&gt;"",NOT(AND(MOVIMIENTOS!$B35="PROCESO",MOVIMIENTOS!$C35&lt;&gt;"Chancho")),NOT(AND(MOVIMIENTOS!$B35="SALDO INICIAL",MOVIMIENTOS!$C35="Chancho"))),OR(MOVIMIENTOS!$B35="SALDO INICIAL",MOVIMIENTOS!$B35="COMPRA",MOVIMIENTOS!$B35="REPROCESO",AND(MOVIMIENTOS!$B35="AJUSTE",MOVIMIENTOS!$C35&lt;&gt;"Chancho",N(MOVIMIENTOS!$F35)&gt;=0))),N(MOVIMIENTOS!$F35),"")</f>
        <v/>
      </c>
      <c r="N36">
        <f>IF(AND(AND(MOVIMIENTOS!$B35&lt;&gt;"",NOT(AND(MOVIMIENTOS!$B35="PROCESO",MOVIMIENTOS!$C35&lt;&gt;"Chancho")),NOT(AND(MOVIMIENTOS!$B35="SALDO INICIAL",MOVIMIENTOS!$C35="Chancho"))),OR(MOVIMIENTOS!$B35="ENVÍO A SUPESA",MOVIMIENTOS!$B35="MALOGRADO",MOVIMIENTOS!$B35="OTRA SALIDA",MOVIMIENTOS!$B35="TRASIEGO",AND(MOVIMIENTOS!$B35="PROCESO",MOVIMIENTOS!$C35="Chancho"),AND(MOVIMIENTOS!$B35="REGALO",MOVIMIENTOS!$C35&lt;&gt;"Chancho"),AND(MOVIMIENTOS!$B35="VENTA",MOVIMIENTOS!$C35&lt;&gt;"Chancho"),AND(MOVIMIENTOS!$B35="AJUSTE",MOVIMIENTOS!$C35&lt;&gt;"Chancho",N(MOVIMIENTOS!$F35)&lt;0))),IF(MOVIMIENTOS!$B35="AJUSTE",-N(MOVIMIENTOS!$F35),N(MOVIMIENTOS!$F35)),"")</f>
        <v>198</v>
      </c>
      <c r="O36" t="str">
        <f>IF(AND(MOVIMIENTOS!$B35&lt;&gt;"",NOT(AND(MOVIMIENTOS!$B35="PROCESO",MOVIMIENTOS!$C35&lt;&gt;"Chancho")),NOT(AND(MOVIMIENTOS!$B35="SALDO INICIAL",MOVIMIENTOS!$C35="Chancho"))),TRIM(IF(MOVIMIENTOS!$G35&lt;&gt;"",IF(MOVIMIENTOS!$B35="ENVÍO A SUPESA","G-"&amp;MOVIMIENTOS!$G35,MOVIMIENTOS!$G35)&amp;"  ","")&amp;IF(N(MOVIMIENTOS!$E35)&gt;0,MOVIMIENTOS!$E35&amp;" "&amp;MOVIMIENTOS!$D35,"")),"")</f>
        <v>G-2984 11 jabas</v>
      </c>
      <c r="P36">
        <f t="shared" si="6"/>
        <v>2884</v>
      </c>
    </row>
    <row r="37" spans="1:16" x14ac:dyDescent="0.2">
      <c r="A37" s="7">
        <f t="shared" si="0"/>
        <v>46219</v>
      </c>
      <c r="B37" s="8" t="str">
        <f t="shared" si="1"/>
        <v>ENVÍO SUPESA cal. C</v>
      </c>
      <c r="C37" s="9" t="str">
        <f t="shared" si="2"/>
        <v/>
      </c>
      <c r="D37" s="9">
        <f t="shared" si="3"/>
        <v>204</v>
      </c>
      <c r="E37" s="8" t="str">
        <f t="shared" si="4"/>
        <v>G-2992 12 jabas</v>
      </c>
      <c r="F37" s="9">
        <f t="shared" si="5"/>
        <v>3135</v>
      </c>
      <c r="J37">
        <f>IF(AND(MOVIMIENTOS!$B36&lt;&gt;"",NOT(AND(MOVIMIENTOS!$B36="PROCESO",MOVIMIENTOS!$C36&lt;&gt;"Chancho")),NOT(AND(MOVIMIENTOS!$B36="SALDO INICIAL",MOVIMIENTOS!$C36="Chancho"))),COUNT(J$5:J36)+1,"")</f>
        <v>19</v>
      </c>
      <c r="K37" s="10">
        <f>IF(AND(MOVIMIENTOS!$B36&lt;&gt;"",NOT(AND(MOVIMIENTOS!$B36="PROCESO",MOVIMIENTOS!$C36&lt;&gt;"Chancho")),NOT(AND(MOVIMIENTOS!$B36="SALDO INICIAL",MOVIMIENTOS!$C36="Chancho"))),MOVIMIENTOS!$A36,"")</f>
        <v>46217</v>
      </c>
      <c r="L37" t="str">
        <f>IF(AND(MOVIMIENTOS!$B36&lt;&gt;"",NOT(AND(MOVIMIENTOS!$B36="PROCESO",MOVIMIENTOS!$C36&lt;&gt;"Chancho")),NOT(AND(MOVIMIENTOS!$B36="SALDO INICIAL",MOVIMIENTOS!$C36="Chancho"))),IF(MOVIMIENTOS!$B36="SALDO INICIAL","APERTURA ("&amp;MOVIMIENTOS!$C36&amp;")",IF(MOVIMIENTOS!$B36="COMPRA","INGRESO (compra)",IF(MOVIMIENTOS!$B36="PROCESO","CHANCHO (proceso)",IF(MOVIMIENTOS!$B36="ENVÍO A SUPESA","ENVÍO SUPESA cal. "&amp;MOVIMIENTOS!$C36,IF(MOVIMIENTOS!$B36="VENTA CHANCHO","VENTA CHANCHO",IF(MOVIMIENTOS!$B36="DEVOLUCIÓN","DEVOLUCIÓN cal. "&amp;MOVIMIENTOS!$C36,IF(MOVIMIENTOS!$B36="TRASIEGO","TRASIEGO cal. "&amp;MOVIMIENTOS!$C36,IF(MOVIMIENTOS!$B36="REGALO","REGALO "&amp;MOVIMIENTOS!$C36,IF(MOVIMIENTOS!$B36="VENTA","VENTA "&amp;MOVIMIENTOS!$C36,IF(MOVIMIENTOS!$B36="AJUSTE","AJUSTE inventario ("&amp;MOVIMIENTOS!$C36&amp;")",MOVIMIENTOS!$B36)))))))))),"")</f>
        <v>ENVÍO SUPESA cal. C</v>
      </c>
      <c r="M37" t="str">
        <f>IF(AND(AND(MOVIMIENTOS!$B36&lt;&gt;"",NOT(AND(MOVIMIENTOS!$B36="PROCESO",MOVIMIENTOS!$C36&lt;&gt;"Chancho")),NOT(AND(MOVIMIENTOS!$B36="SALDO INICIAL",MOVIMIENTOS!$C36="Chancho"))),OR(MOVIMIENTOS!$B36="SALDO INICIAL",MOVIMIENTOS!$B36="COMPRA",MOVIMIENTOS!$B36="REPROCESO",AND(MOVIMIENTOS!$B36="AJUSTE",MOVIMIENTOS!$C36&lt;&gt;"Chancho",N(MOVIMIENTOS!$F36)&gt;=0))),N(MOVIMIENTOS!$F36),"")</f>
        <v/>
      </c>
      <c r="N37">
        <f>IF(AND(AND(MOVIMIENTOS!$B36&lt;&gt;"",NOT(AND(MOVIMIENTOS!$B36="PROCESO",MOVIMIENTOS!$C36&lt;&gt;"Chancho")),NOT(AND(MOVIMIENTOS!$B36="SALDO INICIAL",MOVIMIENTOS!$C36="Chancho"))),OR(MOVIMIENTOS!$B36="ENVÍO A SUPESA",MOVIMIENTOS!$B36="MALOGRADO",MOVIMIENTOS!$B36="OTRA SALIDA",MOVIMIENTOS!$B36="TRASIEGO",AND(MOVIMIENTOS!$B36="PROCESO",MOVIMIENTOS!$C36="Chancho"),AND(MOVIMIENTOS!$B36="REGALO",MOVIMIENTOS!$C36&lt;&gt;"Chancho"),AND(MOVIMIENTOS!$B36="VENTA",MOVIMIENTOS!$C36&lt;&gt;"Chancho"),AND(MOVIMIENTOS!$B36="AJUSTE",MOVIMIENTOS!$C36&lt;&gt;"Chancho",N(MOVIMIENTOS!$F36)&lt;0))),IF(MOVIMIENTOS!$B36="AJUSTE",-N(MOVIMIENTOS!$F36),N(MOVIMIENTOS!$F36)),"")</f>
        <v>204</v>
      </c>
      <c r="O37" t="str">
        <f>IF(AND(MOVIMIENTOS!$B36&lt;&gt;"",NOT(AND(MOVIMIENTOS!$B36="PROCESO",MOVIMIENTOS!$C36&lt;&gt;"Chancho")),NOT(AND(MOVIMIENTOS!$B36="SALDO INICIAL",MOVIMIENTOS!$C36="Chancho"))),TRIM(IF(MOVIMIENTOS!$G36&lt;&gt;"",IF(MOVIMIENTOS!$B36="ENVÍO A SUPESA","G-"&amp;MOVIMIENTOS!$G36,MOVIMIENTOS!$G36)&amp;"  ","")&amp;IF(N(MOVIMIENTOS!$E36)&gt;0,MOVIMIENTOS!$E36&amp;" "&amp;MOVIMIENTOS!$D36,"")),"")</f>
        <v>G-2984 12 jabas</v>
      </c>
      <c r="P37">
        <f t="shared" si="6"/>
        <v>2680</v>
      </c>
    </row>
    <row r="38" spans="1:16" x14ac:dyDescent="0.2">
      <c r="A38" s="7">
        <f t="shared" si="0"/>
        <v>46219</v>
      </c>
      <c r="B38" s="8" t="str">
        <f t="shared" si="1"/>
        <v>ENVÍO SUPESA cal. M</v>
      </c>
      <c r="C38" s="9" t="str">
        <f t="shared" si="2"/>
        <v/>
      </c>
      <c r="D38" s="9">
        <f t="shared" si="3"/>
        <v>1955</v>
      </c>
      <c r="E38" s="8" t="str">
        <f t="shared" si="4"/>
        <v>G-2992 115 jabas</v>
      </c>
      <c r="F38" s="9">
        <f t="shared" si="5"/>
        <v>1180</v>
      </c>
      <c r="J38">
        <f>IF(AND(MOVIMIENTOS!$B37&lt;&gt;"",NOT(AND(MOVIMIENTOS!$B37="PROCESO",MOVIMIENTOS!$C37&lt;&gt;"Chancho")),NOT(AND(MOVIMIENTOS!$B37="SALDO INICIAL",MOVIMIENTOS!$C37="Chancho"))),COUNT(J$5:J37)+1,"")</f>
        <v>20</v>
      </c>
      <c r="K38" s="10">
        <f>IF(AND(MOVIMIENTOS!$B37&lt;&gt;"",NOT(AND(MOVIMIENTOS!$B37="PROCESO",MOVIMIENTOS!$C37&lt;&gt;"Chancho")),NOT(AND(MOVIMIENTOS!$B37="SALDO INICIAL",MOVIMIENTOS!$C37="Chancho"))),MOVIMIENTOS!$A37,"")</f>
        <v>46217</v>
      </c>
      <c r="L38" t="str">
        <f>IF(AND(MOVIMIENTOS!$B37&lt;&gt;"",NOT(AND(MOVIMIENTOS!$B37="PROCESO",MOVIMIENTOS!$C37&lt;&gt;"Chancho")),NOT(AND(MOVIMIENTOS!$B37="SALDO INICIAL",MOVIMIENTOS!$C37="Chancho"))),IF(MOVIMIENTOS!$B37="SALDO INICIAL","APERTURA ("&amp;MOVIMIENTOS!$C37&amp;")",IF(MOVIMIENTOS!$B37="COMPRA","INGRESO (compra)",IF(MOVIMIENTOS!$B37="PROCESO","CHANCHO (proceso)",IF(MOVIMIENTOS!$B37="ENVÍO A SUPESA","ENVÍO SUPESA cal. "&amp;MOVIMIENTOS!$C37,IF(MOVIMIENTOS!$B37="VENTA CHANCHO","VENTA CHANCHO",IF(MOVIMIENTOS!$B37="DEVOLUCIÓN","DEVOLUCIÓN cal. "&amp;MOVIMIENTOS!$C37,IF(MOVIMIENTOS!$B37="TRASIEGO","TRASIEGO cal. "&amp;MOVIMIENTOS!$C37,IF(MOVIMIENTOS!$B37="REGALO","REGALO "&amp;MOVIMIENTOS!$C37,IF(MOVIMIENTOS!$B37="VENTA","VENTA "&amp;MOVIMIENTOS!$C37,IF(MOVIMIENTOS!$B37="AJUSTE","AJUSTE inventario ("&amp;MOVIMIENTOS!$C37&amp;")",MOVIMIENTOS!$B37)))))))))),"")</f>
        <v>ENVÍO SUPESA cal. M</v>
      </c>
      <c r="M38" t="str">
        <f>IF(AND(AND(MOVIMIENTOS!$B37&lt;&gt;"",NOT(AND(MOVIMIENTOS!$B37="PROCESO",MOVIMIENTOS!$C37&lt;&gt;"Chancho")),NOT(AND(MOVIMIENTOS!$B37="SALDO INICIAL",MOVIMIENTOS!$C37="Chancho"))),OR(MOVIMIENTOS!$B37="SALDO INICIAL",MOVIMIENTOS!$B37="COMPRA",MOVIMIENTOS!$B37="REPROCESO",AND(MOVIMIENTOS!$B37="AJUSTE",MOVIMIENTOS!$C37&lt;&gt;"Chancho",N(MOVIMIENTOS!$F37)&gt;=0))),N(MOVIMIENTOS!$F37),"")</f>
        <v/>
      </c>
      <c r="N38">
        <f>IF(AND(AND(MOVIMIENTOS!$B37&lt;&gt;"",NOT(AND(MOVIMIENTOS!$B37="PROCESO",MOVIMIENTOS!$C37&lt;&gt;"Chancho")),NOT(AND(MOVIMIENTOS!$B37="SALDO INICIAL",MOVIMIENTOS!$C37="Chancho"))),OR(MOVIMIENTOS!$B37="ENVÍO A SUPESA",MOVIMIENTOS!$B37="MALOGRADO",MOVIMIENTOS!$B37="OTRA SALIDA",MOVIMIENTOS!$B37="TRASIEGO",AND(MOVIMIENTOS!$B37="PROCESO",MOVIMIENTOS!$C37="Chancho"),AND(MOVIMIENTOS!$B37="REGALO",MOVIMIENTOS!$C37&lt;&gt;"Chancho"),AND(MOVIMIENTOS!$B37="VENTA",MOVIMIENTOS!$C37&lt;&gt;"Chancho"),AND(MOVIMIENTOS!$B37="AJUSTE",MOVIMIENTOS!$C37&lt;&gt;"Chancho",N(MOVIMIENTOS!$F37)&lt;0))),IF(MOVIMIENTOS!$B37="AJUSTE",-N(MOVIMIENTOS!$F37),N(MOVIMIENTOS!$F37)),"")</f>
        <v>1972</v>
      </c>
      <c r="O38" t="str">
        <f>IF(AND(MOVIMIENTOS!$B37&lt;&gt;"",NOT(AND(MOVIMIENTOS!$B37="PROCESO",MOVIMIENTOS!$C37&lt;&gt;"Chancho")),NOT(AND(MOVIMIENTOS!$B37="SALDO INICIAL",MOVIMIENTOS!$C37="Chancho"))),TRIM(IF(MOVIMIENTOS!$G37&lt;&gt;"",IF(MOVIMIENTOS!$B37="ENVÍO A SUPESA","G-"&amp;MOVIMIENTOS!$G37,MOVIMIENTOS!$G37)&amp;"  ","")&amp;IF(N(MOVIMIENTOS!$E37)&gt;0,MOVIMIENTOS!$E37&amp;" "&amp;MOVIMIENTOS!$D37,"")),"")</f>
        <v>G-2984 116 jabas</v>
      </c>
      <c r="P38">
        <f t="shared" si="6"/>
        <v>708</v>
      </c>
    </row>
    <row r="39" spans="1:16" x14ac:dyDescent="0.2">
      <c r="A39" s="7">
        <f t="shared" si="0"/>
        <v>46220</v>
      </c>
      <c r="B39" s="8" t="str">
        <f t="shared" si="1"/>
        <v>INGRESO (compra)</v>
      </c>
      <c r="C39" s="9">
        <f t="shared" si="2"/>
        <v>5700</v>
      </c>
      <c r="D39" s="9" t="str">
        <f t="shared" si="3"/>
        <v/>
      </c>
      <c r="E39" s="8" t="str">
        <f t="shared" si="4"/>
        <v>60 sacos</v>
      </c>
      <c r="F39" s="9">
        <f t="shared" si="5"/>
        <v>6880</v>
      </c>
      <c r="J39">
        <f>IF(AND(MOVIMIENTOS!$B38&lt;&gt;"",NOT(AND(MOVIMIENTOS!$B38="PROCESO",MOVIMIENTOS!$C38&lt;&gt;"Chancho")),NOT(AND(MOVIMIENTOS!$B38="SALDO INICIAL",MOVIMIENTOS!$C38="Chancho"))),COUNT(J$5:J38)+1,"")</f>
        <v>21</v>
      </c>
      <c r="K39" s="10">
        <f>IF(AND(MOVIMIENTOS!$B38&lt;&gt;"",NOT(AND(MOVIMIENTOS!$B38="PROCESO",MOVIMIENTOS!$C38&lt;&gt;"Chancho")),NOT(AND(MOVIMIENTOS!$B38="SALDO INICIAL",MOVIMIENTOS!$C38="Chancho"))),MOVIMIENTOS!$A38,"")</f>
        <v>46218</v>
      </c>
      <c r="L39" t="str">
        <f>IF(AND(MOVIMIENTOS!$B38&lt;&gt;"",NOT(AND(MOVIMIENTOS!$B38="PROCESO",MOVIMIENTOS!$C38&lt;&gt;"Chancho")),NOT(AND(MOVIMIENTOS!$B38="SALDO INICIAL",MOVIMIENTOS!$C38="Chancho"))),IF(MOVIMIENTOS!$B38="SALDO INICIAL","APERTURA ("&amp;MOVIMIENTOS!$C38&amp;")",IF(MOVIMIENTOS!$B38="COMPRA","INGRESO (compra)",IF(MOVIMIENTOS!$B38="PROCESO","CHANCHO (proceso)",IF(MOVIMIENTOS!$B38="ENVÍO A SUPESA","ENVÍO SUPESA cal. "&amp;MOVIMIENTOS!$C38,IF(MOVIMIENTOS!$B38="VENTA CHANCHO","VENTA CHANCHO",IF(MOVIMIENTOS!$B38="DEVOLUCIÓN","DEVOLUCIÓN cal. "&amp;MOVIMIENTOS!$C38,IF(MOVIMIENTOS!$B38="TRASIEGO","TRASIEGO cal. "&amp;MOVIMIENTOS!$C38,IF(MOVIMIENTOS!$B38="REGALO","REGALO "&amp;MOVIMIENTOS!$C38,IF(MOVIMIENTOS!$B38="VENTA","VENTA "&amp;MOVIMIENTOS!$C38,IF(MOVIMIENTOS!$B38="AJUSTE","AJUSTE inventario ("&amp;MOVIMIENTOS!$C38&amp;")",MOVIMIENTOS!$B38)))))))))),"")</f>
        <v>INGRESO (compra)</v>
      </c>
      <c r="M39">
        <f>IF(AND(AND(MOVIMIENTOS!$B38&lt;&gt;"",NOT(AND(MOVIMIENTOS!$B38="PROCESO",MOVIMIENTOS!$C38&lt;&gt;"Chancho")),NOT(AND(MOVIMIENTOS!$B38="SALDO INICIAL",MOVIMIENTOS!$C38="Chancho"))),OR(MOVIMIENTOS!$B38="SALDO INICIAL",MOVIMIENTOS!$B38="COMPRA",MOVIMIENTOS!$B38="REPROCESO",AND(MOVIMIENTOS!$B38="AJUSTE",MOVIMIENTOS!$C38&lt;&gt;"Chancho",N(MOVIMIENTOS!$F38)&gt;=0))),N(MOVIMIENTOS!$F38),"")</f>
        <v>3800</v>
      </c>
      <c r="N39" t="str">
        <f>IF(AND(AND(MOVIMIENTOS!$B38&lt;&gt;"",NOT(AND(MOVIMIENTOS!$B38="PROCESO",MOVIMIENTOS!$C38&lt;&gt;"Chancho")),NOT(AND(MOVIMIENTOS!$B38="SALDO INICIAL",MOVIMIENTOS!$C38="Chancho"))),OR(MOVIMIENTOS!$B38="ENVÍO A SUPESA",MOVIMIENTOS!$B38="MALOGRADO",MOVIMIENTOS!$B38="OTRA SALIDA",MOVIMIENTOS!$B38="TRASIEGO",AND(MOVIMIENTOS!$B38="PROCESO",MOVIMIENTOS!$C38="Chancho"),AND(MOVIMIENTOS!$B38="REGALO",MOVIMIENTOS!$C38&lt;&gt;"Chancho"),AND(MOVIMIENTOS!$B38="VENTA",MOVIMIENTOS!$C38&lt;&gt;"Chancho"),AND(MOVIMIENTOS!$B38="AJUSTE",MOVIMIENTOS!$C38&lt;&gt;"Chancho",N(MOVIMIENTOS!$F38)&lt;0))),IF(MOVIMIENTOS!$B38="AJUSTE",-N(MOVIMIENTOS!$F38),N(MOVIMIENTOS!$F38)),"")</f>
        <v/>
      </c>
      <c r="O39" t="str">
        <f>IF(AND(MOVIMIENTOS!$B38&lt;&gt;"",NOT(AND(MOVIMIENTOS!$B38="PROCESO",MOVIMIENTOS!$C38&lt;&gt;"Chancho")),NOT(AND(MOVIMIENTOS!$B38="SALDO INICIAL",MOVIMIENTOS!$C38="Chancho"))),TRIM(IF(MOVIMIENTOS!$G38&lt;&gt;"",IF(MOVIMIENTOS!$B38="ENVÍO A SUPESA","G-"&amp;MOVIMIENTOS!$G38,MOVIMIENTOS!$G38)&amp;"  ","")&amp;IF(N(MOVIMIENTOS!$E38)&gt;0,MOVIMIENTOS!$E38&amp;" "&amp;MOVIMIENTOS!$D38,"")),"")</f>
        <v>40 sacos</v>
      </c>
      <c r="P39">
        <f t="shared" si="6"/>
        <v>4508</v>
      </c>
    </row>
    <row r="40" spans="1:16" x14ac:dyDescent="0.2">
      <c r="A40" s="7">
        <f t="shared" si="0"/>
        <v>46220</v>
      </c>
      <c r="B40" s="8" t="str">
        <f t="shared" si="1"/>
        <v>CHANCHO (proceso)</v>
      </c>
      <c r="C40" s="9" t="str">
        <f t="shared" si="2"/>
        <v/>
      </c>
      <c r="D40" s="9">
        <f t="shared" si="3"/>
        <v>950</v>
      </c>
      <c r="E40" s="8" t="str">
        <f t="shared" si="4"/>
        <v>10 sacos</v>
      </c>
      <c r="F40" s="9">
        <f t="shared" si="5"/>
        <v>5930</v>
      </c>
      <c r="J40" t="str">
        <f>IF(AND(MOVIMIENTOS!$B39&lt;&gt;"",NOT(AND(MOVIMIENTOS!$B39="PROCESO",MOVIMIENTOS!$C39&lt;&gt;"Chancho")),NOT(AND(MOVIMIENTOS!$B39="SALDO INICIAL",MOVIMIENTOS!$C39="Chancho"))),COUNT(J$5:J39)+1,"")</f>
        <v/>
      </c>
      <c r="K40" t="str">
        <f>IF(AND(MOVIMIENTOS!$B39&lt;&gt;"",NOT(AND(MOVIMIENTOS!$B39="PROCESO",MOVIMIENTOS!$C39&lt;&gt;"Chancho")),NOT(AND(MOVIMIENTOS!$B39="SALDO INICIAL",MOVIMIENTOS!$C39="Chancho"))),MOVIMIENTOS!$A39,"")</f>
        <v/>
      </c>
      <c r="L40" t="str">
        <f>IF(AND(MOVIMIENTOS!$B39&lt;&gt;"",NOT(AND(MOVIMIENTOS!$B39="PROCESO",MOVIMIENTOS!$C39&lt;&gt;"Chancho")),NOT(AND(MOVIMIENTOS!$B39="SALDO INICIAL",MOVIMIENTOS!$C39="Chancho"))),IF(MOVIMIENTOS!$B39="SALDO INICIAL","APERTURA ("&amp;MOVIMIENTOS!$C39&amp;")",IF(MOVIMIENTOS!$B39="COMPRA","INGRESO (compra)",IF(MOVIMIENTOS!$B39="PROCESO","CHANCHO (proceso)",IF(MOVIMIENTOS!$B39="ENVÍO A SUPESA","ENVÍO SUPESA cal. "&amp;MOVIMIENTOS!$C39,IF(MOVIMIENTOS!$B39="VENTA CHANCHO","VENTA CHANCHO",IF(MOVIMIENTOS!$B39="DEVOLUCIÓN","DEVOLUCIÓN cal. "&amp;MOVIMIENTOS!$C39,IF(MOVIMIENTOS!$B39="TRASIEGO","TRASIEGO cal. "&amp;MOVIMIENTOS!$C39,IF(MOVIMIENTOS!$B39="REGALO","REGALO "&amp;MOVIMIENTOS!$C39,IF(MOVIMIENTOS!$B39="VENTA","VENTA "&amp;MOVIMIENTOS!$C39,IF(MOVIMIENTOS!$B39="AJUSTE","AJUSTE inventario ("&amp;MOVIMIENTOS!$C39&amp;")",MOVIMIENTOS!$B39)))))))))),"")</f>
        <v/>
      </c>
      <c r="M40" t="str">
        <f>IF(AND(AND(MOVIMIENTOS!$B39&lt;&gt;"",NOT(AND(MOVIMIENTOS!$B39="PROCESO",MOVIMIENTOS!$C39&lt;&gt;"Chancho")),NOT(AND(MOVIMIENTOS!$B39="SALDO INICIAL",MOVIMIENTOS!$C39="Chancho"))),OR(MOVIMIENTOS!$B39="SALDO INICIAL",MOVIMIENTOS!$B39="COMPRA",MOVIMIENTOS!$B39="REPROCESO",AND(MOVIMIENTOS!$B39="AJUSTE",MOVIMIENTOS!$C39&lt;&gt;"Chancho",N(MOVIMIENTOS!$F39)&gt;=0))),N(MOVIMIENTOS!$F39),"")</f>
        <v/>
      </c>
      <c r="N40" t="str">
        <f>IF(AND(AND(MOVIMIENTOS!$B39&lt;&gt;"",NOT(AND(MOVIMIENTOS!$B39="PROCESO",MOVIMIENTOS!$C39&lt;&gt;"Chancho")),NOT(AND(MOVIMIENTOS!$B39="SALDO INICIAL",MOVIMIENTOS!$C39="Chancho"))),OR(MOVIMIENTOS!$B39="ENVÍO A SUPESA",MOVIMIENTOS!$B39="MALOGRADO",MOVIMIENTOS!$B39="OTRA SALIDA",MOVIMIENTOS!$B39="TRASIEGO",AND(MOVIMIENTOS!$B39="PROCESO",MOVIMIENTOS!$C39="Chancho"),AND(MOVIMIENTOS!$B39="REGALO",MOVIMIENTOS!$C39&lt;&gt;"Chancho"),AND(MOVIMIENTOS!$B39="VENTA",MOVIMIENTOS!$C39&lt;&gt;"Chancho"),AND(MOVIMIENTOS!$B39="AJUSTE",MOVIMIENTOS!$C39&lt;&gt;"Chancho",N(MOVIMIENTOS!$F39)&lt;0))),IF(MOVIMIENTOS!$B39="AJUSTE",-N(MOVIMIENTOS!$F39),N(MOVIMIENTOS!$F39)),"")</f>
        <v/>
      </c>
      <c r="O40" t="str">
        <f>IF(AND(MOVIMIENTOS!$B39&lt;&gt;"",NOT(AND(MOVIMIENTOS!$B39="PROCESO",MOVIMIENTOS!$C39&lt;&gt;"Chancho")),NOT(AND(MOVIMIENTOS!$B39="SALDO INICIAL",MOVIMIENTOS!$C39="Chancho"))),TRIM(IF(MOVIMIENTOS!$G39&lt;&gt;"",IF(MOVIMIENTOS!$B39="ENVÍO A SUPESA","G-"&amp;MOVIMIENTOS!$G39,MOVIMIENTOS!$G39)&amp;"  ","")&amp;IF(N(MOVIMIENTOS!$E39)&gt;0,MOVIMIENTOS!$E39&amp;" "&amp;MOVIMIENTOS!$D39,"")),"")</f>
        <v/>
      </c>
      <c r="P40">
        <f t="shared" si="6"/>
        <v>4508</v>
      </c>
    </row>
    <row r="41" spans="1:16" x14ac:dyDescent="0.2">
      <c r="A41" s="7">
        <f t="shared" si="0"/>
        <v>46220</v>
      </c>
      <c r="B41" s="8" t="str">
        <f t="shared" si="1"/>
        <v>ENVÍO SUPESA cal. A</v>
      </c>
      <c r="C41" s="9" t="str">
        <f t="shared" si="2"/>
        <v/>
      </c>
      <c r="D41" s="9">
        <f t="shared" si="3"/>
        <v>1005</v>
      </c>
      <c r="E41" s="8" t="str">
        <f t="shared" si="4"/>
        <v>G-2994 67 jabas</v>
      </c>
      <c r="F41" s="9">
        <f t="shared" si="5"/>
        <v>4925</v>
      </c>
      <c r="J41" t="str">
        <f>IF(AND(MOVIMIENTOS!$B40&lt;&gt;"",NOT(AND(MOVIMIENTOS!$B40="PROCESO",MOVIMIENTOS!$C40&lt;&gt;"Chancho")),NOT(AND(MOVIMIENTOS!$B40="SALDO INICIAL",MOVIMIENTOS!$C40="Chancho"))),COUNT(J$5:J40)+1,"")</f>
        <v/>
      </c>
      <c r="K41" t="str">
        <f>IF(AND(MOVIMIENTOS!$B40&lt;&gt;"",NOT(AND(MOVIMIENTOS!$B40="PROCESO",MOVIMIENTOS!$C40&lt;&gt;"Chancho")),NOT(AND(MOVIMIENTOS!$B40="SALDO INICIAL",MOVIMIENTOS!$C40="Chancho"))),MOVIMIENTOS!$A40,"")</f>
        <v/>
      </c>
      <c r="L41" t="str">
        <f>IF(AND(MOVIMIENTOS!$B40&lt;&gt;"",NOT(AND(MOVIMIENTOS!$B40="PROCESO",MOVIMIENTOS!$C40&lt;&gt;"Chancho")),NOT(AND(MOVIMIENTOS!$B40="SALDO INICIAL",MOVIMIENTOS!$C40="Chancho"))),IF(MOVIMIENTOS!$B40="SALDO INICIAL","APERTURA ("&amp;MOVIMIENTOS!$C40&amp;")",IF(MOVIMIENTOS!$B40="COMPRA","INGRESO (compra)",IF(MOVIMIENTOS!$B40="PROCESO","CHANCHO (proceso)",IF(MOVIMIENTOS!$B40="ENVÍO A SUPESA","ENVÍO SUPESA cal. "&amp;MOVIMIENTOS!$C40,IF(MOVIMIENTOS!$B40="VENTA CHANCHO","VENTA CHANCHO",IF(MOVIMIENTOS!$B40="DEVOLUCIÓN","DEVOLUCIÓN cal. "&amp;MOVIMIENTOS!$C40,IF(MOVIMIENTOS!$B40="TRASIEGO","TRASIEGO cal. "&amp;MOVIMIENTOS!$C40,IF(MOVIMIENTOS!$B40="REGALO","REGALO "&amp;MOVIMIENTOS!$C40,IF(MOVIMIENTOS!$B40="VENTA","VENTA "&amp;MOVIMIENTOS!$C40,IF(MOVIMIENTOS!$B40="AJUSTE","AJUSTE inventario ("&amp;MOVIMIENTOS!$C40&amp;")",MOVIMIENTOS!$B40)))))))))),"")</f>
        <v/>
      </c>
      <c r="M41" t="str">
        <f>IF(AND(AND(MOVIMIENTOS!$B40&lt;&gt;"",NOT(AND(MOVIMIENTOS!$B40="PROCESO",MOVIMIENTOS!$C40&lt;&gt;"Chancho")),NOT(AND(MOVIMIENTOS!$B40="SALDO INICIAL",MOVIMIENTOS!$C40="Chancho"))),OR(MOVIMIENTOS!$B40="SALDO INICIAL",MOVIMIENTOS!$B40="COMPRA",MOVIMIENTOS!$B40="REPROCESO",AND(MOVIMIENTOS!$B40="AJUSTE",MOVIMIENTOS!$C40&lt;&gt;"Chancho",N(MOVIMIENTOS!$F40)&gt;=0))),N(MOVIMIENTOS!$F40),"")</f>
        <v/>
      </c>
      <c r="N41" t="str">
        <f>IF(AND(AND(MOVIMIENTOS!$B40&lt;&gt;"",NOT(AND(MOVIMIENTOS!$B40="PROCESO",MOVIMIENTOS!$C40&lt;&gt;"Chancho")),NOT(AND(MOVIMIENTOS!$B40="SALDO INICIAL",MOVIMIENTOS!$C40="Chancho"))),OR(MOVIMIENTOS!$B40="ENVÍO A SUPESA",MOVIMIENTOS!$B40="MALOGRADO",MOVIMIENTOS!$B40="OTRA SALIDA",MOVIMIENTOS!$B40="TRASIEGO",AND(MOVIMIENTOS!$B40="PROCESO",MOVIMIENTOS!$C40="Chancho"),AND(MOVIMIENTOS!$B40="REGALO",MOVIMIENTOS!$C40&lt;&gt;"Chancho"),AND(MOVIMIENTOS!$B40="VENTA",MOVIMIENTOS!$C40&lt;&gt;"Chancho"),AND(MOVIMIENTOS!$B40="AJUSTE",MOVIMIENTOS!$C40&lt;&gt;"Chancho",N(MOVIMIENTOS!$F40)&lt;0))),IF(MOVIMIENTOS!$B40="AJUSTE",-N(MOVIMIENTOS!$F40),N(MOVIMIENTOS!$F40)),"")</f>
        <v/>
      </c>
      <c r="O41" t="str">
        <f>IF(AND(MOVIMIENTOS!$B40&lt;&gt;"",NOT(AND(MOVIMIENTOS!$B40="PROCESO",MOVIMIENTOS!$C40&lt;&gt;"Chancho")),NOT(AND(MOVIMIENTOS!$B40="SALDO INICIAL",MOVIMIENTOS!$C40="Chancho"))),TRIM(IF(MOVIMIENTOS!$G40&lt;&gt;"",IF(MOVIMIENTOS!$B40="ENVÍO A SUPESA","G-"&amp;MOVIMIENTOS!$G40,MOVIMIENTOS!$G40)&amp;"  ","")&amp;IF(N(MOVIMIENTOS!$E40)&gt;0,MOVIMIENTOS!$E40&amp;" "&amp;MOVIMIENTOS!$D40,"")),"")</f>
        <v/>
      </c>
      <c r="P41">
        <f t="shared" si="6"/>
        <v>4508</v>
      </c>
    </row>
    <row r="42" spans="1:16" x14ac:dyDescent="0.2">
      <c r="A42" s="7">
        <f t="shared" si="0"/>
        <v>46220</v>
      </c>
      <c r="B42" s="8" t="str">
        <f t="shared" si="1"/>
        <v>ENVÍO SUPESA cal. P</v>
      </c>
      <c r="C42" s="9" t="str">
        <f t="shared" si="2"/>
        <v/>
      </c>
      <c r="D42" s="9">
        <f t="shared" si="3"/>
        <v>198</v>
      </c>
      <c r="E42" s="8" t="str">
        <f t="shared" si="4"/>
        <v>G-2994 11 jabas</v>
      </c>
      <c r="F42" s="9">
        <f t="shared" si="5"/>
        <v>4727</v>
      </c>
      <c r="J42" t="str">
        <f>IF(AND(MOVIMIENTOS!$B41&lt;&gt;"",NOT(AND(MOVIMIENTOS!$B41="PROCESO",MOVIMIENTOS!$C41&lt;&gt;"Chancho")),NOT(AND(MOVIMIENTOS!$B41="SALDO INICIAL",MOVIMIENTOS!$C41="Chancho"))),COUNT(J$5:J41)+1,"")</f>
        <v/>
      </c>
      <c r="K42" t="str">
        <f>IF(AND(MOVIMIENTOS!$B41&lt;&gt;"",NOT(AND(MOVIMIENTOS!$B41="PROCESO",MOVIMIENTOS!$C41&lt;&gt;"Chancho")),NOT(AND(MOVIMIENTOS!$B41="SALDO INICIAL",MOVIMIENTOS!$C41="Chancho"))),MOVIMIENTOS!$A41,"")</f>
        <v/>
      </c>
      <c r="L42" t="str">
        <f>IF(AND(MOVIMIENTOS!$B41&lt;&gt;"",NOT(AND(MOVIMIENTOS!$B41="PROCESO",MOVIMIENTOS!$C41&lt;&gt;"Chancho")),NOT(AND(MOVIMIENTOS!$B41="SALDO INICIAL",MOVIMIENTOS!$C41="Chancho"))),IF(MOVIMIENTOS!$B41="SALDO INICIAL","APERTURA ("&amp;MOVIMIENTOS!$C41&amp;")",IF(MOVIMIENTOS!$B41="COMPRA","INGRESO (compra)",IF(MOVIMIENTOS!$B41="PROCESO","CHANCHO (proceso)",IF(MOVIMIENTOS!$B41="ENVÍO A SUPESA","ENVÍO SUPESA cal. "&amp;MOVIMIENTOS!$C41,IF(MOVIMIENTOS!$B41="VENTA CHANCHO","VENTA CHANCHO",IF(MOVIMIENTOS!$B41="DEVOLUCIÓN","DEVOLUCIÓN cal. "&amp;MOVIMIENTOS!$C41,IF(MOVIMIENTOS!$B41="TRASIEGO","TRASIEGO cal. "&amp;MOVIMIENTOS!$C41,IF(MOVIMIENTOS!$B41="REGALO","REGALO "&amp;MOVIMIENTOS!$C41,IF(MOVIMIENTOS!$B41="VENTA","VENTA "&amp;MOVIMIENTOS!$C41,IF(MOVIMIENTOS!$B41="AJUSTE","AJUSTE inventario ("&amp;MOVIMIENTOS!$C41&amp;")",MOVIMIENTOS!$B41)))))))))),"")</f>
        <v/>
      </c>
      <c r="M42" t="str">
        <f>IF(AND(AND(MOVIMIENTOS!$B41&lt;&gt;"",NOT(AND(MOVIMIENTOS!$B41="PROCESO",MOVIMIENTOS!$C41&lt;&gt;"Chancho")),NOT(AND(MOVIMIENTOS!$B41="SALDO INICIAL",MOVIMIENTOS!$C41="Chancho"))),OR(MOVIMIENTOS!$B41="SALDO INICIAL",MOVIMIENTOS!$B41="COMPRA",MOVIMIENTOS!$B41="REPROCESO",AND(MOVIMIENTOS!$B41="AJUSTE",MOVIMIENTOS!$C41&lt;&gt;"Chancho",N(MOVIMIENTOS!$F41)&gt;=0))),N(MOVIMIENTOS!$F41),"")</f>
        <v/>
      </c>
      <c r="N42" t="str">
        <f>IF(AND(AND(MOVIMIENTOS!$B41&lt;&gt;"",NOT(AND(MOVIMIENTOS!$B41="PROCESO",MOVIMIENTOS!$C41&lt;&gt;"Chancho")),NOT(AND(MOVIMIENTOS!$B41="SALDO INICIAL",MOVIMIENTOS!$C41="Chancho"))),OR(MOVIMIENTOS!$B41="ENVÍO A SUPESA",MOVIMIENTOS!$B41="MALOGRADO",MOVIMIENTOS!$B41="OTRA SALIDA",MOVIMIENTOS!$B41="TRASIEGO",AND(MOVIMIENTOS!$B41="PROCESO",MOVIMIENTOS!$C41="Chancho"),AND(MOVIMIENTOS!$B41="REGALO",MOVIMIENTOS!$C41&lt;&gt;"Chancho"),AND(MOVIMIENTOS!$B41="VENTA",MOVIMIENTOS!$C41&lt;&gt;"Chancho"),AND(MOVIMIENTOS!$B41="AJUSTE",MOVIMIENTOS!$C41&lt;&gt;"Chancho",N(MOVIMIENTOS!$F41)&lt;0))),IF(MOVIMIENTOS!$B41="AJUSTE",-N(MOVIMIENTOS!$F41),N(MOVIMIENTOS!$F41)),"")</f>
        <v/>
      </c>
      <c r="O42" t="str">
        <f>IF(AND(MOVIMIENTOS!$B41&lt;&gt;"",NOT(AND(MOVIMIENTOS!$B41="PROCESO",MOVIMIENTOS!$C41&lt;&gt;"Chancho")),NOT(AND(MOVIMIENTOS!$B41="SALDO INICIAL",MOVIMIENTOS!$C41="Chancho"))),TRIM(IF(MOVIMIENTOS!$G41&lt;&gt;"",IF(MOVIMIENTOS!$B41="ENVÍO A SUPESA","G-"&amp;MOVIMIENTOS!$G41,MOVIMIENTOS!$G41)&amp;"  ","")&amp;IF(N(MOVIMIENTOS!$E41)&gt;0,MOVIMIENTOS!$E41&amp;" "&amp;MOVIMIENTOS!$D41,"")),"")</f>
        <v/>
      </c>
      <c r="P42">
        <f t="shared" si="6"/>
        <v>4508</v>
      </c>
    </row>
    <row r="43" spans="1:16" x14ac:dyDescent="0.2">
      <c r="A43" s="7">
        <f t="shared" si="0"/>
        <v>46220</v>
      </c>
      <c r="B43" s="8" t="str">
        <f t="shared" si="1"/>
        <v>ENVÍO SUPESA cal. C</v>
      </c>
      <c r="C43" s="9" t="str">
        <f t="shared" si="2"/>
        <v/>
      </c>
      <c r="D43" s="9">
        <f t="shared" si="3"/>
        <v>204</v>
      </c>
      <c r="E43" s="8" t="str">
        <f t="shared" si="4"/>
        <v>G-2994 12 jabas</v>
      </c>
      <c r="F43" s="9">
        <f t="shared" si="5"/>
        <v>4523</v>
      </c>
      <c r="J43" t="str">
        <f>IF(AND(MOVIMIENTOS!$B42&lt;&gt;"",NOT(AND(MOVIMIENTOS!$B42="PROCESO",MOVIMIENTOS!$C42&lt;&gt;"Chancho")),NOT(AND(MOVIMIENTOS!$B42="SALDO INICIAL",MOVIMIENTOS!$C42="Chancho"))),COUNT(J$5:J42)+1,"")</f>
        <v/>
      </c>
      <c r="K43" t="str">
        <f>IF(AND(MOVIMIENTOS!$B42&lt;&gt;"",NOT(AND(MOVIMIENTOS!$B42="PROCESO",MOVIMIENTOS!$C42&lt;&gt;"Chancho")),NOT(AND(MOVIMIENTOS!$B42="SALDO INICIAL",MOVIMIENTOS!$C42="Chancho"))),MOVIMIENTOS!$A42,"")</f>
        <v/>
      </c>
      <c r="L43" t="str">
        <f>IF(AND(MOVIMIENTOS!$B42&lt;&gt;"",NOT(AND(MOVIMIENTOS!$B42="PROCESO",MOVIMIENTOS!$C42&lt;&gt;"Chancho")),NOT(AND(MOVIMIENTOS!$B42="SALDO INICIAL",MOVIMIENTOS!$C42="Chancho"))),IF(MOVIMIENTOS!$B42="SALDO INICIAL","APERTURA ("&amp;MOVIMIENTOS!$C42&amp;")",IF(MOVIMIENTOS!$B42="COMPRA","INGRESO (compra)",IF(MOVIMIENTOS!$B42="PROCESO","CHANCHO (proceso)",IF(MOVIMIENTOS!$B42="ENVÍO A SUPESA","ENVÍO SUPESA cal. "&amp;MOVIMIENTOS!$C42,IF(MOVIMIENTOS!$B42="VENTA CHANCHO","VENTA CHANCHO",IF(MOVIMIENTOS!$B42="DEVOLUCIÓN","DEVOLUCIÓN cal. "&amp;MOVIMIENTOS!$C42,IF(MOVIMIENTOS!$B42="TRASIEGO","TRASIEGO cal. "&amp;MOVIMIENTOS!$C42,IF(MOVIMIENTOS!$B42="REGALO","REGALO "&amp;MOVIMIENTOS!$C42,IF(MOVIMIENTOS!$B42="VENTA","VENTA "&amp;MOVIMIENTOS!$C42,IF(MOVIMIENTOS!$B42="AJUSTE","AJUSTE inventario ("&amp;MOVIMIENTOS!$C42&amp;")",MOVIMIENTOS!$B42)))))))))),"")</f>
        <v/>
      </c>
      <c r="M43" t="str">
        <f>IF(AND(AND(MOVIMIENTOS!$B42&lt;&gt;"",NOT(AND(MOVIMIENTOS!$B42="PROCESO",MOVIMIENTOS!$C42&lt;&gt;"Chancho")),NOT(AND(MOVIMIENTOS!$B42="SALDO INICIAL",MOVIMIENTOS!$C42="Chancho"))),OR(MOVIMIENTOS!$B42="SALDO INICIAL",MOVIMIENTOS!$B42="COMPRA",MOVIMIENTOS!$B42="REPROCESO",AND(MOVIMIENTOS!$B42="AJUSTE",MOVIMIENTOS!$C42&lt;&gt;"Chancho",N(MOVIMIENTOS!$F42)&gt;=0))),N(MOVIMIENTOS!$F42),"")</f>
        <v/>
      </c>
      <c r="N43" t="str">
        <f>IF(AND(AND(MOVIMIENTOS!$B42&lt;&gt;"",NOT(AND(MOVIMIENTOS!$B42="PROCESO",MOVIMIENTOS!$C42&lt;&gt;"Chancho")),NOT(AND(MOVIMIENTOS!$B42="SALDO INICIAL",MOVIMIENTOS!$C42="Chancho"))),OR(MOVIMIENTOS!$B42="ENVÍO A SUPESA",MOVIMIENTOS!$B42="MALOGRADO",MOVIMIENTOS!$B42="OTRA SALIDA",MOVIMIENTOS!$B42="TRASIEGO",AND(MOVIMIENTOS!$B42="PROCESO",MOVIMIENTOS!$C42="Chancho"),AND(MOVIMIENTOS!$B42="REGALO",MOVIMIENTOS!$C42&lt;&gt;"Chancho"),AND(MOVIMIENTOS!$B42="VENTA",MOVIMIENTOS!$C42&lt;&gt;"Chancho"),AND(MOVIMIENTOS!$B42="AJUSTE",MOVIMIENTOS!$C42&lt;&gt;"Chancho",N(MOVIMIENTOS!$F42)&lt;0))),IF(MOVIMIENTOS!$B42="AJUSTE",-N(MOVIMIENTOS!$F42),N(MOVIMIENTOS!$F42)),"")</f>
        <v/>
      </c>
      <c r="O43" t="str">
        <f>IF(AND(MOVIMIENTOS!$B42&lt;&gt;"",NOT(AND(MOVIMIENTOS!$B42="PROCESO",MOVIMIENTOS!$C42&lt;&gt;"Chancho")),NOT(AND(MOVIMIENTOS!$B42="SALDO INICIAL",MOVIMIENTOS!$C42="Chancho"))),TRIM(IF(MOVIMIENTOS!$G42&lt;&gt;"",IF(MOVIMIENTOS!$B42="ENVÍO A SUPESA","G-"&amp;MOVIMIENTOS!$G42,MOVIMIENTOS!$G42)&amp;"  ","")&amp;IF(N(MOVIMIENTOS!$E42)&gt;0,MOVIMIENTOS!$E42&amp;" "&amp;MOVIMIENTOS!$D42,"")),"")</f>
        <v/>
      </c>
      <c r="P43">
        <f t="shared" si="6"/>
        <v>4508</v>
      </c>
    </row>
    <row r="44" spans="1:16" x14ac:dyDescent="0.2">
      <c r="A44" s="7">
        <f t="shared" si="0"/>
        <v>46220</v>
      </c>
      <c r="B44" s="8" t="str">
        <f t="shared" si="1"/>
        <v>ENVÍO SUPESA cal. M</v>
      </c>
      <c r="C44" s="9" t="str">
        <f t="shared" si="2"/>
        <v/>
      </c>
      <c r="D44" s="9">
        <f t="shared" si="3"/>
        <v>2006</v>
      </c>
      <c r="E44" s="8" t="str">
        <f t="shared" si="4"/>
        <v>G-2994 118 jabas</v>
      </c>
      <c r="F44" s="9">
        <f t="shared" si="5"/>
        <v>2517</v>
      </c>
      <c r="J44">
        <f>IF(AND(MOVIMIENTOS!$B43&lt;&gt;"",NOT(AND(MOVIMIENTOS!$B43="PROCESO",MOVIMIENTOS!$C43&lt;&gt;"Chancho")),NOT(AND(MOVIMIENTOS!$B43="SALDO INICIAL",MOVIMIENTOS!$C43="Chancho"))),COUNT(J$5:J43)+1,"")</f>
        <v>22</v>
      </c>
      <c r="K44" s="10">
        <f>IF(AND(MOVIMIENTOS!$B43&lt;&gt;"",NOT(AND(MOVIMIENTOS!$B43="PROCESO",MOVIMIENTOS!$C43&lt;&gt;"Chancho")),NOT(AND(MOVIMIENTOS!$B43="SALDO INICIAL",MOVIMIENTOS!$C43="Chancho"))),MOVIMIENTOS!$A43,"")</f>
        <v>46218</v>
      </c>
      <c r="L44" t="str">
        <f>IF(AND(MOVIMIENTOS!$B43&lt;&gt;"",NOT(AND(MOVIMIENTOS!$B43="PROCESO",MOVIMIENTOS!$C43&lt;&gt;"Chancho")),NOT(AND(MOVIMIENTOS!$B43="SALDO INICIAL",MOVIMIENTOS!$C43="Chancho"))),IF(MOVIMIENTOS!$B43="SALDO INICIAL","APERTURA ("&amp;MOVIMIENTOS!$C43&amp;")",IF(MOVIMIENTOS!$B43="COMPRA","INGRESO (compra)",IF(MOVIMIENTOS!$B43="PROCESO","CHANCHO (proceso)",IF(MOVIMIENTOS!$B43="ENVÍO A SUPESA","ENVÍO SUPESA cal. "&amp;MOVIMIENTOS!$C43,IF(MOVIMIENTOS!$B43="VENTA CHANCHO","VENTA CHANCHO",IF(MOVIMIENTOS!$B43="DEVOLUCIÓN","DEVOLUCIÓN cal. "&amp;MOVIMIENTOS!$C43,IF(MOVIMIENTOS!$B43="TRASIEGO","TRASIEGO cal. "&amp;MOVIMIENTOS!$C43,IF(MOVIMIENTOS!$B43="REGALO","REGALO "&amp;MOVIMIENTOS!$C43,IF(MOVIMIENTOS!$B43="VENTA","VENTA "&amp;MOVIMIENTOS!$C43,IF(MOVIMIENTOS!$B43="AJUSTE","AJUSTE inventario ("&amp;MOVIMIENTOS!$C43&amp;")",MOVIMIENTOS!$B43)))))))))),"")</f>
        <v>CHANCHO (proceso)</v>
      </c>
      <c r="M44" t="str">
        <f>IF(AND(AND(MOVIMIENTOS!$B43&lt;&gt;"",NOT(AND(MOVIMIENTOS!$B43="PROCESO",MOVIMIENTOS!$C43&lt;&gt;"Chancho")),NOT(AND(MOVIMIENTOS!$B43="SALDO INICIAL",MOVIMIENTOS!$C43="Chancho"))),OR(MOVIMIENTOS!$B43="SALDO INICIAL",MOVIMIENTOS!$B43="COMPRA",MOVIMIENTOS!$B43="REPROCESO",AND(MOVIMIENTOS!$B43="AJUSTE",MOVIMIENTOS!$C43&lt;&gt;"Chancho",N(MOVIMIENTOS!$F43)&gt;=0))),N(MOVIMIENTOS!$F43),"")</f>
        <v/>
      </c>
      <c r="N44">
        <f>IF(AND(AND(MOVIMIENTOS!$B43&lt;&gt;"",NOT(AND(MOVIMIENTOS!$B43="PROCESO",MOVIMIENTOS!$C43&lt;&gt;"Chancho")),NOT(AND(MOVIMIENTOS!$B43="SALDO INICIAL",MOVIMIENTOS!$C43="Chancho"))),OR(MOVIMIENTOS!$B43="ENVÍO A SUPESA",MOVIMIENTOS!$B43="MALOGRADO",MOVIMIENTOS!$B43="OTRA SALIDA",MOVIMIENTOS!$B43="TRASIEGO",AND(MOVIMIENTOS!$B43="PROCESO",MOVIMIENTOS!$C43="Chancho"),AND(MOVIMIENTOS!$B43="REGALO",MOVIMIENTOS!$C43&lt;&gt;"Chancho"),AND(MOVIMIENTOS!$B43="VENTA",MOVIMIENTOS!$C43&lt;&gt;"Chancho"),AND(MOVIMIENTOS!$B43="AJUSTE",MOVIMIENTOS!$C43&lt;&gt;"Chancho",N(MOVIMIENTOS!$F43)&lt;0))),IF(MOVIMIENTOS!$B43="AJUSTE",-N(MOVIMIENTOS!$F43),N(MOVIMIENTOS!$F43)),"")</f>
        <v>475</v>
      </c>
      <c r="O44" t="str">
        <f>IF(AND(MOVIMIENTOS!$B43&lt;&gt;"",NOT(AND(MOVIMIENTOS!$B43="PROCESO",MOVIMIENTOS!$C43&lt;&gt;"Chancho")),NOT(AND(MOVIMIENTOS!$B43="SALDO INICIAL",MOVIMIENTOS!$C43="Chancho"))),TRIM(IF(MOVIMIENTOS!$G43&lt;&gt;"",IF(MOVIMIENTOS!$B43="ENVÍO A SUPESA","G-"&amp;MOVIMIENTOS!$G43,MOVIMIENTOS!$G43)&amp;"  ","")&amp;IF(N(MOVIMIENTOS!$E43)&gt;0,MOVIMIENTOS!$E43&amp;" "&amp;MOVIMIENTOS!$D43,"")),"")</f>
        <v>5 sacos</v>
      </c>
      <c r="P44">
        <f t="shared" si="6"/>
        <v>4033</v>
      </c>
    </row>
    <row r="45" spans="1:16" x14ac:dyDescent="0.2">
      <c r="A45" s="7">
        <f t="shared" si="0"/>
        <v>46220</v>
      </c>
      <c r="B45" s="8" t="str">
        <f t="shared" si="1"/>
        <v>VENTA CHANCHO</v>
      </c>
      <c r="C45" s="9" t="str">
        <f t="shared" si="2"/>
        <v/>
      </c>
      <c r="D45" s="9" t="str">
        <f t="shared" si="3"/>
        <v/>
      </c>
      <c r="E45" s="8" t="str">
        <f t="shared" si="4"/>
        <v>TCK002-725 15 sacos</v>
      </c>
      <c r="F45" s="9">
        <f t="shared" si="5"/>
        <v>2517</v>
      </c>
      <c r="J45">
        <f>IF(AND(MOVIMIENTOS!$B44&lt;&gt;"",NOT(AND(MOVIMIENTOS!$B44="PROCESO",MOVIMIENTOS!$C44&lt;&gt;"Chancho")),NOT(AND(MOVIMIENTOS!$B44="SALDO INICIAL",MOVIMIENTOS!$C44="Chancho"))),COUNT(J$5:J44)+1,"")</f>
        <v>23</v>
      </c>
      <c r="K45" s="10">
        <f>IF(AND(MOVIMIENTOS!$B44&lt;&gt;"",NOT(AND(MOVIMIENTOS!$B44="PROCESO",MOVIMIENTOS!$C44&lt;&gt;"Chancho")),NOT(AND(MOVIMIENTOS!$B44="SALDO INICIAL",MOVIMIENTOS!$C44="Chancho"))),MOVIMIENTOS!$A44,"")</f>
        <v>46218</v>
      </c>
      <c r="L45" t="str">
        <f>IF(AND(MOVIMIENTOS!$B44&lt;&gt;"",NOT(AND(MOVIMIENTOS!$B44="PROCESO",MOVIMIENTOS!$C44&lt;&gt;"Chancho")),NOT(AND(MOVIMIENTOS!$B44="SALDO INICIAL",MOVIMIENTOS!$C44="Chancho"))),IF(MOVIMIENTOS!$B44="SALDO INICIAL","APERTURA ("&amp;MOVIMIENTOS!$C44&amp;")",IF(MOVIMIENTOS!$B44="COMPRA","INGRESO (compra)",IF(MOVIMIENTOS!$B44="PROCESO","CHANCHO (proceso)",IF(MOVIMIENTOS!$B44="ENVÍO A SUPESA","ENVÍO SUPESA cal. "&amp;MOVIMIENTOS!$C44,IF(MOVIMIENTOS!$B44="VENTA CHANCHO","VENTA CHANCHO",IF(MOVIMIENTOS!$B44="DEVOLUCIÓN","DEVOLUCIÓN cal. "&amp;MOVIMIENTOS!$C44,IF(MOVIMIENTOS!$B44="TRASIEGO","TRASIEGO cal. "&amp;MOVIMIENTOS!$C44,IF(MOVIMIENTOS!$B44="REGALO","REGALO "&amp;MOVIMIENTOS!$C44,IF(MOVIMIENTOS!$B44="VENTA","VENTA "&amp;MOVIMIENTOS!$C44,IF(MOVIMIENTOS!$B44="AJUSTE","AJUSTE inventario ("&amp;MOVIMIENTOS!$C44&amp;")",MOVIMIENTOS!$B44)))))))))),"")</f>
        <v>ENVÍO SUPESA cal. A</v>
      </c>
      <c r="M45" t="str">
        <f>IF(AND(AND(MOVIMIENTOS!$B44&lt;&gt;"",NOT(AND(MOVIMIENTOS!$B44="PROCESO",MOVIMIENTOS!$C44&lt;&gt;"Chancho")),NOT(AND(MOVIMIENTOS!$B44="SALDO INICIAL",MOVIMIENTOS!$C44="Chancho"))),OR(MOVIMIENTOS!$B44="SALDO INICIAL",MOVIMIENTOS!$B44="COMPRA",MOVIMIENTOS!$B44="REPROCESO",AND(MOVIMIENTOS!$B44="AJUSTE",MOVIMIENTOS!$C44&lt;&gt;"Chancho",N(MOVIMIENTOS!$F44)&gt;=0))),N(MOVIMIENTOS!$F44),"")</f>
        <v/>
      </c>
      <c r="N45">
        <f>IF(AND(AND(MOVIMIENTOS!$B44&lt;&gt;"",NOT(AND(MOVIMIENTOS!$B44="PROCESO",MOVIMIENTOS!$C44&lt;&gt;"Chancho")),NOT(AND(MOVIMIENTOS!$B44="SALDO INICIAL",MOVIMIENTOS!$C44="Chancho"))),OR(MOVIMIENTOS!$B44="ENVÍO A SUPESA",MOVIMIENTOS!$B44="MALOGRADO",MOVIMIENTOS!$B44="OTRA SALIDA",MOVIMIENTOS!$B44="TRASIEGO",AND(MOVIMIENTOS!$B44="PROCESO",MOVIMIENTOS!$C44="Chancho"),AND(MOVIMIENTOS!$B44="REGALO",MOVIMIENTOS!$C44&lt;&gt;"Chancho"),AND(MOVIMIENTOS!$B44="VENTA",MOVIMIENTOS!$C44&lt;&gt;"Chancho"),AND(MOVIMIENTOS!$B44="AJUSTE",MOVIMIENTOS!$C44&lt;&gt;"Chancho",N(MOVIMIENTOS!$F44)&lt;0))),IF(MOVIMIENTOS!$B44="AJUSTE",-N(MOVIMIENTOS!$F44),N(MOVIMIENTOS!$F44)),"")</f>
        <v>1005</v>
      </c>
      <c r="O45" t="str">
        <f>IF(AND(MOVIMIENTOS!$B44&lt;&gt;"",NOT(AND(MOVIMIENTOS!$B44="PROCESO",MOVIMIENTOS!$C44&lt;&gt;"Chancho")),NOT(AND(MOVIMIENTOS!$B44="SALDO INICIAL",MOVIMIENTOS!$C44="Chancho"))),TRIM(IF(MOVIMIENTOS!$G44&lt;&gt;"",IF(MOVIMIENTOS!$B44="ENVÍO A SUPESA","G-"&amp;MOVIMIENTOS!$G44,MOVIMIENTOS!$G44)&amp;"  ","")&amp;IF(N(MOVIMIENTOS!$E44)&gt;0,MOVIMIENTOS!$E44&amp;" "&amp;MOVIMIENTOS!$D44,"")),"")</f>
        <v>G-2986 67 jabas</v>
      </c>
      <c r="P45">
        <f t="shared" si="6"/>
        <v>3028</v>
      </c>
    </row>
    <row r="46" spans="1:16" x14ac:dyDescent="0.2">
      <c r="A46" s="7">
        <f t="shared" si="0"/>
        <v>46220</v>
      </c>
      <c r="B46" s="8" t="str">
        <f t="shared" si="1"/>
        <v>INGRESO (compra)</v>
      </c>
      <c r="C46" s="9">
        <f t="shared" si="2"/>
        <v>475</v>
      </c>
      <c r="D46" s="9" t="str">
        <f t="shared" si="3"/>
        <v/>
      </c>
      <c r="E46" s="8" t="str">
        <f t="shared" si="4"/>
        <v>5 sacos</v>
      </c>
      <c r="F46" s="9">
        <f t="shared" si="5"/>
        <v>2992</v>
      </c>
      <c r="J46">
        <f>IF(AND(MOVIMIENTOS!$B45&lt;&gt;"",NOT(AND(MOVIMIENTOS!$B45="PROCESO",MOVIMIENTOS!$C45&lt;&gt;"Chancho")),NOT(AND(MOVIMIENTOS!$B45="SALDO INICIAL",MOVIMIENTOS!$C45="Chancho"))),COUNT(J$5:J45)+1,"")</f>
        <v>24</v>
      </c>
      <c r="K46" s="10">
        <f>IF(AND(MOVIMIENTOS!$B45&lt;&gt;"",NOT(AND(MOVIMIENTOS!$B45="PROCESO",MOVIMIENTOS!$C45&lt;&gt;"Chancho")),NOT(AND(MOVIMIENTOS!$B45="SALDO INICIAL",MOVIMIENTOS!$C45="Chancho"))),MOVIMIENTOS!$A45,"")</f>
        <v>46218</v>
      </c>
      <c r="L46" t="str">
        <f>IF(AND(MOVIMIENTOS!$B45&lt;&gt;"",NOT(AND(MOVIMIENTOS!$B45="PROCESO",MOVIMIENTOS!$C45&lt;&gt;"Chancho")),NOT(AND(MOVIMIENTOS!$B45="SALDO INICIAL",MOVIMIENTOS!$C45="Chancho"))),IF(MOVIMIENTOS!$B45="SALDO INICIAL","APERTURA ("&amp;MOVIMIENTOS!$C45&amp;")",IF(MOVIMIENTOS!$B45="COMPRA","INGRESO (compra)",IF(MOVIMIENTOS!$B45="PROCESO","CHANCHO (proceso)",IF(MOVIMIENTOS!$B45="ENVÍO A SUPESA","ENVÍO SUPESA cal. "&amp;MOVIMIENTOS!$C45,IF(MOVIMIENTOS!$B45="VENTA CHANCHO","VENTA CHANCHO",IF(MOVIMIENTOS!$B45="DEVOLUCIÓN","DEVOLUCIÓN cal. "&amp;MOVIMIENTOS!$C45,IF(MOVIMIENTOS!$B45="TRASIEGO","TRASIEGO cal. "&amp;MOVIMIENTOS!$C45,IF(MOVIMIENTOS!$B45="REGALO","REGALO "&amp;MOVIMIENTOS!$C45,IF(MOVIMIENTOS!$B45="VENTA","VENTA "&amp;MOVIMIENTOS!$C45,IF(MOVIMIENTOS!$B45="AJUSTE","AJUSTE inventario ("&amp;MOVIMIENTOS!$C45&amp;")",MOVIMIENTOS!$B45)))))))))),"")</f>
        <v>ENVÍO SUPESA cal. P</v>
      </c>
      <c r="M46" t="str">
        <f>IF(AND(AND(MOVIMIENTOS!$B45&lt;&gt;"",NOT(AND(MOVIMIENTOS!$B45="PROCESO",MOVIMIENTOS!$C45&lt;&gt;"Chancho")),NOT(AND(MOVIMIENTOS!$B45="SALDO INICIAL",MOVIMIENTOS!$C45="Chancho"))),OR(MOVIMIENTOS!$B45="SALDO INICIAL",MOVIMIENTOS!$B45="COMPRA",MOVIMIENTOS!$B45="REPROCESO",AND(MOVIMIENTOS!$B45="AJUSTE",MOVIMIENTOS!$C45&lt;&gt;"Chancho",N(MOVIMIENTOS!$F45)&gt;=0))),N(MOVIMIENTOS!$F45),"")</f>
        <v/>
      </c>
      <c r="N46">
        <f>IF(AND(AND(MOVIMIENTOS!$B45&lt;&gt;"",NOT(AND(MOVIMIENTOS!$B45="PROCESO",MOVIMIENTOS!$C45&lt;&gt;"Chancho")),NOT(AND(MOVIMIENTOS!$B45="SALDO INICIAL",MOVIMIENTOS!$C45="Chancho"))),OR(MOVIMIENTOS!$B45="ENVÍO A SUPESA",MOVIMIENTOS!$B45="MALOGRADO",MOVIMIENTOS!$B45="OTRA SALIDA",MOVIMIENTOS!$B45="TRASIEGO",AND(MOVIMIENTOS!$B45="PROCESO",MOVIMIENTOS!$C45="Chancho"),AND(MOVIMIENTOS!$B45="REGALO",MOVIMIENTOS!$C45&lt;&gt;"Chancho"),AND(MOVIMIENTOS!$B45="VENTA",MOVIMIENTOS!$C45&lt;&gt;"Chancho"),AND(MOVIMIENTOS!$B45="AJUSTE",MOVIMIENTOS!$C45&lt;&gt;"Chancho",N(MOVIMIENTOS!$F45)&lt;0))),IF(MOVIMIENTOS!$B45="AJUSTE",-N(MOVIMIENTOS!$F45),N(MOVIMIENTOS!$F45)),"")</f>
        <v>198</v>
      </c>
      <c r="O46" t="str">
        <f>IF(AND(MOVIMIENTOS!$B45&lt;&gt;"",NOT(AND(MOVIMIENTOS!$B45="PROCESO",MOVIMIENTOS!$C45&lt;&gt;"Chancho")),NOT(AND(MOVIMIENTOS!$B45="SALDO INICIAL",MOVIMIENTOS!$C45="Chancho"))),TRIM(IF(MOVIMIENTOS!$G45&lt;&gt;"",IF(MOVIMIENTOS!$B45="ENVÍO A SUPESA","G-"&amp;MOVIMIENTOS!$G45,MOVIMIENTOS!$G45)&amp;"  ","")&amp;IF(N(MOVIMIENTOS!$E45)&gt;0,MOVIMIENTOS!$E45&amp;" "&amp;MOVIMIENTOS!$D45,"")),"")</f>
        <v>G-2986 11 jabas</v>
      </c>
      <c r="P46">
        <f t="shared" si="6"/>
        <v>2830</v>
      </c>
    </row>
    <row r="47" spans="1:16" x14ac:dyDescent="0.2">
      <c r="A47" s="7">
        <f t="shared" si="0"/>
        <v>46220</v>
      </c>
      <c r="B47" s="8" t="str">
        <f t="shared" si="1"/>
        <v>CHANCHO (proceso)</v>
      </c>
      <c r="C47" s="9" t="str">
        <f t="shared" si="2"/>
        <v/>
      </c>
      <c r="D47" s="9">
        <f t="shared" si="3"/>
        <v>95</v>
      </c>
      <c r="E47" s="8" t="str">
        <f t="shared" si="4"/>
        <v>1 sacos</v>
      </c>
      <c r="F47" s="9">
        <f t="shared" si="5"/>
        <v>2897</v>
      </c>
      <c r="J47">
        <f>IF(AND(MOVIMIENTOS!$B46&lt;&gt;"",NOT(AND(MOVIMIENTOS!$B46="PROCESO",MOVIMIENTOS!$C46&lt;&gt;"Chancho")),NOT(AND(MOVIMIENTOS!$B46="SALDO INICIAL",MOVIMIENTOS!$C46="Chancho"))),COUNT(J$5:J46)+1,"")</f>
        <v>25</v>
      </c>
      <c r="K47" s="10">
        <f>IF(AND(MOVIMIENTOS!$B46&lt;&gt;"",NOT(AND(MOVIMIENTOS!$B46="PROCESO",MOVIMIENTOS!$C46&lt;&gt;"Chancho")),NOT(AND(MOVIMIENTOS!$B46="SALDO INICIAL",MOVIMIENTOS!$C46="Chancho"))),MOVIMIENTOS!$A46,"")</f>
        <v>46218</v>
      </c>
      <c r="L47" t="str">
        <f>IF(AND(MOVIMIENTOS!$B46&lt;&gt;"",NOT(AND(MOVIMIENTOS!$B46="PROCESO",MOVIMIENTOS!$C46&lt;&gt;"Chancho")),NOT(AND(MOVIMIENTOS!$B46="SALDO INICIAL",MOVIMIENTOS!$C46="Chancho"))),IF(MOVIMIENTOS!$B46="SALDO INICIAL","APERTURA ("&amp;MOVIMIENTOS!$C46&amp;")",IF(MOVIMIENTOS!$B46="COMPRA","INGRESO (compra)",IF(MOVIMIENTOS!$B46="PROCESO","CHANCHO (proceso)",IF(MOVIMIENTOS!$B46="ENVÍO A SUPESA","ENVÍO SUPESA cal. "&amp;MOVIMIENTOS!$C46,IF(MOVIMIENTOS!$B46="VENTA CHANCHO","VENTA CHANCHO",IF(MOVIMIENTOS!$B46="DEVOLUCIÓN","DEVOLUCIÓN cal. "&amp;MOVIMIENTOS!$C46,IF(MOVIMIENTOS!$B46="TRASIEGO","TRASIEGO cal. "&amp;MOVIMIENTOS!$C46,IF(MOVIMIENTOS!$B46="REGALO","REGALO "&amp;MOVIMIENTOS!$C46,IF(MOVIMIENTOS!$B46="VENTA","VENTA "&amp;MOVIMIENTOS!$C46,IF(MOVIMIENTOS!$B46="AJUSTE","AJUSTE inventario ("&amp;MOVIMIENTOS!$C46&amp;")",MOVIMIENTOS!$B46)))))))))),"")</f>
        <v>ENVÍO SUPESA cal. C</v>
      </c>
      <c r="M47" t="str">
        <f>IF(AND(AND(MOVIMIENTOS!$B46&lt;&gt;"",NOT(AND(MOVIMIENTOS!$B46="PROCESO",MOVIMIENTOS!$C46&lt;&gt;"Chancho")),NOT(AND(MOVIMIENTOS!$B46="SALDO INICIAL",MOVIMIENTOS!$C46="Chancho"))),OR(MOVIMIENTOS!$B46="SALDO INICIAL",MOVIMIENTOS!$B46="COMPRA",MOVIMIENTOS!$B46="REPROCESO",AND(MOVIMIENTOS!$B46="AJUSTE",MOVIMIENTOS!$C46&lt;&gt;"Chancho",N(MOVIMIENTOS!$F46)&gt;=0))),N(MOVIMIENTOS!$F46),"")</f>
        <v/>
      </c>
      <c r="N47">
        <f>IF(AND(AND(MOVIMIENTOS!$B46&lt;&gt;"",NOT(AND(MOVIMIENTOS!$B46="PROCESO",MOVIMIENTOS!$C46&lt;&gt;"Chancho")),NOT(AND(MOVIMIENTOS!$B46="SALDO INICIAL",MOVIMIENTOS!$C46="Chancho"))),OR(MOVIMIENTOS!$B46="ENVÍO A SUPESA",MOVIMIENTOS!$B46="MALOGRADO",MOVIMIENTOS!$B46="OTRA SALIDA",MOVIMIENTOS!$B46="TRASIEGO",AND(MOVIMIENTOS!$B46="PROCESO",MOVIMIENTOS!$C46="Chancho"),AND(MOVIMIENTOS!$B46="REGALO",MOVIMIENTOS!$C46&lt;&gt;"Chancho"),AND(MOVIMIENTOS!$B46="VENTA",MOVIMIENTOS!$C46&lt;&gt;"Chancho"),AND(MOVIMIENTOS!$B46="AJUSTE",MOVIMIENTOS!$C46&lt;&gt;"Chancho",N(MOVIMIENTOS!$F46)&lt;0))),IF(MOVIMIENTOS!$B46="AJUSTE",-N(MOVIMIENTOS!$F46),N(MOVIMIENTOS!$F46)),"")</f>
        <v>153</v>
      </c>
      <c r="O47" t="str">
        <f>IF(AND(MOVIMIENTOS!$B46&lt;&gt;"",NOT(AND(MOVIMIENTOS!$B46="PROCESO",MOVIMIENTOS!$C46&lt;&gt;"Chancho")),NOT(AND(MOVIMIENTOS!$B46="SALDO INICIAL",MOVIMIENTOS!$C46="Chancho"))),TRIM(IF(MOVIMIENTOS!$G46&lt;&gt;"",IF(MOVIMIENTOS!$B46="ENVÍO A SUPESA","G-"&amp;MOVIMIENTOS!$G46,MOVIMIENTOS!$G46)&amp;"  ","")&amp;IF(N(MOVIMIENTOS!$E46)&gt;0,MOVIMIENTOS!$E46&amp;" "&amp;MOVIMIENTOS!$D46,"")),"")</f>
        <v>G-2986 9 jabas</v>
      </c>
      <c r="P47">
        <f t="shared" si="6"/>
        <v>2677</v>
      </c>
    </row>
    <row r="48" spans="1:16" x14ac:dyDescent="0.2">
      <c r="A48" s="7">
        <f t="shared" si="0"/>
        <v>46221</v>
      </c>
      <c r="B48" s="8" t="str">
        <f t="shared" si="1"/>
        <v>ENVÍO SUPESA cal. A</v>
      </c>
      <c r="C48" s="9" t="str">
        <f t="shared" si="2"/>
        <v/>
      </c>
      <c r="D48" s="9">
        <f t="shared" si="3"/>
        <v>1005</v>
      </c>
      <c r="E48" s="8" t="str">
        <f t="shared" si="4"/>
        <v>G-2996 67 jabas</v>
      </c>
      <c r="F48" s="9">
        <f t="shared" si="5"/>
        <v>1892</v>
      </c>
      <c r="J48">
        <f>IF(AND(MOVIMIENTOS!$B47&lt;&gt;"",NOT(AND(MOVIMIENTOS!$B47="PROCESO",MOVIMIENTOS!$C47&lt;&gt;"Chancho")),NOT(AND(MOVIMIENTOS!$B47="SALDO INICIAL",MOVIMIENTOS!$C47="Chancho"))),COUNT(J$5:J47)+1,"")</f>
        <v>26</v>
      </c>
      <c r="K48" s="10">
        <f>IF(AND(MOVIMIENTOS!$B47&lt;&gt;"",NOT(AND(MOVIMIENTOS!$B47="PROCESO",MOVIMIENTOS!$C47&lt;&gt;"Chancho")),NOT(AND(MOVIMIENTOS!$B47="SALDO INICIAL",MOVIMIENTOS!$C47="Chancho"))),MOVIMIENTOS!$A47,"")</f>
        <v>46218</v>
      </c>
      <c r="L48" t="str">
        <f>IF(AND(MOVIMIENTOS!$B47&lt;&gt;"",NOT(AND(MOVIMIENTOS!$B47="PROCESO",MOVIMIENTOS!$C47&lt;&gt;"Chancho")),NOT(AND(MOVIMIENTOS!$B47="SALDO INICIAL",MOVIMIENTOS!$C47="Chancho"))),IF(MOVIMIENTOS!$B47="SALDO INICIAL","APERTURA ("&amp;MOVIMIENTOS!$C47&amp;")",IF(MOVIMIENTOS!$B47="COMPRA","INGRESO (compra)",IF(MOVIMIENTOS!$B47="PROCESO","CHANCHO (proceso)",IF(MOVIMIENTOS!$B47="ENVÍO A SUPESA","ENVÍO SUPESA cal. "&amp;MOVIMIENTOS!$C47,IF(MOVIMIENTOS!$B47="VENTA CHANCHO","VENTA CHANCHO",IF(MOVIMIENTOS!$B47="DEVOLUCIÓN","DEVOLUCIÓN cal. "&amp;MOVIMIENTOS!$C47,IF(MOVIMIENTOS!$B47="TRASIEGO","TRASIEGO cal. "&amp;MOVIMIENTOS!$C47,IF(MOVIMIENTOS!$B47="REGALO","REGALO "&amp;MOVIMIENTOS!$C47,IF(MOVIMIENTOS!$B47="VENTA","VENTA "&amp;MOVIMIENTOS!$C47,IF(MOVIMIENTOS!$B47="AJUSTE","AJUSTE inventario ("&amp;MOVIMIENTOS!$C47&amp;")",MOVIMIENTOS!$B47)))))))))),"")</f>
        <v>ENVÍO SUPESA cal. M</v>
      </c>
      <c r="M48" t="str">
        <f>IF(AND(AND(MOVIMIENTOS!$B47&lt;&gt;"",NOT(AND(MOVIMIENTOS!$B47="PROCESO",MOVIMIENTOS!$C47&lt;&gt;"Chancho")),NOT(AND(MOVIMIENTOS!$B47="SALDO INICIAL",MOVIMIENTOS!$C47="Chancho"))),OR(MOVIMIENTOS!$B47="SALDO INICIAL",MOVIMIENTOS!$B47="COMPRA",MOVIMIENTOS!$B47="REPROCESO",AND(MOVIMIENTOS!$B47="AJUSTE",MOVIMIENTOS!$C47&lt;&gt;"Chancho",N(MOVIMIENTOS!$F47)&gt;=0))),N(MOVIMIENTOS!$F47),"")</f>
        <v/>
      </c>
      <c r="N48">
        <f>IF(AND(AND(MOVIMIENTOS!$B47&lt;&gt;"",NOT(AND(MOVIMIENTOS!$B47="PROCESO",MOVIMIENTOS!$C47&lt;&gt;"Chancho")),NOT(AND(MOVIMIENTOS!$B47="SALDO INICIAL",MOVIMIENTOS!$C47="Chancho"))),OR(MOVIMIENTOS!$B47="ENVÍO A SUPESA",MOVIMIENTOS!$B47="MALOGRADO",MOVIMIENTOS!$B47="OTRA SALIDA",MOVIMIENTOS!$B47="TRASIEGO",AND(MOVIMIENTOS!$B47="PROCESO",MOVIMIENTOS!$C47="Chancho"),AND(MOVIMIENTOS!$B47="REGALO",MOVIMIENTOS!$C47&lt;&gt;"Chancho"),AND(MOVIMIENTOS!$B47="VENTA",MOVIMIENTOS!$C47&lt;&gt;"Chancho"),AND(MOVIMIENTOS!$B47="AJUSTE",MOVIMIENTOS!$C47&lt;&gt;"Chancho",N(MOVIMIENTOS!$F47)&lt;0))),IF(MOVIMIENTOS!$B47="AJUSTE",-N(MOVIMIENTOS!$F47),N(MOVIMIENTOS!$F47)),"")</f>
        <v>1615</v>
      </c>
      <c r="O48" t="str">
        <f>IF(AND(MOVIMIENTOS!$B47&lt;&gt;"",NOT(AND(MOVIMIENTOS!$B47="PROCESO",MOVIMIENTOS!$C47&lt;&gt;"Chancho")),NOT(AND(MOVIMIENTOS!$B47="SALDO INICIAL",MOVIMIENTOS!$C47="Chancho"))),TRIM(IF(MOVIMIENTOS!$G47&lt;&gt;"",IF(MOVIMIENTOS!$B47="ENVÍO A SUPESA","G-"&amp;MOVIMIENTOS!$G47,MOVIMIENTOS!$G47)&amp;"  ","")&amp;IF(N(MOVIMIENTOS!$E47)&gt;0,MOVIMIENTOS!$E47&amp;" "&amp;MOVIMIENTOS!$D47,"")),"")</f>
        <v>G-2986 95 jabas</v>
      </c>
      <c r="P48">
        <f t="shared" si="6"/>
        <v>1062</v>
      </c>
    </row>
    <row r="49" spans="1:16" x14ac:dyDescent="0.2">
      <c r="A49" s="7">
        <f t="shared" si="0"/>
        <v>46221</v>
      </c>
      <c r="B49" s="8" t="str">
        <f t="shared" si="1"/>
        <v>ENVÍO SUPESA cal. P</v>
      </c>
      <c r="C49" s="9" t="str">
        <f t="shared" si="2"/>
        <v/>
      </c>
      <c r="D49" s="9">
        <f t="shared" si="3"/>
        <v>72</v>
      </c>
      <c r="E49" s="8" t="str">
        <f t="shared" si="4"/>
        <v>G-2996 4 jabas</v>
      </c>
      <c r="F49" s="9">
        <f t="shared" si="5"/>
        <v>1820</v>
      </c>
      <c r="J49">
        <f>IF(AND(MOVIMIENTOS!$B48&lt;&gt;"",NOT(AND(MOVIMIENTOS!$B48="PROCESO",MOVIMIENTOS!$C48&lt;&gt;"Chancho")),NOT(AND(MOVIMIENTOS!$B48="SALDO INICIAL",MOVIMIENTOS!$C48="Chancho"))),COUNT(J$5:J48)+1,"")</f>
        <v>27</v>
      </c>
      <c r="K49" s="10">
        <f>IF(AND(MOVIMIENTOS!$B48&lt;&gt;"",NOT(AND(MOVIMIENTOS!$B48="PROCESO",MOVIMIENTOS!$C48&lt;&gt;"Chancho")),NOT(AND(MOVIMIENTOS!$B48="SALDO INICIAL",MOVIMIENTOS!$C48="Chancho"))),MOVIMIENTOS!$A48,"")</f>
        <v>46218</v>
      </c>
      <c r="L49" t="str">
        <f>IF(AND(MOVIMIENTOS!$B48&lt;&gt;"",NOT(AND(MOVIMIENTOS!$B48="PROCESO",MOVIMIENTOS!$C48&lt;&gt;"Chancho")),NOT(AND(MOVIMIENTOS!$B48="SALDO INICIAL",MOVIMIENTOS!$C48="Chancho"))),IF(MOVIMIENTOS!$B48="SALDO INICIAL","APERTURA ("&amp;MOVIMIENTOS!$C48&amp;")",IF(MOVIMIENTOS!$B48="COMPRA","INGRESO (compra)",IF(MOVIMIENTOS!$B48="PROCESO","CHANCHO (proceso)",IF(MOVIMIENTOS!$B48="ENVÍO A SUPESA","ENVÍO SUPESA cal. "&amp;MOVIMIENTOS!$C48,IF(MOVIMIENTOS!$B48="VENTA CHANCHO","VENTA CHANCHO",IF(MOVIMIENTOS!$B48="DEVOLUCIÓN","DEVOLUCIÓN cal. "&amp;MOVIMIENTOS!$C48,IF(MOVIMIENTOS!$B48="TRASIEGO","TRASIEGO cal. "&amp;MOVIMIENTOS!$C48,IF(MOVIMIENTOS!$B48="REGALO","REGALO "&amp;MOVIMIENTOS!$C48,IF(MOVIMIENTOS!$B48="VENTA","VENTA "&amp;MOVIMIENTOS!$C48,IF(MOVIMIENTOS!$B48="AJUSTE","AJUSTE inventario ("&amp;MOVIMIENTOS!$C48&amp;")",MOVIMIENTOS!$B48)))))))))),"")</f>
        <v>VENTA CHANCHO</v>
      </c>
      <c r="M49" t="str">
        <f>IF(AND(AND(MOVIMIENTOS!$B48&lt;&gt;"",NOT(AND(MOVIMIENTOS!$B48="PROCESO",MOVIMIENTOS!$C48&lt;&gt;"Chancho")),NOT(AND(MOVIMIENTOS!$B48="SALDO INICIAL",MOVIMIENTOS!$C48="Chancho"))),OR(MOVIMIENTOS!$B48="SALDO INICIAL",MOVIMIENTOS!$B48="COMPRA",MOVIMIENTOS!$B48="REPROCESO",AND(MOVIMIENTOS!$B48="AJUSTE",MOVIMIENTOS!$C48&lt;&gt;"Chancho",N(MOVIMIENTOS!$F48)&gt;=0))),N(MOVIMIENTOS!$F48),"")</f>
        <v/>
      </c>
      <c r="N49" t="str">
        <f>IF(AND(AND(MOVIMIENTOS!$B48&lt;&gt;"",NOT(AND(MOVIMIENTOS!$B48="PROCESO",MOVIMIENTOS!$C48&lt;&gt;"Chancho")),NOT(AND(MOVIMIENTOS!$B48="SALDO INICIAL",MOVIMIENTOS!$C48="Chancho"))),OR(MOVIMIENTOS!$B48="ENVÍO A SUPESA",MOVIMIENTOS!$B48="MALOGRADO",MOVIMIENTOS!$B48="OTRA SALIDA",MOVIMIENTOS!$B48="TRASIEGO",AND(MOVIMIENTOS!$B48="PROCESO",MOVIMIENTOS!$C48="Chancho"),AND(MOVIMIENTOS!$B48="REGALO",MOVIMIENTOS!$C48&lt;&gt;"Chancho"),AND(MOVIMIENTOS!$B48="VENTA",MOVIMIENTOS!$C48&lt;&gt;"Chancho"),AND(MOVIMIENTOS!$B48="AJUSTE",MOVIMIENTOS!$C48&lt;&gt;"Chancho",N(MOVIMIENTOS!$F48)&lt;0))),IF(MOVIMIENTOS!$B48="AJUSTE",-N(MOVIMIENTOS!$F48),N(MOVIMIENTOS!$F48)),"")</f>
        <v/>
      </c>
      <c r="O49" t="str">
        <f>IF(AND(MOVIMIENTOS!$B48&lt;&gt;"",NOT(AND(MOVIMIENTOS!$B48="PROCESO",MOVIMIENTOS!$C48&lt;&gt;"Chancho")),NOT(AND(MOVIMIENTOS!$B48="SALDO INICIAL",MOVIMIENTOS!$C48="Chancho"))),TRIM(IF(MOVIMIENTOS!$G48&lt;&gt;"",IF(MOVIMIENTOS!$B48="ENVÍO A SUPESA","G-"&amp;MOVIMIENTOS!$G48,MOVIMIENTOS!$G48)&amp;"  ","")&amp;IF(N(MOVIMIENTOS!$E48)&gt;0,MOVIMIENTOS!$E48&amp;" "&amp;MOVIMIENTOS!$D48,"")),"")</f>
        <v>TCK002-724 35 sacos</v>
      </c>
      <c r="P49">
        <f t="shared" si="6"/>
        <v>1062</v>
      </c>
    </row>
    <row r="50" spans="1:16" x14ac:dyDescent="0.2">
      <c r="A50" s="7">
        <f t="shared" si="0"/>
        <v>46221</v>
      </c>
      <c r="B50" s="8" t="str">
        <f t="shared" si="1"/>
        <v>ENVÍO SUPESA cal. C</v>
      </c>
      <c r="C50" s="9" t="str">
        <f t="shared" si="2"/>
        <v/>
      </c>
      <c r="D50" s="9">
        <f t="shared" si="3"/>
        <v>153</v>
      </c>
      <c r="E50" s="8" t="str">
        <f t="shared" si="4"/>
        <v>G-2996 9 jabas</v>
      </c>
      <c r="F50" s="9">
        <f t="shared" si="5"/>
        <v>1667</v>
      </c>
      <c r="J50">
        <f>IF(AND(MOVIMIENTOS!$B49&lt;&gt;"",NOT(AND(MOVIMIENTOS!$B49="PROCESO",MOVIMIENTOS!$C49&lt;&gt;"Chancho")),NOT(AND(MOVIMIENTOS!$B49="SALDO INICIAL",MOVIMIENTOS!$C49="Chancho"))),COUNT(J$5:J49)+1,"")</f>
        <v>28</v>
      </c>
      <c r="K50" s="10">
        <f>IF(AND(MOVIMIENTOS!$B49&lt;&gt;"",NOT(AND(MOVIMIENTOS!$B49="PROCESO",MOVIMIENTOS!$C49&lt;&gt;"Chancho")),NOT(AND(MOVIMIENTOS!$B49="SALDO INICIAL",MOVIMIENTOS!$C49="Chancho"))),MOVIMIENTOS!$A49,"")</f>
        <v>46219</v>
      </c>
      <c r="L50" t="str">
        <f>IF(AND(MOVIMIENTOS!$B49&lt;&gt;"",NOT(AND(MOVIMIENTOS!$B49="PROCESO",MOVIMIENTOS!$C49&lt;&gt;"Chancho")),NOT(AND(MOVIMIENTOS!$B49="SALDO INICIAL",MOVIMIENTOS!$C49="Chancho"))),IF(MOVIMIENTOS!$B49="SALDO INICIAL","APERTURA ("&amp;MOVIMIENTOS!$C49&amp;")",IF(MOVIMIENTOS!$B49="COMPRA","INGRESO (compra)",IF(MOVIMIENTOS!$B49="PROCESO","CHANCHO (proceso)",IF(MOVIMIENTOS!$B49="ENVÍO A SUPESA","ENVÍO SUPESA cal. "&amp;MOVIMIENTOS!$C49,IF(MOVIMIENTOS!$B49="VENTA CHANCHO","VENTA CHANCHO",IF(MOVIMIENTOS!$B49="DEVOLUCIÓN","DEVOLUCIÓN cal. "&amp;MOVIMIENTOS!$C49,IF(MOVIMIENTOS!$B49="TRASIEGO","TRASIEGO cal. "&amp;MOVIMIENTOS!$C49,IF(MOVIMIENTOS!$B49="REGALO","REGALO "&amp;MOVIMIENTOS!$C49,IF(MOVIMIENTOS!$B49="VENTA","VENTA "&amp;MOVIMIENTOS!$C49,IF(MOVIMIENTOS!$B49="AJUSTE","AJUSTE inventario ("&amp;MOVIMIENTOS!$C49&amp;")",MOVIMIENTOS!$B49)))))))))),"")</f>
        <v>INGRESO (compra)</v>
      </c>
      <c r="M50">
        <f>IF(AND(AND(MOVIMIENTOS!$B49&lt;&gt;"",NOT(AND(MOVIMIENTOS!$B49="PROCESO",MOVIMIENTOS!$C49&lt;&gt;"Chancho")),NOT(AND(MOVIMIENTOS!$B49="SALDO INICIAL",MOVIMIENTOS!$C49="Chancho"))),OR(MOVIMIENTOS!$B49="SALDO INICIAL",MOVIMIENTOS!$B49="COMPRA",MOVIMIENTOS!$B49="REPROCESO",AND(MOVIMIENTOS!$B49="AJUSTE",MOVIMIENTOS!$C49&lt;&gt;"Chancho",N(MOVIMIENTOS!$F49)&gt;=0))),N(MOVIMIENTOS!$F49),"")</f>
        <v>3800</v>
      </c>
      <c r="N50" t="str">
        <f>IF(AND(AND(MOVIMIENTOS!$B49&lt;&gt;"",NOT(AND(MOVIMIENTOS!$B49="PROCESO",MOVIMIENTOS!$C49&lt;&gt;"Chancho")),NOT(AND(MOVIMIENTOS!$B49="SALDO INICIAL",MOVIMIENTOS!$C49="Chancho"))),OR(MOVIMIENTOS!$B49="ENVÍO A SUPESA",MOVIMIENTOS!$B49="MALOGRADO",MOVIMIENTOS!$B49="OTRA SALIDA",MOVIMIENTOS!$B49="TRASIEGO",AND(MOVIMIENTOS!$B49="PROCESO",MOVIMIENTOS!$C49="Chancho"),AND(MOVIMIENTOS!$B49="REGALO",MOVIMIENTOS!$C49&lt;&gt;"Chancho"),AND(MOVIMIENTOS!$B49="VENTA",MOVIMIENTOS!$C49&lt;&gt;"Chancho"),AND(MOVIMIENTOS!$B49="AJUSTE",MOVIMIENTOS!$C49&lt;&gt;"Chancho",N(MOVIMIENTOS!$F49)&lt;0))),IF(MOVIMIENTOS!$B49="AJUSTE",-N(MOVIMIENTOS!$F49),N(MOVIMIENTOS!$F49)),"")</f>
        <v/>
      </c>
      <c r="O50" t="str">
        <f>IF(AND(MOVIMIENTOS!$B49&lt;&gt;"",NOT(AND(MOVIMIENTOS!$B49="PROCESO",MOVIMIENTOS!$C49&lt;&gt;"Chancho")),NOT(AND(MOVIMIENTOS!$B49="SALDO INICIAL",MOVIMIENTOS!$C49="Chancho"))),TRIM(IF(MOVIMIENTOS!$G49&lt;&gt;"",IF(MOVIMIENTOS!$B49="ENVÍO A SUPESA","G-"&amp;MOVIMIENTOS!$G49,MOVIMIENTOS!$G49)&amp;"  ","")&amp;IF(N(MOVIMIENTOS!$E49)&gt;0,MOVIMIENTOS!$E49&amp;" "&amp;MOVIMIENTOS!$D49,"")),"")</f>
        <v>40 sacos</v>
      </c>
      <c r="P50">
        <f t="shared" si="6"/>
        <v>4862</v>
      </c>
    </row>
    <row r="51" spans="1:16" x14ac:dyDescent="0.2">
      <c r="A51" s="7">
        <f t="shared" si="0"/>
        <v>46221</v>
      </c>
      <c r="B51" s="8" t="str">
        <f t="shared" si="1"/>
        <v>ENVÍO SUPESA cal. M</v>
      </c>
      <c r="C51" s="9" t="str">
        <f t="shared" si="2"/>
        <v/>
      </c>
      <c r="D51" s="9">
        <f t="shared" si="3"/>
        <v>1938</v>
      </c>
      <c r="E51" s="8" t="str">
        <f t="shared" si="4"/>
        <v>G-2996 114 jabas</v>
      </c>
      <c r="F51" s="9">
        <f t="shared" si="5"/>
        <v>-271</v>
      </c>
      <c r="J51" t="str">
        <f>IF(AND(MOVIMIENTOS!$B50&lt;&gt;"",NOT(AND(MOVIMIENTOS!$B50="PROCESO",MOVIMIENTOS!$C50&lt;&gt;"Chancho")),NOT(AND(MOVIMIENTOS!$B50="SALDO INICIAL",MOVIMIENTOS!$C50="Chancho"))),COUNT(J$5:J50)+1,"")</f>
        <v/>
      </c>
      <c r="K51" t="str">
        <f>IF(AND(MOVIMIENTOS!$B50&lt;&gt;"",NOT(AND(MOVIMIENTOS!$B50="PROCESO",MOVIMIENTOS!$C50&lt;&gt;"Chancho")),NOT(AND(MOVIMIENTOS!$B50="SALDO INICIAL",MOVIMIENTOS!$C50="Chancho"))),MOVIMIENTOS!$A50,"")</f>
        <v/>
      </c>
      <c r="L51" t="str">
        <f>IF(AND(MOVIMIENTOS!$B50&lt;&gt;"",NOT(AND(MOVIMIENTOS!$B50="PROCESO",MOVIMIENTOS!$C50&lt;&gt;"Chancho")),NOT(AND(MOVIMIENTOS!$B50="SALDO INICIAL",MOVIMIENTOS!$C50="Chancho"))),IF(MOVIMIENTOS!$B50="SALDO INICIAL","APERTURA ("&amp;MOVIMIENTOS!$C50&amp;")",IF(MOVIMIENTOS!$B50="COMPRA","INGRESO (compra)",IF(MOVIMIENTOS!$B50="PROCESO","CHANCHO (proceso)",IF(MOVIMIENTOS!$B50="ENVÍO A SUPESA","ENVÍO SUPESA cal. "&amp;MOVIMIENTOS!$C50,IF(MOVIMIENTOS!$B50="VENTA CHANCHO","VENTA CHANCHO",IF(MOVIMIENTOS!$B50="DEVOLUCIÓN","DEVOLUCIÓN cal. "&amp;MOVIMIENTOS!$C50,IF(MOVIMIENTOS!$B50="TRASIEGO","TRASIEGO cal. "&amp;MOVIMIENTOS!$C50,IF(MOVIMIENTOS!$B50="REGALO","REGALO "&amp;MOVIMIENTOS!$C50,IF(MOVIMIENTOS!$B50="VENTA","VENTA "&amp;MOVIMIENTOS!$C50,IF(MOVIMIENTOS!$B50="AJUSTE","AJUSTE inventario ("&amp;MOVIMIENTOS!$C50&amp;")",MOVIMIENTOS!$B50)))))))))),"")</f>
        <v/>
      </c>
      <c r="M51" t="str">
        <f>IF(AND(AND(MOVIMIENTOS!$B50&lt;&gt;"",NOT(AND(MOVIMIENTOS!$B50="PROCESO",MOVIMIENTOS!$C50&lt;&gt;"Chancho")),NOT(AND(MOVIMIENTOS!$B50="SALDO INICIAL",MOVIMIENTOS!$C50="Chancho"))),OR(MOVIMIENTOS!$B50="SALDO INICIAL",MOVIMIENTOS!$B50="COMPRA",MOVIMIENTOS!$B50="REPROCESO",AND(MOVIMIENTOS!$B50="AJUSTE",MOVIMIENTOS!$C50&lt;&gt;"Chancho",N(MOVIMIENTOS!$F50)&gt;=0))),N(MOVIMIENTOS!$F50),"")</f>
        <v/>
      </c>
      <c r="N51" t="str">
        <f>IF(AND(AND(MOVIMIENTOS!$B50&lt;&gt;"",NOT(AND(MOVIMIENTOS!$B50="PROCESO",MOVIMIENTOS!$C50&lt;&gt;"Chancho")),NOT(AND(MOVIMIENTOS!$B50="SALDO INICIAL",MOVIMIENTOS!$C50="Chancho"))),OR(MOVIMIENTOS!$B50="ENVÍO A SUPESA",MOVIMIENTOS!$B50="MALOGRADO",MOVIMIENTOS!$B50="OTRA SALIDA",MOVIMIENTOS!$B50="TRASIEGO",AND(MOVIMIENTOS!$B50="PROCESO",MOVIMIENTOS!$C50="Chancho"),AND(MOVIMIENTOS!$B50="REGALO",MOVIMIENTOS!$C50&lt;&gt;"Chancho"),AND(MOVIMIENTOS!$B50="VENTA",MOVIMIENTOS!$C50&lt;&gt;"Chancho"),AND(MOVIMIENTOS!$B50="AJUSTE",MOVIMIENTOS!$C50&lt;&gt;"Chancho",N(MOVIMIENTOS!$F50)&lt;0))),IF(MOVIMIENTOS!$B50="AJUSTE",-N(MOVIMIENTOS!$F50),N(MOVIMIENTOS!$F50)),"")</f>
        <v/>
      </c>
      <c r="O51" t="str">
        <f>IF(AND(MOVIMIENTOS!$B50&lt;&gt;"",NOT(AND(MOVIMIENTOS!$B50="PROCESO",MOVIMIENTOS!$C50&lt;&gt;"Chancho")),NOT(AND(MOVIMIENTOS!$B50="SALDO INICIAL",MOVIMIENTOS!$C50="Chancho"))),TRIM(IF(MOVIMIENTOS!$G50&lt;&gt;"",IF(MOVIMIENTOS!$B50="ENVÍO A SUPESA","G-"&amp;MOVIMIENTOS!$G50,MOVIMIENTOS!$G50)&amp;"  ","")&amp;IF(N(MOVIMIENTOS!$E50)&gt;0,MOVIMIENTOS!$E50&amp;" "&amp;MOVIMIENTOS!$D50,"")),"")</f>
        <v/>
      </c>
      <c r="P51">
        <f t="shared" si="6"/>
        <v>4862</v>
      </c>
    </row>
    <row r="52" spans="1:16" x14ac:dyDescent="0.2">
      <c r="A52" s="7">
        <f t="shared" si="0"/>
        <v>46221</v>
      </c>
      <c r="B52" s="8" t="str">
        <f t="shared" si="1"/>
        <v>TRASIEGO cal. A</v>
      </c>
      <c r="C52" s="9" t="str">
        <f t="shared" si="2"/>
        <v/>
      </c>
      <c r="D52" s="9">
        <f t="shared" si="3"/>
        <v>15</v>
      </c>
      <c r="E52" s="8" t="str">
        <f t="shared" si="4"/>
        <v>1 jabas</v>
      </c>
      <c r="F52" s="9">
        <f t="shared" si="5"/>
        <v>-286</v>
      </c>
      <c r="J52" t="str">
        <f>IF(AND(MOVIMIENTOS!$B51&lt;&gt;"",NOT(AND(MOVIMIENTOS!$B51="PROCESO",MOVIMIENTOS!$C51&lt;&gt;"Chancho")),NOT(AND(MOVIMIENTOS!$B51="SALDO INICIAL",MOVIMIENTOS!$C51="Chancho"))),COUNT(J$5:J51)+1,"")</f>
        <v/>
      </c>
      <c r="K52" t="str">
        <f>IF(AND(MOVIMIENTOS!$B51&lt;&gt;"",NOT(AND(MOVIMIENTOS!$B51="PROCESO",MOVIMIENTOS!$C51&lt;&gt;"Chancho")),NOT(AND(MOVIMIENTOS!$B51="SALDO INICIAL",MOVIMIENTOS!$C51="Chancho"))),MOVIMIENTOS!$A51,"")</f>
        <v/>
      </c>
      <c r="L52" t="str">
        <f>IF(AND(MOVIMIENTOS!$B51&lt;&gt;"",NOT(AND(MOVIMIENTOS!$B51="PROCESO",MOVIMIENTOS!$C51&lt;&gt;"Chancho")),NOT(AND(MOVIMIENTOS!$B51="SALDO INICIAL",MOVIMIENTOS!$C51="Chancho"))),IF(MOVIMIENTOS!$B51="SALDO INICIAL","APERTURA ("&amp;MOVIMIENTOS!$C51&amp;")",IF(MOVIMIENTOS!$B51="COMPRA","INGRESO (compra)",IF(MOVIMIENTOS!$B51="PROCESO","CHANCHO (proceso)",IF(MOVIMIENTOS!$B51="ENVÍO A SUPESA","ENVÍO SUPESA cal. "&amp;MOVIMIENTOS!$C51,IF(MOVIMIENTOS!$B51="VENTA CHANCHO","VENTA CHANCHO",IF(MOVIMIENTOS!$B51="DEVOLUCIÓN","DEVOLUCIÓN cal. "&amp;MOVIMIENTOS!$C51,IF(MOVIMIENTOS!$B51="TRASIEGO","TRASIEGO cal. "&amp;MOVIMIENTOS!$C51,IF(MOVIMIENTOS!$B51="REGALO","REGALO "&amp;MOVIMIENTOS!$C51,IF(MOVIMIENTOS!$B51="VENTA","VENTA "&amp;MOVIMIENTOS!$C51,IF(MOVIMIENTOS!$B51="AJUSTE","AJUSTE inventario ("&amp;MOVIMIENTOS!$C51&amp;")",MOVIMIENTOS!$B51)))))))))),"")</f>
        <v/>
      </c>
      <c r="M52" t="str">
        <f>IF(AND(AND(MOVIMIENTOS!$B51&lt;&gt;"",NOT(AND(MOVIMIENTOS!$B51="PROCESO",MOVIMIENTOS!$C51&lt;&gt;"Chancho")),NOT(AND(MOVIMIENTOS!$B51="SALDO INICIAL",MOVIMIENTOS!$C51="Chancho"))),OR(MOVIMIENTOS!$B51="SALDO INICIAL",MOVIMIENTOS!$B51="COMPRA",MOVIMIENTOS!$B51="REPROCESO",AND(MOVIMIENTOS!$B51="AJUSTE",MOVIMIENTOS!$C51&lt;&gt;"Chancho",N(MOVIMIENTOS!$F51)&gt;=0))),N(MOVIMIENTOS!$F51),"")</f>
        <v/>
      </c>
      <c r="N52" t="str">
        <f>IF(AND(AND(MOVIMIENTOS!$B51&lt;&gt;"",NOT(AND(MOVIMIENTOS!$B51="PROCESO",MOVIMIENTOS!$C51&lt;&gt;"Chancho")),NOT(AND(MOVIMIENTOS!$B51="SALDO INICIAL",MOVIMIENTOS!$C51="Chancho"))),OR(MOVIMIENTOS!$B51="ENVÍO A SUPESA",MOVIMIENTOS!$B51="MALOGRADO",MOVIMIENTOS!$B51="OTRA SALIDA",MOVIMIENTOS!$B51="TRASIEGO",AND(MOVIMIENTOS!$B51="PROCESO",MOVIMIENTOS!$C51="Chancho"),AND(MOVIMIENTOS!$B51="REGALO",MOVIMIENTOS!$C51&lt;&gt;"Chancho"),AND(MOVIMIENTOS!$B51="VENTA",MOVIMIENTOS!$C51&lt;&gt;"Chancho"),AND(MOVIMIENTOS!$B51="AJUSTE",MOVIMIENTOS!$C51&lt;&gt;"Chancho",N(MOVIMIENTOS!$F51)&lt;0))),IF(MOVIMIENTOS!$B51="AJUSTE",-N(MOVIMIENTOS!$F51),N(MOVIMIENTOS!$F51)),"")</f>
        <v/>
      </c>
      <c r="O52" t="str">
        <f>IF(AND(MOVIMIENTOS!$B51&lt;&gt;"",NOT(AND(MOVIMIENTOS!$B51="PROCESO",MOVIMIENTOS!$C51&lt;&gt;"Chancho")),NOT(AND(MOVIMIENTOS!$B51="SALDO INICIAL",MOVIMIENTOS!$C51="Chancho"))),TRIM(IF(MOVIMIENTOS!$G51&lt;&gt;"",IF(MOVIMIENTOS!$B51="ENVÍO A SUPESA","G-"&amp;MOVIMIENTOS!$G51,MOVIMIENTOS!$G51)&amp;"  ","")&amp;IF(N(MOVIMIENTOS!$E51)&gt;0,MOVIMIENTOS!$E51&amp;" "&amp;MOVIMIENTOS!$D51,"")),"")</f>
        <v/>
      </c>
      <c r="P52">
        <f t="shared" si="6"/>
        <v>4862</v>
      </c>
    </row>
    <row r="53" spans="1:16" x14ac:dyDescent="0.2">
      <c r="A53" s="7">
        <f t="shared" si="0"/>
        <v>46222</v>
      </c>
      <c r="B53" s="8" t="str">
        <f t="shared" si="1"/>
        <v>INGRESO (compra)</v>
      </c>
      <c r="C53" s="9">
        <f t="shared" si="2"/>
        <v>4750</v>
      </c>
      <c r="D53" s="9" t="str">
        <f t="shared" si="3"/>
        <v/>
      </c>
      <c r="E53" s="8" t="str">
        <f t="shared" si="4"/>
        <v>50 sacos</v>
      </c>
      <c r="F53" s="9">
        <f t="shared" si="5"/>
        <v>4464</v>
      </c>
      <c r="J53" t="str">
        <f>IF(AND(MOVIMIENTOS!$B52&lt;&gt;"",NOT(AND(MOVIMIENTOS!$B52="PROCESO",MOVIMIENTOS!$C52&lt;&gt;"Chancho")),NOT(AND(MOVIMIENTOS!$B52="SALDO INICIAL",MOVIMIENTOS!$C52="Chancho"))),COUNT(J$5:J52)+1,"")</f>
        <v/>
      </c>
      <c r="K53" t="str">
        <f>IF(AND(MOVIMIENTOS!$B52&lt;&gt;"",NOT(AND(MOVIMIENTOS!$B52="PROCESO",MOVIMIENTOS!$C52&lt;&gt;"Chancho")),NOT(AND(MOVIMIENTOS!$B52="SALDO INICIAL",MOVIMIENTOS!$C52="Chancho"))),MOVIMIENTOS!$A52,"")</f>
        <v/>
      </c>
      <c r="L53" t="str">
        <f>IF(AND(MOVIMIENTOS!$B52&lt;&gt;"",NOT(AND(MOVIMIENTOS!$B52="PROCESO",MOVIMIENTOS!$C52&lt;&gt;"Chancho")),NOT(AND(MOVIMIENTOS!$B52="SALDO INICIAL",MOVIMIENTOS!$C52="Chancho"))),IF(MOVIMIENTOS!$B52="SALDO INICIAL","APERTURA ("&amp;MOVIMIENTOS!$C52&amp;")",IF(MOVIMIENTOS!$B52="COMPRA","INGRESO (compra)",IF(MOVIMIENTOS!$B52="PROCESO","CHANCHO (proceso)",IF(MOVIMIENTOS!$B52="ENVÍO A SUPESA","ENVÍO SUPESA cal. "&amp;MOVIMIENTOS!$C52,IF(MOVIMIENTOS!$B52="VENTA CHANCHO","VENTA CHANCHO",IF(MOVIMIENTOS!$B52="DEVOLUCIÓN","DEVOLUCIÓN cal. "&amp;MOVIMIENTOS!$C52,IF(MOVIMIENTOS!$B52="TRASIEGO","TRASIEGO cal. "&amp;MOVIMIENTOS!$C52,IF(MOVIMIENTOS!$B52="REGALO","REGALO "&amp;MOVIMIENTOS!$C52,IF(MOVIMIENTOS!$B52="VENTA","VENTA "&amp;MOVIMIENTOS!$C52,IF(MOVIMIENTOS!$B52="AJUSTE","AJUSTE inventario ("&amp;MOVIMIENTOS!$C52&amp;")",MOVIMIENTOS!$B52)))))))))),"")</f>
        <v/>
      </c>
      <c r="M53" t="str">
        <f>IF(AND(AND(MOVIMIENTOS!$B52&lt;&gt;"",NOT(AND(MOVIMIENTOS!$B52="PROCESO",MOVIMIENTOS!$C52&lt;&gt;"Chancho")),NOT(AND(MOVIMIENTOS!$B52="SALDO INICIAL",MOVIMIENTOS!$C52="Chancho"))),OR(MOVIMIENTOS!$B52="SALDO INICIAL",MOVIMIENTOS!$B52="COMPRA",MOVIMIENTOS!$B52="REPROCESO",AND(MOVIMIENTOS!$B52="AJUSTE",MOVIMIENTOS!$C52&lt;&gt;"Chancho",N(MOVIMIENTOS!$F52)&gt;=0))),N(MOVIMIENTOS!$F52),"")</f>
        <v/>
      </c>
      <c r="N53" t="str">
        <f>IF(AND(AND(MOVIMIENTOS!$B52&lt;&gt;"",NOT(AND(MOVIMIENTOS!$B52="PROCESO",MOVIMIENTOS!$C52&lt;&gt;"Chancho")),NOT(AND(MOVIMIENTOS!$B52="SALDO INICIAL",MOVIMIENTOS!$C52="Chancho"))),OR(MOVIMIENTOS!$B52="ENVÍO A SUPESA",MOVIMIENTOS!$B52="MALOGRADO",MOVIMIENTOS!$B52="OTRA SALIDA",MOVIMIENTOS!$B52="TRASIEGO",AND(MOVIMIENTOS!$B52="PROCESO",MOVIMIENTOS!$C52="Chancho"),AND(MOVIMIENTOS!$B52="REGALO",MOVIMIENTOS!$C52&lt;&gt;"Chancho"),AND(MOVIMIENTOS!$B52="VENTA",MOVIMIENTOS!$C52&lt;&gt;"Chancho"),AND(MOVIMIENTOS!$B52="AJUSTE",MOVIMIENTOS!$C52&lt;&gt;"Chancho",N(MOVIMIENTOS!$F52)&lt;0))),IF(MOVIMIENTOS!$B52="AJUSTE",-N(MOVIMIENTOS!$F52),N(MOVIMIENTOS!$F52)),"")</f>
        <v/>
      </c>
      <c r="O53" t="str">
        <f>IF(AND(MOVIMIENTOS!$B52&lt;&gt;"",NOT(AND(MOVIMIENTOS!$B52="PROCESO",MOVIMIENTOS!$C52&lt;&gt;"Chancho")),NOT(AND(MOVIMIENTOS!$B52="SALDO INICIAL",MOVIMIENTOS!$C52="Chancho"))),TRIM(IF(MOVIMIENTOS!$G52&lt;&gt;"",IF(MOVIMIENTOS!$B52="ENVÍO A SUPESA","G-"&amp;MOVIMIENTOS!$G52,MOVIMIENTOS!$G52)&amp;"  ","")&amp;IF(N(MOVIMIENTOS!$E52)&gt;0,MOVIMIENTOS!$E52&amp;" "&amp;MOVIMIENTOS!$D52,"")),"")</f>
        <v/>
      </c>
      <c r="P53">
        <f t="shared" si="6"/>
        <v>4862</v>
      </c>
    </row>
    <row r="54" spans="1:16" x14ac:dyDescent="0.2">
      <c r="A54" s="7">
        <f t="shared" si="0"/>
        <v>46222</v>
      </c>
      <c r="B54" s="8" t="str">
        <f t="shared" si="1"/>
        <v>CHANCHO (proceso)</v>
      </c>
      <c r="C54" s="9" t="str">
        <f t="shared" si="2"/>
        <v/>
      </c>
      <c r="D54" s="9">
        <f t="shared" si="3"/>
        <v>1282.5</v>
      </c>
      <c r="E54" s="8" t="str">
        <f t="shared" si="4"/>
        <v>13.5 sacos</v>
      </c>
      <c r="F54" s="9">
        <f t="shared" si="5"/>
        <v>3181.5</v>
      </c>
      <c r="J54" t="str">
        <f>IF(AND(MOVIMIENTOS!$B53&lt;&gt;"",NOT(AND(MOVIMIENTOS!$B53="PROCESO",MOVIMIENTOS!$C53&lt;&gt;"Chancho")),NOT(AND(MOVIMIENTOS!$B53="SALDO INICIAL",MOVIMIENTOS!$C53="Chancho"))),COUNT(J$5:J53)+1,"")</f>
        <v/>
      </c>
      <c r="K54" t="str">
        <f>IF(AND(MOVIMIENTOS!$B53&lt;&gt;"",NOT(AND(MOVIMIENTOS!$B53="PROCESO",MOVIMIENTOS!$C53&lt;&gt;"Chancho")),NOT(AND(MOVIMIENTOS!$B53="SALDO INICIAL",MOVIMIENTOS!$C53="Chancho"))),MOVIMIENTOS!$A53,"")</f>
        <v/>
      </c>
      <c r="L54" t="str">
        <f>IF(AND(MOVIMIENTOS!$B53&lt;&gt;"",NOT(AND(MOVIMIENTOS!$B53="PROCESO",MOVIMIENTOS!$C53&lt;&gt;"Chancho")),NOT(AND(MOVIMIENTOS!$B53="SALDO INICIAL",MOVIMIENTOS!$C53="Chancho"))),IF(MOVIMIENTOS!$B53="SALDO INICIAL","APERTURA ("&amp;MOVIMIENTOS!$C53&amp;")",IF(MOVIMIENTOS!$B53="COMPRA","INGRESO (compra)",IF(MOVIMIENTOS!$B53="PROCESO","CHANCHO (proceso)",IF(MOVIMIENTOS!$B53="ENVÍO A SUPESA","ENVÍO SUPESA cal. "&amp;MOVIMIENTOS!$C53,IF(MOVIMIENTOS!$B53="VENTA CHANCHO","VENTA CHANCHO",IF(MOVIMIENTOS!$B53="DEVOLUCIÓN","DEVOLUCIÓN cal. "&amp;MOVIMIENTOS!$C53,IF(MOVIMIENTOS!$B53="TRASIEGO","TRASIEGO cal. "&amp;MOVIMIENTOS!$C53,IF(MOVIMIENTOS!$B53="REGALO","REGALO "&amp;MOVIMIENTOS!$C53,IF(MOVIMIENTOS!$B53="VENTA","VENTA "&amp;MOVIMIENTOS!$C53,IF(MOVIMIENTOS!$B53="AJUSTE","AJUSTE inventario ("&amp;MOVIMIENTOS!$C53&amp;")",MOVIMIENTOS!$B53)))))))))),"")</f>
        <v/>
      </c>
      <c r="M54" t="str">
        <f>IF(AND(AND(MOVIMIENTOS!$B53&lt;&gt;"",NOT(AND(MOVIMIENTOS!$B53="PROCESO",MOVIMIENTOS!$C53&lt;&gt;"Chancho")),NOT(AND(MOVIMIENTOS!$B53="SALDO INICIAL",MOVIMIENTOS!$C53="Chancho"))),OR(MOVIMIENTOS!$B53="SALDO INICIAL",MOVIMIENTOS!$B53="COMPRA",MOVIMIENTOS!$B53="REPROCESO",AND(MOVIMIENTOS!$B53="AJUSTE",MOVIMIENTOS!$C53&lt;&gt;"Chancho",N(MOVIMIENTOS!$F53)&gt;=0))),N(MOVIMIENTOS!$F53),"")</f>
        <v/>
      </c>
      <c r="N54" t="str">
        <f>IF(AND(AND(MOVIMIENTOS!$B53&lt;&gt;"",NOT(AND(MOVIMIENTOS!$B53="PROCESO",MOVIMIENTOS!$C53&lt;&gt;"Chancho")),NOT(AND(MOVIMIENTOS!$B53="SALDO INICIAL",MOVIMIENTOS!$C53="Chancho"))),OR(MOVIMIENTOS!$B53="ENVÍO A SUPESA",MOVIMIENTOS!$B53="MALOGRADO",MOVIMIENTOS!$B53="OTRA SALIDA",MOVIMIENTOS!$B53="TRASIEGO",AND(MOVIMIENTOS!$B53="PROCESO",MOVIMIENTOS!$C53="Chancho"),AND(MOVIMIENTOS!$B53="REGALO",MOVIMIENTOS!$C53&lt;&gt;"Chancho"),AND(MOVIMIENTOS!$B53="VENTA",MOVIMIENTOS!$C53&lt;&gt;"Chancho"),AND(MOVIMIENTOS!$B53="AJUSTE",MOVIMIENTOS!$C53&lt;&gt;"Chancho",N(MOVIMIENTOS!$F53)&lt;0))),IF(MOVIMIENTOS!$B53="AJUSTE",-N(MOVIMIENTOS!$F53),N(MOVIMIENTOS!$F53)),"")</f>
        <v/>
      </c>
      <c r="O54" t="str">
        <f>IF(AND(MOVIMIENTOS!$B53&lt;&gt;"",NOT(AND(MOVIMIENTOS!$B53="PROCESO",MOVIMIENTOS!$C53&lt;&gt;"Chancho")),NOT(AND(MOVIMIENTOS!$B53="SALDO INICIAL",MOVIMIENTOS!$C53="Chancho"))),TRIM(IF(MOVIMIENTOS!$G53&lt;&gt;"",IF(MOVIMIENTOS!$B53="ENVÍO A SUPESA","G-"&amp;MOVIMIENTOS!$G53,MOVIMIENTOS!$G53)&amp;"  ","")&amp;IF(N(MOVIMIENTOS!$E53)&gt;0,MOVIMIENTOS!$E53&amp;" "&amp;MOVIMIENTOS!$D53,"")),"")</f>
        <v/>
      </c>
      <c r="P54">
        <f t="shared" si="6"/>
        <v>4862</v>
      </c>
    </row>
    <row r="55" spans="1:16" x14ac:dyDescent="0.2">
      <c r="A55" s="7">
        <f t="shared" si="0"/>
        <v>46222</v>
      </c>
      <c r="B55" s="8" t="str">
        <f t="shared" si="1"/>
        <v>ENVÍO SUPESA cal. A</v>
      </c>
      <c r="C55" s="9" t="str">
        <f t="shared" si="2"/>
        <v/>
      </c>
      <c r="D55" s="9">
        <f t="shared" si="3"/>
        <v>1005</v>
      </c>
      <c r="E55" s="8" t="str">
        <f t="shared" si="4"/>
        <v>G-2998 67 jabas</v>
      </c>
      <c r="F55" s="9">
        <f t="shared" si="5"/>
        <v>2176.5</v>
      </c>
      <c r="J55">
        <f>IF(AND(MOVIMIENTOS!$B54&lt;&gt;"",NOT(AND(MOVIMIENTOS!$B54="PROCESO",MOVIMIENTOS!$C54&lt;&gt;"Chancho")),NOT(AND(MOVIMIENTOS!$B54="SALDO INICIAL",MOVIMIENTOS!$C54="Chancho"))),COUNT(J$5:J54)+1,"")</f>
        <v>29</v>
      </c>
      <c r="K55" s="10">
        <f>IF(AND(MOVIMIENTOS!$B54&lt;&gt;"",NOT(AND(MOVIMIENTOS!$B54="PROCESO",MOVIMIENTOS!$C54&lt;&gt;"Chancho")),NOT(AND(MOVIMIENTOS!$B54="SALDO INICIAL",MOVIMIENTOS!$C54="Chancho"))),MOVIMIENTOS!$A54,"")</f>
        <v>46219</v>
      </c>
      <c r="L55" t="str">
        <f>IF(AND(MOVIMIENTOS!$B54&lt;&gt;"",NOT(AND(MOVIMIENTOS!$B54="PROCESO",MOVIMIENTOS!$C54&lt;&gt;"Chancho")),NOT(AND(MOVIMIENTOS!$B54="SALDO INICIAL",MOVIMIENTOS!$C54="Chancho"))),IF(MOVIMIENTOS!$B54="SALDO INICIAL","APERTURA ("&amp;MOVIMIENTOS!$C54&amp;")",IF(MOVIMIENTOS!$B54="COMPRA","INGRESO (compra)",IF(MOVIMIENTOS!$B54="PROCESO","CHANCHO (proceso)",IF(MOVIMIENTOS!$B54="ENVÍO A SUPESA","ENVÍO SUPESA cal. "&amp;MOVIMIENTOS!$C54,IF(MOVIMIENTOS!$B54="VENTA CHANCHO","VENTA CHANCHO",IF(MOVIMIENTOS!$B54="DEVOLUCIÓN","DEVOLUCIÓN cal. "&amp;MOVIMIENTOS!$C54,IF(MOVIMIENTOS!$B54="TRASIEGO","TRASIEGO cal. "&amp;MOVIMIENTOS!$C54,IF(MOVIMIENTOS!$B54="REGALO","REGALO "&amp;MOVIMIENTOS!$C54,IF(MOVIMIENTOS!$B54="VENTA","VENTA "&amp;MOVIMIENTOS!$C54,IF(MOVIMIENTOS!$B54="AJUSTE","AJUSTE inventario ("&amp;MOVIMIENTOS!$C54&amp;")",MOVIMIENTOS!$B54)))))))))),"")</f>
        <v>CHANCHO (proceso)</v>
      </c>
      <c r="M55" t="str">
        <f>IF(AND(AND(MOVIMIENTOS!$B54&lt;&gt;"",NOT(AND(MOVIMIENTOS!$B54="PROCESO",MOVIMIENTOS!$C54&lt;&gt;"Chancho")),NOT(AND(MOVIMIENTOS!$B54="SALDO INICIAL",MOVIMIENTOS!$C54="Chancho"))),OR(MOVIMIENTOS!$B54="SALDO INICIAL",MOVIMIENTOS!$B54="COMPRA",MOVIMIENTOS!$B54="REPROCESO",AND(MOVIMIENTOS!$B54="AJUSTE",MOVIMIENTOS!$C54&lt;&gt;"Chancho",N(MOVIMIENTOS!$F54)&gt;=0))),N(MOVIMIENTOS!$F54),"")</f>
        <v/>
      </c>
      <c r="N55">
        <f>IF(AND(AND(MOVIMIENTOS!$B54&lt;&gt;"",NOT(AND(MOVIMIENTOS!$B54="PROCESO",MOVIMIENTOS!$C54&lt;&gt;"Chancho")),NOT(AND(MOVIMIENTOS!$B54="SALDO INICIAL",MOVIMIENTOS!$C54="Chancho"))),OR(MOVIMIENTOS!$B54="ENVÍO A SUPESA",MOVIMIENTOS!$B54="MALOGRADO",MOVIMIENTOS!$B54="OTRA SALIDA",MOVIMIENTOS!$B54="TRASIEGO",AND(MOVIMIENTOS!$B54="PROCESO",MOVIMIENTOS!$C54="Chancho"),AND(MOVIMIENTOS!$B54="REGALO",MOVIMIENTOS!$C54&lt;&gt;"Chancho"),AND(MOVIMIENTOS!$B54="VENTA",MOVIMIENTOS!$C54&lt;&gt;"Chancho"),AND(MOVIMIENTOS!$B54="AJUSTE",MOVIMIENTOS!$C54&lt;&gt;"Chancho",N(MOVIMIENTOS!$F54)&lt;0))),IF(MOVIMIENTOS!$B54="AJUSTE",-N(MOVIMIENTOS!$F54),N(MOVIMIENTOS!$F54)),"")</f>
        <v>380</v>
      </c>
      <c r="O55" t="str">
        <f>IF(AND(MOVIMIENTOS!$B54&lt;&gt;"",NOT(AND(MOVIMIENTOS!$B54="PROCESO",MOVIMIENTOS!$C54&lt;&gt;"Chancho")),NOT(AND(MOVIMIENTOS!$B54="SALDO INICIAL",MOVIMIENTOS!$C54="Chancho"))),TRIM(IF(MOVIMIENTOS!$G54&lt;&gt;"",IF(MOVIMIENTOS!$B54="ENVÍO A SUPESA","G-"&amp;MOVIMIENTOS!$G54,MOVIMIENTOS!$G54)&amp;"  ","")&amp;IF(N(MOVIMIENTOS!$E54)&gt;0,MOVIMIENTOS!$E54&amp;" "&amp;MOVIMIENTOS!$D54,"")),"")</f>
        <v>4 sacos</v>
      </c>
      <c r="P55">
        <f t="shared" si="6"/>
        <v>4482</v>
      </c>
    </row>
    <row r="56" spans="1:16" x14ac:dyDescent="0.2">
      <c r="A56" s="7">
        <f t="shared" si="0"/>
        <v>46222</v>
      </c>
      <c r="B56" s="8" t="str">
        <f t="shared" si="1"/>
        <v>ENVÍO SUPESA cal. P</v>
      </c>
      <c r="C56" s="9" t="str">
        <f t="shared" si="2"/>
        <v/>
      </c>
      <c r="D56" s="9">
        <f t="shared" si="3"/>
        <v>198</v>
      </c>
      <c r="E56" s="8" t="str">
        <f t="shared" si="4"/>
        <v>G-2998 11 jabas</v>
      </c>
      <c r="F56" s="9">
        <f t="shared" si="5"/>
        <v>1978.5</v>
      </c>
      <c r="J56">
        <f>IF(AND(MOVIMIENTOS!$B55&lt;&gt;"",NOT(AND(MOVIMIENTOS!$B55="PROCESO",MOVIMIENTOS!$C55&lt;&gt;"Chancho")),NOT(AND(MOVIMIENTOS!$B55="SALDO INICIAL",MOVIMIENTOS!$C55="Chancho"))),COUNT(J$5:J55)+1,"")</f>
        <v>30</v>
      </c>
      <c r="K56" s="10">
        <f>IF(AND(MOVIMIENTOS!$B55&lt;&gt;"",NOT(AND(MOVIMIENTOS!$B55="PROCESO",MOVIMIENTOS!$C55&lt;&gt;"Chancho")),NOT(AND(MOVIMIENTOS!$B55="SALDO INICIAL",MOVIMIENTOS!$C55="Chancho"))),MOVIMIENTOS!$A55,"")</f>
        <v>46219</v>
      </c>
      <c r="L56" t="str">
        <f>IF(AND(MOVIMIENTOS!$B55&lt;&gt;"",NOT(AND(MOVIMIENTOS!$B55="PROCESO",MOVIMIENTOS!$C55&lt;&gt;"Chancho")),NOT(AND(MOVIMIENTOS!$B55="SALDO INICIAL",MOVIMIENTOS!$C55="Chancho"))),IF(MOVIMIENTOS!$B55="SALDO INICIAL","APERTURA ("&amp;MOVIMIENTOS!$C55&amp;")",IF(MOVIMIENTOS!$B55="COMPRA","INGRESO (compra)",IF(MOVIMIENTOS!$B55="PROCESO","CHANCHO (proceso)",IF(MOVIMIENTOS!$B55="ENVÍO A SUPESA","ENVÍO SUPESA cal. "&amp;MOVIMIENTOS!$C55,IF(MOVIMIENTOS!$B55="VENTA CHANCHO","VENTA CHANCHO",IF(MOVIMIENTOS!$B55="DEVOLUCIÓN","DEVOLUCIÓN cal. "&amp;MOVIMIENTOS!$C55,IF(MOVIMIENTOS!$B55="TRASIEGO","TRASIEGO cal. "&amp;MOVIMIENTOS!$C55,IF(MOVIMIENTOS!$B55="REGALO","REGALO "&amp;MOVIMIENTOS!$C55,IF(MOVIMIENTOS!$B55="VENTA","VENTA "&amp;MOVIMIENTOS!$C55,IF(MOVIMIENTOS!$B55="AJUSTE","AJUSTE inventario ("&amp;MOVIMIENTOS!$C55&amp;")",MOVIMIENTOS!$B55)))))))))),"")</f>
        <v>ENVÍO SUPESA cal. A</v>
      </c>
      <c r="M56" t="str">
        <f>IF(AND(AND(MOVIMIENTOS!$B55&lt;&gt;"",NOT(AND(MOVIMIENTOS!$B55="PROCESO",MOVIMIENTOS!$C55&lt;&gt;"Chancho")),NOT(AND(MOVIMIENTOS!$B55="SALDO INICIAL",MOVIMIENTOS!$C55="Chancho"))),OR(MOVIMIENTOS!$B55="SALDO INICIAL",MOVIMIENTOS!$B55="COMPRA",MOVIMIENTOS!$B55="REPROCESO",AND(MOVIMIENTOS!$B55="AJUSTE",MOVIMIENTOS!$C55&lt;&gt;"Chancho",N(MOVIMIENTOS!$F55)&gt;=0))),N(MOVIMIENTOS!$F55),"")</f>
        <v/>
      </c>
      <c r="N56">
        <f>IF(AND(AND(MOVIMIENTOS!$B55&lt;&gt;"",NOT(AND(MOVIMIENTOS!$B55="PROCESO",MOVIMIENTOS!$C55&lt;&gt;"Chancho")),NOT(AND(MOVIMIENTOS!$B55="SALDO INICIAL",MOVIMIENTOS!$C55="Chancho"))),OR(MOVIMIENTOS!$B55="ENVÍO A SUPESA",MOVIMIENTOS!$B55="MALOGRADO",MOVIMIENTOS!$B55="OTRA SALIDA",MOVIMIENTOS!$B55="TRASIEGO",AND(MOVIMIENTOS!$B55="PROCESO",MOVIMIENTOS!$C55="Chancho"),AND(MOVIMIENTOS!$B55="REGALO",MOVIMIENTOS!$C55&lt;&gt;"Chancho"),AND(MOVIMIENTOS!$B55="VENTA",MOVIMIENTOS!$C55&lt;&gt;"Chancho"),AND(MOVIMIENTOS!$B55="AJUSTE",MOVIMIENTOS!$C55&lt;&gt;"Chancho",N(MOVIMIENTOS!$F55)&lt;0))),IF(MOVIMIENTOS!$B55="AJUSTE",-N(MOVIMIENTOS!$F55),N(MOVIMIENTOS!$F55)),"")</f>
        <v>945</v>
      </c>
      <c r="O56" t="str">
        <f>IF(AND(MOVIMIENTOS!$B55&lt;&gt;"",NOT(AND(MOVIMIENTOS!$B55="PROCESO",MOVIMIENTOS!$C55&lt;&gt;"Chancho")),NOT(AND(MOVIMIENTOS!$B55="SALDO INICIAL",MOVIMIENTOS!$C55="Chancho"))),TRIM(IF(MOVIMIENTOS!$G55&lt;&gt;"",IF(MOVIMIENTOS!$B55="ENVÍO A SUPESA","G-"&amp;MOVIMIENTOS!$G55,MOVIMIENTOS!$G55)&amp;"  ","")&amp;IF(N(MOVIMIENTOS!$E55)&gt;0,MOVIMIENTOS!$E55&amp;" "&amp;MOVIMIENTOS!$D55,"")),"")</f>
        <v>G-2992 63 jabas</v>
      </c>
      <c r="P56">
        <f t="shared" si="6"/>
        <v>3537</v>
      </c>
    </row>
    <row r="57" spans="1:16" x14ac:dyDescent="0.2">
      <c r="A57" s="7">
        <f t="shared" si="0"/>
        <v>46222</v>
      </c>
      <c r="B57" s="8" t="str">
        <f t="shared" si="1"/>
        <v>ENVÍO SUPESA cal. C</v>
      </c>
      <c r="C57" s="9" t="str">
        <f t="shared" si="2"/>
        <v/>
      </c>
      <c r="D57" s="9">
        <f t="shared" si="3"/>
        <v>204</v>
      </c>
      <c r="E57" s="8" t="str">
        <f t="shared" si="4"/>
        <v>G-2998 12 jabas</v>
      </c>
      <c r="F57" s="9">
        <f t="shared" si="5"/>
        <v>1774.5</v>
      </c>
      <c r="J57">
        <f>IF(AND(MOVIMIENTOS!$B56&lt;&gt;"",NOT(AND(MOVIMIENTOS!$B56="PROCESO",MOVIMIENTOS!$C56&lt;&gt;"Chancho")),NOT(AND(MOVIMIENTOS!$B56="SALDO INICIAL",MOVIMIENTOS!$C56="Chancho"))),COUNT(J$5:J56)+1,"")</f>
        <v>31</v>
      </c>
      <c r="K57" s="10">
        <f>IF(AND(MOVIMIENTOS!$B56&lt;&gt;"",NOT(AND(MOVIMIENTOS!$B56="PROCESO",MOVIMIENTOS!$C56&lt;&gt;"Chancho")),NOT(AND(MOVIMIENTOS!$B56="SALDO INICIAL",MOVIMIENTOS!$C56="Chancho"))),MOVIMIENTOS!$A56,"")</f>
        <v>46219</v>
      </c>
      <c r="L57" t="str">
        <f>IF(AND(MOVIMIENTOS!$B56&lt;&gt;"",NOT(AND(MOVIMIENTOS!$B56="PROCESO",MOVIMIENTOS!$C56&lt;&gt;"Chancho")),NOT(AND(MOVIMIENTOS!$B56="SALDO INICIAL",MOVIMIENTOS!$C56="Chancho"))),IF(MOVIMIENTOS!$B56="SALDO INICIAL","APERTURA ("&amp;MOVIMIENTOS!$C56&amp;")",IF(MOVIMIENTOS!$B56="COMPRA","INGRESO (compra)",IF(MOVIMIENTOS!$B56="PROCESO","CHANCHO (proceso)",IF(MOVIMIENTOS!$B56="ENVÍO A SUPESA","ENVÍO SUPESA cal. "&amp;MOVIMIENTOS!$C56,IF(MOVIMIENTOS!$B56="VENTA CHANCHO","VENTA CHANCHO",IF(MOVIMIENTOS!$B56="DEVOLUCIÓN","DEVOLUCIÓN cal. "&amp;MOVIMIENTOS!$C56,IF(MOVIMIENTOS!$B56="TRASIEGO","TRASIEGO cal. "&amp;MOVIMIENTOS!$C56,IF(MOVIMIENTOS!$B56="REGALO","REGALO "&amp;MOVIMIENTOS!$C56,IF(MOVIMIENTOS!$B56="VENTA","VENTA "&amp;MOVIMIENTOS!$C56,IF(MOVIMIENTOS!$B56="AJUSTE","AJUSTE inventario ("&amp;MOVIMIENTOS!$C56&amp;")",MOVIMIENTOS!$B56)))))))))),"")</f>
        <v>ENVÍO SUPESA cal. P</v>
      </c>
      <c r="M57" t="str">
        <f>IF(AND(AND(MOVIMIENTOS!$B56&lt;&gt;"",NOT(AND(MOVIMIENTOS!$B56="PROCESO",MOVIMIENTOS!$C56&lt;&gt;"Chancho")),NOT(AND(MOVIMIENTOS!$B56="SALDO INICIAL",MOVIMIENTOS!$C56="Chancho"))),OR(MOVIMIENTOS!$B56="SALDO INICIAL",MOVIMIENTOS!$B56="COMPRA",MOVIMIENTOS!$B56="REPROCESO",AND(MOVIMIENTOS!$B56="AJUSTE",MOVIMIENTOS!$C56&lt;&gt;"Chancho",N(MOVIMIENTOS!$F56)&gt;=0))),N(MOVIMIENTOS!$F56),"")</f>
        <v/>
      </c>
      <c r="N57">
        <f>IF(AND(AND(MOVIMIENTOS!$B56&lt;&gt;"",NOT(AND(MOVIMIENTOS!$B56="PROCESO",MOVIMIENTOS!$C56&lt;&gt;"Chancho")),NOT(AND(MOVIMIENTOS!$B56="SALDO INICIAL",MOVIMIENTOS!$C56="Chancho"))),OR(MOVIMIENTOS!$B56="ENVÍO A SUPESA",MOVIMIENTOS!$B56="MALOGRADO",MOVIMIENTOS!$B56="OTRA SALIDA",MOVIMIENTOS!$B56="TRASIEGO",AND(MOVIMIENTOS!$B56="PROCESO",MOVIMIENTOS!$C56="Chancho"),AND(MOVIMIENTOS!$B56="REGALO",MOVIMIENTOS!$C56&lt;&gt;"Chancho"),AND(MOVIMIENTOS!$B56="VENTA",MOVIMIENTOS!$C56&lt;&gt;"Chancho"),AND(MOVIMIENTOS!$B56="AJUSTE",MOVIMIENTOS!$C56&lt;&gt;"Chancho",N(MOVIMIENTOS!$F56)&lt;0))),IF(MOVIMIENTOS!$B56="AJUSTE",-N(MOVIMIENTOS!$F56),N(MOVIMIENTOS!$F56)),"")</f>
        <v>198</v>
      </c>
      <c r="O57" t="str">
        <f>IF(AND(MOVIMIENTOS!$B56&lt;&gt;"",NOT(AND(MOVIMIENTOS!$B56="PROCESO",MOVIMIENTOS!$C56&lt;&gt;"Chancho")),NOT(AND(MOVIMIENTOS!$B56="SALDO INICIAL",MOVIMIENTOS!$C56="Chancho"))),TRIM(IF(MOVIMIENTOS!$G56&lt;&gt;"",IF(MOVIMIENTOS!$B56="ENVÍO A SUPESA","G-"&amp;MOVIMIENTOS!$G56,MOVIMIENTOS!$G56)&amp;"  ","")&amp;IF(N(MOVIMIENTOS!$E56)&gt;0,MOVIMIENTOS!$E56&amp;" "&amp;MOVIMIENTOS!$D56,"")),"")</f>
        <v>G-2992 11 jabas</v>
      </c>
      <c r="P57">
        <f t="shared" si="6"/>
        <v>3339</v>
      </c>
    </row>
    <row r="58" spans="1:16" x14ac:dyDescent="0.2">
      <c r="A58" s="7">
        <f t="shared" si="0"/>
        <v>46222</v>
      </c>
      <c r="B58" s="8" t="str">
        <f t="shared" si="1"/>
        <v>ENVÍO SUPESA cal. M</v>
      </c>
      <c r="C58" s="9" t="str">
        <f t="shared" si="2"/>
        <v/>
      </c>
      <c r="D58" s="9">
        <f t="shared" si="3"/>
        <v>476</v>
      </c>
      <c r="E58" s="8" t="str">
        <f t="shared" si="4"/>
        <v>G-2998 28 jabas</v>
      </c>
      <c r="F58" s="9">
        <f t="shared" si="5"/>
        <v>1298.5</v>
      </c>
      <c r="J58">
        <f>IF(AND(MOVIMIENTOS!$B57&lt;&gt;"",NOT(AND(MOVIMIENTOS!$B57="PROCESO",MOVIMIENTOS!$C57&lt;&gt;"Chancho")),NOT(AND(MOVIMIENTOS!$B57="SALDO INICIAL",MOVIMIENTOS!$C57="Chancho"))),COUNT(J$5:J57)+1,"")</f>
        <v>32</v>
      </c>
      <c r="K58" s="10">
        <f>IF(AND(MOVIMIENTOS!$B57&lt;&gt;"",NOT(AND(MOVIMIENTOS!$B57="PROCESO",MOVIMIENTOS!$C57&lt;&gt;"Chancho")),NOT(AND(MOVIMIENTOS!$B57="SALDO INICIAL",MOVIMIENTOS!$C57="Chancho"))),MOVIMIENTOS!$A57,"")</f>
        <v>46219</v>
      </c>
      <c r="L58" t="str">
        <f>IF(AND(MOVIMIENTOS!$B57&lt;&gt;"",NOT(AND(MOVIMIENTOS!$B57="PROCESO",MOVIMIENTOS!$C57&lt;&gt;"Chancho")),NOT(AND(MOVIMIENTOS!$B57="SALDO INICIAL",MOVIMIENTOS!$C57="Chancho"))),IF(MOVIMIENTOS!$B57="SALDO INICIAL","APERTURA ("&amp;MOVIMIENTOS!$C57&amp;")",IF(MOVIMIENTOS!$B57="COMPRA","INGRESO (compra)",IF(MOVIMIENTOS!$B57="PROCESO","CHANCHO (proceso)",IF(MOVIMIENTOS!$B57="ENVÍO A SUPESA","ENVÍO SUPESA cal. "&amp;MOVIMIENTOS!$C57,IF(MOVIMIENTOS!$B57="VENTA CHANCHO","VENTA CHANCHO",IF(MOVIMIENTOS!$B57="DEVOLUCIÓN","DEVOLUCIÓN cal. "&amp;MOVIMIENTOS!$C57,IF(MOVIMIENTOS!$B57="TRASIEGO","TRASIEGO cal. "&amp;MOVIMIENTOS!$C57,IF(MOVIMIENTOS!$B57="REGALO","REGALO "&amp;MOVIMIENTOS!$C57,IF(MOVIMIENTOS!$B57="VENTA","VENTA "&amp;MOVIMIENTOS!$C57,IF(MOVIMIENTOS!$B57="AJUSTE","AJUSTE inventario ("&amp;MOVIMIENTOS!$C57&amp;")",MOVIMIENTOS!$B57)))))))))),"")</f>
        <v>ENVÍO SUPESA cal. C</v>
      </c>
      <c r="M58" t="str">
        <f>IF(AND(AND(MOVIMIENTOS!$B57&lt;&gt;"",NOT(AND(MOVIMIENTOS!$B57="PROCESO",MOVIMIENTOS!$C57&lt;&gt;"Chancho")),NOT(AND(MOVIMIENTOS!$B57="SALDO INICIAL",MOVIMIENTOS!$C57="Chancho"))),OR(MOVIMIENTOS!$B57="SALDO INICIAL",MOVIMIENTOS!$B57="COMPRA",MOVIMIENTOS!$B57="REPROCESO",AND(MOVIMIENTOS!$B57="AJUSTE",MOVIMIENTOS!$C57&lt;&gt;"Chancho",N(MOVIMIENTOS!$F57)&gt;=0))),N(MOVIMIENTOS!$F57),"")</f>
        <v/>
      </c>
      <c r="N58">
        <f>IF(AND(AND(MOVIMIENTOS!$B57&lt;&gt;"",NOT(AND(MOVIMIENTOS!$B57="PROCESO",MOVIMIENTOS!$C57&lt;&gt;"Chancho")),NOT(AND(MOVIMIENTOS!$B57="SALDO INICIAL",MOVIMIENTOS!$C57="Chancho"))),OR(MOVIMIENTOS!$B57="ENVÍO A SUPESA",MOVIMIENTOS!$B57="MALOGRADO",MOVIMIENTOS!$B57="OTRA SALIDA",MOVIMIENTOS!$B57="TRASIEGO",AND(MOVIMIENTOS!$B57="PROCESO",MOVIMIENTOS!$C57="Chancho"),AND(MOVIMIENTOS!$B57="REGALO",MOVIMIENTOS!$C57&lt;&gt;"Chancho"),AND(MOVIMIENTOS!$B57="VENTA",MOVIMIENTOS!$C57&lt;&gt;"Chancho"),AND(MOVIMIENTOS!$B57="AJUSTE",MOVIMIENTOS!$C57&lt;&gt;"Chancho",N(MOVIMIENTOS!$F57)&lt;0))),IF(MOVIMIENTOS!$B57="AJUSTE",-N(MOVIMIENTOS!$F57),N(MOVIMIENTOS!$F57)),"")</f>
        <v>204</v>
      </c>
      <c r="O58" t="str">
        <f>IF(AND(MOVIMIENTOS!$B57&lt;&gt;"",NOT(AND(MOVIMIENTOS!$B57="PROCESO",MOVIMIENTOS!$C57&lt;&gt;"Chancho")),NOT(AND(MOVIMIENTOS!$B57="SALDO INICIAL",MOVIMIENTOS!$C57="Chancho"))),TRIM(IF(MOVIMIENTOS!$G57&lt;&gt;"",IF(MOVIMIENTOS!$B57="ENVÍO A SUPESA","G-"&amp;MOVIMIENTOS!$G57,MOVIMIENTOS!$G57)&amp;"  ","")&amp;IF(N(MOVIMIENTOS!$E57)&gt;0,MOVIMIENTOS!$E57&amp;" "&amp;MOVIMIENTOS!$D57,"")),"")</f>
        <v>G-2992 12 jabas</v>
      </c>
      <c r="P58">
        <f t="shared" si="6"/>
        <v>3135</v>
      </c>
    </row>
    <row r="59" spans="1:16" x14ac:dyDescent="0.2">
      <c r="A59" s="7">
        <f t="shared" si="0"/>
        <v>46223</v>
      </c>
      <c r="B59" s="8" t="str">
        <f t="shared" si="1"/>
        <v>INGRESO (compra)</v>
      </c>
      <c r="C59" s="9">
        <f t="shared" si="2"/>
        <v>4560</v>
      </c>
      <c r="D59" s="9" t="str">
        <f t="shared" si="3"/>
        <v/>
      </c>
      <c r="E59" s="8" t="str">
        <f t="shared" si="4"/>
        <v>48 sacos</v>
      </c>
      <c r="F59" s="9">
        <f t="shared" si="5"/>
        <v>5858.5</v>
      </c>
      <c r="J59">
        <f>IF(AND(MOVIMIENTOS!$B58&lt;&gt;"",NOT(AND(MOVIMIENTOS!$B58="PROCESO",MOVIMIENTOS!$C58&lt;&gt;"Chancho")),NOT(AND(MOVIMIENTOS!$B58="SALDO INICIAL",MOVIMIENTOS!$C58="Chancho"))),COUNT(J$5:J58)+1,"")</f>
        <v>33</v>
      </c>
      <c r="K59" s="10">
        <f>IF(AND(MOVIMIENTOS!$B58&lt;&gt;"",NOT(AND(MOVIMIENTOS!$B58="PROCESO",MOVIMIENTOS!$C58&lt;&gt;"Chancho")),NOT(AND(MOVIMIENTOS!$B58="SALDO INICIAL",MOVIMIENTOS!$C58="Chancho"))),MOVIMIENTOS!$A58,"")</f>
        <v>46219</v>
      </c>
      <c r="L59" t="str">
        <f>IF(AND(MOVIMIENTOS!$B58&lt;&gt;"",NOT(AND(MOVIMIENTOS!$B58="PROCESO",MOVIMIENTOS!$C58&lt;&gt;"Chancho")),NOT(AND(MOVIMIENTOS!$B58="SALDO INICIAL",MOVIMIENTOS!$C58="Chancho"))),IF(MOVIMIENTOS!$B58="SALDO INICIAL","APERTURA ("&amp;MOVIMIENTOS!$C58&amp;")",IF(MOVIMIENTOS!$B58="COMPRA","INGRESO (compra)",IF(MOVIMIENTOS!$B58="PROCESO","CHANCHO (proceso)",IF(MOVIMIENTOS!$B58="ENVÍO A SUPESA","ENVÍO SUPESA cal. "&amp;MOVIMIENTOS!$C58,IF(MOVIMIENTOS!$B58="VENTA CHANCHO","VENTA CHANCHO",IF(MOVIMIENTOS!$B58="DEVOLUCIÓN","DEVOLUCIÓN cal. "&amp;MOVIMIENTOS!$C58,IF(MOVIMIENTOS!$B58="TRASIEGO","TRASIEGO cal. "&amp;MOVIMIENTOS!$C58,IF(MOVIMIENTOS!$B58="REGALO","REGALO "&amp;MOVIMIENTOS!$C58,IF(MOVIMIENTOS!$B58="VENTA","VENTA "&amp;MOVIMIENTOS!$C58,IF(MOVIMIENTOS!$B58="AJUSTE","AJUSTE inventario ("&amp;MOVIMIENTOS!$C58&amp;")",MOVIMIENTOS!$B58)))))))))),"")</f>
        <v>ENVÍO SUPESA cal. M</v>
      </c>
      <c r="M59" t="str">
        <f>IF(AND(AND(MOVIMIENTOS!$B58&lt;&gt;"",NOT(AND(MOVIMIENTOS!$B58="PROCESO",MOVIMIENTOS!$C58&lt;&gt;"Chancho")),NOT(AND(MOVIMIENTOS!$B58="SALDO INICIAL",MOVIMIENTOS!$C58="Chancho"))),OR(MOVIMIENTOS!$B58="SALDO INICIAL",MOVIMIENTOS!$B58="COMPRA",MOVIMIENTOS!$B58="REPROCESO",AND(MOVIMIENTOS!$B58="AJUSTE",MOVIMIENTOS!$C58&lt;&gt;"Chancho",N(MOVIMIENTOS!$F58)&gt;=0))),N(MOVIMIENTOS!$F58),"")</f>
        <v/>
      </c>
      <c r="N59">
        <f>IF(AND(AND(MOVIMIENTOS!$B58&lt;&gt;"",NOT(AND(MOVIMIENTOS!$B58="PROCESO",MOVIMIENTOS!$C58&lt;&gt;"Chancho")),NOT(AND(MOVIMIENTOS!$B58="SALDO INICIAL",MOVIMIENTOS!$C58="Chancho"))),OR(MOVIMIENTOS!$B58="ENVÍO A SUPESA",MOVIMIENTOS!$B58="MALOGRADO",MOVIMIENTOS!$B58="OTRA SALIDA",MOVIMIENTOS!$B58="TRASIEGO",AND(MOVIMIENTOS!$B58="PROCESO",MOVIMIENTOS!$C58="Chancho"),AND(MOVIMIENTOS!$B58="REGALO",MOVIMIENTOS!$C58&lt;&gt;"Chancho"),AND(MOVIMIENTOS!$B58="VENTA",MOVIMIENTOS!$C58&lt;&gt;"Chancho"),AND(MOVIMIENTOS!$B58="AJUSTE",MOVIMIENTOS!$C58&lt;&gt;"Chancho",N(MOVIMIENTOS!$F58)&lt;0))),IF(MOVIMIENTOS!$B58="AJUSTE",-N(MOVIMIENTOS!$F58),N(MOVIMIENTOS!$F58)),"")</f>
        <v>1955</v>
      </c>
      <c r="O59" t="str">
        <f>IF(AND(MOVIMIENTOS!$B58&lt;&gt;"",NOT(AND(MOVIMIENTOS!$B58="PROCESO",MOVIMIENTOS!$C58&lt;&gt;"Chancho")),NOT(AND(MOVIMIENTOS!$B58="SALDO INICIAL",MOVIMIENTOS!$C58="Chancho"))),TRIM(IF(MOVIMIENTOS!$G58&lt;&gt;"",IF(MOVIMIENTOS!$B58="ENVÍO A SUPESA","G-"&amp;MOVIMIENTOS!$G58,MOVIMIENTOS!$G58)&amp;"  ","")&amp;IF(N(MOVIMIENTOS!$E58)&gt;0,MOVIMIENTOS!$E58&amp;" "&amp;MOVIMIENTOS!$D58,"")),"")</f>
        <v>G-2992 115 jabas</v>
      </c>
      <c r="P59">
        <f t="shared" si="6"/>
        <v>1180</v>
      </c>
    </row>
    <row r="60" spans="1:16" x14ac:dyDescent="0.2">
      <c r="A60" s="7">
        <f t="shared" si="0"/>
        <v>46223</v>
      </c>
      <c r="B60" s="8" t="str">
        <f t="shared" si="1"/>
        <v>CHANCHO (proceso)</v>
      </c>
      <c r="C60" s="9" t="str">
        <f t="shared" si="2"/>
        <v/>
      </c>
      <c r="D60" s="9">
        <f t="shared" si="3"/>
        <v>617.5</v>
      </c>
      <c r="E60" s="8" t="str">
        <f t="shared" si="4"/>
        <v>6.5 sacos</v>
      </c>
      <c r="F60" s="9">
        <f t="shared" si="5"/>
        <v>5241</v>
      </c>
      <c r="J60">
        <f>IF(AND(MOVIMIENTOS!$B59&lt;&gt;"",NOT(AND(MOVIMIENTOS!$B59="PROCESO",MOVIMIENTOS!$C59&lt;&gt;"Chancho")),NOT(AND(MOVIMIENTOS!$B59="SALDO INICIAL",MOVIMIENTOS!$C59="Chancho"))),COUNT(J$5:J59)+1,"")</f>
        <v>34</v>
      </c>
      <c r="K60" s="10">
        <f>IF(AND(MOVIMIENTOS!$B59&lt;&gt;"",NOT(AND(MOVIMIENTOS!$B59="PROCESO",MOVIMIENTOS!$C59&lt;&gt;"Chancho")),NOT(AND(MOVIMIENTOS!$B59="SALDO INICIAL",MOVIMIENTOS!$C59="Chancho"))),MOVIMIENTOS!$A59,"")</f>
        <v>46220</v>
      </c>
      <c r="L60" t="str">
        <f>IF(AND(MOVIMIENTOS!$B59&lt;&gt;"",NOT(AND(MOVIMIENTOS!$B59="PROCESO",MOVIMIENTOS!$C59&lt;&gt;"Chancho")),NOT(AND(MOVIMIENTOS!$B59="SALDO INICIAL",MOVIMIENTOS!$C59="Chancho"))),IF(MOVIMIENTOS!$B59="SALDO INICIAL","APERTURA ("&amp;MOVIMIENTOS!$C59&amp;")",IF(MOVIMIENTOS!$B59="COMPRA","INGRESO (compra)",IF(MOVIMIENTOS!$B59="PROCESO","CHANCHO (proceso)",IF(MOVIMIENTOS!$B59="ENVÍO A SUPESA","ENVÍO SUPESA cal. "&amp;MOVIMIENTOS!$C59,IF(MOVIMIENTOS!$B59="VENTA CHANCHO","VENTA CHANCHO",IF(MOVIMIENTOS!$B59="DEVOLUCIÓN","DEVOLUCIÓN cal. "&amp;MOVIMIENTOS!$C59,IF(MOVIMIENTOS!$B59="TRASIEGO","TRASIEGO cal. "&amp;MOVIMIENTOS!$C59,IF(MOVIMIENTOS!$B59="REGALO","REGALO "&amp;MOVIMIENTOS!$C59,IF(MOVIMIENTOS!$B59="VENTA","VENTA "&amp;MOVIMIENTOS!$C59,IF(MOVIMIENTOS!$B59="AJUSTE","AJUSTE inventario ("&amp;MOVIMIENTOS!$C59&amp;")",MOVIMIENTOS!$B59)))))))))),"")</f>
        <v>INGRESO (compra)</v>
      </c>
      <c r="M60">
        <f>IF(AND(AND(MOVIMIENTOS!$B59&lt;&gt;"",NOT(AND(MOVIMIENTOS!$B59="PROCESO",MOVIMIENTOS!$C59&lt;&gt;"Chancho")),NOT(AND(MOVIMIENTOS!$B59="SALDO INICIAL",MOVIMIENTOS!$C59="Chancho"))),OR(MOVIMIENTOS!$B59="SALDO INICIAL",MOVIMIENTOS!$B59="COMPRA",MOVIMIENTOS!$B59="REPROCESO",AND(MOVIMIENTOS!$B59="AJUSTE",MOVIMIENTOS!$C59&lt;&gt;"Chancho",N(MOVIMIENTOS!$F59)&gt;=0))),N(MOVIMIENTOS!$F59),"")</f>
        <v>5700</v>
      </c>
      <c r="N60" t="str">
        <f>IF(AND(AND(MOVIMIENTOS!$B59&lt;&gt;"",NOT(AND(MOVIMIENTOS!$B59="PROCESO",MOVIMIENTOS!$C59&lt;&gt;"Chancho")),NOT(AND(MOVIMIENTOS!$B59="SALDO INICIAL",MOVIMIENTOS!$C59="Chancho"))),OR(MOVIMIENTOS!$B59="ENVÍO A SUPESA",MOVIMIENTOS!$B59="MALOGRADO",MOVIMIENTOS!$B59="OTRA SALIDA",MOVIMIENTOS!$B59="TRASIEGO",AND(MOVIMIENTOS!$B59="PROCESO",MOVIMIENTOS!$C59="Chancho"),AND(MOVIMIENTOS!$B59="REGALO",MOVIMIENTOS!$C59&lt;&gt;"Chancho"),AND(MOVIMIENTOS!$B59="VENTA",MOVIMIENTOS!$C59&lt;&gt;"Chancho"),AND(MOVIMIENTOS!$B59="AJUSTE",MOVIMIENTOS!$C59&lt;&gt;"Chancho",N(MOVIMIENTOS!$F59)&lt;0))),IF(MOVIMIENTOS!$B59="AJUSTE",-N(MOVIMIENTOS!$F59),N(MOVIMIENTOS!$F59)),"")</f>
        <v/>
      </c>
      <c r="O60" t="str">
        <f>IF(AND(MOVIMIENTOS!$B59&lt;&gt;"",NOT(AND(MOVIMIENTOS!$B59="PROCESO",MOVIMIENTOS!$C59&lt;&gt;"Chancho")),NOT(AND(MOVIMIENTOS!$B59="SALDO INICIAL",MOVIMIENTOS!$C59="Chancho"))),TRIM(IF(MOVIMIENTOS!$G59&lt;&gt;"",IF(MOVIMIENTOS!$B59="ENVÍO A SUPESA","G-"&amp;MOVIMIENTOS!$G59,MOVIMIENTOS!$G59)&amp;"  ","")&amp;IF(N(MOVIMIENTOS!$E59)&gt;0,MOVIMIENTOS!$E59&amp;" "&amp;MOVIMIENTOS!$D59,"")),"")</f>
        <v>60 sacos</v>
      </c>
      <c r="P60">
        <f t="shared" si="6"/>
        <v>6880</v>
      </c>
    </row>
    <row r="61" spans="1:16" x14ac:dyDescent="0.2">
      <c r="A61" s="7">
        <f t="shared" si="0"/>
        <v>46223</v>
      </c>
      <c r="B61" s="8" t="str">
        <f t="shared" si="1"/>
        <v>ENVÍO SUPESA cal. A</v>
      </c>
      <c r="C61" s="9" t="str">
        <f t="shared" si="2"/>
        <v/>
      </c>
      <c r="D61" s="9">
        <f t="shared" si="3"/>
        <v>1005</v>
      </c>
      <c r="E61" s="8" t="str">
        <f t="shared" si="4"/>
        <v>G-3001 67 jabas</v>
      </c>
      <c r="F61" s="9">
        <f t="shared" si="5"/>
        <v>4236</v>
      </c>
      <c r="J61" t="str">
        <f>IF(AND(MOVIMIENTOS!$B60&lt;&gt;"",NOT(AND(MOVIMIENTOS!$B60="PROCESO",MOVIMIENTOS!$C60&lt;&gt;"Chancho")),NOT(AND(MOVIMIENTOS!$B60="SALDO INICIAL",MOVIMIENTOS!$C60="Chancho"))),COUNT(J$5:J60)+1,"")</f>
        <v/>
      </c>
      <c r="K61" t="str">
        <f>IF(AND(MOVIMIENTOS!$B60&lt;&gt;"",NOT(AND(MOVIMIENTOS!$B60="PROCESO",MOVIMIENTOS!$C60&lt;&gt;"Chancho")),NOT(AND(MOVIMIENTOS!$B60="SALDO INICIAL",MOVIMIENTOS!$C60="Chancho"))),MOVIMIENTOS!$A60,"")</f>
        <v/>
      </c>
      <c r="L61" t="str">
        <f>IF(AND(MOVIMIENTOS!$B60&lt;&gt;"",NOT(AND(MOVIMIENTOS!$B60="PROCESO",MOVIMIENTOS!$C60&lt;&gt;"Chancho")),NOT(AND(MOVIMIENTOS!$B60="SALDO INICIAL",MOVIMIENTOS!$C60="Chancho"))),IF(MOVIMIENTOS!$B60="SALDO INICIAL","APERTURA ("&amp;MOVIMIENTOS!$C60&amp;")",IF(MOVIMIENTOS!$B60="COMPRA","INGRESO (compra)",IF(MOVIMIENTOS!$B60="PROCESO","CHANCHO (proceso)",IF(MOVIMIENTOS!$B60="ENVÍO A SUPESA","ENVÍO SUPESA cal. "&amp;MOVIMIENTOS!$C60,IF(MOVIMIENTOS!$B60="VENTA CHANCHO","VENTA CHANCHO",IF(MOVIMIENTOS!$B60="DEVOLUCIÓN","DEVOLUCIÓN cal. "&amp;MOVIMIENTOS!$C60,IF(MOVIMIENTOS!$B60="TRASIEGO","TRASIEGO cal. "&amp;MOVIMIENTOS!$C60,IF(MOVIMIENTOS!$B60="REGALO","REGALO "&amp;MOVIMIENTOS!$C60,IF(MOVIMIENTOS!$B60="VENTA","VENTA "&amp;MOVIMIENTOS!$C60,IF(MOVIMIENTOS!$B60="AJUSTE","AJUSTE inventario ("&amp;MOVIMIENTOS!$C60&amp;")",MOVIMIENTOS!$B60)))))))))),"")</f>
        <v/>
      </c>
      <c r="M61" t="str">
        <f>IF(AND(AND(MOVIMIENTOS!$B60&lt;&gt;"",NOT(AND(MOVIMIENTOS!$B60="PROCESO",MOVIMIENTOS!$C60&lt;&gt;"Chancho")),NOT(AND(MOVIMIENTOS!$B60="SALDO INICIAL",MOVIMIENTOS!$C60="Chancho"))),OR(MOVIMIENTOS!$B60="SALDO INICIAL",MOVIMIENTOS!$B60="COMPRA",MOVIMIENTOS!$B60="REPROCESO",AND(MOVIMIENTOS!$B60="AJUSTE",MOVIMIENTOS!$C60&lt;&gt;"Chancho",N(MOVIMIENTOS!$F60)&gt;=0))),N(MOVIMIENTOS!$F60),"")</f>
        <v/>
      </c>
      <c r="N61" t="str">
        <f>IF(AND(AND(MOVIMIENTOS!$B60&lt;&gt;"",NOT(AND(MOVIMIENTOS!$B60="PROCESO",MOVIMIENTOS!$C60&lt;&gt;"Chancho")),NOT(AND(MOVIMIENTOS!$B60="SALDO INICIAL",MOVIMIENTOS!$C60="Chancho"))),OR(MOVIMIENTOS!$B60="ENVÍO A SUPESA",MOVIMIENTOS!$B60="MALOGRADO",MOVIMIENTOS!$B60="OTRA SALIDA",MOVIMIENTOS!$B60="TRASIEGO",AND(MOVIMIENTOS!$B60="PROCESO",MOVIMIENTOS!$C60="Chancho"),AND(MOVIMIENTOS!$B60="REGALO",MOVIMIENTOS!$C60&lt;&gt;"Chancho"),AND(MOVIMIENTOS!$B60="VENTA",MOVIMIENTOS!$C60&lt;&gt;"Chancho"),AND(MOVIMIENTOS!$B60="AJUSTE",MOVIMIENTOS!$C60&lt;&gt;"Chancho",N(MOVIMIENTOS!$F60)&lt;0))),IF(MOVIMIENTOS!$B60="AJUSTE",-N(MOVIMIENTOS!$F60),N(MOVIMIENTOS!$F60)),"")</f>
        <v/>
      </c>
      <c r="O61" t="str">
        <f>IF(AND(MOVIMIENTOS!$B60&lt;&gt;"",NOT(AND(MOVIMIENTOS!$B60="PROCESO",MOVIMIENTOS!$C60&lt;&gt;"Chancho")),NOT(AND(MOVIMIENTOS!$B60="SALDO INICIAL",MOVIMIENTOS!$C60="Chancho"))),TRIM(IF(MOVIMIENTOS!$G60&lt;&gt;"",IF(MOVIMIENTOS!$B60="ENVÍO A SUPESA","G-"&amp;MOVIMIENTOS!$G60,MOVIMIENTOS!$G60)&amp;"  ","")&amp;IF(N(MOVIMIENTOS!$E60)&gt;0,MOVIMIENTOS!$E60&amp;" "&amp;MOVIMIENTOS!$D60,"")),"")</f>
        <v/>
      </c>
      <c r="P61">
        <f t="shared" si="6"/>
        <v>6880</v>
      </c>
    </row>
    <row r="62" spans="1:16" x14ac:dyDescent="0.2">
      <c r="A62" s="7">
        <f t="shared" si="0"/>
        <v>46223</v>
      </c>
      <c r="B62" s="8" t="str">
        <f t="shared" si="1"/>
        <v>ENVÍO SUPESA cal. P</v>
      </c>
      <c r="C62" s="9" t="str">
        <f t="shared" si="2"/>
        <v/>
      </c>
      <c r="D62" s="9">
        <f t="shared" si="3"/>
        <v>198</v>
      </c>
      <c r="E62" s="8" t="str">
        <f t="shared" si="4"/>
        <v>G-3001 11 jabas</v>
      </c>
      <c r="F62" s="9">
        <f t="shared" si="5"/>
        <v>4038</v>
      </c>
      <c r="J62" t="str">
        <f>IF(AND(MOVIMIENTOS!$B61&lt;&gt;"",NOT(AND(MOVIMIENTOS!$B61="PROCESO",MOVIMIENTOS!$C61&lt;&gt;"Chancho")),NOT(AND(MOVIMIENTOS!$B61="SALDO INICIAL",MOVIMIENTOS!$C61="Chancho"))),COUNT(J$5:J61)+1,"")</f>
        <v/>
      </c>
      <c r="K62" t="str">
        <f>IF(AND(MOVIMIENTOS!$B61&lt;&gt;"",NOT(AND(MOVIMIENTOS!$B61="PROCESO",MOVIMIENTOS!$C61&lt;&gt;"Chancho")),NOT(AND(MOVIMIENTOS!$B61="SALDO INICIAL",MOVIMIENTOS!$C61="Chancho"))),MOVIMIENTOS!$A61,"")</f>
        <v/>
      </c>
      <c r="L62" t="str">
        <f>IF(AND(MOVIMIENTOS!$B61&lt;&gt;"",NOT(AND(MOVIMIENTOS!$B61="PROCESO",MOVIMIENTOS!$C61&lt;&gt;"Chancho")),NOT(AND(MOVIMIENTOS!$B61="SALDO INICIAL",MOVIMIENTOS!$C61="Chancho"))),IF(MOVIMIENTOS!$B61="SALDO INICIAL","APERTURA ("&amp;MOVIMIENTOS!$C61&amp;")",IF(MOVIMIENTOS!$B61="COMPRA","INGRESO (compra)",IF(MOVIMIENTOS!$B61="PROCESO","CHANCHO (proceso)",IF(MOVIMIENTOS!$B61="ENVÍO A SUPESA","ENVÍO SUPESA cal. "&amp;MOVIMIENTOS!$C61,IF(MOVIMIENTOS!$B61="VENTA CHANCHO","VENTA CHANCHO",IF(MOVIMIENTOS!$B61="DEVOLUCIÓN","DEVOLUCIÓN cal. "&amp;MOVIMIENTOS!$C61,IF(MOVIMIENTOS!$B61="TRASIEGO","TRASIEGO cal. "&amp;MOVIMIENTOS!$C61,IF(MOVIMIENTOS!$B61="REGALO","REGALO "&amp;MOVIMIENTOS!$C61,IF(MOVIMIENTOS!$B61="VENTA","VENTA "&amp;MOVIMIENTOS!$C61,IF(MOVIMIENTOS!$B61="AJUSTE","AJUSTE inventario ("&amp;MOVIMIENTOS!$C61&amp;")",MOVIMIENTOS!$B61)))))))))),"")</f>
        <v/>
      </c>
      <c r="M62" t="str">
        <f>IF(AND(AND(MOVIMIENTOS!$B61&lt;&gt;"",NOT(AND(MOVIMIENTOS!$B61="PROCESO",MOVIMIENTOS!$C61&lt;&gt;"Chancho")),NOT(AND(MOVIMIENTOS!$B61="SALDO INICIAL",MOVIMIENTOS!$C61="Chancho"))),OR(MOVIMIENTOS!$B61="SALDO INICIAL",MOVIMIENTOS!$B61="COMPRA",MOVIMIENTOS!$B61="REPROCESO",AND(MOVIMIENTOS!$B61="AJUSTE",MOVIMIENTOS!$C61&lt;&gt;"Chancho",N(MOVIMIENTOS!$F61)&gt;=0))),N(MOVIMIENTOS!$F61),"")</f>
        <v/>
      </c>
      <c r="N62" t="str">
        <f>IF(AND(AND(MOVIMIENTOS!$B61&lt;&gt;"",NOT(AND(MOVIMIENTOS!$B61="PROCESO",MOVIMIENTOS!$C61&lt;&gt;"Chancho")),NOT(AND(MOVIMIENTOS!$B61="SALDO INICIAL",MOVIMIENTOS!$C61="Chancho"))),OR(MOVIMIENTOS!$B61="ENVÍO A SUPESA",MOVIMIENTOS!$B61="MALOGRADO",MOVIMIENTOS!$B61="OTRA SALIDA",MOVIMIENTOS!$B61="TRASIEGO",AND(MOVIMIENTOS!$B61="PROCESO",MOVIMIENTOS!$C61="Chancho"),AND(MOVIMIENTOS!$B61="REGALO",MOVIMIENTOS!$C61&lt;&gt;"Chancho"),AND(MOVIMIENTOS!$B61="VENTA",MOVIMIENTOS!$C61&lt;&gt;"Chancho"),AND(MOVIMIENTOS!$B61="AJUSTE",MOVIMIENTOS!$C61&lt;&gt;"Chancho",N(MOVIMIENTOS!$F61)&lt;0))),IF(MOVIMIENTOS!$B61="AJUSTE",-N(MOVIMIENTOS!$F61),N(MOVIMIENTOS!$F61)),"")</f>
        <v/>
      </c>
      <c r="O62" t="str">
        <f>IF(AND(MOVIMIENTOS!$B61&lt;&gt;"",NOT(AND(MOVIMIENTOS!$B61="PROCESO",MOVIMIENTOS!$C61&lt;&gt;"Chancho")),NOT(AND(MOVIMIENTOS!$B61="SALDO INICIAL",MOVIMIENTOS!$C61="Chancho"))),TRIM(IF(MOVIMIENTOS!$G61&lt;&gt;"",IF(MOVIMIENTOS!$B61="ENVÍO A SUPESA","G-"&amp;MOVIMIENTOS!$G61,MOVIMIENTOS!$G61)&amp;"  ","")&amp;IF(N(MOVIMIENTOS!$E61)&gt;0,MOVIMIENTOS!$E61&amp;" "&amp;MOVIMIENTOS!$D61,"")),"")</f>
        <v/>
      </c>
      <c r="P62">
        <f t="shared" si="6"/>
        <v>6880</v>
      </c>
    </row>
    <row r="63" spans="1:16" x14ac:dyDescent="0.2">
      <c r="A63" s="7">
        <f t="shared" si="0"/>
        <v>46223</v>
      </c>
      <c r="B63" s="8" t="str">
        <f t="shared" si="1"/>
        <v>ENVÍO SUPESA cal. C</v>
      </c>
      <c r="C63" s="9" t="str">
        <f t="shared" si="2"/>
        <v/>
      </c>
      <c r="D63" s="9">
        <f t="shared" si="3"/>
        <v>204</v>
      </c>
      <c r="E63" s="8" t="str">
        <f t="shared" si="4"/>
        <v>G-3001 12 jabas</v>
      </c>
      <c r="F63" s="9">
        <f t="shared" si="5"/>
        <v>3834</v>
      </c>
      <c r="J63" t="str">
        <f>IF(AND(MOVIMIENTOS!$B62&lt;&gt;"",NOT(AND(MOVIMIENTOS!$B62="PROCESO",MOVIMIENTOS!$C62&lt;&gt;"Chancho")),NOT(AND(MOVIMIENTOS!$B62="SALDO INICIAL",MOVIMIENTOS!$C62="Chancho"))),COUNT(J$5:J62)+1,"")</f>
        <v/>
      </c>
      <c r="K63" t="str">
        <f>IF(AND(MOVIMIENTOS!$B62&lt;&gt;"",NOT(AND(MOVIMIENTOS!$B62="PROCESO",MOVIMIENTOS!$C62&lt;&gt;"Chancho")),NOT(AND(MOVIMIENTOS!$B62="SALDO INICIAL",MOVIMIENTOS!$C62="Chancho"))),MOVIMIENTOS!$A62,"")</f>
        <v/>
      </c>
      <c r="L63" t="str">
        <f>IF(AND(MOVIMIENTOS!$B62&lt;&gt;"",NOT(AND(MOVIMIENTOS!$B62="PROCESO",MOVIMIENTOS!$C62&lt;&gt;"Chancho")),NOT(AND(MOVIMIENTOS!$B62="SALDO INICIAL",MOVIMIENTOS!$C62="Chancho"))),IF(MOVIMIENTOS!$B62="SALDO INICIAL","APERTURA ("&amp;MOVIMIENTOS!$C62&amp;")",IF(MOVIMIENTOS!$B62="COMPRA","INGRESO (compra)",IF(MOVIMIENTOS!$B62="PROCESO","CHANCHO (proceso)",IF(MOVIMIENTOS!$B62="ENVÍO A SUPESA","ENVÍO SUPESA cal. "&amp;MOVIMIENTOS!$C62,IF(MOVIMIENTOS!$B62="VENTA CHANCHO","VENTA CHANCHO",IF(MOVIMIENTOS!$B62="DEVOLUCIÓN","DEVOLUCIÓN cal. "&amp;MOVIMIENTOS!$C62,IF(MOVIMIENTOS!$B62="TRASIEGO","TRASIEGO cal. "&amp;MOVIMIENTOS!$C62,IF(MOVIMIENTOS!$B62="REGALO","REGALO "&amp;MOVIMIENTOS!$C62,IF(MOVIMIENTOS!$B62="VENTA","VENTA "&amp;MOVIMIENTOS!$C62,IF(MOVIMIENTOS!$B62="AJUSTE","AJUSTE inventario ("&amp;MOVIMIENTOS!$C62&amp;")",MOVIMIENTOS!$B62)))))))))),"")</f>
        <v/>
      </c>
      <c r="M63" t="str">
        <f>IF(AND(AND(MOVIMIENTOS!$B62&lt;&gt;"",NOT(AND(MOVIMIENTOS!$B62="PROCESO",MOVIMIENTOS!$C62&lt;&gt;"Chancho")),NOT(AND(MOVIMIENTOS!$B62="SALDO INICIAL",MOVIMIENTOS!$C62="Chancho"))),OR(MOVIMIENTOS!$B62="SALDO INICIAL",MOVIMIENTOS!$B62="COMPRA",MOVIMIENTOS!$B62="REPROCESO",AND(MOVIMIENTOS!$B62="AJUSTE",MOVIMIENTOS!$C62&lt;&gt;"Chancho",N(MOVIMIENTOS!$F62)&gt;=0))),N(MOVIMIENTOS!$F62),"")</f>
        <v/>
      </c>
      <c r="N63" t="str">
        <f>IF(AND(AND(MOVIMIENTOS!$B62&lt;&gt;"",NOT(AND(MOVIMIENTOS!$B62="PROCESO",MOVIMIENTOS!$C62&lt;&gt;"Chancho")),NOT(AND(MOVIMIENTOS!$B62="SALDO INICIAL",MOVIMIENTOS!$C62="Chancho"))),OR(MOVIMIENTOS!$B62="ENVÍO A SUPESA",MOVIMIENTOS!$B62="MALOGRADO",MOVIMIENTOS!$B62="OTRA SALIDA",MOVIMIENTOS!$B62="TRASIEGO",AND(MOVIMIENTOS!$B62="PROCESO",MOVIMIENTOS!$C62="Chancho"),AND(MOVIMIENTOS!$B62="REGALO",MOVIMIENTOS!$C62&lt;&gt;"Chancho"),AND(MOVIMIENTOS!$B62="VENTA",MOVIMIENTOS!$C62&lt;&gt;"Chancho"),AND(MOVIMIENTOS!$B62="AJUSTE",MOVIMIENTOS!$C62&lt;&gt;"Chancho",N(MOVIMIENTOS!$F62)&lt;0))),IF(MOVIMIENTOS!$B62="AJUSTE",-N(MOVIMIENTOS!$F62),N(MOVIMIENTOS!$F62)),"")</f>
        <v/>
      </c>
      <c r="O63" t="str">
        <f>IF(AND(MOVIMIENTOS!$B62&lt;&gt;"",NOT(AND(MOVIMIENTOS!$B62="PROCESO",MOVIMIENTOS!$C62&lt;&gt;"Chancho")),NOT(AND(MOVIMIENTOS!$B62="SALDO INICIAL",MOVIMIENTOS!$C62="Chancho"))),TRIM(IF(MOVIMIENTOS!$G62&lt;&gt;"",IF(MOVIMIENTOS!$B62="ENVÍO A SUPESA","G-"&amp;MOVIMIENTOS!$G62,MOVIMIENTOS!$G62)&amp;"  ","")&amp;IF(N(MOVIMIENTOS!$E62)&gt;0,MOVIMIENTOS!$E62&amp;" "&amp;MOVIMIENTOS!$D62,"")),"")</f>
        <v/>
      </c>
      <c r="P63">
        <f t="shared" si="6"/>
        <v>6880</v>
      </c>
    </row>
    <row r="64" spans="1:16" x14ac:dyDescent="0.2">
      <c r="A64" s="7">
        <f t="shared" si="0"/>
        <v>46223</v>
      </c>
      <c r="B64" s="8" t="str">
        <f t="shared" si="1"/>
        <v>ENVÍO SUPESA cal. M</v>
      </c>
      <c r="C64" s="9" t="str">
        <f t="shared" si="2"/>
        <v/>
      </c>
      <c r="D64" s="9">
        <f t="shared" si="3"/>
        <v>1887</v>
      </c>
      <c r="E64" s="8" t="str">
        <f t="shared" si="4"/>
        <v>G-3001 111 jabas</v>
      </c>
      <c r="F64" s="9">
        <f t="shared" si="5"/>
        <v>1947</v>
      </c>
      <c r="J64" t="str">
        <f>IF(AND(MOVIMIENTOS!$B63&lt;&gt;"",NOT(AND(MOVIMIENTOS!$B63="PROCESO",MOVIMIENTOS!$C63&lt;&gt;"Chancho")),NOT(AND(MOVIMIENTOS!$B63="SALDO INICIAL",MOVIMIENTOS!$C63="Chancho"))),COUNT(J$5:J63)+1,"")</f>
        <v/>
      </c>
      <c r="K64" t="str">
        <f>IF(AND(MOVIMIENTOS!$B63&lt;&gt;"",NOT(AND(MOVIMIENTOS!$B63="PROCESO",MOVIMIENTOS!$C63&lt;&gt;"Chancho")),NOT(AND(MOVIMIENTOS!$B63="SALDO INICIAL",MOVIMIENTOS!$C63="Chancho"))),MOVIMIENTOS!$A63,"")</f>
        <v/>
      </c>
      <c r="L64" t="str">
        <f>IF(AND(MOVIMIENTOS!$B63&lt;&gt;"",NOT(AND(MOVIMIENTOS!$B63="PROCESO",MOVIMIENTOS!$C63&lt;&gt;"Chancho")),NOT(AND(MOVIMIENTOS!$B63="SALDO INICIAL",MOVIMIENTOS!$C63="Chancho"))),IF(MOVIMIENTOS!$B63="SALDO INICIAL","APERTURA ("&amp;MOVIMIENTOS!$C63&amp;")",IF(MOVIMIENTOS!$B63="COMPRA","INGRESO (compra)",IF(MOVIMIENTOS!$B63="PROCESO","CHANCHO (proceso)",IF(MOVIMIENTOS!$B63="ENVÍO A SUPESA","ENVÍO SUPESA cal. "&amp;MOVIMIENTOS!$C63,IF(MOVIMIENTOS!$B63="VENTA CHANCHO","VENTA CHANCHO",IF(MOVIMIENTOS!$B63="DEVOLUCIÓN","DEVOLUCIÓN cal. "&amp;MOVIMIENTOS!$C63,IF(MOVIMIENTOS!$B63="TRASIEGO","TRASIEGO cal. "&amp;MOVIMIENTOS!$C63,IF(MOVIMIENTOS!$B63="REGALO","REGALO "&amp;MOVIMIENTOS!$C63,IF(MOVIMIENTOS!$B63="VENTA","VENTA "&amp;MOVIMIENTOS!$C63,IF(MOVIMIENTOS!$B63="AJUSTE","AJUSTE inventario ("&amp;MOVIMIENTOS!$C63&amp;")",MOVIMIENTOS!$B63)))))))))),"")</f>
        <v/>
      </c>
      <c r="M64" t="str">
        <f>IF(AND(AND(MOVIMIENTOS!$B63&lt;&gt;"",NOT(AND(MOVIMIENTOS!$B63="PROCESO",MOVIMIENTOS!$C63&lt;&gt;"Chancho")),NOT(AND(MOVIMIENTOS!$B63="SALDO INICIAL",MOVIMIENTOS!$C63="Chancho"))),OR(MOVIMIENTOS!$B63="SALDO INICIAL",MOVIMIENTOS!$B63="COMPRA",MOVIMIENTOS!$B63="REPROCESO",AND(MOVIMIENTOS!$B63="AJUSTE",MOVIMIENTOS!$C63&lt;&gt;"Chancho",N(MOVIMIENTOS!$F63)&gt;=0))),N(MOVIMIENTOS!$F63),"")</f>
        <v/>
      </c>
      <c r="N64" t="str">
        <f>IF(AND(AND(MOVIMIENTOS!$B63&lt;&gt;"",NOT(AND(MOVIMIENTOS!$B63="PROCESO",MOVIMIENTOS!$C63&lt;&gt;"Chancho")),NOT(AND(MOVIMIENTOS!$B63="SALDO INICIAL",MOVIMIENTOS!$C63="Chancho"))),OR(MOVIMIENTOS!$B63="ENVÍO A SUPESA",MOVIMIENTOS!$B63="MALOGRADO",MOVIMIENTOS!$B63="OTRA SALIDA",MOVIMIENTOS!$B63="TRASIEGO",AND(MOVIMIENTOS!$B63="PROCESO",MOVIMIENTOS!$C63="Chancho"),AND(MOVIMIENTOS!$B63="REGALO",MOVIMIENTOS!$C63&lt;&gt;"Chancho"),AND(MOVIMIENTOS!$B63="VENTA",MOVIMIENTOS!$C63&lt;&gt;"Chancho"),AND(MOVIMIENTOS!$B63="AJUSTE",MOVIMIENTOS!$C63&lt;&gt;"Chancho",N(MOVIMIENTOS!$F63)&lt;0))),IF(MOVIMIENTOS!$B63="AJUSTE",-N(MOVIMIENTOS!$F63),N(MOVIMIENTOS!$F63)),"")</f>
        <v/>
      </c>
      <c r="O64" t="str">
        <f>IF(AND(MOVIMIENTOS!$B63&lt;&gt;"",NOT(AND(MOVIMIENTOS!$B63="PROCESO",MOVIMIENTOS!$C63&lt;&gt;"Chancho")),NOT(AND(MOVIMIENTOS!$B63="SALDO INICIAL",MOVIMIENTOS!$C63="Chancho"))),TRIM(IF(MOVIMIENTOS!$G63&lt;&gt;"",IF(MOVIMIENTOS!$B63="ENVÍO A SUPESA","G-"&amp;MOVIMIENTOS!$G63,MOVIMIENTOS!$G63)&amp;"  ","")&amp;IF(N(MOVIMIENTOS!$E63)&gt;0,MOVIMIENTOS!$E63&amp;" "&amp;MOVIMIENTOS!$D63,"")),"")</f>
        <v/>
      </c>
      <c r="P64">
        <f t="shared" si="6"/>
        <v>6880</v>
      </c>
    </row>
    <row r="65" spans="1:16" x14ac:dyDescent="0.2">
      <c r="A65" s="7">
        <f t="shared" si="0"/>
        <v>46223</v>
      </c>
      <c r="B65" s="8" t="str">
        <f t="shared" si="1"/>
        <v>VENTA CHANCHO</v>
      </c>
      <c r="C65" s="9" t="str">
        <f t="shared" si="2"/>
        <v/>
      </c>
      <c r="D65" s="9" t="str">
        <f t="shared" si="3"/>
        <v/>
      </c>
      <c r="E65" s="8" t="str">
        <f t="shared" si="4"/>
        <v>TCK002-726 18 sacos</v>
      </c>
      <c r="F65" s="9">
        <f t="shared" si="5"/>
        <v>1947</v>
      </c>
      <c r="J65">
        <f>IF(AND(MOVIMIENTOS!$B64&lt;&gt;"",NOT(AND(MOVIMIENTOS!$B64="PROCESO",MOVIMIENTOS!$C64&lt;&gt;"Chancho")),NOT(AND(MOVIMIENTOS!$B64="SALDO INICIAL",MOVIMIENTOS!$C64="Chancho"))),COUNT(J$5:J64)+1,"")</f>
        <v>35</v>
      </c>
      <c r="K65" s="10">
        <f>IF(AND(MOVIMIENTOS!$B64&lt;&gt;"",NOT(AND(MOVIMIENTOS!$B64="PROCESO",MOVIMIENTOS!$C64&lt;&gt;"Chancho")),NOT(AND(MOVIMIENTOS!$B64="SALDO INICIAL",MOVIMIENTOS!$C64="Chancho"))),MOVIMIENTOS!$A64,"")</f>
        <v>46220</v>
      </c>
      <c r="L65" t="str">
        <f>IF(AND(MOVIMIENTOS!$B64&lt;&gt;"",NOT(AND(MOVIMIENTOS!$B64="PROCESO",MOVIMIENTOS!$C64&lt;&gt;"Chancho")),NOT(AND(MOVIMIENTOS!$B64="SALDO INICIAL",MOVIMIENTOS!$C64="Chancho"))),IF(MOVIMIENTOS!$B64="SALDO INICIAL","APERTURA ("&amp;MOVIMIENTOS!$C64&amp;")",IF(MOVIMIENTOS!$B64="COMPRA","INGRESO (compra)",IF(MOVIMIENTOS!$B64="PROCESO","CHANCHO (proceso)",IF(MOVIMIENTOS!$B64="ENVÍO A SUPESA","ENVÍO SUPESA cal. "&amp;MOVIMIENTOS!$C64,IF(MOVIMIENTOS!$B64="VENTA CHANCHO","VENTA CHANCHO",IF(MOVIMIENTOS!$B64="DEVOLUCIÓN","DEVOLUCIÓN cal. "&amp;MOVIMIENTOS!$C64,IF(MOVIMIENTOS!$B64="TRASIEGO","TRASIEGO cal. "&amp;MOVIMIENTOS!$C64,IF(MOVIMIENTOS!$B64="REGALO","REGALO "&amp;MOVIMIENTOS!$C64,IF(MOVIMIENTOS!$B64="VENTA","VENTA "&amp;MOVIMIENTOS!$C64,IF(MOVIMIENTOS!$B64="AJUSTE","AJUSTE inventario ("&amp;MOVIMIENTOS!$C64&amp;")",MOVIMIENTOS!$B64)))))))))),"")</f>
        <v>CHANCHO (proceso)</v>
      </c>
      <c r="M65" t="str">
        <f>IF(AND(AND(MOVIMIENTOS!$B64&lt;&gt;"",NOT(AND(MOVIMIENTOS!$B64="PROCESO",MOVIMIENTOS!$C64&lt;&gt;"Chancho")),NOT(AND(MOVIMIENTOS!$B64="SALDO INICIAL",MOVIMIENTOS!$C64="Chancho"))),OR(MOVIMIENTOS!$B64="SALDO INICIAL",MOVIMIENTOS!$B64="COMPRA",MOVIMIENTOS!$B64="REPROCESO",AND(MOVIMIENTOS!$B64="AJUSTE",MOVIMIENTOS!$C64&lt;&gt;"Chancho",N(MOVIMIENTOS!$F64)&gt;=0))),N(MOVIMIENTOS!$F64),"")</f>
        <v/>
      </c>
      <c r="N65">
        <f>IF(AND(AND(MOVIMIENTOS!$B64&lt;&gt;"",NOT(AND(MOVIMIENTOS!$B64="PROCESO",MOVIMIENTOS!$C64&lt;&gt;"Chancho")),NOT(AND(MOVIMIENTOS!$B64="SALDO INICIAL",MOVIMIENTOS!$C64="Chancho"))),OR(MOVIMIENTOS!$B64="ENVÍO A SUPESA",MOVIMIENTOS!$B64="MALOGRADO",MOVIMIENTOS!$B64="OTRA SALIDA",MOVIMIENTOS!$B64="TRASIEGO",AND(MOVIMIENTOS!$B64="PROCESO",MOVIMIENTOS!$C64="Chancho"),AND(MOVIMIENTOS!$B64="REGALO",MOVIMIENTOS!$C64&lt;&gt;"Chancho"),AND(MOVIMIENTOS!$B64="VENTA",MOVIMIENTOS!$C64&lt;&gt;"Chancho"),AND(MOVIMIENTOS!$B64="AJUSTE",MOVIMIENTOS!$C64&lt;&gt;"Chancho",N(MOVIMIENTOS!$F64)&lt;0))),IF(MOVIMIENTOS!$B64="AJUSTE",-N(MOVIMIENTOS!$F64),N(MOVIMIENTOS!$F64)),"")</f>
        <v>950</v>
      </c>
      <c r="O65" t="str">
        <f>IF(AND(MOVIMIENTOS!$B64&lt;&gt;"",NOT(AND(MOVIMIENTOS!$B64="PROCESO",MOVIMIENTOS!$C64&lt;&gt;"Chancho")),NOT(AND(MOVIMIENTOS!$B64="SALDO INICIAL",MOVIMIENTOS!$C64="Chancho"))),TRIM(IF(MOVIMIENTOS!$G64&lt;&gt;"",IF(MOVIMIENTOS!$B64="ENVÍO A SUPESA","G-"&amp;MOVIMIENTOS!$G64,MOVIMIENTOS!$G64)&amp;"  ","")&amp;IF(N(MOVIMIENTOS!$E64)&gt;0,MOVIMIENTOS!$E64&amp;" "&amp;MOVIMIENTOS!$D64,"")),"")</f>
        <v>10 sacos</v>
      </c>
      <c r="P65">
        <f t="shared" si="6"/>
        <v>5930</v>
      </c>
    </row>
    <row r="66" spans="1:16" x14ac:dyDescent="0.2">
      <c r="A66" s="7">
        <f t="shared" si="0"/>
        <v>46223</v>
      </c>
      <c r="B66" s="8" t="str">
        <f t="shared" si="1"/>
        <v>INGRESO (compra)</v>
      </c>
      <c r="C66" s="9">
        <f t="shared" si="2"/>
        <v>2090</v>
      </c>
      <c r="D66" s="9" t="str">
        <f t="shared" si="3"/>
        <v/>
      </c>
      <c r="E66" s="8" t="str">
        <f t="shared" si="4"/>
        <v>22 sacos</v>
      </c>
      <c r="F66" s="9">
        <f t="shared" si="5"/>
        <v>4037</v>
      </c>
      <c r="J66">
        <f>IF(AND(MOVIMIENTOS!$B65&lt;&gt;"",NOT(AND(MOVIMIENTOS!$B65="PROCESO",MOVIMIENTOS!$C65&lt;&gt;"Chancho")),NOT(AND(MOVIMIENTOS!$B65="SALDO INICIAL",MOVIMIENTOS!$C65="Chancho"))),COUNT(J$5:J65)+1,"")</f>
        <v>36</v>
      </c>
      <c r="K66" s="10">
        <f>IF(AND(MOVIMIENTOS!$B65&lt;&gt;"",NOT(AND(MOVIMIENTOS!$B65="PROCESO",MOVIMIENTOS!$C65&lt;&gt;"Chancho")),NOT(AND(MOVIMIENTOS!$B65="SALDO INICIAL",MOVIMIENTOS!$C65="Chancho"))),MOVIMIENTOS!$A65,"")</f>
        <v>46220</v>
      </c>
      <c r="L66" t="str">
        <f>IF(AND(MOVIMIENTOS!$B65&lt;&gt;"",NOT(AND(MOVIMIENTOS!$B65="PROCESO",MOVIMIENTOS!$C65&lt;&gt;"Chancho")),NOT(AND(MOVIMIENTOS!$B65="SALDO INICIAL",MOVIMIENTOS!$C65="Chancho"))),IF(MOVIMIENTOS!$B65="SALDO INICIAL","APERTURA ("&amp;MOVIMIENTOS!$C65&amp;")",IF(MOVIMIENTOS!$B65="COMPRA","INGRESO (compra)",IF(MOVIMIENTOS!$B65="PROCESO","CHANCHO (proceso)",IF(MOVIMIENTOS!$B65="ENVÍO A SUPESA","ENVÍO SUPESA cal. "&amp;MOVIMIENTOS!$C65,IF(MOVIMIENTOS!$B65="VENTA CHANCHO","VENTA CHANCHO",IF(MOVIMIENTOS!$B65="DEVOLUCIÓN","DEVOLUCIÓN cal. "&amp;MOVIMIENTOS!$C65,IF(MOVIMIENTOS!$B65="TRASIEGO","TRASIEGO cal. "&amp;MOVIMIENTOS!$C65,IF(MOVIMIENTOS!$B65="REGALO","REGALO "&amp;MOVIMIENTOS!$C65,IF(MOVIMIENTOS!$B65="VENTA","VENTA "&amp;MOVIMIENTOS!$C65,IF(MOVIMIENTOS!$B65="AJUSTE","AJUSTE inventario ("&amp;MOVIMIENTOS!$C65&amp;")",MOVIMIENTOS!$B65)))))))))),"")</f>
        <v>ENVÍO SUPESA cal. A</v>
      </c>
      <c r="M66" t="str">
        <f>IF(AND(AND(MOVIMIENTOS!$B65&lt;&gt;"",NOT(AND(MOVIMIENTOS!$B65="PROCESO",MOVIMIENTOS!$C65&lt;&gt;"Chancho")),NOT(AND(MOVIMIENTOS!$B65="SALDO INICIAL",MOVIMIENTOS!$C65="Chancho"))),OR(MOVIMIENTOS!$B65="SALDO INICIAL",MOVIMIENTOS!$B65="COMPRA",MOVIMIENTOS!$B65="REPROCESO",AND(MOVIMIENTOS!$B65="AJUSTE",MOVIMIENTOS!$C65&lt;&gt;"Chancho",N(MOVIMIENTOS!$F65)&gt;=0))),N(MOVIMIENTOS!$F65),"")</f>
        <v/>
      </c>
      <c r="N66">
        <f>IF(AND(AND(MOVIMIENTOS!$B65&lt;&gt;"",NOT(AND(MOVIMIENTOS!$B65="PROCESO",MOVIMIENTOS!$C65&lt;&gt;"Chancho")),NOT(AND(MOVIMIENTOS!$B65="SALDO INICIAL",MOVIMIENTOS!$C65="Chancho"))),OR(MOVIMIENTOS!$B65="ENVÍO A SUPESA",MOVIMIENTOS!$B65="MALOGRADO",MOVIMIENTOS!$B65="OTRA SALIDA",MOVIMIENTOS!$B65="TRASIEGO",AND(MOVIMIENTOS!$B65="PROCESO",MOVIMIENTOS!$C65="Chancho"),AND(MOVIMIENTOS!$B65="REGALO",MOVIMIENTOS!$C65&lt;&gt;"Chancho"),AND(MOVIMIENTOS!$B65="VENTA",MOVIMIENTOS!$C65&lt;&gt;"Chancho"),AND(MOVIMIENTOS!$B65="AJUSTE",MOVIMIENTOS!$C65&lt;&gt;"Chancho",N(MOVIMIENTOS!$F65)&lt;0))),IF(MOVIMIENTOS!$B65="AJUSTE",-N(MOVIMIENTOS!$F65),N(MOVIMIENTOS!$F65)),"")</f>
        <v>1005</v>
      </c>
      <c r="O66" t="str">
        <f>IF(AND(MOVIMIENTOS!$B65&lt;&gt;"",NOT(AND(MOVIMIENTOS!$B65="PROCESO",MOVIMIENTOS!$C65&lt;&gt;"Chancho")),NOT(AND(MOVIMIENTOS!$B65="SALDO INICIAL",MOVIMIENTOS!$C65="Chancho"))),TRIM(IF(MOVIMIENTOS!$G65&lt;&gt;"",IF(MOVIMIENTOS!$B65="ENVÍO A SUPESA","G-"&amp;MOVIMIENTOS!$G65,MOVIMIENTOS!$G65)&amp;"  ","")&amp;IF(N(MOVIMIENTOS!$E65)&gt;0,MOVIMIENTOS!$E65&amp;" "&amp;MOVIMIENTOS!$D65,"")),"")</f>
        <v>G-2994 67 jabas</v>
      </c>
      <c r="P66">
        <f t="shared" si="6"/>
        <v>4925</v>
      </c>
    </row>
    <row r="67" spans="1:16" x14ac:dyDescent="0.2">
      <c r="A67" s="7">
        <f t="shared" si="0"/>
        <v>46223</v>
      </c>
      <c r="B67" s="8" t="str">
        <f t="shared" si="1"/>
        <v>TRASIEGO cal. P</v>
      </c>
      <c r="C67" s="9" t="str">
        <f t="shared" si="2"/>
        <v/>
      </c>
      <c r="D67" s="9">
        <f t="shared" si="3"/>
        <v>18</v>
      </c>
      <c r="E67" s="8" t="str">
        <f t="shared" si="4"/>
        <v>1 jabas</v>
      </c>
      <c r="F67" s="9">
        <f t="shared" si="5"/>
        <v>4019</v>
      </c>
      <c r="J67">
        <f>IF(AND(MOVIMIENTOS!$B66&lt;&gt;"",NOT(AND(MOVIMIENTOS!$B66="PROCESO",MOVIMIENTOS!$C66&lt;&gt;"Chancho")),NOT(AND(MOVIMIENTOS!$B66="SALDO INICIAL",MOVIMIENTOS!$C66="Chancho"))),COUNT(J$5:J66)+1,"")</f>
        <v>37</v>
      </c>
      <c r="K67" s="10">
        <f>IF(AND(MOVIMIENTOS!$B66&lt;&gt;"",NOT(AND(MOVIMIENTOS!$B66="PROCESO",MOVIMIENTOS!$C66&lt;&gt;"Chancho")),NOT(AND(MOVIMIENTOS!$B66="SALDO INICIAL",MOVIMIENTOS!$C66="Chancho"))),MOVIMIENTOS!$A66,"")</f>
        <v>46220</v>
      </c>
      <c r="L67" t="str">
        <f>IF(AND(MOVIMIENTOS!$B66&lt;&gt;"",NOT(AND(MOVIMIENTOS!$B66="PROCESO",MOVIMIENTOS!$C66&lt;&gt;"Chancho")),NOT(AND(MOVIMIENTOS!$B66="SALDO INICIAL",MOVIMIENTOS!$C66="Chancho"))),IF(MOVIMIENTOS!$B66="SALDO INICIAL","APERTURA ("&amp;MOVIMIENTOS!$C66&amp;")",IF(MOVIMIENTOS!$B66="COMPRA","INGRESO (compra)",IF(MOVIMIENTOS!$B66="PROCESO","CHANCHO (proceso)",IF(MOVIMIENTOS!$B66="ENVÍO A SUPESA","ENVÍO SUPESA cal. "&amp;MOVIMIENTOS!$C66,IF(MOVIMIENTOS!$B66="VENTA CHANCHO","VENTA CHANCHO",IF(MOVIMIENTOS!$B66="DEVOLUCIÓN","DEVOLUCIÓN cal. "&amp;MOVIMIENTOS!$C66,IF(MOVIMIENTOS!$B66="TRASIEGO","TRASIEGO cal. "&amp;MOVIMIENTOS!$C66,IF(MOVIMIENTOS!$B66="REGALO","REGALO "&amp;MOVIMIENTOS!$C66,IF(MOVIMIENTOS!$B66="VENTA","VENTA "&amp;MOVIMIENTOS!$C66,IF(MOVIMIENTOS!$B66="AJUSTE","AJUSTE inventario ("&amp;MOVIMIENTOS!$C66&amp;")",MOVIMIENTOS!$B66)))))))))),"")</f>
        <v>ENVÍO SUPESA cal. P</v>
      </c>
      <c r="M67" t="str">
        <f>IF(AND(AND(MOVIMIENTOS!$B66&lt;&gt;"",NOT(AND(MOVIMIENTOS!$B66="PROCESO",MOVIMIENTOS!$C66&lt;&gt;"Chancho")),NOT(AND(MOVIMIENTOS!$B66="SALDO INICIAL",MOVIMIENTOS!$C66="Chancho"))),OR(MOVIMIENTOS!$B66="SALDO INICIAL",MOVIMIENTOS!$B66="COMPRA",MOVIMIENTOS!$B66="REPROCESO",AND(MOVIMIENTOS!$B66="AJUSTE",MOVIMIENTOS!$C66&lt;&gt;"Chancho",N(MOVIMIENTOS!$F66)&gt;=0))),N(MOVIMIENTOS!$F66),"")</f>
        <v/>
      </c>
      <c r="N67">
        <f>IF(AND(AND(MOVIMIENTOS!$B66&lt;&gt;"",NOT(AND(MOVIMIENTOS!$B66="PROCESO",MOVIMIENTOS!$C66&lt;&gt;"Chancho")),NOT(AND(MOVIMIENTOS!$B66="SALDO INICIAL",MOVIMIENTOS!$C66="Chancho"))),OR(MOVIMIENTOS!$B66="ENVÍO A SUPESA",MOVIMIENTOS!$B66="MALOGRADO",MOVIMIENTOS!$B66="OTRA SALIDA",MOVIMIENTOS!$B66="TRASIEGO",AND(MOVIMIENTOS!$B66="PROCESO",MOVIMIENTOS!$C66="Chancho"),AND(MOVIMIENTOS!$B66="REGALO",MOVIMIENTOS!$C66&lt;&gt;"Chancho"),AND(MOVIMIENTOS!$B66="VENTA",MOVIMIENTOS!$C66&lt;&gt;"Chancho"),AND(MOVIMIENTOS!$B66="AJUSTE",MOVIMIENTOS!$C66&lt;&gt;"Chancho",N(MOVIMIENTOS!$F66)&lt;0))),IF(MOVIMIENTOS!$B66="AJUSTE",-N(MOVIMIENTOS!$F66),N(MOVIMIENTOS!$F66)),"")</f>
        <v>198</v>
      </c>
      <c r="O67" t="str">
        <f>IF(AND(MOVIMIENTOS!$B66&lt;&gt;"",NOT(AND(MOVIMIENTOS!$B66="PROCESO",MOVIMIENTOS!$C66&lt;&gt;"Chancho")),NOT(AND(MOVIMIENTOS!$B66="SALDO INICIAL",MOVIMIENTOS!$C66="Chancho"))),TRIM(IF(MOVIMIENTOS!$G66&lt;&gt;"",IF(MOVIMIENTOS!$B66="ENVÍO A SUPESA","G-"&amp;MOVIMIENTOS!$G66,MOVIMIENTOS!$G66)&amp;"  ","")&amp;IF(N(MOVIMIENTOS!$E66)&gt;0,MOVIMIENTOS!$E66&amp;" "&amp;MOVIMIENTOS!$D66,"")),"")</f>
        <v>G-2994 11 jabas</v>
      </c>
      <c r="P67">
        <f t="shared" si="6"/>
        <v>4727</v>
      </c>
    </row>
    <row r="68" spans="1:16" x14ac:dyDescent="0.2">
      <c r="A68" s="7">
        <f t="shared" si="0"/>
        <v>46223</v>
      </c>
      <c r="B68" s="8" t="str">
        <f t="shared" si="1"/>
        <v>TRASIEGO cal. C</v>
      </c>
      <c r="C68" s="9" t="str">
        <f t="shared" si="2"/>
        <v/>
      </c>
      <c r="D68" s="9">
        <f t="shared" si="3"/>
        <v>17</v>
      </c>
      <c r="E68" s="8" t="str">
        <f t="shared" si="4"/>
        <v>1 jabas</v>
      </c>
      <c r="F68" s="9">
        <f t="shared" si="5"/>
        <v>4002</v>
      </c>
      <c r="J68">
        <f>IF(AND(MOVIMIENTOS!$B67&lt;&gt;"",NOT(AND(MOVIMIENTOS!$B67="PROCESO",MOVIMIENTOS!$C67&lt;&gt;"Chancho")),NOT(AND(MOVIMIENTOS!$B67="SALDO INICIAL",MOVIMIENTOS!$C67="Chancho"))),COUNT(J$5:J67)+1,"")</f>
        <v>38</v>
      </c>
      <c r="K68" s="10">
        <f>IF(AND(MOVIMIENTOS!$B67&lt;&gt;"",NOT(AND(MOVIMIENTOS!$B67="PROCESO",MOVIMIENTOS!$C67&lt;&gt;"Chancho")),NOT(AND(MOVIMIENTOS!$B67="SALDO INICIAL",MOVIMIENTOS!$C67="Chancho"))),MOVIMIENTOS!$A67,"")</f>
        <v>46220</v>
      </c>
      <c r="L68" t="str">
        <f>IF(AND(MOVIMIENTOS!$B67&lt;&gt;"",NOT(AND(MOVIMIENTOS!$B67="PROCESO",MOVIMIENTOS!$C67&lt;&gt;"Chancho")),NOT(AND(MOVIMIENTOS!$B67="SALDO INICIAL",MOVIMIENTOS!$C67="Chancho"))),IF(MOVIMIENTOS!$B67="SALDO INICIAL","APERTURA ("&amp;MOVIMIENTOS!$C67&amp;")",IF(MOVIMIENTOS!$B67="COMPRA","INGRESO (compra)",IF(MOVIMIENTOS!$B67="PROCESO","CHANCHO (proceso)",IF(MOVIMIENTOS!$B67="ENVÍO A SUPESA","ENVÍO SUPESA cal. "&amp;MOVIMIENTOS!$C67,IF(MOVIMIENTOS!$B67="VENTA CHANCHO","VENTA CHANCHO",IF(MOVIMIENTOS!$B67="DEVOLUCIÓN","DEVOLUCIÓN cal. "&amp;MOVIMIENTOS!$C67,IF(MOVIMIENTOS!$B67="TRASIEGO","TRASIEGO cal. "&amp;MOVIMIENTOS!$C67,IF(MOVIMIENTOS!$B67="REGALO","REGALO "&amp;MOVIMIENTOS!$C67,IF(MOVIMIENTOS!$B67="VENTA","VENTA "&amp;MOVIMIENTOS!$C67,IF(MOVIMIENTOS!$B67="AJUSTE","AJUSTE inventario ("&amp;MOVIMIENTOS!$C67&amp;")",MOVIMIENTOS!$B67)))))))))),"")</f>
        <v>ENVÍO SUPESA cal. C</v>
      </c>
      <c r="M68" t="str">
        <f>IF(AND(AND(MOVIMIENTOS!$B67&lt;&gt;"",NOT(AND(MOVIMIENTOS!$B67="PROCESO",MOVIMIENTOS!$C67&lt;&gt;"Chancho")),NOT(AND(MOVIMIENTOS!$B67="SALDO INICIAL",MOVIMIENTOS!$C67="Chancho"))),OR(MOVIMIENTOS!$B67="SALDO INICIAL",MOVIMIENTOS!$B67="COMPRA",MOVIMIENTOS!$B67="REPROCESO",AND(MOVIMIENTOS!$B67="AJUSTE",MOVIMIENTOS!$C67&lt;&gt;"Chancho",N(MOVIMIENTOS!$F67)&gt;=0))),N(MOVIMIENTOS!$F67),"")</f>
        <v/>
      </c>
      <c r="N68">
        <f>IF(AND(AND(MOVIMIENTOS!$B67&lt;&gt;"",NOT(AND(MOVIMIENTOS!$B67="PROCESO",MOVIMIENTOS!$C67&lt;&gt;"Chancho")),NOT(AND(MOVIMIENTOS!$B67="SALDO INICIAL",MOVIMIENTOS!$C67="Chancho"))),OR(MOVIMIENTOS!$B67="ENVÍO A SUPESA",MOVIMIENTOS!$B67="MALOGRADO",MOVIMIENTOS!$B67="OTRA SALIDA",MOVIMIENTOS!$B67="TRASIEGO",AND(MOVIMIENTOS!$B67="PROCESO",MOVIMIENTOS!$C67="Chancho"),AND(MOVIMIENTOS!$B67="REGALO",MOVIMIENTOS!$C67&lt;&gt;"Chancho"),AND(MOVIMIENTOS!$B67="VENTA",MOVIMIENTOS!$C67&lt;&gt;"Chancho"),AND(MOVIMIENTOS!$B67="AJUSTE",MOVIMIENTOS!$C67&lt;&gt;"Chancho",N(MOVIMIENTOS!$F67)&lt;0))),IF(MOVIMIENTOS!$B67="AJUSTE",-N(MOVIMIENTOS!$F67),N(MOVIMIENTOS!$F67)),"")</f>
        <v>204</v>
      </c>
      <c r="O68" t="str">
        <f>IF(AND(MOVIMIENTOS!$B67&lt;&gt;"",NOT(AND(MOVIMIENTOS!$B67="PROCESO",MOVIMIENTOS!$C67&lt;&gt;"Chancho")),NOT(AND(MOVIMIENTOS!$B67="SALDO INICIAL",MOVIMIENTOS!$C67="Chancho"))),TRIM(IF(MOVIMIENTOS!$G67&lt;&gt;"",IF(MOVIMIENTOS!$B67="ENVÍO A SUPESA","G-"&amp;MOVIMIENTOS!$G67,MOVIMIENTOS!$G67)&amp;"  ","")&amp;IF(N(MOVIMIENTOS!$E67)&gt;0,MOVIMIENTOS!$E67&amp;" "&amp;MOVIMIENTOS!$D67,"")),"")</f>
        <v>G-2994 12 jabas</v>
      </c>
      <c r="P68">
        <f t="shared" si="6"/>
        <v>4523</v>
      </c>
    </row>
    <row r="69" spans="1:16" x14ac:dyDescent="0.2">
      <c r="A69" s="7">
        <f t="shared" si="0"/>
        <v>46224</v>
      </c>
      <c r="B69" s="8" t="str">
        <f t="shared" si="1"/>
        <v>CHANCHO (proceso)</v>
      </c>
      <c r="C69" s="9" t="str">
        <f t="shared" si="2"/>
        <v/>
      </c>
      <c r="D69" s="9">
        <f t="shared" si="3"/>
        <v>285</v>
      </c>
      <c r="E69" s="8" t="str">
        <f t="shared" si="4"/>
        <v>3 sacos</v>
      </c>
      <c r="F69" s="9">
        <f t="shared" si="5"/>
        <v>3717</v>
      </c>
      <c r="J69">
        <f>IF(AND(MOVIMIENTOS!$B68&lt;&gt;"",NOT(AND(MOVIMIENTOS!$B68="PROCESO",MOVIMIENTOS!$C68&lt;&gt;"Chancho")),NOT(AND(MOVIMIENTOS!$B68="SALDO INICIAL",MOVIMIENTOS!$C68="Chancho"))),COUNT(J$5:J68)+1,"")</f>
        <v>39</v>
      </c>
      <c r="K69" s="10">
        <f>IF(AND(MOVIMIENTOS!$B68&lt;&gt;"",NOT(AND(MOVIMIENTOS!$B68="PROCESO",MOVIMIENTOS!$C68&lt;&gt;"Chancho")),NOT(AND(MOVIMIENTOS!$B68="SALDO INICIAL",MOVIMIENTOS!$C68="Chancho"))),MOVIMIENTOS!$A68,"")</f>
        <v>46220</v>
      </c>
      <c r="L69" t="str">
        <f>IF(AND(MOVIMIENTOS!$B68&lt;&gt;"",NOT(AND(MOVIMIENTOS!$B68="PROCESO",MOVIMIENTOS!$C68&lt;&gt;"Chancho")),NOT(AND(MOVIMIENTOS!$B68="SALDO INICIAL",MOVIMIENTOS!$C68="Chancho"))),IF(MOVIMIENTOS!$B68="SALDO INICIAL","APERTURA ("&amp;MOVIMIENTOS!$C68&amp;")",IF(MOVIMIENTOS!$B68="COMPRA","INGRESO (compra)",IF(MOVIMIENTOS!$B68="PROCESO","CHANCHO (proceso)",IF(MOVIMIENTOS!$B68="ENVÍO A SUPESA","ENVÍO SUPESA cal. "&amp;MOVIMIENTOS!$C68,IF(MOVIMIENTOS!$B68="VENTA CHANCHO","VENTA CHANCHO",IF(MOVIMIENTOS!$B68="DEVOLUCIÓN","DEVOLUCIÓN cal. "&amp;MOVIMIENTOS!$C68,IF(MOVIMIENTOS!$B68="TRASIEGO","TRASIEGO cal. "&amp;MOVIMIENTOS!$C68,IF(MOVIMIENTOS!$B68="REGALO","REGALO "&amp;MOVIMIENTOS!$C68,IF(MOVIMIENTOS!$B68="VENTA","VENTA "&amp;MOVIMIENTOS!$C68,IF(MOVIMIENTOS!$B68="AJUSTE","AJUSTE inventario ("&amp;MOVIMIENTOS!$C68&amp;")",MOVIMIENTOS!$B68)))))))))),"")</f>
        <v>ENVÍO SUPESA cal. M</v>
      </c>
      <c r="M69" t="str">
        <f>IF(AND(AND(MOVIMIENTOS!$B68&lt;&gt;"",NOT(AND(MOVIMIENTOS!$B68="PROCESO",MOVIMIENTOS!$C68&lt;&gt;"Chancho")),NOT(AND(MOVIMIENTOS!$B68="SALDO INICIAL",MOVIMIENTOS!$C68="Chancho"))),OR(MOVIMIENTOS!$B68="SALDO INICIAL",MOVIMIENTOS!$B68="COMPRA",MOVIMIENTOS!$B68="REPROCESO",AND(MOVIMIENTOS!$B68="AJUSTE",MOVIMIENTOS!$C68&lt;&gt;"Chancho",N(MOVIMIENTOS!$F68)&gt;=0))),N(MOVIMIENTOS!$F68),"")</f>
        <v/>
      </c>
      <c r="N69">
        <f>IF(AND(AND(MOVIMIENTOS!$B68&lt;&gt;"",NOT(AND(MOVIMIENTOS!$B68="PROCESO",MOVIMIENTOS!$C68&lt;&gt;"Chancho")),NOT(AND(MOVIMIENTOS!$B68="SALDO INICIAL",MOVIMIENTOS!$C68="Chancho"))),OR(MOVIMIENTOS!$B68="ENVÍO A SUPESA",MOVIMIENTOS!$B68="MALOGRADO",MOVIMIENTOS!$B68="OTRA SALIDA",MOVIMIENTOS!$B68="TRASIEGO",AND(MOVIMIENTOS!$B68="PROCESO",MOVIMIENTOS!$C68="Chancho"),AND(MOVIMIENTOS!$B68="REGALO",MOVIMIENTOS!$C68&lt;&gt;"Chancho"),AND(MOVIMIENTOS!$B68="VENTA",MOVIMIENTOS!$C68&lt;&gt;"Chancho"),AND(MOVIMIENTOS!$B68="AJUSTE",MOVIMIENTOS!$C68&lt;&gt;"Chancho",N(MOVIMIENTOS!$F68)&lt;0))),IF(MOVIMIENTOS!$B68="AJUSTE",-N(MOVIMIENTOS!$F68),N(MOVIMIENTOS!$F68)),"")</f>
        <v>2006</v>
      </c>
      <c r="O69" t="str">
        <f>IF(AND(MOVIMIENTOS!$B68&lt;&gt;"",NOT(AND(MOVIMIENTOS!$B68="PROCESO",MOVIMIENTOS!$C68&lt;&gt;"Chancho")),NOT(AND(MOVIMIENTOS!$B68="SALDO INICIAL",MOVIMIENTOS!$C68="Chancho"))),TRIM(IF(MOVIMIENTOS!$G68&lt;&gt;"",IF(MOVIMIENTOS!$B68="ENVÍO A SUPESA","G-"&amp;MOVIMIENTOS!$G68,MOVIMIENTOS!$G68)&amp;"  ","")&amp;IF(N(MOVIMIENTOS!$E68)&gt;0,MOVIMIENTOS!$E68&amp;" "&amp;MOVIMIENTOS!$D68,"")),"")</f>
        <v>G-2994 118 jabas</v>
      </c>
      <c r="P69">
        <f t="shared" si="6"/>
        <v>2517</v>
      </c>
    </row>
    <row r="70" spans="1:16" x14ac:dyDescent="0.2">
      <c r="A70" s="7">
        <f t="shared" ref="A70:A133" si="7">IFERROR(INDEX(K$6:K$401,MATCH(ROW()-5,J$6:J$401,0)),"")</f>
        <v>46224</v>
      </c>
      <c r="B70" s="8" t="str">
        <f t="shared" ref="B70:B133" si="8">IFERROR(INDEX(L$6:L$401,MATCH(ROW()-5,J$6:J$401,0)),"")</f>
        <v>INGRESO (compra)</v>
      </c>
      <c r="C70" s="9">
        <f t="shared" ref="C70:C133" si="9">IFERROR(INDEX(M$6:M$401,MATCH(ROW()-5,J$6:J$401,0)),"")</f>
        <v>6650</v>
      </c>
      <c r="D70" s="9" t="str">
        <f t="shared" ref="D70:D133" si="10">IFERROR(INDEX(N$6:N$401,MATCH(ROW()-5,J$6:J$401,0)),"")</f>
        <v/>
      </c>
      <c r="E70" s="8" t="str">
        <f t="shared" ref="E70:E133" si="11">IFERROR(INDEX(O$6:O$401,MATCH(ROW()-5,J$6:J$401,0)),"")</f>
        <v>70 sacos</v>
      </c>
      <c r="F70" s="9">
        <f t="shared" ref="F70:F133" si="12">IFERROR(INDEX(P$6:P$401,MATCH(ROW()-5,J$6:J$401,0)),"")</f>
        <v>10367</v>
      </c>
      <c r="J70">
        <f>IF(AND(MOVIMIENTOS!$B69&lt;&gt;"",NOT(AND(MOVIMIENTOS!$B69="PROCESO",MOVIMIENTOS!$C69&lt;&gt;"Chancho")),NOT(AND(MOVIMIENTOS!$B69="SALDO INICIAL",MOVIMIENTOS!$C69="Chancho"))),COUNT(J$5:J69)+1,"")</f>
        <v>40</v>
      </c>
      <c r="K70" s="10">
        <f>IF(AND(MOVIMIENTOS!$B69&lt;&gt;"",NOT(AND(MOVIMIENTOS!$B69="PROCESO",MOVIMIENTOS!$C69&lt;&gt;"Chancho")),NOT(AND(MOVIMIENTOS!$B69="SALDO INICIAL",MOVIMIENTOS!$C69="Chancho"))),MOVIMIENTOS!$A69,"")</f>
        <v>46220</v>
      </c>
      <c r="L70" t="str">
        <f>IF(AND(MOVIMIENTOS!$B69&lt;&gt;"",NOT(AND(MOVIMIENTOS!$B69="PROCESO",MOVIMIENTOS!$C69&lt;&gt;"Chancho")),NOT(AND(MOVIMIENTOS!$B69="SALDO INICIAL",MOVIMIENTOS!$C69="Chancho"))),IF(MOVIMIENTOS!$B69="SALDO INICIAL","APERTURA ("&amp;MOVIMIENTOS!$C69&amp;")",IF(MOVIMIENTOS!$B69="COMPRA","INGRESO (compra)",IF(MOVIMIENTOS!$B69="PROCESO","CHANCHO (proceso)",IF(MOVIMIENTOS!$B69="ENVÍO A SUPESA","ENVÍO SUPESA cal. "&amp;MOVIMIENTOS!$C69,IF(MOVIMIENTOS!$B69="VENTA CHANCHO","VENTA CHANCHO",IF(MOVIMIENTOS!$B69="DEVOLUCIÓN","DEVOLUCIÓN cal. "&amp;MOVIMIENTOS!$C69,IF(MOVIMIENTOS!$B69="TRASIEGO","TRASIEGO cal. "&amp;MOVIMIENTOS!$C69,IF(MOVIMIENTOS!$B69="REGALO","REGALO "&amp;MOVIMIENTOS!$C69,IF(MOVIMIENTOS!$B69="VENTA","VENTA "&amp;MOVIMIENTOS!$C69,IF(MOVIMIENTOS!$B69="AJUSTE","AJUSTE inventario ("&amp;MOVIMIENTOS!$C69&amp;")",MOVIMIENTOS!$B69)))))))))),"")</f>
        <v>VENTA CHANCHO</v>
      </c>
      <c r="M70" t="str">
        <f>IF(AND(AND(MOVIMIENTOS!$B69&lt;&gt;"",NOT(AND(MOVIMIENTOS!$B69="PROCESO",MOVIMIENTOS!$C69&lt;&gt;"Chancho")),NOT(AND(MOVIMIENTOS!$B69="SALDO INICIAL",MOVIMIENTOS!$C69="Chancho"))),OR(MOVIMIENTOS!$B69="SALDO INICIAL",MOVIMIENTOS!$B69="COMPRA",MOVIMIENTOS!$B69="REPROCESO",AND(MOVIMIENTOS!$B69="AJUSTE",MOVIMIENTOS!$C69&lt;&gt;"Chancho",N(MOVIMIENTOS!$F69)&gt;=0))),N(MOVIMIENTOS!$F69),"")</f>
        <v/>
      </c>
      <c r="N70" t="str">
        <f>IF(AND(AND(MOVIMIENTOS!$B69&lt;&gt;"",NOT(AND(MOVIMIENTOS!$B69="PROCESO",MOVIMIENTOS!$C69&lt;&gt;"Chancho")),NOT(AND(MOVIMIENTOS!$B69="SALDO INICIAL",MOVIMIENTOS!$C69="Chancho"))),OR(MOVIMIENTOS!$B69="ENVÍO A SUPESA",MOVIMIENTOS!$B69="MALOGRADO",MOVIMIENTOS!$B69="OTRA SALIDA",MOVIMIENTOS!$B69="TRASIEGO",AND(MOVIMIENTOS!$B69="PROCESO",MOVIMIENTOS!$C69="Chancho"),AND(MOVIMIENTOS!$B69="REGALO",MOVIMIENTOS!$C69&lt;&gt;"Chancho"),AND(MOVIMIENTOS!$B69="VENTA",MOVIMIENTOS!$C69&lt;&gt;"Chancho"),AND(MOVIMIENTOS!$B69="AJUSTE",MOVIMIENTOS!$C69&lt;&gt;"Chancho",N(MOVIMIENTOS!$F69)&lt;0))),IF(MOVIMIENTOS!$B69="AJUSTE",-N(MOVIMIENTOS!$F69),N(MOVIMIENTOS!$F69)),"")</f>
        <v/>
      </c>
      <c r="O70" t="str">
        <f>IF(AND(MOVIMIENTOS!$B69&lt;&gt;"",NOT(AND(MOVIMIENTOS!$B69="PROCESO",MOVIMIENTOS!$C69&lt;&gt;"Chancho")),NOT(AND(MOVIMIENTOS!$B69="SALDO INICIAL",MOVIMIENTOS!$C69="Chancho"))),TRIM(IF(MOVIMIENTOS!$G69&lt;&gt;"",IF(MOVIMIENTOS!$B69="ENVÍO A SUPESA","G-"&amp;MOVIMIENTOS!$G69,MOVIMIENTOS!$G69)&amp;"  ","")&amp;IF(N(MOVIMIENTOS!$E69)&gt;0,MOVIMIENTOS!$E69&amp;" "&amp;MOVIMIENTOS!$D69,"")),"")</f>
        <v>TCK002-725 15 sacos</v>
      </c>
      <c r="P70">
        <f t="shared" ref="P70:P133" si="13">N(P69)+N(M70)-N(N70)</f>
        <v>2517</v>
      </c>
    </row>
    <row r="71" spans="1:16" x14ac:dyDescent="0.2">
      <c r="A71" s="7">
        <f t="shared" si="7"/>
        <v>46224</v>
      </c>
      <c r="B71" s="8" t="str">
        <f t="shared" si="8"/>
        <v>CHANCHO (proceso)</v>
      </c>
      <c r="C71" s="9" t="str">
        <f t="shared" si="9"/>
        <v/>
      </c>
      <c r="D71" s="9">
        <f t="shared" si="10"/>
        <v>380</v>
      </c>
      <c r="E71" s="8" t="str">
        <f t="shared" si="11"/>
        <v>4 sacos</v>
      </c>
      <c r="F71" s="9">
        <f t="shared" si="12"/>
        <v>9987</v>
      </c>
      <c r="J71">
        <f>IF(AND(MOVIMIENTOS!$B70&lt;&gt;"",NOT(AND(MOVIMIENTOS!$B70="PROCESO",MOVIMIENTOS!$C70&lt;&gt;"Chancho")),NOT(AND(MOVIMIENTOS!$B70="SALDO INICIAL",MOVIMIENTOS!$C70="Chancho"))),COUNT(J$5:J70)+1,"")</f>
        <v>41</v>
      </c>
      <c r="K71" s="10">
        <f>IF(AND(MOVIMIENTOS!$B70&lt;&gt;"",NOT(AND(MOVIMIENTOS!$B70="PROCESO",MOVIMIENTOS!$C70&lt;&gt;"Chancho")),NOT(AND(MOVIMIENTOS!$B70="SALDO INICIAL",MOVIMIENTOS!$C70="Chancho"))),MOVIMIENTOS!$A70,"")</f>
        <v>46220</v>
      </c>
      <c r="L71" t="str">
        <f>IF(AND(MOVIMIENTOS!$B70&lt;&gt;"",NOT(AND(MOVIMIENTOS!$B70="PROCESO",MOVIMIENTOS!$C70&lt;&gt;"Chancho")),NOT(AND(MOVIMIENTOS!$B70="SALDO INICIAL",MOVIMIENTOS!$C70="Chancho"))),IF(MOVIMIENTOS!$B70="SALDO INICIAL","APERTURA ("&amp;MOVIMIENTOS!$C70&amp;")",IF(MOVIMIENTOS!$B70="COMPRA","INGRESO (compra)",IF(MOVIMIENTOS!$B70="PROCESO","CHANCHO (proceso)",IF(MOVIMIENTOS!$B70="ENVÍO A SUPESA","ENVÍO SUPESA cal. "&amp;MOVIMIENTOS!$C70,IF(MOVIMIENTOS!$B70="VENTA CHANCHO","VENTA CHANCHO",IF(MOVIMIENTOS!$B70="DEVOLUCIÓN","DEVOLUCIÓN cal. "&amp;MOVIMIENTOS!$C70,IF(MOVIMIENTOS!$B70="TRASIEGO","TRASIEGO cal. "&amp;MOVIMIENTOS!$C70,IF(MOVIMIENTOS!$B70="REGALO","REGALO "&amp;MOVIMIENTOS!$C70,IF(MOVIMIENTOS!$B70="VENTA","VENTA "&amp;MOVIMIENTOS!$C70,IF(MOVIMIENTOS!$B70="AJUSTE","AJUSTE inventario ("&amp;MOVIMIENTOS!$C70&amp;")",MOVIMIENTOS!$B70)))))))))),"")</f>
        <v>INGRESO (compra)</v>
      </c>
      <c r="M71">
        <f>IF(AND(AND(MOVIMIENTOS!$B70&lt;&gt;"",NOT(AND(MOVIMIENTOS!$B70="PROCESO",MOVIMIENTOS!$C70&lt;&gt;"Chancho")),NOT(AND(MOVIMIENTOS!$B70="SALDO INICIAL",MOVIMIENTOS!$C70="Chancho"))),OR(MOVIMIENTOS!$B70="SALDO INICIAL",MOVIMIENTOS!$B70="COMPRA",MOVIMIENTOS!$B70="REPROCESO",AND(MOVIMIENTOS!$B70="AJUSTE",MOVIMIENTOS!$C70&lt;&gt;"Chancho",N(MOVIMIENTOS!$F70)&gt;=0))),N(MOVIMIENTOS!$F70),"")</f>
        <v>475</v>
      </c>
      <c r="N71" t="str">
        <f>IF(AND(AND(MOVIMIENTOS!$B70&lt;&gt;"",NOT(AND(MOVIMIENTOS!$B70="PROCESO",MOVIMIENTOS!$C70&lt;&gt;"Chancho")),NOT(AND(MOVIMIENTOS!$B70="SALDO INICIAL",MOVIMIENTOS!$C70="Chancho"))),OR(MOVIMIENTOS!$B70="ENVÍO A SUPESA",MOVIMIENTOS!$B70="MALOGRADO",MOVIMIENTOS!$B70="OTRA SALIDA",MOVIMIENTOS!$B70="TRASIEGO",AND(MOVIMIENTOS!$B70="PROCESO",MOVIMIENTOS!$C70="Chancho"),AND(MOVIMIENTOS!$B70="REGALO",MOVIMIENTOS!$C70&lt;&gt;"Chancho"),AND(MOVIMIENTOS!$B70="VENTA",MOVIMIENTOS!$C70&lt;&gt;"Chancho"),AND(MOVIMIENTOS!$B70="AJUSTE",MOVIMIENTOS!$C70&lt;&gt;"Chancho",N(MOVIMIENTOS!$F70)&lt;0))),IF(MOVIMIENTOS!$B70="AJUSTE",-N(MOVIMIENTOS!$F70),N(MOVIMIENTOS!$F70)),"")</f>
        <v/>
      </c>
      <c r="O71" t="str">
        <f>IF(AND(MOVIMIENTOS!$B70&lt;&gt;"",NOT(AND(MOVIMIENTOS!$B70="PROCESO",MOVIMIENTOS!$C70&lt;&gt;"Chancho")),NOT(AND(MOVIMIENTOS!$B70="SALDO INICIAL",MOVIMIENTOS!$C70="Chancho"))),TRIM(IF(MOVIMIENTOS!$G70&lt;&gt;"",IF(MOVIMIENTOS!$B70="ENVÍO A SUPESA","G-"&amp;MOVIMIENTOS!$G70,MOVIMIENTOS!$G70)&amp;"  ","")&amp;IF(N(MOVIMIENTOS!$E70)&gt;0,MOVIMIENTOS!$E70&amp;" "&amp;MOVIMIENTOS!$D70,"")),"")</f>
        <v>5 sacos</v>
      </c>
      <c r="P71">
        <f t="shared" si="13"/>
        <v>2992</v>
      </c>
    </row>
    <row r="72" spans="1:16" x14ac:dyDescent="0.2">
      <c r="A72" s="7">
        <f t="shared" si="7"/>
        <v>46224</v>
      </c>
      <c r="B72" s="8" t="str">
        <f t="shared" si="8"/>
        <v>ENVÍO SUPESA cal. A</v>
      </c>
      <c r="C72" s="9" t="str">
        <f t="shared" si="9"/>
        <v/>
      </c>
      <c r="D72" s="9">
        <f t="shared" si="10"/>
        <v>1005</v>
      </c>
      <c r="E72" s="8" t="str">
        <f t="shared" si="11"/>
        <v>G-3004 67 jabas</v>
      </c>
      <c r="F72" s="9">
        <f t="shared" si="12"/>
        <v>8982</v>
      </c>
      <c r="J72" t="str">
        <f>IF(AND(MOVIMIENTOS!$B71&lt;&gt;"",NOT(AND(MOVIMIENTOS!$B71="PROCESO",MOVIMIENTOS!$C71&lt;&gt;"Chancho")),NOT(AND(MOVIMIENTOS!$B71="SALDO INICIAL",MOVIMIENTOS!$C71="Chancho"))),COUNT(J$5:J71)+1,"")</f>
        <v/>
      </c>
      <c r="K72" t="str">
        <f>IF(AND(MOVIMIENTOS!$B71&lt;&gt;"",NOT(AND(MOVIMIENTOS!$B71="PROCESO",MOVIMIENTOS!$C71&lt;&gt;"Chancho")),NOT(AND(MOVIMIENTOS!$B71="SALDO INICIAL",MOVIMIENTOS!$C71="Chancho"))),MOVIMIENTOS!$A71,"")</f>
        <v/>
      </c>
      <c r="L72" t="str">
        <f>IF(AND(MOVIMIENTOS!$B71&lt;&gt;"",NOT(AND(MOVIMIENTOS!$B71="PROCESO",MOVIMIENTOS!$C71&lt;&gt;"Chancho")),NOT(AND(MOVIMIENTOS!$B71="SALDO INICIAL",MOVIMIENTOS!$C71="Chancho"))),IF(MOVIMIENTOS!$B71="SALDO INICIAL","APERTURA ("&amp;MOVIMIENTOS!$C71&amp;")",IF(MOVIMIENTOS!$B71="COMPRA","INGRESO (compra)",IF(MOVIMIENTOS!$B71="PROCESO","CHANCHO (proceso)",IF(MOVIMIENTOS!$B71="ENVÍO A SUPESA","ENVÍO SUPESA cal. "&amp;MOVIMIENTOS!$C71,IF(MOVIMIENTOS!$B71="VENTA CHANCHO","VENTA CHANCHO",IF(MOVIMIENTOS!$B71="DEVOLUCIÓN","DEVOLUCIÓN cal. "&amp;MOVIMIENTOS!$C71,IF(MOVIMIENTOS!$B71="TRASIEGO","TRASIEGO cal. "&amp;MOVIMIENTOS!$C71,IF(MOVIMIENTOS!$B71="REGALO","REGALO "&amp;MOVIMIENTOS!$C71,IF(MOVIMIENTOS!$B71="VENTA","VENTA "&amp;MOVIMIENTOS!$C71,IF(MOVIMIENTOS!$B71="AJUSTE","AJUSTE inventario ("&amp;MOVIMIENTOS!$C71&amp;")",MOVIMIENTOS!$B71)))))))))),"")</f>
        <v/>
      </c>
      <c r="M72" t="str">
        <f>IF(AND(AND(MOVIMIENTOS!$B71&lt;&gt;"",NOT(AND(MOVIMIENTOS!$B71="PROCESO",MOVIMIENTOS!$C71&lt;&gt;"Chancho")),NOT(AND(MOVIMIENTOS!$B71="SALDO INICIAL",MOVIMIENTOS!$C71="Chancho"))),OR(MOVIMIENTOS!$B71="SALDO INICIAL",MOVIMIENTOS!$B71="COMPRA",MOVIMIENTOS!$B71="REPROCESO",AND(MOVIMIENTOS!$B71="AJUSTE",MOVIMIENTOS!$C71&lt;&gt;"Chancho",N(MOVIMIENTOS!$F71)&gt;=0))),N(MOVIMIENTOS!$F71),"")</f>
        <v/>
      </c>
      <c r="N72" t="str">
        <f>IF(AND(AND(MOVIMIENTOS!$B71&lt;&gt;"",NOT(AND(MOVIMIENTOS!$B71="PROCESO",MOVIMIENTOS!$C71&lt;&gt;"Chancho")),NOT(AND(MOVIMIENTOS!$B71="SALDO INICIAL",MOVIMIENTOS!$C71="Chancho"))),OR(MOVIMIENTOS!$B71="ENVÍO A SUPESA",MOVIMIENTOS!$B71="MALOGRADO",MOVIMIENTOS!$B71="OTRA SALIDA",MOVIMIENTOS!$B71="TRASIEGO",AND(MOVIMIENTOS!$B71="PROCESO",MOVIMIENTOS!$C71="Chancho"),AND(MOVIMIENTOS!$B71="REGALO",MOVIMIENTOS!$C71&lt;&gt;"Chancho"),AND(MOVIMIENTOS!$B71="VENTA",MOVIMIENTOS!$C71&lt;&gt;"Chancho"),AND(MOVIMIENTOS!$B71="AJUSTE",MOVIMIENTOS!$C71&lt;&gt;"Chancho",N(MOVIMIENTOS!$F71)&lt;0))),IF(MOVIMIENTOS!$B71="AJUSTE",-N(MOVIMIENTOS!$F71),N(MOVIMIENTOS!$F71)),"")</f>
        <v/>
      </c>
      <c r="O72" t="str">
        <f>IF(AND(MOVIMIENTOS!$B71&lt;&gt;"",NOT(AND(MOVIMIENTOS!$B71="PROCESO",MOVIMIENTOS!$C71&lt;&gt;"Chancho")),NOT(AND(MOVIMIENTOS!$B71="SALDO INICIAL",MOVIMIENTOS!$C71="Chancho"))),TRIM(IF(MOVIMIENTOS!$G71&lt;&gt;"",IF(MOVIMIENTOS!$B71="ENVÍO A SUPESA","G-"&amp;MOVIMIENTOS!$G71,MOVIMIENTOS!$G71)&amp;"  ","")&amp;IF(N(MOVIMIENTOS!$E71)&gt;0,MOVIMIENTOS!$E71&amp;" "&amp;MOVIMIENTOS!$D71,"")),"")</f>
        <v/>
      </c>
      <c r="P72">
        <f t="shared" si="13"/>
        <v>2992</v>
      </c>
    </row>
    <row r="73" spans="1:16" x14ac:dyDescent="0.2">
      <c r="A73" s="7">
        <f t="shared" si="7"/>
        <v>46224</v>
      </c>
      <c r="B73" s="8" t="str">
        <f t="shared" si="8"/>
        <v>ENVÍO SUPESA cal. P</v>
      </c>
      <c r="C73" s="9" t="str">
        <f t="shared" si="9"/>
        <v/>
      </c>
      <c r="D73" s="9">
        <f t="shared" si="10"/>
        <v>198</v>
      </c>
      <c r="E73" s="8" t="str">
        <f t="shared" si="11"/>
        <v>G-3004 11 jabas</v>
      </c>
      <c r="F73" s="9">
        <f t="shared" si="12"/>
        <v>8784</v>
      </c>
      <c r="J73" t="str">
        <f>IF(AND(MOVIMIENTOS!$B72&lt;&gt;"",NOT(AND(MOVIMIENTOS!$B72="PROCESO",MOVIMIENTOS!$C72&lt;&gt;"Chancho")),NOT(AND(MOVIMIENTOS!$B72="SALDO INICIAL",MOVIMIENTOS!$C72="Chancho"))),COUNT(J$5:J72)+1,"")</f>
        <v/>
      </c>
      <c r="K73" t="str">
        <f>IF(AND(MOVIMIENTOS!$B72&lt;&gt;"",NOT(AND(MOVIMIENTOS!$B72="PROCESO",MOVIMIENTOS!$C72&lt;&gt;"Chancho")),NOT(AND(MOVIMIENTOS!$B72="SALDO INICIAL",MOVIMIENTOS!$C72="Chancho"))),MOVIMIENTOS!$A72,"")</f>
        <v/>
      </c>
      <c r="L73" t="str">
        <f>IF(AND(MOVIMIENTOS!$B72&lt;&gt;"",NOT(AND(MOVIMIENTOS!$B72="PROCESO",MOVIMIENTOS!$C72&lt;&gt;"Chancho")),NOT(AND(MOVIMIENTOS!$B72="SALDO INICIAL",MOVIMIENTOS!$C72="Chancho"))),IF(MOVIMIENTOS!$B72="SALDO INICIAL","APERTURA ("&amp;MOVIMIENTOS!$C72&amp;")",IF(MOVIMIENTOS!$B72="COMPRA","INGRESO (compra)",IF(MOVIMIENTOS!$B72="PROCESO","CHANCHO (proceso)",IF(MOVIMIENTOS!$B72="ENVÍO A SUPESA","ENVÍO SUPESA cal. "&amp;MOVIMIENTOS!$C72,IF(MOVIMIENTOS!$B72="VENTA CHANCHO","VENTA CHANCHO",IF(MOVIMIENTOS!$B72="DEVOLUCIÓN","DEVOLUCIÓN cal. "&amp;MOVIMIENTOS!$C72,IF(MOVIMIENTOS!$B72="TRASIEGO","TRASIEGO cal. "&amp;MOVIMIENTOS!$C72,IF(MOVIMIENTOS!$B72="REGALO","REGALO "&amp;MOVIMIENTOS!$C72,IF(MOVIMIENTOS!$B72="VENTA","VENTA "&amp;MOVIMIENTOS!$C72,IF(MOVIMIENTOS!$B72="AJUSTE","AJUSTE inventario ("&amp;MOVIMIENTOS!$C72&amp;")",MOVIMIENTOS!$B72)))))))))),"")</f>
        <v/>
      </c>
      <c r="M73" t="str">
        <f>IF(AND(AND(MOVIMIENTOS!$B72&lt;&gt;"",NOT(AND(MOVIMIENTOS!$B72="PROCESO",MOVIMIENTOS!$C72&lt;&gt;"Chancho")),NOT(AND(MOVIMIENTOS!$B72="SALDO INICIAL",MOVIMIENTOS!$C72="Chancho"))),OR(MOVIMIENTOS!$B72="SALDO INICIAL",MOVIMIENTOS!$B72="COMPRA",MOVIMIENTOS!$B72="REPROCESO",AND(MOVIMIENTOS!$B72="AJUSTE",MOVIMIENTOS!$C72&lt;&gt;"Chancho",N(MOVIMIENTOS!$F72)&gt;=0))),N(MOVIMIENTOS!$F72),"")</f>
        <v/>
      </c>
      <c r="N73" t="str">
        <f>IF(AND(AND(MOVIMIENTOS!$B72&lt;&gt;"",NOT(AND(MOVIMIENTOS!$B72="PROCESO",MOVIMIENTOS!$C72&lt;&gt;"Chancho")),NOT(AND(MOVIMIENTOS!$B72="SALDO INICIAL",MOVIMIENTOS!$C72="Chancho"))),OR(MOVIMIENTOS!$B72="ENVÍO A SUPESA",MOVIMIENTOS!$B72="MALOGRADO",MOVIMIENTOS!$B72="OTRA SALIDA",MOVIMIENTOS!$B72="TRASIEGO",AND(MOVIMIENTOS!$B72="PROCESO",MOVIMIENTOS!$C72="Chancho"),AND(MOVIMIENTOS!$B72="REGALO",MOVIMIENTOS!$C72&lt;&gt;"Chancho"),AND(MOVIMIENTOS!$B72="VENTA",MOVIMIENTOS!$C72&lt;&gt;"Chancho"),AND(MOVIMIENTOS!$B72="AJUSTE",MOVIMIENTOS!$C72&lt;&gt;"Chancho",N(MOVIMIENTOS!$F72)&lt;0))),IF(MOVIMIENTOS!$B72="AJUSTE",-N(MOVIMIENTOS!$F72),N(MOVIMIENTOS!$F72)),"")</f>
        <v/>
      </c>
      <c r="O73" t="str">
        <f>IF(AND(MOVIMIENTOS!$B72&lt;&gt;"",NOT(AND(MOVIMIENTOS!$B72="PROCESO",MOVIMIENTOS!$C72&lt;&gt;"Chancho")),NOT(AND(MOVIMIENTOS!$B72="SALDO INICIAL",MOVIMIENTOS!$C72="Chancho"))),TRIM(IF(MOVIMIENTOS!$G72&lt;&gt;"",IF(MOVIMIENTOS!$B72="ENVÍO A SUPESA","G-"&amp;MOVIMIENTOS!$G72,MOVIMIENTOS!$G72)&amp;"  ","")&amp;IF(N(MOVIMIENTOS!$E72)&gt;0,MOVIMIENTOS!$E72&amp;" "&amp;MOVIMIENTOS!$D72,"")),"")</f>
        <v/>
      </c>
      <c r="P73">
        <f t="shared" si="13"/>
        <v>2992</v>
      </c>
    </row>
    <row r="74" spans="1:16" x14ac:dyDescent="0.2">
      <c r="A74" s="7">
        <f t="shared" si="7"/>
        <v>46224</v>
      </c>
      <c r="B74" s="8" t="str">
        <f t="shared" si="8"/>
        <v>ENVÍO SUPESA cal. C</v>
      </c>
      <c r="C74" s="9" t="str">
        <f t="shared" si="9"/>
        <v/>
      </c>
      <c r="D74" s="9">
        <f t="shared" si="10"/>
        <v>170</v>
      </c>
      <c r="E74" s="8" t="str">
        <f t="shared" si="11"/>
        <v>G-3004 10 jabas</v>
      </c>
      <c r="F74" s="9">
        <f t="shared" si="12"/>
        <v>8614</v>
      </c>
      <c r="J74">
        <f>IF(AND(MOVIMIENTOS!$B73&lt;&gt;"",NOT(AND(MOVIMIENTOS!$B73="PROCESO",MOVIMIENTOS!$C73&lt;&gt;"Chancho")),NOT(AND(MOVIMIENTOS!$B73="SALDO INICIAL",MOVIMIENTOS!$C73="Chancho"))),COUNT(J$5:J73)+1,"")</f>
        <v>42</v>
      </c>
      <c r="K74" s="10">
        <f>IF(AND(MOVIMIENTOS!$B73&lt;&gt;"",NOT(AND(MOVIMIENTOS!$B73="PROCESO",MOVIMIENTOS!$C73&lt;&gt;"Chancho")),NOT(AND(MOVIMIENTOS!$B73="SALDO INICIAL",MOVIMIENTOS!$C73="Chancho"))),MOVIMIENTOS!$A73,"")</f>
        <v>46220</v>
      </c>
      <c r="L74" t="str">
        <f>IF(AND(MOVIMIENTOS!$B73&lt;&gt;"",NOT(AND(MOVIMIENTOS!$B73="PROCESO",MOVIMIENTOS!$C73&lt;&gt;"Chancho")),NOT(AND(MOVIMIENTOS!$B73="SALDO INICIAL",MOVIMIENTOS!$C73="Chancho"))),IF(MOVIMIENTOS!$B73="SALDO INICIAL","APERTURA ("&amp;MOVIMIENTOS!$C73&amp;")",IF(MOVIMIENTOS!$B73="COMPRA","INGRESO (compra)",IF(MOVIMIENTOS!$B73="PROCESO","CHANCHO (proceso)",IF(MOVIMIENTOS!$B73="ENVÍO A SUPESA","ENVÍO SUPESA cal. "&amp;MOVIMIENTOS!$C73,IF(MOVIMIENTOS!$B73="VENTA CHANCHO","VENTA CHANCHO",IF(MOVIMIENTOS!$B73="DEVOLUCIÓN","DEVOLUCIÓN cal. "&amp;MOVIMIENTOS!$C73,IF(MOVIMIENTOS!$B73="TRASIEGO","TRASIEGO cal. "&amp;MOVIMIENTOS!$C73,IF(MOVIMIENTOS!$B73="REGALO","REGALO "&amp;MOVIMIENTOS!$C73,IF(MOVIMIENTOS!$B73="VENTA","VENTA "&amp;MOVIMIENTOS!$C73,IF(MOVIMIENTOS!$B73="AJUSTE","AJUSTE inventario ("&amp;MOVIMIENTOS!$C73&amp;")",MOVIMIENTOS!$B73)))))))))),"")</f>
        <v>CHANCHO (proceso)</v>
      </c>
      <c r="M74" t="str">
        <f>IF(AND(AND(MOVIMIENTOS!$B73&lt;&gt;"",NOT(AND(MOVIMIENTOS!$B73="PROCESO",MOVIMIENTOS!$C73&lt;&gt;"Chancho")),NOT(AND(MOVIMIENTOS!$B73="SALDO INICIAL",MOVIMIENTOS!$C73="Chancho"))),OR(MOVIMIENTOS!$B73="SALDO INICIAL",MOVIMIENTOS!$B73="COMPRA",MOVIMIENTOS!$B73="REPROCESO",AND(MOVIMIENTOS!$B73="AJUSTE",MOVIMIENTOS!$C73&lt;&gt;"Chancho",N(MOVIMIENTOS!$F73)&gt;=0))),N(MOVIMIENTOS!$F73),"")</f>
        <v/>
      </c>
      <c r="N74">
        <f>IF(AND(AND(MOVIMIENTOS!$B73&lt;&gt;"",NOT(AND(MOVIMIENTOS!$B73="PROCESO",MOVIMIENTOS!$C73&lt;&gt;"Chancho")),NOT(AND(MOVIMIENTOS!$B73="SALDO INICIAL",MOVIMIENTOS!$C73="Chancho"))),OR(MOVIMIENTOS!$B73="ENVÍO A SUPESA",MOVIMIENTOS!$B73="MALOGRADO",MOVIMIENTOS!$B73="OTRA SALIDA",MOVIMIENTOS!$B73="TRASIEGO",AND(MOVIMIENTOS!$B73="PROCESO",MOVIMIENTOS!$C73="Chancho"),AND(MOVIMIENTOS!$B73="REGALO",MOVIMIENTOS!$C73&lt;&gt;"Chancho"),AND(MOVIMIENTOS!$B73="VENTA",MOVIMIENTOS!$C73&lt;&gt;"Chancho"),AND(MOVIMIENTOS!$B73="AJUSTE",MOVIMIENTOS!$C73&lt;&gt;"Chancho",N(MOVIMIENTOS!$F73)&lt;0))),IF(MOVIMIENTOS!$B73="AJUSTE",-N(MOVIMIENTOS!$F73),N(MOVIMIENTOS!$F73)),"")</f>
        <v>95</v>
      </c>
      <c r="O74" t="str">
        <f>IF(AND(MOVIMIENTOS!$B73&lt;&gt;"",NOT(AND(MOVIMIENTOS!$B73="PROCESO",MOVIMIENTOS!$C73&lt;&gt;"Chancho")),NOT(AND(MOVIMIENTOS!$B73="SALDO INICIAL",MOVIMIENTOS!$C73="Chancho"))),TRIM(IF(MOVIMIENTOS!$G73&lt;&gt;"",IF(MOVIMIENTOS!$B73="ENVÍO A SUPESA","G-"&amp;MOVIMIENTOS!$G73,MOVIMIENTOS!$G73)&amp;"  ","")&amp;IF(N(MOVIMIENTOS!$E73)&gt;0,MOVIMIENTOS!$E73&amp;" "&amp;MOVIMIENTOS!$D73,"")),"")</f>
        <v>1 sacos</v>
      </c>
      <c r="P74">
        <f t="shared" si="13"/>
        <v>2897</v>
      </c>
    </row>
    <row r="75" spans="1:16" x14ac:dyDescent="0.2">
      <c r="A75" s="7">
        <f t="shared" si="7"/>
        <v>46224</v>
      </c>
      <c r="B75" s="8" t="str">
        <f t="shared" si="8"/>
        <v>ENVÍO SUPESA cal. M</v>
      </c>
      <c r="C75" s="9" t="str">
        <f t="shared" si="9"/>
        <v/>
      </c>
      <c r="D75" s="9">
        <f t="shared" si="10"/>
        <v>1887</v>
      </c>
      <c r="E75" s="8" t="str">
        <f t="shared" si="11"/>
        <v>G-3004 111 jabas</v>
      </c>
      <c r="F75" s="9">
        <f t="shared" si="12"/>
        <v>6727</v>
      </c>
      <c r="J75">
        <f>IF(AND(MOVIMIENTOS!$B74&lt;&gt;"",NOT(AND(MOVIMIENTOS!$B74="PROCESO",MOVIMIENTOS!$C74&lt;&gt;"Chancho")),NOT(AND(MOVIMIENTOS!$B74="SALDO INICIAL",MOVIMIENTOS!$C74="Chancho"))),COUNT(J$5:J74)+1,"")</f>
        <v>43</v>
      </c>
      <c r="K75" s="10">
        <f>IF(AND(MOVIMIENTOS!$B74&lt;&gt;"",NOT(AND(MOVIMIENTOS!$B74="PROCESO",MOVIMIENTOS!$C74&lt;&gt;"Chancho")),NOT(AND(MOVIMIENTOS!$B74="SALDO INICIAL",MOVIMIENTOS!$C74="Chancho"))),MOVIMIENTOS!$A74,"")</f>
        <v>46221</v>
      </c>
      <c r="L75" t="str">
        <f>IF(AND(MOVIMIENTOS!$B74&lt;&gt;"",NOT(AND(MOVIMIENTOS!$B74="PROCESO",MOVIMIENTOS!$C74&lt;&gt;"Chancho")),NOT(AND(MOVIMIENTOS!$B74="SALDO INICIAL",MOVIMIENTOS!$C74="Chancho"))),IF(MOVIMIENTOS!$B74="SALDO INICIAL","APERTURA ("&amp;MOVIMIENTOS!$C74&amp;")",IF(MOVIMIENTOS!$B74="COMPRA","INGRESO (compra)",IF(MOVIMIENTOS!$B74="PROCESO","CHANCHO (proceso)",IF(MOVIMIENTOS!$B74="ENVÍO A SUPESA","ENVÍO SUPESA cal. "&amp;MOVIMIENTOS!$C74,IF(MOVIMIENTOS!$B74="VENTA CHANCHO","VENTA CHANCHO",IF(MOVIMIENTOS!$B74="DEVOLUCIÓN","DEVOLUCIÓN cal. "&amp;MOVIMIENTOS!$C74,IF(MOVIMIENTOS!$B74="TRASIEGO","TRASIEGO cal. "&amp;MOVIMIENTOS!$C74,IF(MOVIMIENTOS!$B74="REGALO","REGALO "&amp;MOVIMIENTOS!$C74,IF(MOVIMIENTOS!$B74="VENTA","VENTA "&amp;MOVIMIENTOS!$C74,IF(MOVIMIENTOS!$B74="AJUSTE","AJUSTE inventario ("&amp;MOVIMIENTOS!$C74&amp;")",MOVIMIENTOS!$B74)))))))))),"")</f>
        <v>ENVÍO SUPESA cal. A</v>
      </c>
      <c r="M75" t="str">
        <f>IF(AND(AND(MOVIMIENTOS!$B74&lt;&gt;"",NOT(AND(MOVIMIENTOS!$B74="PROCESO",MOVIMIENTOS!$C74&lt;&gt;"Chancho")),NOT(AND(MOVIMIENTOS!$B74="SALDO INICIAL",MOVIMIENTOS!$C74="Chancho"))),OR(MOVIMIENTOS!$B74="SALDO INICIAL",MOVIMIENTOS!$B74="COMPRA",MOVIMIENTOS!$B74="REPROCESO",AND(MOVIMIENTOS!$B74="AJUSTE",MOVIMIENTOS!$C74&lt;&gt;"Chancho",N(MOVIMIENTOS!$F74)&gt;=0))),N(MOVIMIENTOS!$F74),"")</f>
        <v/>
      </c>
      <c r="N75">
        <f>IF(AND(AND(MOVIMIENTOS!$B74&lt;&gt;"",NOT(AND(MOVIMIENTOS!$B74="PROCESO",MOVIMIENTOS!$C74&lt;&gt;"Chancho")),NOT(AND(MOVIMIENTOS!$B74="SALDO INICIAL",MOVIMIENTOS!$C74="Chancho"))),OR(MOVIMIENTOS!$B74="ENVÍO A SUPESA",MOVIMIENTOS!$B74="MALOGRADO",MOVIMIENTOS!$B74="OTRA SALIDA",MOVIMIENTOS!$B74="TRASIEGO",AND(MOVIMIENTOS!$B74="PROCESO",MOVIMIENTOS!$C74="Chancho"),AND(MOVIMIENTOS!$B74="REGALO",MOVIMIENTOS!$C74&lt;&gt;"Chancho"),AND(MOVIMIENTOS!$B74="VENTA",MOVIMIENTOS!$C74&lt;&gt;"Chancho"),AND(MOVIMIENTOS!$B74="AJUSTE",MOVIMIENTOS!$C74&lt;&gt;"Chancho",N(MOVIMIENTOS!$F74)&lt;0))),IF(MOVIMIENTOS!$B74="AJUSTE",-N(MOVIMIENTOS!$F74),N(MOVIMIENTOS!$F74)),"")</f>
        <v>1005</v>
      </c>
      <c r="O75" t="str">
        <f>IF(AND(MOVIMIENTOS!$B74&lt;&gt;"",NOT(AND(MOVIMIENTOS!$B74="PROCESO",MOVIMIENTOS!$C74&lt;&gt;"Chancho")),NOT(AND(MOVIMIENTOS!$B74="SALDO INICIAL",MOVIMIENTOS!$C74="Chancho"))),TRIM(IF(MOVIMIENTOS!$G74&lt;&gt;"",IF(MOVIMIENTOS!$B74="ENVÍO A SUPESA","G-"&amp;MOVIMIENTOS!$G74,MOVIMIENTOS!$G74)&amp;"  ","")&amp;IF(N(MOVIMIENTOS!$E74)&gt;0,MOVIMIENTOS!$E74&amp;" "&amp;MOVIMIENTOS!$D74,"")),"")</f>
        <v>G-2996 67 jabas</v>
      </c>
      <c r="P75">
        <f t="shared" si="13"/>
        <v>1892</v>
      </c>
    </row>
    <row r="76" spans="1:16" x14ac:dyDescent="0.2">
      <c r="A76" s="7">
        <f t="shared" si="7"/>
        <v>46224</v>
      </c>
      <c r="B76" s="8" t="str">
        <f t="shared" si="8"/>
        <v>DEVOLUCIÓN cal. A</v>
      </c>
      <c r="C76" s="9" t="str">
        <f t="shared" si="9"/>
        <v/>
      </c>
      <c r="D76" s="9" t="str">
        <f t="shared" si="10"/>
        <v/>
      </c>
      <c r="E76" s="8" t="str">
        <f t="shared" si="11"/>
        <v>1 jabas</v>
      </c>
      <c r="F76" s="9">
        <f t="shared" si="12"/>
        <v>6727</v>
      </c>
      <c r="J76">
        <f>IF(AND(MOVIMIENTOS!$B75&lt;&gt;"",NOT(AND(MOVIMIENTOS!$B75="PROCESO",MOVIMIENTOS!$C75&lt;&gt;"Chancho")),NOT(AND(MOVIMIENTOS!$B75="SALDO INICIAL",MOVIMIENTOS!$C75="Chancho"))),COUNT(J$5:J75)+1,"")</f>
        <v>44</v>
      </c>
      <c r="K76" s="10">
        <f>IF(AND(MOVIMIENTOS!$B75&lt;&gt;"",NOT(AND(MOVIMIENTOS!$B75="PROCESO",MOVIMIENTOS!$C75&lt;&gt;"Chancho")),NOT(AND(MOVIMIENTOS!$B75="SALDO INICIAL",MOVIMIENTOS!$C75="Chancho"))),MOVIMIENTOS!$A75,"")</f>
        <v>46221</v>
      </c>
      <c r="L76" t="str">
        <f>IF(AND(MOVIMIENTOS!$B75&lt;&gt;"",NOT(AND(MOVIMIENTOS!$B75="PROCESO",MOVIMIENTOS!$C75&lt;&gt;"Chancho")),NOT(AND(MOVIMIENTOS!$B75="SALDO INICIAL",MOVIMIENTOS!$C75="Chancho"))),IF(MOVIMIENTOS!$B75="SALDO INICIAL","APERTURA ("&amp;MOVIMIENTOS!$C75&amp;")",IF(MOVIMIENTOS!$B75="COMPRA","INGRESO (compra)",IF(MOVIMIENTOS!$B75="PROCESO","CHANCHO (proceso)",IF(MOVIMIENTOS!$B75="ENVÍO A SUPESA","ENVÍO SUPESA cal. "&amp;MOVIMIENTOS!$C75,IF(MOVIMIENTOS!$B75="VENTA CHANCHO","VENTA CHANCHO",IF(MOVIMIENTOS!$B75="DEVOLUCIÓN","DEVOLUCIÓN cal. "&amp;MOVIMIENTOS!$C75,IF(MOVIMIENTOS!$B75="TRASIEGO","TRASIEGO cal. "&amp;MOVIMIENTOS!$C75,IF(MOVIMIENTOS!$B75="REGALO","REGALO "&amp;MOVIMIENTOS!$C75,IF(MOVIMIENTOS!$B75="VENTA","VENTA "&amp;MOVIMIENTOS!$C75,IF(MOVIMIENTOS!$B75="AJUSTE","AJUSTE inventario ("&amp;MOVIMIENTOS!$C75&amp;")",MOVIMIENTOS!$B75)))))))))),"")</f>
        <v>ENVÍO SUPESA cal. P</v>
      </c>
      <c r="M76" t="str">
        <f>IF(AND(AND(MOVIMIENTOS!$B75&lt;&gt;"",NOT(AND(MOVIMIENTOS!$B75="PROCESO",MOVIMIENTOS!$C75&lt;&gt;"Chancho")),NOT(AND(MOVIMIENTOS!$B75="SALDO INICIAL",MOVIMIENTOS!$C75="Chancho"))),OR(MOVIMIENTOS!$B75="SALDO INICIAL",MOVIMIENTOS!$B75="COMPRA",MOVIMIENTOS!$B75="REPROCESO",AND(MOVIMIENTOS!$B75="AJUSTE",MOVIMIENTOS!$C75&lt;&gt;"Chancho",N(MOVIMIENTOS!$F75)&gt;=0))),N(MOVIMIENTOS!$F75),"")</f>
        <v/>
      </c>
      <c r="N76">
        <f>IF(AND(AND(MOVIMIENTOS!$B75&lt;&gt;"",NOT(AND(MOVIMIENTOS!$B75="PROCESO",MOVIMIENTOS!$C75&lt;&gt;"Chancho")),NOT(AND(MOVIMIENTOS!$B75="SALDO INICIAL",MOVIMIENTOS!$C75="Chancho"))),OR(MOVIMIENTOS!$B75="ENVÍO A SUPESA",MOVIMIENTOS!$B75="MALOGRADO",MOVIMIENTOS!$B75="OTRA SALIDA",MOVIMIENTOS!$B75="TRASIEGO",AND(MOVIMIENTOS!$B75="PROCESO",MOVIMIENTOS!$C75="Chancho"),AND(MOVIMIENTOS!$B75="REGALO",MOVIMIENTOS!$C75&lt;&gt;"Chancho"),AND(MOVIMIENTOS!$B75="VENTA",MOVIMIENTOS!$C75&lt;&gt;"Chancho"),AND(MOVIMIENTOS!$B75="AJUSTE",MOVIMIENTOS!$C75&lt;&gt;"Chancho",N(MOVIMIENTOS!$F75)&lt;0))),IF(MOVIMIENTOS!$B75="AJUSTE",-N(MOVIMIENTOS!$F75),N(MOVIMIENTOS!$F75)),"")</f>
        <v>72</v>
      </c>
      <c r="O76" t="str">
        <f>IF(AND(MOVIMIENTOS!$B75&lt;&gt;"",NOT(AND(MOVIMIENTOS!$B75="PROCESO",MOVIMIENTOS!$C75&lt;&gt;"Chancho")),NOT(AND(MOVIMIENTOS!$B75="SALDO INICIAL",MOVIMIENTOS!$C75="Chancho"))),TRIM(IF(MOVIMIENTOS!$G75&lt;&gt;"",IF(MOVIMIENTOS!$B75="ENVÍO A SUPESA","G-"&amp;MOVIMIENTOS!$G75,MOVIMIENTOS!$G75)&amp;"  ","")&amp;IF(N(MOVIMIENTOS!$E75)&gt;0,MOVIMIENTOS!$E75&amp;" "&amp;MOVIMIENTOS!$D75,"")),"")</f>
        <v>G-2996 4 jabas</v>
      </c>
      <c r="P76">
        <f t="shared" si="13"/>
        <v>1820</v>
      </c>
    </row>
    <row r="77" spans="1:16" x14ac:dyDescent="0.2">
      <c r="A77" s="7">
        <f t="shared" si="7"/>
        <v>46224</v>
      </c>
      <c r="B77" s="8" t="str">
        <f t="shared" si="8"/>
        <v>DEVOLUCIÓN cal. M</v>
      </c>
      <c r="C77" s="9" t="str">
        <f t="shared" si="9"/>
        <v/>
      </c>
      <c r="D77" s="9" t="str">
        <f t="shared" si="10"/>
        <v/>
      </c>
      <c r="E77" s="8" t="str">
        <f t="shared" si="11"/>
        <v>1 jabas</v>
      </c>
      <c r="F77" s="9">
        <f t="shared" si="12"/>
        <v>6727</v>
      </c>
      <c r="J77">
        <f>IF(AND(MOVIMIENTOS!$B76&lt;&gt;"",NOT(AND(MOVIMIENTOS!$B76="PROCESO",MOVIMIENTOS!$C76&lt;&gt;"Chancho")),NOT(AND(MOVIMIENTOS!$B76="SALDO INICIAL",MOVIMIENTOS!$C76="Chancho"))),COUNT(J$5:J76)+1,"")</f>
        <v>45</v>
      </c>
      <c r="K77" s="10">
        <f>IF(AND(MOVIMIENTOS!$B76&lt;&gt;"",NOT(AND(MOVIMIENTOS!$B76="PROCESO",MOVIMIENTOS!$C76&lt;&gt;"Chancho")),NOT(AND(MOVIMIENTOS!$B76="SALDO INICIAL",MOVIMIENTOS!$C76="Chancho"))),MOVIMIENTOS!$A76,"")</f>
        <v>46221</v>
      </c>
      <c r="L77" t="str">
        <f>IF(AND(MOVIMIENTOS!$B76&lt;&gt;"",NOT(AND(MOVIMIENTOS!$B76="PROCESO",MOVIMIENTOS!$C76&lt;&gt;"Chancho")),NOT(AND(MOVIMIENTOS!$B76="SALDO INICIAL",MOVIMIENTOS!$C76="Chancho"))),IF(MOVIMIENTOS!$B76="SALDO INICIAL","APERTURA ("&amp;MOVIMIENTOS!$C76&amp;")",IF(MOVIMIENTOS!$B76="COMPRA","INGRESO (compra)",IF(MOVIMIENTOS!$B76="PROCESO","CHANCHO (proceso)",IF(MOVIMIENTOS!$B76="ENVÍO A SUPESA","ENVÍO SUPESA cal. "&amp;MOVIMIENTOS!$C76,IF(MOVIMIENTOS!$B76="VENTA CHANCHO","VENTA CHANCHO",IF(MOVIMIENTOS!$B76="DEVOLUCIÓN","DEVOLUCIÓN cal. "&amp;MOVIMIENTOS!$C76,IF(MOVIMIENTOS!$B76="TRASIEGO","TRASIEGO cal. "&amp;MOVIMIENTOS!$C76,IF(MOVIMIENTOS!$B76="REGALO","REGALO "&amp;MOVIMIENTOS!$C76,IF(MOVIMIENTOS!$B76="VENTA","VENTA "&amp;MOVIMIENTOS!$C76,IF(MOVIMIENTOS!$B76="AJUSTE","AJUSTE inventario ("&amp;MOVIMIENTOS!$C76&amp;")",MOVIMIENTOS!$B76)))))))))),"")</f>
        <v>ENVÍO SUPESA cal. C</v>
      </c>
      <c r="M77" t="str">
        <f>IF(AND(AND(MOVIMIENTOS!$B76&lt;&gt;"",NOT(AND(MOVIMIENTOS!$B76="PROCESO",MOVIMIENTOS!$C76&lt;&gt;"Chancho")),NOT(AND(MOVIMIENTOS!$B76="SALDO INICIAL",MOVIMIENTOS!$C76="Chancho"))),OR(MOVIMIENTOS!$B76="SALDO INICIAL",MOVIMIENTOS!$B76="COMPRA",MOVIMIENTOS!$B76="REPROCESO",AND(MOVIMIENTOS!$B76="AJUSTE",MOVIMIENTOS!$C76&lt;&gt;"Chancho",N(MOVIMIENTOS!$F76)&gt;=0))),N(MOVIMIENTOS!$F76),"")</f>
        <v/>
      </c>
      <c r="N77">
        <f>IF(AND(AND(MOVIMIENTOS!$B76&lt;&gt;"",NOT(AND(MOVIMIENTOS!$B76="PROCESO",MOVIMIENTOS!$C76&lt;&gt;"Chancho")),NOT(AND(MOVIMIENTOS!$B76="SALDO INICIAL",MOVIMIENTOS!$C76="Chancho"))),OR(MOVIMIENTOS!$B76="ENVÍO A SUPESA",MOVIMIENTOS!$B76="MALOGRADO",MOVIMIENTOS!$B76="OTRA SALIDA",MOVIMIENTOS!$B76="TRASIEGO",AND(MOVIMIENTOS!$B76="PROCESO",MOVIMIENTOS!$C76="Chancho"),AND(MOVIMIENTOS!$B76="REGALO",MOVIMIENTOS!$C76&lt;&gt;"Chancho"),AND(MOVIMIENTOS!$B76="VENTA",MOVIMIENTOS!$C76&lt;&gt;"Chancho"),AND(MOVIMIENTOS!$B76="AJUSTE",MOVIMIENTOS!$C76&lt;&gt;"Chancho",N(MOVIMIENTOS!$F76)&lt;0))),IF(MOVIMIENTOS!$B76="AJUSTE",-N(MOVIMIENTOS!$F76),N(MOVIMIENTOS!$F76)),"")</f>
        <v>153</v>
      </c>
      <c r="O77" t="str">
        <f>IF(AND(MOVIMIENTOS!$B76&lt;&gt;"",NOT(AND(MOVIMIENTOS!$B76="PROCESO",MOVIMIENTOS!$C76&lt;&gt;"Chancho")),NOT(AND(MOVIMIENTOS!$B76="SALDO INICIAL",MOVIMIENTOS!$C76="Chancho"))),TRIM(IF(MOVIMIENTOS!$G76&lt;&gt;"",IF(MOVIMIENTOS!$B76="ENVÍO A SUPESA","G-"&amp;MOVIMIENTOS!$G76,MOVIMIENTOS!$G76)&amp;"  ","")&amp;IF(N(MOVIMIENTOS!$E76)&gt;0,MOVIMIENTOS!$E76&amp;" "&amp;MOVIMIENTOS!$D76,"")),"")</f>
        <v>G-2996 9 jabas</v>
      </c>
      <c r="P77">
        <f t="shared" si="13"/>
        <v>1667</v>
      </c>
    </row>
    <row r="78" spans="1:16" x14ac:dyDescent="0.2">
      <c r="A78" s="7">
        <f t="shared" si="7"/>
        <v>46224</v>
      </c>
      <c r="B78" s="8" t="str">
        <f t="shared" si="8"/>
        <v>TRASIEGO cal. A</v>
      </c>
      <c r="C78" s="9" t="str">
        <f t="shared" si="9"/>
        <v/>
      </c>
      <c r="D78" s="9">
        <f t="shared" si="10"/>
        <v>15</v>
      </c>
      <c r="E78" s="8" t="str">
        <f t="shared" si="11"/>
        <v>1 jabas</v>
      </c>
      <c r="F78" s="9">
        <f t="shared" si="12"/>
        <v>6712</v>
      </c>
      <c r="J78">
        <f>IF(AND(MOVIMIENTOS!$B77&lt;&gt;"",NOT(AND(MOVIMIENTOS!$B77="PROCESO",MOVIMIENTOS!$C77&lt;&gt;"Chancho")),NOT(AND(MOVIMIENTOS!$B77="SALDO INICIAL",MOVIMIENTOS!$C77="Chancho"))),COUNT(J$5:J77)+1,"")</f>
        <v>46</v>
      </c>
      <c r="K78" s="10">
        <f>IF(AND(MOVIMIENTOS!$B77&lt;&gt;"",NOT(AND(MOVIMIENTOS!$B77="PROCESO",MOVIMIENTOS!$C77&lt;&gt;"Chancho")),NOT(AND(MOVIMIENTOS!$B77="SALDO INICIAL",MOVIMIENTOS!$C77="Chancho"))),MOVIMIENTOS!$A77,"")</f>
        <v>46221</v>
      </c>
      <c r="L78" t="str">
        <f>IF(AND(MOVIMIENTOS!$B77&lt;&gt;"",NOT(AND(MOVIMIENTOS!$B77="PROCESO",MOVIMIENTOS!$C77&lt;&gt;"Chancho")),NOT(AND(MOVIMIENTOS!$B77="SALDO INICIAL",MOVIMIENTOS!$C77="Chancho"))),IF(MOVIMIENTOS!$B77="SALDO INICIAL","APERTURA ("&amp;MOVIMIENTOS!$C77&amp;")",IF(MOVIMIENTOS!$B77="COMPRA","INGRESO (compra)",IF(MOVIMIENTOS!$B77="PROCESO","CHANCHO (proceso)",IF(MOVIMIENTOS!$B77="ENVÍO A SUPESA","ENVÍO SUPESA cal. "&amp;MOVIMIENTOS!$C77,IF(MOVIMIENTOS!$B77="VENTA CHANCHO","VENTA CHANCHO",IF(MOVIMIENTOS!$B77="DEVOLUCIÓN","DEVOLUCIÓN cal. "&amp;MOVIMIENTOS!$C77,IF(MOVIMIENTOS!$B77="TRASIEGO","TRASIEGO cal. "&amp;MOVIMIENTOS!$C77,IF(MOVIMIENTOS!$B77="REGALO","REGALO "&amp;MOVIMIENTOS!$C77,IF(MOVIMIENTOS!$B77="VENTA","VENTA "&amp;MOVIMIENTOS!$C77,IF(MOVIMIENTOS!$B77="AJUSTE","AJUSTE inventario ("&amp;MOVIMIENTOS!$C77&amp;")",MOVIMIENTOS!$B77)))))))))),"")</f>
        <v>ENVÍO SUPESA cal. M</v>
      </c>
      <c r="M78" t="str">
        <f>IF(AND(AND(MOVIMIENTOS!$B77&lt;&gt;"",NOT(AND(MOVIMIENTOS!$B77="PROCESO",MOVIMIENTOS!$C77&lt;&gt;"Chancho")),NOT(AND(MOVIMIENTOS!$B77="SALDO INICIAL",MOVIMIENTOS!$C77="Chancho"))),OR(MOVIMIENTOS!$B77="SALDO INICIAL",MOVIMIENTOS!$B77="COMPRA",MOVIMIENTOS!$B77="REPROCESO",AND(MOVIMIENTOS!$B77="AJUSTE",MOVIMIENTOS!$C77&lt;&gt;"Chancho",N(MOVIMIENTOS!$F77)&gt;=0))),N(MOVIMIENTOS!$F77),"")</f>
        <v/>
      </c>
      <c r="N78">
        <f>IF(AND(AND(MOVIMIENTOS!$B77&lt;&gt;"",NOT(AND(MOVIMIENTOS!$B77="PROCESO",MOVIMIENTOS!$C77&lt;&gt;"Chancho")),NOT(AND(MOVIMIENTOS!$B77="SALDO INICIAL",MOVIMIENTOS!$C77="Chancho"))),OR(MOVIMIENTOS!$B77="ENVÍO A SUPESA",MOVIMIENTOS!$B77="MALOGRADO",MOVIMIENTOS!$B77="OTRA SALIDA",MOVIMIENTOS!$B77="TRASIEGO",AND(MOVIMIENTOS!$B77="PROCESO",MOVIMIENTOS!$C77="Chancho"),AND(MOVIMIENTOS!$B77="REGALO",MOVIMIENTOS!$C77&lt;&gt;"Chancho"),AND(MOVIMIENTOS!$B77="VENTA",MOVIMIENTOS!$C77&lt;&gt;"Chancho"),AND(MOVIMIENTOS!$B77="AJUSTE",MOVIMIENTOS!$C77&lt;&gt;"Chancho",N(MOVIMIENTOS!$F77)&lt;0))),IF(MOVIMIENTOS!$B77="AJUSTE",-N(MOVIMIENTOS!$F77),N(MOVIMIENTOS!$F77)),"")</f>
        <v>1938</v>
      </c>
      <c r="O78" t="str">
        <f>IF(AND(MOVIMIENTOS!$B77&lt;&gt;"",NOT(AND(MOVIMIENTOS!$B77="PROCESO",MOVIMIENTOS!$C77&lt;&gt;"Chancho")),NOT(AND(MOVIMIENTOS!$B77="SALDO INICIAL",MOVIMIENTOS!$C77="Chancho"))),TRIM(IF(MOVIMIENTOS!$G77&lt;&gt;"",IF(MOVIMIENTOS!$B77="ENVÍO A SUPESA","G-"&amp;MOVIMIENTOS!$G77,MOVIMIENTOS!$G77)&amp;"  ","")&amp;IF(N(MOVIMIENTOS!$E77)&gt;0,MOVIMIENTOS!$E77&amp;" "&amp;MOVIMIENTOS!$D77,"")),"")</f>
        <v>G-2996 114 jabas</v>
      </c>
      <c r="P78">
        <f t="shared" si="13"/>
        <v>-271</v>
      </c>
    </row>
    <row r="79" spans="1:16" x14ac:dyDescent="0.2">
      <c r="A79" s="7">
        <f t="shared" si="7"/>
        <v>46224</v>
      </c>
      <c r="B79" s="8" t="str">
        <f t="shared" si="8"/>
        <v>TRASIEGO cal. M</v>
      </c>
      <c r="C79" s="9" t="str">
        <f t="shared" si="9"/>
        <v/>
      </c>
      <c r="D79" s="9">
        <f t="shared" si="10"/>
        <v>17</v>
      </c>
      <c r="E79" s="8" t="str">
        <f t="shared" si="11"/>
        <v>1 jabas</v>
      </c>
      <c r="F79" s="9">
        <f t="shared" si="12"/>
        <v>6695</v>
      </c>
      <c r="J79">
        <f>IF(AND(MOVIMIENTOS!$B78&lt;&gt;"",NOT(AND(MOVIMIENTOS!$B78="PROCESO",MOVIMIENTOS!$C78&lt;&gt;"Chancho")),NOT(AND(MOVIMIENTOS!$B78="SALDO INICIAL",MOVIMIENTOS!$C78="Chancho"))),COUNT(J$5:J78)+1,"")</f>
        <v>47</v>
      </c>
      <c r="K79" s="10">
        <f>IF(AND(MOVIMIENTOS!$B78&lt;&gt;"",NOT(AND(MOVIMIENTOS!$B78="PROCESO",MOVIMIENTOS!$C78&lt;&gt;"Chancho")),NOT(AND(MOVIMIENTOS!$B78="SALDO INICIAL",MOVIMIENTOS!$C78="Chancho"))),MOVIMIENTOS!$A78,"")</f>
        <v>46221</v>
      </c>
      <c r="L79" t="str">
        <f>IF(AND(MOVIMIENTOS!$B78&lt;&gt;"",NOT(AND(MOVIMIENTOS!$B78="PROCESO",MOVIMIENTOS!$C78&lt;&gt;"Chancho")),NOT(AND(MOVIMIENTOS!$B78="SALDO INICIAL",MOVIMIENTOS!$C78="Chancho"))),IF(MOVIMIENTOS!$B78="SALDO INICIAL","APERTURA ("&amp;MOVIMIENTOS!$C78&amp;")",IF(MOVIMIENTOS!$B78="COMPRA","INGRESO (compra)",IF(MOVIMIENTOS!$B78="PROCESO","CHANCHO (proceso)",IF(MOVIMIENTOS!$B78="ENVÍO A SUPESA","ENVÍO SUPESA cal. "&amp;MOVIMIENTOS!$C78,IF(MOVIMIENTOS!$B78="VENTA CHANCHO","VENTA CHANCHO",IF(MOVIMIENTOS!$B78="DEVOLUCIÓN","DEVOLUCIÓN cal. "&amp;MOVIMIENTOS!$C78,IF(MOVIMIENTOS!$B78="TRASIEGO","TRASIEGO cal. "&amp;MOVIMIENTOS!$C78,IF(MOVIMIENTOS!$B78="REGALO","REGALO "&amp;MOVIMIENTOS!$C78,IF(MOVIMIENTOS!$B78="VENTA","VENTA "&amp;MOVIMIENTOS!$C78,IF(MOVIMIENTOS!$B78="AJUSTE","AJUSTE inventario ("&amp;MOVIMIENTOS!$C78&amp;")",MOVIMIENTOS!$B78)))))))))),"")</f>
        <v>TRASIEGO cal. A</v>
      </c>
      <c r="M79" t="str">
        <f>IF(AND(AND(MOVIMIENTOS!$B78&lt;&gt;"",NOT(AND(MOVIMIENTOS!$B78="PROCESO",MOVIMIENTOS!$C78&lt;&gt;"Chancho")),NOT(AND(MOVIMIENTOS!$B78="SALDO INICIAL",MOVIMIENTOS!$C78="Chancho"))),OR(MOVIMIENTOS!$B78="SALDO INICIAL",MOVIMIENTOS!$B78="COMPRA",MOVIMIENTOS!$B78="REPROCESO",AND(MOVIMIENTOS!$B78="AJUSTE",MOVIMIENTOS!$C78&lt;&gt;"Chancho",N(MOVIMIENTOS!$F78)&gt;=0))),N(MOVIMIENTOS!$F78),"")</f>
        <v/>
      </c>
      <c r="N79">
        <f>IF(AND(AND(MOVIMIENTOS!$B78&lt;&gt;"",NOT(AND(MOVIMIENTOS!$B78="PROCESO",MOVIMIENTOS!$C78&lt;&gt;"Chancho")),NOT(AND(MOVIMIENTOS!$B78="SALDO INICIAL",MOVIMIENTOS!$C78="Chancho"))),OR(MOVIMIENTOS!$B78="ENVÍO A SUPESA",MOVIMIENTOS!$B78="MALOGRADO",MOVIMIENTOS!$B78="OTRA SALIDA",MOVIMIENTOS!$B78="TRASIEGO",AND(MOVIMIENTOS!$B78="PROCESO",MOVIMIENTOS!$C78="Chancho"),AND(MOVIMIENTOS!$B78="REGALO",MOVIMIENTOS!$C78&lt;&gt;"Chancho"),AND(MOVIMIENTOS!$B78="VENTA",MOVIMIENTOS!$C78&lt;&gt;"Chancho"),AND(MOVIMIENTOS!$B78="AJUSTE",MOVIMIENTOS!$C78&lt;&gt;"Chancho",N(MOVIMIENTOS!$F78)&lt;0))),IF(MOVIMIENTOS!$B78="AJUSTE",-N(MOVIMIENTOS!$F78),N(MOVIMIENTOS!$F78)),"")</f>
        <v>15</v>
      </c>
      <c r="O79" t="str">
        <f>IF(AND(MOVIMIENTOS!$B78&lt;&gt;"",NOT(AND(MOVIMIENTOS!$B78="PROCESO",MOVIMIENTOS!$C78&lt;&gt;"Chancho")),NOT(AND(MOVIMIENTOS!$B78="SALDO INICIAL",MOVIMIENTOS!$C78="Chancho"))),TRIM(IF(MOVIMIENTOS!$G78&lt;&gt;"",IF(MOVIMIENTOS!$B78="ENVÍO A SUPESA","G-"&amp;MOVIMIENTOS!$G78,MOVIMIENTOS!$G78)&amp;"  ","")&amp;IF(N(MOVIMIENTOS!$E78)&gt;0,MOVIMIENTOS!$E78&amp;" "&amp;MOVIMIENTOS!$D78,"")),"")</f>
        <v>1 jabas</v>
      </c>
      <c r="P79">
        <f t="shared" si="13"/>
        <v>-286</v>
      </c>
    </row>
    <row r="80" spans="1:16" x14ac:dyDescent="0.2">
      <c r="A80" s="7">
        <f t="shared" si="7"/>
        <v>46224</v>
      </c>
      <c r="B80" s="8" t="str">
        <f t="shared" si="8"/>
        <v>REPROCESO</v>
      </c>
      <c r="C80" s="9">
        <f t="shared" si="9"/>
        <v>17</v>
      </c>
      <c r="D80" s="9" t="str">
        <f t="shared" si="10"/>
        <v/>
      </c>
      <c r="E80" s="8" t="str">
        <f t="shared" si="11"/>
        <v>17 kg</v>
      </c>
      <c r="F80" s="9">
        <f t="shared" si="12"/>
        <v>6712</v>
      </c>
      <c r="J80">
        <f>IF(AND(MOVIMIENTOS!$B79&lt;&gt;"",NOT(AND(MOVIMIENTOS!$B79="PROCESO",MOVIMIENTOS!$C79&lt;&gt;"Chancho")),NOT(AND(MOVIMIENTOS!$B79="SALDO INICIAL",MOVIMIENTOS!$C79="Chancho"))),COUNT(J$5:J79)+1,"")</f>
        <v>48</v>
      </c>
      <c r="K80" s="10">
        <f>IF(AND(MOVIMIENTOS!$B79&lt;&gt;"",NOT(AND(MOVIMIENTOS!$B79="PROCESO",MOVIMIENTOS!$C79&lt;&gt;"Chancho")),NOT(AND(MOVIMIENTOS!$B79="SALDO INICIAL",MOVIMIENTOS!$C79="Chancho"))),MOVIMIENTOS!$A79,"")</f>
        <v>46222</v>
      </c>
      <c r="L80" t="str">
        <f>IF(AND(MOVIMIENTOS!$B79&lt;&gt;"",NOT(AND(MOVIMIENTOS!$B79="PROCESO",MOVIMIENTOS!$C79&lt;&gt;"Chancho")),NOT(AND(MOVIMIENTOS!$B79="SALDO INICIAL",MOVIMIENTOS!$C79="Chancho"))),IF(MOVIMIENTOS!$B79="SALDO INICIAL","APERTURA ("&amp;MOVIMIENTOS!$C79&amp;")",IF(MOVIMIENTOS!$B79="COMPRA","INGRESO (compra)",IF(MOVIMIENTOS!$B79="PROCESO","CHANCHO (proceso)",IF(MOVIMIENTOS!$B79="ENVÍO A SUPESA","ENVÍO SUPESA cal. "&amp;MOVIMIENTOS!$C79,IF(MOVIMIENTOS!$B79="VENTA CHANCHO","VENTA CHANCHO",IF(MOVIMIENTOS!$B79="DEVOLUCIÓN","DEVOLUCIÓN cal. "&amp;MOVIMIENTOS!$C79,IF(MOVIMIENTOS!$B79="TRASIEGO","TRASIEGO cal. "&amp;MOVIMIENTOS!$C79,IF(MOVIMIENTOS!$B79="REGALO","REGALO "&amp;MOVIMIENTOS!$C79,IF(MOVIMIENTOS!$B79="VENTA","VENTA "&amp;MOVIMIENTOS!$C79,IF(MOVIMIENTOS!$B79="AJUSTE","AJUSTE inventario ("&amp;MOVIMIENTOS!$C79&amp;")",MOVIMIENTOS!$B79)))))))))),"")</f>
        <v>INGRESO (compra)</v>
      </c>
      <c r="M80">
        <f>IF(AND(AND(MOVIMIENTOS!$B79&lt;&gt;"",NOT(AND(MOVIMIENTOS!$B79="PROCESO",MOVIMIENTOS!$C79&lt;&gt;"Chancho")),NOT(AND(MOVIMIENTOS!$B79="SALDO INICIAL",MOVIMIENTOS!$C79="Chancho"))),OR(MOVIMIENTOS!$B79="SALDO INICIAL",MOVIMIENTOS!$B79="COMPRA",MOVIMIENTOS!$B79="REPROCESO",AND(MOVIMIENTOS!$B79="AJUSTE",MOVIMIENTOS!$C79&lt;&gt;"Chancho",N(MOVIMIENTOS!$F79)&gt;=0))),N(MOVIMIENTOS!$F79),"")</f>
        <v>4750</v>
      </c>
      <c r="N80" t="str">
        <f>IF(AND(AND(MOVIMIENTOS!$B79&lt;&gt;"",NOT(AND(MOVIMIENTOS!$B79="PROCESO",MOVIMIENTOS!$C79&lt;&gt;"Chancho")),NOT(AND(MOVIMIENTOS!$B79="SALDO INICIAL",MOVIMIENTOS!$C79="Chancho"))),OR(MOVIMIENTOS!$B79="ENVÍO A SUPESA",MOVIMIENTOS!$B79="MALOGRADO",MOVIMIENTOS!$B79="OTRA SALIDA",MOVIMIENTOS!$B79="TRASIEGO",AND(MOVIMIENTOS!$B79="PROCESO",MOVIMIENTOS!$C79="Chancho"),AND(MOVIMIENTOS!$B79="REGALO",MOVIMIENTOS!$C79&lt;&gt;"Chancho"),AND(MOVIMIENTOS!$B79="VENTA",MOVIMIENTOS!$C79&lt;&gt;"Chancho"),AND(MOVIMIENTOS!$B79="AJUSTE",MOVIMIENTOS!$C79&lt;&gt;"Chancho",N(MOVIMIENTOS!$F79)&lt;0))),IF(MOVIMIENTOS!$B79="AJUSTE",-N(MOVIMIENTOS!$F79),N(MOVIMIENTOS!$F79)),"")</f>
        <v/>
      </c>
      <c r="O80" t="str">
        <f>IF(AND(MOVIMIENTOS!$B79&lt;&gt;"",NOT(AND(MOVIMIENTOS!$B79="PROCESO",MOVIMIENTOS!$C79&lt;&gt;"Chancho")),NOT(AND(MOVIMIENTOS!$B79="SALDO INICIAL",MOVIMIENTOS!$C79="Chancho"))),TRIM(IF(MOVIMIENTOS!$G79&lt;&gt;"",IF(MOVIMIENTOS!$B79="ENVÍO A SUPESA","G-"&amp;MOVIMIENTOS!$G79,MOVIMIENTOS!$G79)&amp;"  ","")&amp;IF(N(MOVIMIENTOS!$E79)&gt;0,MOVIMIENTOS!$E79&amp;" "&amp;MOVIMIENTOS!$D79,"")),"")</f>
        <v>50 sacos</v>
      </c>
      <c r="P80">
        <f t="shared" si="13"/>
        <v>4464</v>
      </c>
    </row>
    <row r="81" spans="1:16" x14ac:dyDescent="0.2">
      <c r="A81" s="7">
        <f t="shared" si="7"/>
        <v>46225</v>
      </c>
      <c r="B81" s="8" t="str">
        <f t="shared" si="8"/>
        <v>CHANCHO (proceso)</v>
      </c>
      <c r="C81" s="9" t="str">
        <f t="shared" si="9"/>
        <v/>
      </c>
      <c r="D81" s="9">
        <f t="shared" si="10"/>
        <v>760</v>
      </c>
      <c r="E81" s="8" t="str">
        <f t="shared" si="11"/>
        <v>8 sacos</v>
      </c>
      <c r="F81" s="9">
        <f t="shared" si="12"/>
        <v>5952</v>
      </c>
      <c r="J81" t="str">
        <f>IF(AND(MOVIMIENTOS!$B80&lt;&gt;"",NOT(AND(MOVIMIENTOS!$B80="PROCESO",MOVIMIENTOS!$C80&lt;&gt;"Chancho")),NOT(AND(MOVIMIENTOS!$B80="SALDO INICIAL",MOVIMIENTOS!$C80="Chancho"))),COUNT(J$5:J80)+1,"")</f>
        <v/>
      </c>
      <c r="K81" t="str">
        <f>IF(AND(MOVIMIENTOS!$B80&lt;&gt;"",NOT(AND(MOVIMIENTOS!$B80="PROCESO",MOVIMIENTOS!$C80&lt;&gt;"Chancho")),NOT(AND(MOVIMIENTOS!$B80="SALDO INICIAL",MOVIMIENTOS!$C80="Chancho"))),MOVIMIENTOS!$A80,"")</f>
        <v/>
      </c>
      <c r="L81" t="str">
        <f>IF(AND(MOVIMIENTOS!$B80&lt;&gt;"",NOT(AND(MOVIMIENTOS!$B80="PROCESO",MOVIMIENTOS!$C80&lt;&gt;"Chancho")),NOT(AND(MOVIMIENTOS!$B80="SALDO INICIAL",MOVIMIENTOS!$C80="Chancho"))),IF(MOVIMIENTOS!$B80="SALDO INICIAL","APERTURA ("&amp;MOVIMIENTOS!$C80&amp;")",IF(MOVIMIENTOS!$B80="COMPRA","INGRESO (compra)",IF(MOVIMIENTOS!$B80="PROCESO","CHANCHO (proceso)",IF(MOVIMIENTOS!$B80="ENVÍO A SUPESA","ENVÍO SUPESA cal. "&amp;MOVIMIENTOS!$C80,IF(MOVIMIENTOS!$B80="VENTA CHANCHO","VENTA CHANCHO",IF(MOVIMIENTOS!$B80="DEVOLUCIÓN","DEVOLUCIÓN cal. "&amp;MOVIMIENTOS!$C80,IF(MOVIMIENTOS!$B80="TRASIEGO","TRASIEGO cal. "&amp;MOVIMIENTOS!$C80,IF(MOVIMIENTOS!$B80="REGALO","REGALO "&amp;MOVIMIENTOS!$C80,IF(MOVIMIENTOS!$B80="VENTA","VENTA "&amp;MOVIMIENTOS!$C80,IF(MOVIMIENTOS!$B80="AJUSTE","AJUSTE inventario ("&amp;MOVIMIENTOS!$C80&amp;")",MOVIMIENTOS!$B80)))))))))),"")</f>
        <v/>
      </c>
      <c r="M81" t="str">
        <f>IF(AND(AND(MOVIMIENTOS!$B80&lt;&gt;"",NOT(AND(MOVIMIENTOS!$B80="PROCESO",MOVIMIENTOS!$C80&lt;&gt;"Chancho")),NOT(AND(MOVIMIENTOS!$B80="SALDO INICIAL",MOVIMIENTOS!$C80="Chancho"))),OR(MOVIMIENTOS!$B80="SALDO INICIAL",MOVIMIENTOS!$B80="COMPRA",MOVIMIENTOS!$B80="REPROCESO",AND(MOVIMIENTOS!$B80="AJUSTE",MOVIMIENTOS!$C80&lt;&gt;"Chancho",N(MOVIMIENTOS!$F80)&gt;=0))),N(MOVIMIENTOS!$F80),"")</f>
        <v/>
      </c>
      <c r="N81" t="str">
        <f>IF(AND(AND(MOVIMIENTOS!$B80&lt;&gt;"",NOT(AND(MOVIMIENTOS!$B80="PROCESO",MOVIMIENTOS!$C80&lt;&gt;"Chancho")),NOT(AND(MOVIMIENTOS!$B80="SALDO INICIAL",MOVIMIENTOS!$C80="Chancho"))),OR(MOVIMIENTOS!$B80="ENVÍO A SUPESA",MOVIMIENTOS!$B80="MALOGRADO",MOVIMIENTOS!$B80="OTRA SALIDA",MOVIMIENTOS!$B80="TRASIEGO",AND(MOVIMIENTOS!$B80="PROCESO",MOVIMIENTOS!$C80="Chancho"),AND(MOVIMIENTOS!$B80="REGALO",MOVIMIENTOS!$C80&lt;&gt;"Chancho"),AND(MOVIMIENTOS!$B80="VENTA",MOVIMIENTOS!$C80&lt;&gt;"Chancho"),AND(MOVIMIENTOS!$B80="AJUSTE",MOVIMIENTOS!$C80&lt;&gt;"Chancho",N(MOVIMIENTOS!$F80)&lt;0))),IF(MOVIMIENTOS!$B80="AJUSTE",-N(MOVIMIENTOS!$F80),N(MOVIMIENTOS!$F80)),"")</f>
        <v/>
      </c>
      <c r="O81" t="str">
        <f>IF(AND(MOVIMIENTOS!$B80&lt;&gt;"",NOT(AND(MOVIMIENTOS!$B80="PROCESO",MOVIMIENTOS!$C80&lt;&gt;"Chancho")),NOT(AND(MOVIMIENTOS!$B80="SALDO INICIAL",MOVIMIENTOS!$C80="Chancho"))),TRIM(IF(MOVIMIENTOS!$G80&lt;&gt;"",IF(MOVIMIENTOS!$B80="ENVÍO A SUPESA","G-"&amp;MOVIMIENTOS!$G80,MOVIMIENTOS!$G80)&amp;"  ","")&amp;IF(N(MOVIMIENTOS!$E80)&gt;0,MOVIMIENTOS!$E80&amp;" "&amp;MOVIMIENTOS!$D80,"")),"")</f>
        <v/>
      </c>
      <c r="P81">
        <f t="shared" si="13"/>
        <v>4464</v>
      </c>
    </row>
    <row r="82" spans="1:16" x14ac:dyDescent="0.2">
      <c r="A82" s="7">
        <f t="shared" si="7"/>
        <v>46225</v>
      </c>
      <c r="B82" s="8" t="str">
        <f t="shared" si="8"/>
        <v>MALOGRADO</v>
      </c>
      <c r="C82" s="9" t="str">
        <f t="shared" si="9"/>
        <v/>
      </c>
      <c r="D82" s="9">
        <f t="shared" si="10"/>
        <v>50</v>
      </c>
      <c r="E82" s="8" t="str">
        <f t="shared" si="11"/>
        <v>50 kg</v>
      </c>
      <c r="F82" s="9">
        <f t="shared" si="12"/>
        <v>5902</v>
      </c>
      <c r="J82" t="str">
        <f>IF(AND(MOVIMIENTOS!$B81&lt;&gt;"",NOT(AND(MOVIMIENTOS!$B81="PROCESO",MOVIMIENTOS!$C81&lt;&gt;"Chancho")),NOT(AND(MOVIMIENTOS!$B81="SALDO INICIAL",MOVIMIENTOS!$C81="Chancho"))),COUNT(J$5:J81)+1,"")</f>
        <v/>
      </c>
      <c r="K82" t="str">
        <f>IF(AND(MOVIMIENTOS!$B81&lt;&gt;"",NOT(AND(MOVIMIENTOS!$B81="PROCESO",MOVIMIENTOS!$C81&lt;&gt;"Chancho")),NOT(AND(MOVIMIENTOS!$B81="SALDO INICIAL",MOVIMIENTOS!$C81="Chancho"))),MOVIMIENTOS!$A81,"")</f>
        <v/>
      </c>
      <c r="L82" t="str">
        <f>IF(AND(MOVIMIENTOS!$B81&lt;&gt;"",NOT(AND(MOVIMIENTOS!$B81="PROCESO",MOVIMIENTOS!$C81&lt;&gt;"Chancho")),NOT(AND(MOVIMIENTOS!$B81="SALDO INICIAL",MOVIMIENTOS!$C81="Chancho"))),IF(MOVIMIENTOS!$B81="SALDO INICIAL","APERTURA ("&amp;MOVIMIENTOS!$C81&amp;")",IF(MOVIMIENTOS!$B81="COMPRA","INGRESO (compra)",IF(MOVIMIENTOS!$B81="PROCESO","CHANCHO (proceso)",IF(MOVIMIENTOS!$B81="ENVÍO A SUPESA","ENVÍO SUPESA cal. "&amp;MOVIMIENTOS!$C81,IF(MOVIMIENTOS!$B81="VENTA CHANCHO","VENTA CHANCHO",IF(MOVIMIENTOS!$B81="DEVOLUCIÓN","DEVOLUCIÓN cal. "&amp;MOVIMIENTOS!$C81,IF(MOVIMIENTOS!$B81="TRASIEGO","TRASIEGO cal. "&amp;MOVIMIENTOS!$C81,IF(MOVIMIENTOS!$B81="REGALO","REGALO "&amp;MOVIMIENTOS!$C81,IF(MOVIMIENTOS!$B81="VENTA","VENTA "&amp;MOVIMIENTOS!$C81,IF(MOVIMIENTOS!$B81="AJUSTE","AJUSTE inventario ("&amp;MOVIMIENTOS!$C81&amp;")",MOVIMIENTOS!$B81)))))))))),"")</f>
        <v/>
      </c>
      <c r="M82" t="str">
        <f>IF(AND(AND(MOVIMIENTOS!$B81&lt;&gt;"",NOT(AND(MOVIMIENTOS!$B81="PROCESO",MOVIMIENTOS!$C81&lt;&gt;"Chancho")),NOT(AND(MOVIMIENTOS!$B81="SALDO INICIAL",MOVIMIENTOS!$C81="Chancho"))),OR(MOVIMIENTOS!$B81="SALDO INICIAL",MOVIMIENTOS!$B81="COMPRA",MOVIMIENTOS!$B81="REPROCESO",AND(MOVIMIENTOS!$B81="AJUSTE",MOVIMIENTOS!$C81&lt;&gt;"Chancho",N(MOVIMIENTOS!$F81)&gt;=0))),N(MOVIMIENTOS!$F81),"")</f>
        <v/>
      </c>
      <c r="N82" t="str">
        <f>IF(AND(AND(MOVIMIENTOS!$B81&lt;&gt;"",NOT(AND(MOVIMIENTOS!$B81="PROCESO",MOVIMIENTOS!$C81&lt;&gt;"Chancho")),NOT(AND(MOVIMIENTOS!$B81="SALDO INICIAL",MOVIMIENTOS!$C81="Chancho"))),OR(MOVIMIENTOS!$B81="ENVÍO A SUPESA",MOVIMIENTOS!$B81="MALOGRADO",MOVIMIENTOS!$B81="OTRA SALIDA",MOVIMIENTOS!$B81="TRASIEGO",AND(MOVIMIENTOS!$B81="PROCESO",MOVIMIENTOS!$C81="Chancho"),AND(MOVIMIENTOS!$B81="REGALO",MOVIMIENTOS!$C81&lt;&gt;"Chancho"),AND(MOVIMIENTOS!$B81="VENTA",MOVIMIENTOS!$C81&lt;&gt;"Chancho"),AND(MOVIMIENTOS!$B81="AJUSTE",MOVIMIENTOS!$C81&lt;&gt;"Chancho",N(MOVIMIENTOS!$F81)&lt;0))),IF(MOVIMIENTOS!$B81="AJUSTE",-N(MOVIMIENTOS!$F81),N(MOVIMIENTOS!$F81)),"")</f>
        <v/>
      </c>
      <c r="O82" t="str">
        <f>IF(AND(MOVIMIENTOS!$B81&lt;&gt;"",NOT(AND(MOVIMIENTOS!$B81="PROCESO",MOVIMIENTOS!$C81&lt;&gt;"Chancho")),NOT(AND(MOVIMIENTOS!$B81="SALDO INICIAL",MOVIMIENTOS!$C81="Chancho"))),TRIM(IF(MOVIMIENTOS!$G81&lt;&gt;"",IF(MOVIMIENTOS!$B81="ENVÍO A SUPESA","G-"&amp;MOVIMIENTOS!$G81,MOVIMIENTOS!$G81)&amp;"  ","")&amp;IF(N(MOVIMIENTOS!$E81)&gt;0,MOVIMIENTOS!$E81&amp;" "&amp;MOVIMIENTOS!$D81,"")),"")</f>
        <v/>
      </c>
      <c r="P82">
        <f t="shared" si="13"/>
        <v>4464</v>
      </c>
    </row>
    <row r="83" spans="1:16" x14ac:dyDescent="0.2">
      <c r="A83" s="7">
        <f t="shared" si="7"/>
        <v>46225</v>
      </c>
      <c r="B83" s="8" t="str">
        <f t="shared" si="8"/>
        <v>ENVÍO SUPESA cal. A</v>
      </c>
      <c r="C83" s="9" t="str">
        <f t="shared" si="9"/>
        <v/>
      </c>
      <c r="D83" s="9">
        <f t="shared" si="10"/>
        <v>1005</v>
      </c>
      <c r="E83" s="8" t="str">
        <f t="shared" si="11"/>
        <v>G-3006 67 jabas</v>
      </c>
      <c r="F83" s="9">
        <f t="shared" si="12"/>
        <v>4897</v>
      </c>
      <c r="J83" t="str">
        <f>IF(AND(MOVIMIENTOS!$B82&lt;&gt;"",NOT(AND(MOVIMIENTOS!$B82="PROCESO",MOVIMIENTOS!$C82&lt;&gt;"Chancho")),NOT(AND(MOVIMIENTOS!$B82="SALDO INICIAL",MOVIMIENTOS!$C82="Chancho"))),COUNT(J$5:J82)+1,"")</f>
        <v/>
      </c>
      <c r="K83" t="str">
        <f>IF(AND(MOVIMIENTOS!$B82&lt;&gt;"",NOT(AND(MOVIMIENTOS!$B82="PROCESO",MOVIMIENTOS!$C82&lt;&gt;"Chancho")),NOT(AND(MOVIMIENTOS!$B82="SALDO INICIAL",MOVIMIENTOS!$C82="Chancho"))),MOVIMIENTOS!$A82,"")</f>
        <v/>
      </c>
      <c r="L83" t="str">
        <f>IF(AND(MOVIMIENTOS!$B82&lt;&gt;"",NOT(AND(MOVIMIENTOS!$B82="PROCESO",MOVIMIENTOS!$C82&lt;&gt;"Chancho")),NOT(AND(MOVIMIENTOS!$B82="SALDO INICIAL",MOVIMIENTOS!$C82="Chancho"))),IF(MOVIMIENTOS!$B82="SALDO INICIAL","APERTURA ("&amp;MOVIMIENTOS!$C82&amp;")",IF(MOVIMIENTOS!$B82="COMPRA","INGRESO (compra)",IF(MOVIMIENTOS!$B82="PROCESO","CHANCHO (proceso)",IF(MOVIMIENTOS!$B82="ENVÍO A SUPESA","ENVÍO SUPESA cal. "&amp;MOVIMIENTOS!$C82,IF(MOVIMIENTOS!$B82="VENTA CHANCHO","VENTA CHANCHO",IF(MOVIMIENTOS!$B82="DEVOLUCIÓN","DEVOLUCIÓN cal. "&amp;MOVIMIENTOS!$C82,IF(MOVIMIENTOS!$B82="TRASIEGO","TRASIEGO cal. "&amp;MOVIMIENTOS!$C82,IF(MOVIMIENTOS!$B82="REGALO","REGALO "&amp;MOVIMIENTOS!$C82,IF(MOVIMIENTOS!$B82="VENTA","VENTA "&amp;MOVIMIENTOS!$C82,IF(MOVIMIENTOS!$B82="AJUSTE","AJUSTE inventario ("&amp;MOVIMIENTOS!$C82&amp;")",MOVIMIENTOS!$B82)))))))))),"")</f>
        <v/>
      </c>
      <c r="M83" t="str">
        <f>IF(AND(AND(MOVIMIENTOS!$B82&lt;&gt;"",NOT(AND(MOVIMIENTOS!$B82="PROCESO",MOVIMIENTOS!$C82&lt;&gt;"Chancho")),NOT(AND(MOVIMIENTOS!$B82="SALDO INICIAL",MOVIMIENTOS!$C82="Chancho"))),OR(MOVIMIENTOS!$B82="SALDO INICIAL",MOVIMIENTOS!$B82="COMPRA",MOVIMIENTOS!$B82="REPROCESO",AND(MOVIMIENTOS!$B82="AJUSTE",MOVIMIENTOS!$C82&lt;&gt;"Chancho",N(MOVIMIENTOS!$F82)&gt;=0))),N(MOVIMIENTOS!$F82),"")</f>
        <v/>
      </c>
      <c r="N83" t="str">
        <f>IF(AND(AND(MOVIMIENTOS!$B82&lt;&gt;"",NOT(AND(MOVIMIENTOS!$B82="PROCESO",MOVIMIENTOS!$C82&lt;&gt;"Chancho")),NOT(AND(MOVIMIENTOS!$B82="SALDO INICIAL",MOVIMIENTOS!$C82="Chancho"))),OR(MOVIMIENTOS!$B82="ENVÍO A SUPESA",MOVIMIENTOS!$B82="MALOGRADO",MOVIMIENTOS!$B82="OTRA SALIDA",MOVIMIENTOS!$B82="TRASIEGO",AND(MOVIMIENTOS!$B82="PROCESO",MOVIMIENTOS!$C82="Chancho"),AND(MOVIMIENTOS!$B82="REGALO",MOVIMIENTOS!$C82&lt;&gt;"Chancho"),AND(MOVIMIENTOS!$B82="VENTA",MOVIMIENTOS!$C82&lt;&gt;"Chancho"),AND(MOVIMIENTOS!$B82="AJUSTE",MOVIMIENTOS!$C82&lt;&gt;"Chancho",N(MOVIMIENTOS!$F82)&lt;0))),IF(MOVIMIENTOS!$B82="AJUSTE",-N(MOVIMIENTOS!$F82),N(MOVIMIENTOS!$F82)),"")</f>
        <v/>
      </c>
      <c r="O83" t="str">
        <f>IF(AND(MOVIMIENTOS!$B82&lt;&gt;"",NOT(AND(MOVIMIENTOS!$B82="PROCESO",MOVIMIENTOS!$C82&lt;&gt;"Chancho")),NOT(AND(MOVIMIENTOS!$B82="SALDO INICIAL",MOVIMIENTOS!$C82="Chancho"))),TRIM(IF(MOVIMIENTOS!$G82&lt;&gt;"",IF(MOVIMIENTOS!$B82="ENVÍO A SUPESA","G-"&amp;MOVIMIENTOS!$G82,MOVIMIENTOS!$G82)&amp;"  ","")&amp;IF(N(MOVIMIENTOS!$E82)&gt;0,MOVIMIENTOS!$E82&amp;" "&amp;MOVIMIENTOS!$D82,"")),"")</f>
        <v/>
      </c>
      <c r="P83">
        <f t="shared" si="13"/>
        <v>4464</v>
      </c>
    </row>
    <row r="84" spans="1:16" x14ac:dyDescent="0.2">
      <c r="A84" s="7">
        <f t="shared" si="7"/>
        <v>46225</v>
      </c>
      <c r="B84" s="8" t="str">
        <f t="shared" si="8"/>
        <v>ENVÍO SUPESA cal. P</v>
      </c>
      <c r="C84" s="9" t="str">
        <f t="shared" si="9"/>
        <v/>
      </c>
      <c r="D84" s="9">
        <f t="shared" si="10"/>
        <v>198</v>
      </c>
      <c r="E84" s="8" t="str">
        <f t="shared" si="11"/>
        <v>G-3006 11 jabas</v>
      </c>
      <c r="F84" s="9">
        <f t="shared" si="12"/>
        <v>4699</v>
      </c>
      <c r="J84" t="str">
        <f>IF(AND(MOVIMIENTOS!$B83&lt;&gt;"",NOT(AND(MOVIMIENTOS!$B83="PROCESO",MOVIMIENTOS!$C83&lt;&gt;"Chancho")),NOT(AND(MOVIMIENTOS!$B83="SALDO INICIAL",MOVIMIENTOS!$C83="Chancho"))),COUNT(J$5:J83)+1,"")</f>
        <v/>
      </c>
      <c r="K84" t="str">
        <f>IF(AND(MOVIMIENTOS!$B83&lt;&gt;"",NOT(AND(MOVIMIENTOS!$B83="PROCESO",MOVIMIENTOS!$C83&lt;&gt;"Chancho")),NOT(AND(MOVIMIENTOS!$B83="SALDO INICIAL",MOVIMIENTOS!$C83="Chancho"))),MOVIMIENTOS!$A83,"")</f>
        <v/>
      </c>
      <c r="L84" t="str">
        <f>IF(AND(MOVIMIENTOS!$B83&lt;&gt;"",NOT(AND(MOVIMIENTOS!$B83="PROCESO",MOVIMIENTOS!$C83&lt;&gt;"Chancho")),NOT(AND(MOVIMIENTOS!$B83="SALDO INICIAL",MOVIMIENTOS!$C83="Chancho"))),IF(MOVIMIENTOS!$B83="SALDO INICIAL","APERTURA ("&amp;MOVIMIENTOS!$C83&amp;")",IF(MOVIMIENTOS!$B83="COMPRA","INGRESO (compra)",IF(MOVIMIENTOS!$B83="PROCESO","CHANCHO (proceso)",IF(MOVIMIENTOS!$B83="ENVÍO A SUPESA","ENVÍO SUPESA cal. "&amp;MOVIMIENTOS!$C83,IF(MOVIMIENTOS!$B83="VENTA CHANCHO","VENTA CHANCHO",IF(MOVIMIENTOS!$B83="DEVOLUCIÓN","DEVOLUCIÓN cal. "&amp;MOVIMIENTOS!$C83,IF(MOVIMIENTOS!$B83="TRASIEGO","TRASIEGO cal. "&amp;MOVIMIENTOS!$C83,IF(MOVIMIENTOS!$B83="REGALO","REGALO "&amp;MOVIMIENTOS!$C83,IF(MOVIMIENTOS!$B83="VENTA","VENTA "&amp;MOVIMIENTOS!$C83,IF(MOVIMIENTOS!$B83="AJUSTE","AJUSTE inventario ("&amp;MOVIMIENTOS!$C83&amp;")",MOVIMIENTOS!$B83)))))))))),"")</f>
        <v/>
      </c>
      <c r="M84" t="str">
        <f>IF(AND(AND(MOVIMIENTOS!$B83&lt;&gt;"",NOT(AND(MOVIMIENTOS!$B83="PROCESO",MOVIMIENTOS!$C83&lt;&gt;"Chancho")),NOT(AND(MOVIMIENTOS!$B83="SALDO INICIAL",MOVIMIENTOS!$C83="Chancho"))),OR(MOVIMIENTOS!$B83="SALDO INICIAL",MOVIMIENTOS!$B83="COMPRA",MOVIMIENTOS!$B83="REPROCESO",AND(MOVIMIENTOS!$B83="AJUSTE",MOVIMIENTOS!$C83&lt;&gt;"Chancho",N(MOVIMIENTOS!$F83)&gt;=0))),N(MOVIMIENTOS!$F83),"")</f>
        <v/>
      </c>
      <c r="N84" t="str">
        <f>IF(AND(AND(MOVIMIENTOS!$B83&lt;&gt;"",NOT(AND(MOVIMIENTOS!$B83="PROCESO",MOVIMIENTOS!$C83&lt;&gt;"Chancho")),NOT(AND(MOVIMIENTOS!$B83="SALDO INICIAL",MOVIMIENTOS!$C83="Chancho"))),OR(MOVIMIENTOS!$B83="ENVÍO A SUPESA",MOVIMIENTOS!$B83="MALOGRADO",MOVIMIENTOS!$B83="OTRA SALIDA",MOVIMIENTOS!$B83="TRASIEGO",AND(MOVIMIENTOS!$B83="PROCESO",MOVIMIENTOS!$C83="Chancho"),AND(MOVIMIENTOS!$B83="REGALO",MOVIMIENTOS!$C83&lt;&gt;"Chancho"),AND(MOVIMIENTOS!$B83="VENTA",MOVIMIENTOS!$C83&lt;&gt;"Chancho"),AND(MOVIMIENTOS!$B83="AJUSTE",MOVIMIENTOS!$C83&lt;&gt;"Chancho",N(MOVIMIENTOS!$F83)&lt;0))),IF(MOVIMIENTOS!$B83="AJUSTE",-N(MOVIMIENTOS!$F83),N(MOVIMIENTOS!$F83)),"")</f>
        <v/>
      </c>
      <c r="O84" t="str">
        <f>IF(AND(MOVIMIENTOS!$B83&lt;&gt;"",NOT(AND(MOVIMIENTOS!$B83="PROCESO",MOVIMIENTOS!$C83&lt;&gt;"Chancho")),NOT(AND(MOVIMIENTOS!$B83="SALDO INICIAL",MOVIMIENTOS!$C83="Chancho"))),TRIM(IF(MOVIMIENTOS!$G83&lt;&gt;"",IF(MOVIMIENTOS!$B83="ENVÍO A SUPESA","G-"&amp;MOVIMIENTOS!$G83,MOVIMIENTOS!$G83)&amp;"  ","")&amp;IF(N(MOVIMIENTOS!$E83)&gt;0,MOVIMIENTOS!$E83&amp;" "&amp;MOVIMIENTOS!$D83,"")),"")</f>
        <v/>
      </c>
      <c r="P84">
        <f t="shared" si="13"/>
        <v>4464</v>
      </c>
    </row>
    <row r="85" spans="1:16" x14ac:dyDescent="0.2">
      <c r="A85" s="7">
        <f t="shared" si="7"/>
        <v>46225</v>
      </c>
      <c r="B85" s="8" t="str">
        <f t="shared" si="8"/>
        <v>ENVÍO SUPESA cal. C</v>
      </c>
      <c r="C85" s="9" t="str">
        <f t="shared" si="9"/>
        <v/>
      </c>
      <c r="D85" s="9">
        <f t="shared" si="10"/>
        <v>204</v>
      </c>
      <c r="E85" s="8" t="str">
        <f t="shared" si="11"/>
        <v>G-3006 12 jabas</v>
      </c>
      <c r="F85" s="9">
        <f t="shared" si="12"/>
        <v>4495</v>
      </c>
      <c r="J85">
        <f>IF(AND(MOVIMIENTOS!$B84&lt;&gt;"",NOT(AND(MOVIMIENTOS!$B84="PROCESO",MOVIMIENTOS!$C84&lt;&gt;"Chancho")),NOT(AND(MOVIMIENTOS!$B84="SALDO INICIAL",MOVIMIENTOS!$C84="Chancho"))),COUNT(J$5:J84)+1,"")</f>
        <v>49</v>
      </c>
      <c r="K85" s="10">
        <f>IF(AND(MOVIMIENTOS!$B84&lt;&gt;"",NOT(AND(MOVIMIENTOS!$B84="PROCESO",MOVIMIENTOS!$C84&lt;&gt;"Chancho")),NOT(AND(MOVIMIENTOS!$B84="SALDO INICIAL",MOVIMIENTOS!$C84="Chancho"))),MOVIMIENTOS!$A84,"")</f>
        <v>46222</v>
      </c>
      <c r="L85" t="str">
        <f>IF(AND(MOVIMIENTOS!$B84&lt;&gt;"",NOT(AND(MOVIMIENTOS!$B84="PROCESO",MOVIMIENTOS!$C84&lt;&gt;"Chancho")),NOT(AND(MOVIMIENTOS!$B84="SALDO INICIAL",MOVIMIENTOS!$C84="Chancho"))),IF(MOVIMIENTOS!$B84="SALDO INICIAL","APERTURA ("&amp;MOVIMIENTOS!$C84&amp;")",IF(MOVIMIENTOS!$B84="COMPRA","INGRESO (compra)",IF(MOVIMIENTOS!$B84="PROCESO","CHANCHO (proceso)",IF(MOVIMIENTOS!$B84="ENVÍO A SUPESA","ENVÍO SUPESA cal. "&amp;MOVIMIENTOS!$C84,IF(MOVIMIENTOS!$B84="VENTA CHANCHO","VENTA CHANCHO",IF(MOVIMIENTOS!$B84="DEVOLUCIÓN","DEVOLUCIÓN cal. "&amp;MOVIMIENTOS!$C84,IF(MOVIMIENTOS!$B84="TRASIEGO","TRASIEGO cal. "&amp;MOVIMIENTOS!$C84,IF(MOVIMIENTOS!$B84="REGALO","REGALO "&amp;MOVIMIENTOS!$C84,IF(MOVIMIENTOS!$B84="VENTA","VENTA "&amp;MOVIMIENTOS!$C84,IF(MOVIMIENTOS!$B84="AJUSTE","AJUSTE inventario ("&amp;MOVIMIENTOS!$C84&amp;")",MOVIMIENTOS!$B84)))))))))),"")</f>
        <v>CHANCHO (proceso)</v>
      </c>
      <c r="M85" t="str">
        <f>IF(AND(AND(MOVIMIENTOS!$B84&lt;&gt;"",NOT(AND(MOVIMIENTOS!$B84="PROCESO",MOVIMIENTOS!$C84&lt;&gt;"Chancho")),NOT(AND(MOVIMIENTOS!$B84="SALDO INICIAL",MOVIMIENTOS!$C84="Chancho"))),OR(MOVIMIENTOS!$B84="SALDO INICIAL",MOVIMIENTOS!$B84="COMPRA",MOVIMIENTOS!$B84="REPROCESO",AND(MOVIMIENTOS!$B84="AJUSTE",MOVIMIENTOS!$C84&lt;&gt;"Chancho",N(MOVIMIENTOS!$F84)&gt;=0))),N(MOVIMIENTOS!$F84),"")</f>
        <v/>
      </c>
      <c r="N85">
        <f>IF(AND(AND(MOVIMIENTOS!$B84&lt;&gt;"",NOT(AND(MOVIMIENTOS!$B84="PROCESO",MOVIMIENTOS!$C84&lt;&gt;"Chancho")),NOT(AND(MOVIMIENTOS!$B84="SALDO INICIAL",MOVIMIENTOS!$C84="Chancho"))),OR(MOVIMIENTOS!$B84="ENVÍO A SUPESA",MOVIMIENTOS!$B84="MALOGRADO",MOVIMIENTOS!$B84="OTRA SALIDA",MOVIMIENTOS!$B84="TRASIEGO",AND(MOVIMIENTOS!$B84="PROCESO",MOVIMIENTOS!$C84="Chancho"),AND(MOVIMIENTOS!$B84="REGALO",MOVIMIENTOS!$C84&lt;&gt;"Chancho"),AND(MOVIMIENTOS!$B84="VENTA",MOVIMIENTOS!$C84&lt;&gt;"Chancho"),AND(MOVIMIENTOS!$B84="AJUSTE",MOVIMIENTOS!$C84&lt;&gt;"Chancho",N(MOVIMIENTOS!$F84)&lt;0))),IF(MOVIMIENTOS!$B84="AJUSTE",-N(MOVIMIENTOS!$F84),N(MOVIMIENTOS!$F84)),"")</f>
        <v>1282.5</v>
      </c>
      <c r="O85" t="str">
        <f>IF(AND(MOVIMIENTOS!$B84&lt;&gt;"",NOT(AND(MOVIMIENTOS!$B84="PROCESO",MOVIMIENTOS!$C84&lt;&gt;"Chancho")),NOT(AND(MOVIMIENTOS!$B84="SALDO INICIAL",MOVIMIENTOS!$C84="Chancho"))),TRIM(IF(MOVIMIENTOS!$G84&lt;&gt;"",IF(MOVIMIENTOS!$B84="ENVÍO A SUPESA","G-"&amp;MOVIMIENTOS!$G84,MOVIMIENTOS!$G84)&amp;"  ","")&amp;IF(N(MOVIMIENTOS!$E84)&gt;0,MOVIMIENTOS!$E84&amp;" "&amp;MOVIMIENTOS!$D84,"")),"")</f>
        <v>13.5 sacos</v>
      </c>
      <c r="P85">
        <f t="shared" si="13"/>
        <v>3181.5</v>
      </c>
    </row>
    <row r="86" spans="1:16" x14ac:dyDescent="0.2">
      <c r="A86" s="7">
        <f t="shared" si="7"/>
        <v>46225</v>
      </c>
      <c r="B86" s="8" t="str">
        <f t="shared" si="8"/>
        <v>ENVÍO SUPESA cal. M</v>
      </c>
      <c r="C86" s="9" t="str">
        <f t="shared" si="9"/>
        <v/>
      </c>
      <c r="D86" s="9">
        <f t="shared" si="10"/>
        <v>1887</v>
      </c>
      <c r="E86" s="8" t="str">
        <f t="shared" si="11"/>
        <v>G-3006 111 jabas</v>
      </c>
      <c r="F86" s="9">
        <f t="shared" si="12"/>
        <v>2608</v>
      </c>
      <c r="J86">
        <f>IF(AND(MOVIMIENTOS!$B85&lt;&gt;"",NOT(AND(MOVIMIENTOS!$B85="PROCESO",MOVIMIENTOS!$C85&lt;&gt;"Chancho")),NOT(AND(MOVIMIENTOS!$B85="SALDO INICIAL",MOVIMIENTOS!$C85="Chancho"))),COUNT(J$5:J85)+1,"")</f>
        <v>50</v>
      </c>
      <c r="K86" s="10">
        <f>IF(AND(MOVIMIENTOS!$B85&lt;&gt;"",NOT(AND(MOVIMIENTOS!$B85="PROCESO",MOVIMIENTOS!$C85&lt;&gt;"Chancho")),NOT(AND(MOVIMIENTOS!$B85="SALDO INICIAL",MOVIMIENTOS!$C85="Chancho"))),MOVIMIENTOS!$A85,"")</f>
        <v>46222</v>
      </c>
      <c r="L86" t="str">
        <f>IF(AND(MOVIMIENTOS!$B85&lt;&gt;"",NOT(AND(MOVIMIENTOS!$B85="PROCESO",MOVIMIENTOS!$C85&lt;&gt;"Chancho")),NOT(AND(MOVIMIENTOS!$B85="SALDO INICIAL",MOVIMIENTOS!$C85="Chancho"))),IF(MOVIMIENTOS!$B85="SALDO INICIAL","APERTURA ("&amp;MOVIMIENTOS!$C85&amp;")",IF(MOVIMIENTOS!$B85="COMPRA","INGRESO (compra)",IF(MOVIMIENTOS!$B85="PROCESO","CHANCHO (proceso)",IF(MOVIMIENTOS!$B85="ENVÍO A SUPESA","ENVÍO SUPESA cal. "&amp;MOVIMIENTOS!$C85,IF(MOVIMIENTOS!$B85="VENTA CHANCHO","VENTA CHANCHO",IF(MOVIMIENTOS!$B85="DEVOLUCIÓN","DEVOLUCIÓN cal. "&amp;MOVIMIENTOS!$C85,IF(MOVIMIENTOS!$B85="TRASIEGO","TRASIEGO cal. "&amp;MOVIMIENTOS!$C85,IF(MOVIMIENTOS!$B85="REGALO","REGALO "&amp;MOVIMIENTOS!$C85,IF(MOVIMIENTOS!$B85="VENTA","VENTA "&amp;MOVIMIENTOS!$C85,IF(MOVIMIENTOS!$B85="AJUSTE","AJUSTE inventario ("&amp;MOVIMIENTOS!$C85&amp;")",MOVIMIENTOS!$B85)))))))))),"")</f>
        <v>ENVÍO SUPESA cal. A</v>
      </c>
      <c r="M86" t="str">
        <f>IF(AND(AND(MOVIMIENTOS!$B85&lt;&gt;"",NOT(AND(MOVIMIENTOS!$B85="PROCESO",MOVIMIENTOS!$C85&lt;&gt;"Chancho")),NOT(AND(MOVIMIENTOS!$B85="SALDO INICIAL",MOVIMIENTOS!$C85="Chancho"))),OR(MOVIMIENTOS!$B85="SALDO INICIAL",MOVIMIENTOS!$B85="COMPRA",MOVIMIENTOS!$B85="REPROCESO",AND(MOVIMIENTOS!$B85="AJUSTE",MOVIMIENTOS!$C85&lt;&gt;"Chancho",N(MOVIMIENTOS!$F85)&gt;=0))),N(MOVIMIENTOS!$F85),"")</f>
        <v/>
      </c>
      <c r="N86">
        <f>IF(AND(AND(MOVIMIENTOS!$B85&lt;&gt;"",NOT(AND(MOVIMIENTOS!$B85="PROCESO",MOVIMIENTOS!$C85&lt;&gt;"Chancho")),NOT(AND(MOVIMIENTOS!$B85="SALDO INICIAL",MOVIMIENTOS!$C85="Chancho"))),OR(MOVIMIENTOS!$B85="ENVÍO A SUPESA",MOVIMIENTOS!$B85="MALOGRADO",MOVIMIENTOS!$B85="OTRA SALIDA",MOVIMIENTOS!$B85="TRASIEGO",AND(MOVIMIENTOS!$B85="PROCESO",MOVIMIENTOS!$C85="Chancho"),AND(MOVIMIENTOS!$B85="REGALO",MOVIMIENTOS!$C85&lt;&gt;"Chancho"),AND(MOVIMIENTOS!$B85="VENTA",MOVIMIENTOS!$C85&lt;&gt;"Chancho"),AND(MOVIMIENTOS!$B85="AJUSTE",MOVIMIENTOS!$C85&lt;&gt;"Chancho",N(MOVIMIENTOS!$F85)&lt;0))),IF(MOVIMIENTOS!$B85="AJUSTE",-N(MOVIMIENTOS!$F85),N(MOVIMIENTOS!$F85)),"")</f>
        <v>1005</v>
      </c>
      <c r="O86" t="str">
        <f>IF(AND(MOVIMIENTOS!$B85&lt;&gt;"",NOT(AND(MOVIMIENTOS!$B85="PROCESO",MOVIMIENTOS!$C85&lt;&gt;"Chancho")),NOT(AND(MOVIMIENTOS!$B85="SALDO INICIAL",MOVIMIENTOS!$C85="Chancho"))),TRIM(IF(MOVIMIENTOS!$G85&lt;&gt;"",IF(MOVIMIENTOS!$B85="ENVÍO A SUPESA","G-"&amp;MOVIMIENTOS!$G85,MOVIMIENTOS!$G85)&amp;"  ","")&amp;IF(N(MOVIMIENTOS!$E85)&gt;0,MOVIMIENTOS!$E85&amp;" "&amp;MOVIMIENTOS!$D85,"")),"")</f>
        <v>G-2998 67 jabas</v>
      </c>
      <c r="P86">
        <f t="shared" si="13"/>
        <v>2176.5</v>
      </c>
    </row>
    <row r="87" spans="1:16" x14ac:dyDescent="0.2">
      <c r="A87" s="7">
        <f t="shared" si="7"/>
        <v>46225</v>
      </c>
      <c r="B87" s="8" t="str">
        <f t="shared" si="8"/>
        <v>VENTA CHANCHO</v>
      </c>
      <c r="C87" s="9" t="str">
        <f t="shared" si="9"/>
        <v/>
      </c>
      <c r="D87" s="9" t="str">
        <f t="shared" si="10"/>
        <v/>
      </c>
      <c r="E87" s="8" t="str">
        <f t="shared" si="11"/>
        <v>S/T 10 sacos</v>
      </c>
      <c r="F87" s="9">
        <f t="shared" si="12"/>
        <v>2608</v>
      </c>
      <c r="J87">
        <f>IF(AND(MOVIMIENTOS!$B86&lt;&gt;"",NOT(AND(MOVIMIENTOS!$B86="PROCESO",MOVIMIENTOS!$C86&lt;&gt;"Chancho")),NOT(AND(MOVIMIENTOS!$B86="SALDO INICIAL",MOVIMIENTOS!$C86="Chancho"))),COUNT(J$5:J86)+1,"")</f>
        <v>51</v>
      </c>
      <c r="K87" s="10">
        <f>IF(AND(MOVIMIENTOS!$B86&lt;&gt;"",NOT(AND(MOVIMIENTOS!$B86="PROCESO",MOVIMIENTOS!$C86&lt;&gt;"Chancho")),NOT(AND(MOVIMIENTOS!$B86="SALDO INICIAL",MOVIMIENTOS!$C86="Chancho"))),MOVIMIENTOS!$A86,"")</f>
        <v>46222</v>
      </c>
      <c r="L87" t="str">
        <f>IF(AND(MOVIMIENTOS!$B86&lt;&gt;"",NOT(AND(MOVIMIENTOS!$B86="PROCESO",MOVIMIENTOS!$C86&lt;&gt;"Chancho")),NOT(AND(MOVIMIENTOS!$B86="SALDO INICIAL",MOVIMIENTOS!$C86="Chancho"))),IF(MOVIMIENTOS!$B86="SALDO INICIAL","APERTURA ("&amp;MOVIMIENTOS!$C86&amp;")",IF(MOVIMIENTOS!$B86="COMPRA","INGRESO (compra)",IF(MOVIMIENTOS!$B86="PROCESO","CHANCHO (proceso)",IF(MOVIMIENTOS!$B86="ENVÍO A SUPESA","ENVÍO SUPESA cal. "&amp;MOVIMIENTOS!$C86,IF(MOVIMIENTOS!$B86="VENTA CHANCHO","VENTA CHANCHO",IF(MOVIMIENTOS!$B86="DEVOLUCIÓN","DEVOLUCIÓN cal. "&amp;MOVIMIENTOS!$C86,IF(MOVIMIENTOS!$B86="TRASIEGO","TRASIEGO cal. "&amp;MOVIMIENTOS!$C86,IF(MOVIMIENTOS!$B86="REGALO","REGALO "&amp;MOVIMIENTOS!$C86,IF(MOVIMIENTOS!$B86="VENTA","VENTA "&amp;MOVIMIENTOS!$C86,IF(MOVIMIENTOS!$B86="AJUSTE","AJUSTE inventario ("&amp;MOVIMIENTOS!$C86&amp;")",MOVIMIENTOS!$B86)))))))))),"")</f>
        <v>ENVÍO SUPESA cal. P</v>
      </c>
      <c r="M87" t="str">
        <f>IF(AND(AND(MOVIMIENTOS!$B86&lt;&gt;"",NOT(AND(MOVIMIENTOS!$B86="PROCESO",MOVIMIENTOS!$C86&lt;&gt;"Chancho")),NOT(AND(MOVIMIENTOS!$B86="SALDO INICIAL",MOVIMIENTOS!$C86="Chancho"))),OR(MOVIMIENTOS!$B86="SALDO INICIAL",MOVIMIENTOS!$B86="COMPRA",MOVIMIENTOS!$B86="REPROCESO",AND(MOVIMIENTOS!$B86="AJUSTE",MOVIMIENTOS!$C86&lt;&gt;"Chancho",N(MOVIMIENTOS!$F86)&gt;=0))),N(MOVIMIENTOS!$F86),"")</f>
        <v/>
      </c>
      <c r="N87">
        <f>IF(AND(AND(MOVIMIENTOS!$B86&lt;&gt;"",NOT(AND(MOVIMIENTOS!$B86="PROCESO",MOVIMIENTOS!$C86&lt;&gt;"Chancho")),NOT(AND(MOVIMIENTOS!$B86="SALDO INICIAL",MOVIMIENTOS!$C86="Chancho"))),OR(MOVIMIENTOS!$B86="ENVÍO A SUPESA",MOVIMIENTOS!$B86="MALOGRADO",MOVIMIENTOS!$B86="OTRA SALIDA",MOVIMIENTOS!$B86="TRASIEGO",AND(MOVIMIENTOS!$B86="PROCESO",MOVIMIENTOS!$C86="Chancho"),AND(MOVIMIENTOS!$B86="REGALO",MOVIMIENTOS!$C86&lt;&gt;"Chancho"),AND(MOVIMIENTOS!$B86="VENTA",MOVIMIENTOS!$C86&lt;&gt;"Chancho"),AND(MOVIMIENTOS!$B86="AJUSTE",MOVIMIENTOS!$C86&lt;&gt;"Chancho",N(MOVIMIENTOS!$F86)&lt;0))),IF(MOVIMIENTOS!$B86="AJUSTE",-N(MOVIMIENTOS!$F86),N(MOVIMIENTOS!$F86)),"")</f>
        <v>198</v>
      </c>
      <c r="O87" t="str">
        <f>IF(AND(MOVIMIENTOS!$B86&lt;&gt;"",NOT(AND(MOVIMIENTOS!$B86="PROCESO",MOVIMIENTOS!$C86&lt;&gt;"Chancho")),NOT(AND(MOVIMIENTOS!$B86="SALDO INICIAL",MOVIMIENTOS!$C86="Chancho"))),TRIM(IF(MOVIMIENTOS!$G86&lt;&gt;"",IF(MOVIMIENTOS!$B86="ENVÍO A SUPESA","G-"&amp;MOVIMIENTOS!$G86,MOVIMIENTOS!$G86)&amp;"  ","")&amp;IF(N(MOVIMIENTOS!$E86)&gt;0,MOVIMIENTOS!$E86&amp;" "&amp;MOVIMIENTOS!$D86,"")),"")</f>
        <v>G-2998 11 jabas</v>
      </c>
      <c r="P87">
        <f t="shared" si="13"/>
        <v>1978.5</v>
      </c>
    </row>
    <row r="88" spans="1:16" x14ac:dyDescent="0.2">
      <c r="A88" s="7">
        <f t="shared" si="7"/>
        <v>46225</v>
      </c>
      <c r="B88" s="8" t="str">
        <f t="shared" si="8"/>
        <v>DEVOLUCIÓN cal. A</v>
      </c>
      <c r="C88" s="9" t="str">
        <f t="shared" si="9"/>
        <v/>
      </c>
      <c r="D88" s="9" t="str">
        <f t="shared" si="10"/>
        <v/>
      </c>
      <c r="E88" s="8" t="str">
        <f t="shared" si="11"/>
        <v>1 jabas</v>
      </c>
      <c r="F88" s="9">
        <f t="shared" si="12"/>
        <v>2608</v>
      </c>
      <c r="J88">
        <f>IF(AND(MOVIMIENTOS!$B87&lt;&gt;"",NOT(AND(MOVIMIENTOS!$B87="PROCESO",MOVIMIENTOS!$C87&lt;&gt;"Chancho")),NOT(AND(MOVIMIENTOS!$B87="SALDO INICIAL",MOVIMIENTOS!$C87="Chancho"))),COUNT(J$5:J87)+1,"")</f>
        <v>52</v>
      </c>
      <c r="K88" s="10">
        <f>IF(AND(MOVIMIENTOS!$B87&lt;&gt;"",NOT(AND(MOVIMIENTOS!$B87="PROCESO",MOVIMIENTOS!$C87&lt;&gt;"Chancho")),NOT(AND(MOVIMIENTOS!$B87="SALDO INICIAL",MOVIMIENTOS!$C87="Chancho"))),MOVIMIENTOS!$A87,"")</f>
        <v>46222</v>
      </c>
      <c r="L88" t="str">
        <f>IF(AND(MOVIMIENTOS!$B87&lt;&gt;"",NOT(AND(MOVIMIENTOS!$B87="PROCESO",MOVIMIENTOS!$C87&lt;&gt;"Chancho")),NOT(AND(MOVIMIENTOS!$B87="SALDO INICIAL",MOVIMIENTOS!$C87="Chancho"))),IF(MOVIMIENTOS!$B87="SALDO INICIAL","APERTURA ("&amp;MOVIMIENTOS!$C87&amp;")",IF(MOVIMIENTOS!$B87="COMPRA","INGRESO (compra)",IF(MOVIMIENTOS!$B87="PROCESO","CHANCHO (proceso)",IF(MOVIMIENTOS!$B87="ENVÍO A SUPESA","ENVÍO SUPESA cal. "&amp;MOVIMIENTOS!$C87,IF(MOVIMIENTOS!$B87="VENTA CHANCHO","VENTA CHANCHO",IF(MOVIMIENTOS!$B87="DEVOLUCIÓN","DEVOLUCIÓN cal. "&amp;MOVIMIENTOS!$C87,IF(MOVIMIENTOS!$B87="TRASIEGO","TRASIEGO cal. "&amp;MOVIMIENTOS!$C87,IF(MOVIMIENTOS!$B87="REGALO","REGALO "&amp;MOVIMIENTOS!$C87,IF(MOVIMIENTOS!$B87="VENTA","VENTA "&amp;MOVIMIENTOS!$C87,IF(MOVIMIENTOS!$B87="AJUSTE","AJUSTE inventario ("&amp;MOVIMIENTOS!$C87&amp;")",MOVIMIENTOS!$B87)))))))))),"")</f>
        <v>ENVÍO SUPESA cal. C</v>
      </c>
      <c r="M88" t="str">
        <f>IF(AND(AND(MOVIMIENTOS!$B87&lt;&gt;"",NOT(AND(MOVIMIENTOS!$B87="PROCESO",MOVIMIENTOS!$C87&lt;&gt;"Chancho")),NOT(AND(MOVIMIENTOS!$B87="SALDO INICIAL",MOVIMIENTOS!$C87="Chancho"))),OR(MOVIMIENTOS!$B87="SALDO INICIAL",MOVIMIENTOS!$B87="COMPRA",MOVIMIENTOS!$B87="REPROCESO",AND(MOVIMIENTOS!$B87="AJUSTE",MOVIMIENTOS!$C87&lt;&gt;"Chancho",N(MOVIMIENTOS!$F87)&gt;=0))),N(MOVIMIENTOS!$F87),"")</f>
        <v/>
      </c>
      <c r="N88">
        <f>IF(AND(AND(MOVIMIENTOS!$B87&lt;&gt;"",NOT(AND(MOVIMIENTOS!$B87="PROCESO",MOVIMIENTOS!$C87&lt;&gt;"Chancho")),NOT(AND(MOVIMIENTOS!$B87="SALDO INICIAL",MOVIMIENTOS!$C87="Chancho"))),OR(MOVIMIENTOS!$B87="ENVÍO A SUPESA",MOVIMIENTOS!$B87="MALOGRADO",MOVIMIENTOS!$B87="OTRA SALIDA",MOVIMIENTOS!$B87="TRASIEGO",AND(MOVIMIENTOS!$B87="PROCESO",MOVIMIENTOS!$C87="Chancho"),AND(MOVIMIENTOS!$B87="REGALO",MOVIMIENTOS!$C87&lt;&gt;"Chancho"),AND(MOVIMIENTOS!$B87="VENTA",MOVIMIENTOS!$C87&lt;&gt;"Chancho"),AND(MOVIMIENTOS!$B87="AJUSTE",MOVIMIENTOS!$C87&lt;&gt;"Chancho",N(MOVIMIENTOS!$F87)&lt;0))),IF(MOVIMIENTOS!$B87="AJUSTE",-N(MOVIMIENTOS!$F87),N(MOVIMIENTOS!$F87)),"")</f>
        <v>204</v>
      </c>
      <c r="O88" t="str">
        <f>IF(AND(MOVIMIENTOS!$B87&lt;&gt;"",NOT(AND(MOVIMIENTOS!$B87="PROCESO",MOVIMIENTOS!$C87&lt;&gt;"Chancho")),NOT(AND(MOVIMIENTOS!$B87="SALDO INICIAL",MOVIMIENTOS!$C87="Chancho"))),TRIM(IF(MOVIMIENTOS!$G87&lt;&gt;"",IF(MOVIMIENTOS!$B87="ENVÍO A SUPESA","G-"&amp;MOVIMIENTOS!$G87,MOVIMIENTOS!$G87)&amp;"  ","")&amp;IF(N(MOVIMIENTOS!$E87)&gt;0,MOVIMIENTOS!$E87&amp;" "&amp;MOVIMIENTOS!$D87,"")),"")</f>
        <v>G-2998 12 jabas</v>
      </c>
      <c r="P88">
        <f t="shared" si="13"/>
        <v>1774.5</v>
      </c>
    </row>
    <row r="89" spans="1:16" x14ac:dyDescent="0.2">
      <c r="A89" s="7">
        <f t="shared" si="7"/>
        <v>46225</v>
      </c>
      <c r="B89" s="8" t="str">
        <f t="shared" si="8"/>
        <v>DEVOLUCIÓN cal. M</v>
      </c>
      <c r="C89" s="9" t="str">
        <f t="shared" si="9"/>
        <v/>
      </c>
      <c r="D89" s="9" t="str">
        <f t="shared" si="10"/>
        <v/>
      </c>
      <c r="E89" s="8" t="str">
        <f t="shared" si="11"/>
        <v>9 jabas</v>
      </c>
      <c r="F89" s="9">
        <f t="shared" si="12"/>
        <v>2608</v>
      </c>
      <c r="J89">
        <f>IF(AND(MOVIMIENTOS!$B88&lt;&gt;"",NOT(AND(MOVIMIENTOS!$B88="PROCESO",MOVIMIENTOS!$C88&lt;&gt;"Chancho")),NOT(AND(MOVIMIENTOS!$B88="SALDO INICIAL",MOVIMIENTOS!$C88="Chancho"))),COUNT(J$5:J88)+1,"")</f>
        <v>53</v>
      </c>
      <c r="K89" s="10">
        <f>IF(AND(MOVIMIENTOS!$B88&lt;&gt;"",NOT(AND(MOVIMIENTOS!$B88="PROCESO",MOVIMIENTOS!$C88&lt;&gt;"Chancho")),NOT(AND(MOVIMIENTOS!$B88="SALDO INICIAL",MOVIMIENTOS!$C88="Chancho"))),MOVIMIENTOS!$A88,"")</f>
        <v>46222</v>
      </c>
      <c r="L89" t="str">
        <f>IF(AND(MOVIMIENTOS!$B88&lt;&gt;"",NOT(AND(MOVIMIENTOS!$B88="PROCESO",MOVIMIENTOS!$C88&lt;&gt;"Chancho")),NOT(AND(MOVIMIENTOS!$B88="SALDO INICIAL",MOVIMIENTOS!$C88="Chancho"))),IF(MOVIMIENTOS!$B88="SALDO INICIAL","APERTURA ("&amp;MOVIMIENTOS!$C88&amp;")",IF(MOVIMIENTOS!$B88="COMPRA","INGRESO (compra)",IF(MOVIMIENTOS!$B88="PROCESO","CHANCHO (proceso)",IF(MOVIMIENTOS!$B88="ENVÍO A SUPESA","ENVÍO SUPESA cal. "&amp;MOVIMIENTOS!$C88,IF(MOVIMIENTOS!$B88="VENTA CHANCHO","VENTA CHANCHO",IF(MOVIMIENTOS!$B88="DEVOLUCIÓN","DEVOLUCIÓN cal. "&amp;MOVIMIENTOS!$C88,IF(MOVIMIENTOS!$B88="TRASIEGO","TRASIEGO cal. "&amp;MOVIMIENTOS!$C88,IF(MOVIMIENTOS!$B88="REGALO","REGALO "&amp;MOVIMIENTOS!$C88,IF(MOVIMIENTOS!$B88="VENTA","VENTA "&amp;MOVIMIENTOS!$C88,IF(MOVIMIENTOS!$B88="AJUSTE","AJUSTE inventario ("&amp;MOVIMIENTOS!$C88&amp;")",MOVIMIENTOS!$B88)))))))))),"")</f>
        <v>ENVÍO SUPESA cal. M</v>
      </c>
      <c r="M89" t="str">
        <f>IF(AND(AND(MOVIMIENTOS!$B88&lt;&gt;"",NOT(AND(MOVIMIENTOS!$B88="PROCESO",MOVIMIENTOS!$C88&lt;&gt;"Chancho")),NOT(AND(MOVIMIENTOS!$B88="SALDO INICIAL",MOVIMIENTOS!$C88="Chancho"))),OR(MOVIMIENTOS!$B88="SALDO INICIAL",MOVIMIENTOS!$B88="COMPRA",MOVIMIENTOS!$B88="REPROCESO",AND(MOVIMIENTOS!$B88="AJUSTE",MOVIMIENTOS!$C88&lt;&gt;"Chancho",N(MOVIMIENTOS!$F88)&gt;=0))),N(MOVIMIENTOS!$F88),"")</f>
        <v/>
      </c>
      <c r="N89">
        <f>IF(AND(AND(MOVIMIENTOS!$B88&lt;&gt;"",NOT(AND(MOVIMIENTOS!$B88="PROCESO",MOVIMIENTOS!$C88&lt;&gt;"Chancho")),NOT(AND(MOVIMIENTOS!$B88="SALDO INICIAL",MOVIMIENTOS!$C88="Chancho"))),OR(MOVIMIENTOS!$B88="ENVÍO A SUPESA",MOVIMIENTOS!$B88="MALOGRADO",MOVIMIENTOS!$B88="OTRA SALIDA",MOVIMIENTOS!$B88="TRASIEGO",AND(MOVIMIENTOS!$B88="PROCESO",MOVIMIENTOS!$C88="Chancho"),AND(MOVIMIENTOS!$B88="REGALO",MOVIMIENTOS!$C88&lt;&gt;"Chancho"),AND(MOVIMIENTOS!$B88="VENTA",MOVIMIENTOS!$C88&lt;&gt;"Chancho"),AND(MOVIMIENTOS!$B88="AJUSTE",MOVIMIENTOS!$C88&lt;&gt;"Chancho",N(MOVIMIENTOS!$F88)&lt;0))),IF(MOVIMIENTOS!$B88="AJUSTE",-N(MOVIMIENTOS!$F88),N(MOVIMIENTOS!$F88)),"")</f>
        <v>476</v>
      </c>
      <c r="O89" t="str">
        <f>IF(AND(MOVIMIENTOS!$B88&lt;&gt;"",NOT(AND(MOVIMIENTOS!$B88="PROCESO",MOVIMIENTOS!$C88&lt;&gt;"Chancho")),NOT(AND(MOVIMIENTOS!$B88="SALDO INICIAL",MOVIMIENTOS!$C88="Chancho"))),TRIM(IF(MOVIMIENTOS!$G88&lt;&gt;"",IF(MOVIMIENTOS!$B88="ENVÍO A SUPESA","G-"&amp;MOVIMIENTOS!$G88,MOVIMIENTOS!$G88)&amp;"  ","")&amp;IF(N(MOVIMIENTOS!$E88)&gt;0,MOVIMIENTOS!$E88&amp;" "&amp;MOVIMIENTOS!$D88,"")),"")</f>
        <v>G-2998 28 jabas</v>
      </c>
      <c r="P89">
        <f t="shared" si="13"/>
        <v>1298.5</v>
      </c>
    </row>
    <row r="90" spans="1:16" x14ac:dyDescent="0.2">
      <c r="A90" s="7">
        <f t="shared" si="7"/>
        <v>46225</v>
      </c>
      <c r="B90" s="8" t="str">
        <f t="shared" si="8"/>
        <v>TRASIEGO cal. A</v>
      </c>
      <c r="C90" s="9" t="str">
        <f t="shared" si="9"/>
        <v/>
      </c>
      <c r="D90" s="9">
        <f t="shared" si="10"/>
        <v>15</v>
      </c>
      <c r="E90" s="8" t="str">
        <f t="shared" si="11"/>
        <v>1 jabas</v>
      </c>
      <c r="F90" s="9">
        <f t="shared" si="12"/>
        <v>2593</v>
      </c>
      <c r="J90">
        <f>IF(AND(MOVIMIENTOS!$B89&lt;&gt;"",NOT(AND(MOVIMIENTOS!$B89="PROCESO",MOVIMIENTOS!$C89&lt;&gt;"Chancho")),NOT(AND(MOVIMIENTOS!$B89="SALDO INICIAL",MOVIMIENTOS!$C89="Chancho"))),COUNT(J$5:J89)+1,"")</f>
        <v>54</v>
      </c>
      <c r="K90" s="10">
        <f>IF(AND(MOVIMIENTOS!$B89&lt;&gt;"",NOT(AND(MOVIMIENTOS!$B89="PROCESO",MOVIMIENTOS!$C89&lt;&gt;"Chancho")),NOT(AND(MOVIMIENTOS!$B89="SALDO INICIAL",MOVIMIENTOS!$C89="Chancho"))),MOVIMIENTOS!$A89,"")</f>
        <v>46223</v>
      </c>
      <c r="L90" t="str">
        <f>IF(AND(MOVIMIENTOS!$B89&lt;&gt;"",NOT(AND(MOVIMIENTOS!$B89="PROCESO",MOVIMIENTOS!$C89&lt;&gt;"Chancho")),NOT(AND(MOVIMIENTOS!$B89="SALDO INICIAL",MOVIMIENTOS!$C89="Chancho"))),IF(MOVIMIENTOS!$B89="SALDO INICIAL","APERTURA ("&amp;MOVIMIENTOS!$C89&amp;")",IF(MOVIMIENTOS!$B89="COMPRA","INGRESO (compra)",IF(MOVIMIENTOS!$B89="PROCESO","CHANCHO (proceso)",IF(MOVIMIENTOS!$B89="ENVÍO A SUPESA","ENVÍO SUPESA cal. "&amp;MOVIMIENTOS!$C89,IF(MOVIMIENTOS!$B89="VENTA CHANCHO","VENTA CHANCHO",IF(MOVIMIENTOS!$B89="DEVOLUCIÓN","DEVOLUCIÓN cal. "&amp;MOVIMIENTOS!$C89,IF(MOVIMIENTOS!$B89="TRASIEGO","TRASIEGO cal. "&amp;MOVIMIENTOS!$C89,IF(MOVIMIENTOS!$B89="REGALO","REGALO "&amp;MOVIMIENTOS!$C89,IF(MOVIMIENTOS!$B89="VENTA","VENTA "&amp;MOVIMIENTOS!$C89,IF(MOVIMIENTOS!$B89="AJUSTE","AJUSTE inventario ("&amp;MOVIMIENTOS!$C89&amp;")",MOVIMIENTOS!$B89)))))))))),"")</f>
        <v>INGRESO (compra)</v>
      </c>
      <c r="M90">
        <f>IF(AND(AND(MOVIMIENTOS!$B89&lt;&gt;"",NOT(AND(MOVIMIENTOS!$B89="PROCESO",MOVIMIENTOS!$C89&lt;&gt;"Chancho")),NOT(AND(MOVIMIENTOS!$B89="SALDO INICIAL",MOVIMIENTOS!$C89="Chancho"))),OR(MOVIMIENTOS!$B89="SALDO INICIAL",MOVIMIENTOS!$B89="COMPRA",MOVIMIENTOS!$B89="REPROCESO",AND(MOVIMIENTOS!$B89="AJUSTE",MOVIMIENTOS!$C89&lt;&gt;"Chancho",N(MOVIMIENTOS!$F89)&gt;=0))),N(MOVIMIENTOS!$F89),"")</f>
        <v>4560</v>
      </c>
      <c r="N90" t="str">
        <f>IF(AND(AND(MOVIMIENTOS!$B89&lt;&gt;"",NOT(AND(MOVIMIENTOS!$B89="PROCESO",MOVIMIENTOS!$C89&lt;&gt;"Chancho")),NOT(AND(MOVIMIENTOS!$B89="SALDO INICIAL",MOVIMIENTOS!$C89="Chancho"))),OR(MOVIMIENTOS!$B89="ENVÍO A SUPESA",MOVIMIENTOS!$B89="MALOGRADO",MOVIMIENTOS!$B89="OTRA SALIDA",MOVIMIENTOS!$B89="TRASIEGO",AND(MOVIMIENTOS!$B89="PROCESO",MOVIMIENTOS!$C89="Chancho"),AND(MOVIMIENTOS!$B89="REGALO",MOVIMIENTOS!$C89&lt;&gt;"Chancho"),AND(MOVIMIENTOS!$B89="VENTA",MOVIMIENTOS!$C89&lt;&gt;"Chancho"),AND(MOVIMIENTOS!$B89="AJUSTE",MOVIMIENTOS!$C89&lt;&gt;"Chancho",N(MOVIMIENTOS!$F89)&lt;0))),IF(MOVIMIENTOS!$B89="AJUSTE",-N(MOVIMIENTOS!$F89),N(MOVIMIENTOS!$F89)),"")</f>
        <v/>
      </c>
      <c r="O90" t="str">
        <f>IF(AND(MOVIMIENTOS!$B89&lt;&gt;"",NOT(AND(MOVIMIENTOS!$B89="PROCESO",MOVIMIENTOS!$C89&lt;&gt;"Chancho")),NOT(AND(MOVIMIENTOS!$B89="SALDO INICIAL",MOVIMIENTOS!$C89="Chancho"))),TRIM(IF(MOVIMIENTOS!$G89&lt;&gt;"",IF(MOVIMIENTOS!$B89="ENVÍO A SUPESA","G-"&amp;MOVIMIENTOS!$G89,MOVIMIENTOS!$G89)&amp;"  ","")&amp;IF(N(MOVIMIENTOS!$E89)&gt;0,MOVIMIENTOS!$E89&amp;" "&amp;MOVIMIENTOS!$D89,"")),"")</f>
        <v>48 sacos</v>
      </c>
      <c r="P90">
        <f t="shared" si="13"/>
        <v>5858.5</v>
      </c>
    </row>
    <row r="91" spans="1:16" x14ac:dyDescent="0.2">
      <c r="A91" s="7">
        <f t="shared" si="7"/>
        <v>46225</v>
      </c>
      <c r="B91" s="8" t="str">
        <f t="shared" si="8"/>
        <v>REPROCESO</v>
      </c>
      <c r="C91" s="9">
        <f t="shared" si="9"/>
        <v>162</v>
      </c>
      <c r="D91" s="9" t="str">
        <f t="shared" si="10"/>
        <v/>
      </c>
      <c r="E91" s="8" t="str">
        <f t="shared" si="11"/>
        <v>162 kg</v>
      </c>
      <c r="F91" s="9">
        <f t="shared" si="12"/>
        <v>2755</v>
      </c>
      <c r="J91" t="str">
        <f>IF(AND(MOVIMIENTOS!$B90&lt;&gt;"",NOT(AND(MOVIMIENTOS!$B90="PROCESO",MOVIMIENTOS!$C90&lt;&gt;"Chancho")),NOT(AND(MOVIMIENTOS!$B90="SALDO INICIAL",MOVIMIENTOS!$C90="Chancho"))),COUNT(J$5:J90)+1,"")</f>
        <v/>
      </c>
      <c r="K91" t="str">
        <f>IF(AND(MOVIMIENTOS!$B90&lt;&gt;"",NOT(AND(MOVIMIENTOS!$B90="PROCESO",MOVIMIENTOS!$C90&lt;&gt;"Chancho")),NOT(AND(MOVIMIENTOS!$B90="SALDO INICIAL",MOVIMIENTOS!$C90="Chancho"))),MOVIMIENTOS!$A90,"")</f>
        <v/>
      </c>
      <c r="L91" t="str">
        <f>IF(AND(MOVIMIENTOS!$B90&lt;&gt;"",NOT(AND(MOVIMIENTOS!$B90="PROCESO",MOVIMIENTOS!$C90&lt;&gt;"Chancho")),NOT(AND(MOVIMIENTOS!$B90="SALDO INICIAL",MOVIMIENTOS!$C90="Chancho"))),IF(MOVIMIENTOS!$B90="SALDO INICIAL","APERTURA ("&amp;MOVIMIENTOS!$C90&amp;")",IF(MOVIMIENTOS!$B90="COMPRA","INGRESO (compra)",IF(MOVIMIENTOS!$B90="PROCESO","CHANCHO (proceso)",IF(MOVIMIENTOS!$B90="ENVÍO A SUPESA","ENVÍO SUPESA cal. "&amp;MOVIMIENTOS!$C90,IF(MOVIMIENTOS!$B90="VENTA CHANCHO","VENTA CHANCHO",IF(MOVIMIENTOS!$B90="DEVOLUCIÓN","DEVOLUCIÓN cal. "&amp;MOVIMIENTOS!$C90,IF(MOVIMIENTOS!$B90="TRASIEGO","TRASIEGO cal. "&amp;MOVIMIENTOS!$C90,IF(MOVIMIENTOS!$B90="REGALO","REGALO "&amp;MOVIMIENTOS!$C90,IF(MOVIMIENTOS!$B90="VENTA","VENTA "&amp;MOVIMIENTOS!$C90,IF(MOVIMIENTOS!$B90="AJUSTE","AJUSTE inventario ("&amp;MOVIMIENTOS!$C90&amp;")",MOVIMIENTOS!$B90)))))))))),"")</f>
        <v/>
      </c>
      <c r="M91" t="str">
        <f>IF(AND(AND(MOVIMIENTOS!$B90&lt;&gt;"",NOT(AND(MOVIMIENTOS!$B90="PROCESO",MOVIMIENTOS!$C90&lt;&gt;"Chancho")),NOT(AND(MOVIMIENTOS!$B90="SALDO INICIAL",MOVIMIENTOS!$C90="Chancho"))),OR(MOVIMIENTOS!$B90="SALDO INICIAL",MOVIMIENTOS!$B90="COMPRA",MOVIMIENTOS!$B90="REPROCESO",AND(MOVIMIENTOS!$B90="AJUSTE",MOVIMIENTOS!$C90&lt;&gt;"Chancho",N(MOVIMIENTOS!$F90)&gt;=0))),N(MOVIMIENTOS!$F90),"")</f>
        <v/>
      </c>
      <c r="N91" t="str">
        <f>IF(AND(AND(MOVIMIENTOS!$B90&lt;&gt;"",NOT(AND(MOVIMIENTOS!$B90="PROCESO",MOVIMIENTOS!$C90&lt;&gt;"Chancho")),NOT(AND(MOVIMIENTOS!$B90="SALDO INICIAL",MOVIMIENTOS!$C90="Chancho"))),OR(MOVIMIENTOS!$B90="ENVÍO A SUPESA",MOVIMIENTOS!$B90="MALOGRADO",MOVIMIENTOS!$B90="OTRA SALIDA",MOVIMIENTOS!$B90="TRASIEGO",AND(MOVIMIENTOS!$B90="PROCESO",MOVIMIENTOS!$C90="Chancho"),AND(MOVIMIENTOS!$B90="REGALO",MOVIMIENTOS!$C90&lt;&gt;"Chancho"),AND(MOVIMIENTOS!$B90="VENTA",MOVIMIENTOS!$C90&lt;&gt;"Chancho"),AND(MOVIMIENTOS!$B90="AJUSTE",MOVIMIENTOS!$C90&lt;&gt;"Chancho",N(MOVIMIENTOS!$F90)&lt;0))),IF(MOVIMIENTOS!$B90="AJUSTE",-N(MOVIMIENTOS!$F90),N(MOVIMIENTOS!$F90)),"")</f>
        <v/>
      </c>
      <c r="O91" t="str">
        <f>IF(AND(MOVIMIENTOS!$B90&lt;&gt;"",NOT(AND(MOVIMIENTOS!$B90="PROCESO",MOVIMIENTOS!$C90&lt;&gt;"Chancho")),NOT(AND(MOVIMIENTOS!$B90="SALDO INICIAL",MOVIMIENTOS!$C90="Chancho"))),TRIM(IF(MOVIMIENTOS!$G90&lt;&gt;"",IF(MOVIMIENTOS!$B90="ENVÍO A SUPESA","G-"&amp;MOVIMIENTOS!$G90,MOVIMIENTOS!$G90)&amp;"  ","")&amp;IF(N(MOVIMIENTOS!$E90)&gt;0,MOVIMIENTOS!$E90&amp;" "&amp;MOVIMIENTOS!$D90,"")),"")</f>
        <v/>
      </c>
      <c r="P91">
        <f t="shared" si="13"/>
        <v>5858.5</v>
      </c>
    </row>
    <row r="92" spans="1:16" x14ac:dyDescent="0.2">
      <c r="A92" s="7">
        <f t="shared" si="7"/>
        <v>46225</v>
      </c>
      <c r="B92" s="8" t="str">
        <f t="shared" si="8"/>
        <v>INGRESO (compra)</v>
      </c>
      <c r="C92" s="9">
        <f t="shared" si="9"/>
        <v>3800</v>
      </c>
      <c r="D92" s="9" t="str">
        <f t="shared" si="10"/>
        <v/>
      </c>
      <c r="E92" s="8" t="str">
        <f t="shared" si="11"/>
        <v>40 sacos</v>
      </c>
      <c r="F92" s="9">
        <f t="shared" si="12"/>
        <v>6555</v>
      </c>
      <c r="J92" t="str">
        <f>IF(AND(MOVIMIENTOS!$B91&lt;&gt;"",NOT(AND(MOVIMIENTOS!$B91="PROCESO",MOVIMIENTOS!$C91&lt;&gt;"Chancho")),NOT(AND(MOVIMIENTOS!$B91="SALDO INICIAL",MOVIMIENTOS!$C91="Chancho"))),COUNT(J$5:J91)+1,"")</f>
        <v/>
      </c>
      <c r="K92" t="str">
        <f>IF(AND(MOVIMIENTOS!$B91&lt;&gt;"",NOT(AND(MOVIMIENTOS!$B91="PROCESO",MOVIMIENTOS!$C91&lt;&gt;"Chancho")),NOT(AND(MOVIMIENTOS!$B91="SALDO INICIAL",MOVIMIENTOS!$C91="Chancho"))),MOVIMIENTOS!$A91,"")</f>
        <v/>
      </c>
      <c r="L92" t="str">
        <f>IF(AND(MOVIMIENTOS!$B91&lt;&gt;"",NOT(AND(MOVIMIENTOS!$B91="PROCESO",MOVIMIENTOS!$C91&lt;&gt;"Chancho")),NOT(AND(MOVIMIENTOS!$B91="SALDO INICIAL",MOVIMIENTOS!$C91="Chancho"))),IF(MOVIMIENTOS!$B91="SALDO INICIAL","APERTURA ("&amp;MOVIMIENTOS!$C91&amp;")",IF(MOVIMIENTOS!$B91="COMPRA","INGRESO (compra)",IF(MOVIMIENTOS!$B91="PROCESO","CHANCHO (proceso)",IF(MOVIMIENTOS!$B91="ENVÍO A SUPESA","ENVÍO SUPESA cal. "&amp;MOVIMIENTOS!$C91,IF(MOVIMIENTOS!$B91="VENTA CHANCHO","VENTA CHANCHO",IF(MOVIMIENTOS!$B91="DEVOLUCIÓN","DEVOLUCIÓN cal. "&amp;MOVIMIENTOS!$C91,IF(MOVIMIENTOS!$B91="TRASIEGO","TRASIEGO cal. "&amp;MOVIMIENTOS!$C91,IF(MOVIMIENTOS!$B91="REGALO","REGALO "&amp;MOVIMIENTOS!$C91,IF(MOVIMIENTOS!$B91="VENTA","VENTA "&amp;MOVIMIENTOS!$C91,IF(MOVIMIENTOS!$B91="AJUSTE","AJUSTE inventario ("&amp;MOVIMIENTOS!$C91&amp;")",MOVIMIENTOS!$B91)))))))))),"")</f>
        <v/>
      </c>
      <c r="M92" t="str">
        <f>IF(AND(AND(MOVIMIENTOS!$B91&lt;&gt;"",NOT(AND(MOVIMIENTOS!$B91="PROCESO",MOVIMIENTOS!$C91&lt;&gt;"Chancho")),NOT(AND(MOVIMIENTOS!$B91="SALDO INICIAL",MOVIMIENTOS!$C91="Chancho"))),OR(MOVIMIENTOS!$B91="SALDO INICIAL",MOVIMIENTOS!$B91="COMPRA",MOVIMIENTOS!$B91="REPROCESO",AND(MOVIMIENTOS!$B91="AJUSTE",MOVIMIENTOS!$C91&lt;&gt;"Chancho",N(MOVIMIENTOS!$F91)&gt;=0))),N(MOVIMIENTOS!$F91),"")</f>
        <v/>
      </c>
      <c r="N92" t="str">
        <f>IF(AND(AND(MOVIMIENTOS!$B91&lt;&gt;"",NOT(AND(MOVIMIENTOS!$B91="PROCESO",MOVIMIENTOS!$C91&lt;&gt;"Chancho")),NOT(AND(MOVIMIENTOS!$B91="SALDO INICIAL",MOVIMIENTOS!$C91="Chancho"))),OR(MOVIMIENTOS!$B91="ENVÍO A SUPESA",MOVIMIENTOS!$B91="MALOGRADO",MOVIMIENTOS!$B91="OTRA SALIDA",MOVIMIENTOS!$B91="TRASIEGO",AND(MOVIMIENTOS!$B91="PROCESO",MOVIMIENTOS!$C91="Chancho"),AND(MOVIMIENTOS!$B91="REGALO",MOVIMIENTOS!$C91&lt;&gt;"Chancho"),AND(MOVIMIENTOS!$B91="VENTA",MOVIMIENTOS!$C91&lt;&gt;"Chancho"),AND(MOVIMIENTOS!$B91="AJUSTE",MOVIMIENTOS!$C91&lt;&gt;"Chancho",N(MOVIMIENTOS!$F91)&lt;0))),IF(MOVIMIENTOS!$B91="AJUSTE",-N(MOVIMIENTOS!$F91),N(MOVIMIENTOS!$F91)),"")</f>
        <v/>
      </c>
      <c r="O92" t="str">
        <f>IF(AND(MOVIMIENTOS!$B91&lt;&gt;"",NOT(AND(MOVIMIENTOS!$B91="PROCESO",MOVIMIENTOS!$C91&lt;&gt;"Chancho")),NOT(AND(MOVIMIENTOS!$B91="SALDO INICIAL",MOVIMIENTOS!$C91="Chancho"))),TRIM(IF(MOVIMIENTOS!$G91&lt;&gt;"",IF(MOVIMIENTOS!$B91="ENVÍO A SUPESA","G-"&amp;MOVIMIENTOS!$G91,MOVIMIENTOS!$G91)&amp;"  ","")&amp;IF(N(MOVIMIENTOS!$E91)&gt;0,MOVIMIENTOS!$E91&amp;" "&amp;MOVIMIENTOS!$D91,"")),"")</f>
        <v/>
      </c>
      <c r="P92">
        <f t="shared" si="13"/>
        <v>5858.5</v>
      </c>
    </row>
    <row r="93" spans="1:16" x14ac:dyDescent="0.2">
      <c r="A93" s="7">
        <f t="shared" si="7"/>
        <v>46226</v>
      </c>
      <c r="B93" s="8" t="str">
        <f t="shared" si="8"/>
        <v>CHANCHO (proceso)</v>
      </c>
      <c r="C93" s="9" t="str">
        <f t="shared" si="9"/>
        <v/>
      </c>
      <c r="D93" s="9">
        <f t="shared" si="10"/>
        <v>617.5</v>
      </c>
      <c r="E93" s="8" t="str">
        <f t="shared" si="11"/>
        <v>6.5 sacos</v>
      </c>
      <c r="F93" s="9">
        <f t="shared" si="12"/>
        <v>5937.5</v>
      </c>
      <c r="J93" t="str">
        <f>IF(AND(MOVIMIENTOS!$B92&lt;&gt;"",NOT(AND(MOVIMIENTOS!$B92="PROCESO",MOVIMIENTOS!$C92&lt;&gt;"Chancho")),NOT(AND(MOVIMIENTOS!$B92="SALDO INICIAL",MOVIMIENTOS!$C92="Chancho"))),COUNT(J$5:J92)+1,"")</f>
        <v/>
      </c>
      <c r="K93" t="str">
        <f>IF(AND(MOVIMIENTOS!$B92&lt;&gt;"",NOT(AND(MOVIMIENTOS!$B92="PROCESO",MOVIMIENTOS!$C92&lt;&gt;"Chancho")),NOT(AND(MOVIMIENTOS!$B92="SALDO INICIAL",MOVIMIENTOS!$C92="Chancho"))),MOVIMIENTOS!$A92,"")</f>
        <v/>
      </c>
      <c r="L93" t="str">
        <f>IF(AND(MOVIMIENTOS!$B92&lt;&gt;"",NOT(AND(MOVIMIENTOS!$B92="PROCESO",MOVIMIENTOS!$C92&lt;&gt;"Chancho")),NOT(AND(MOVIMIENTOS!$B92="SALDO INICIAL",MOVIMIENTOS!$C92="Chancho"))),IF(MOVIMIENTOS!$B92="SALDO INICIAL","APERTURA ("&amp;MOVIMIENTOS!$C92&amp;")",IF(MOVIMIENTOS!$B92="COMPRA","INGRESO (compra)",IF(MOVIMIENTOS!$B92="PROCESO","CHANCHO (proceso)",IF(MOVIMIENTOS!$B92="ENVÍO A SUPESA","ENVÍO SUPESA cal. "&amp;MOVIMIENTOS!$C92,IF(MOVIMIENTOS!$B92="VENTA CHANCHO","VENTA CHANCHO",IF(MOVIMIENTOS!$B92="DEVOLUCIÓN","DEVOLUCIÓN cal. "&amp;MOVIMIENTOS!$C92,IF(MOVIMIENTOS!$B92="TRASIEGO","TRASIEGO cal. "&amp;MOVIMIENTOS!$C92,IF(MOVIMIENTOS!$B92="REGALO","REGALO "&amp;MOVIMIENTOS!$C92,IF(MOVIMIENTOS!$B92="VENTA","VENTA "&amp;MOVIMIENTOS!$C92,IF(MOVIMIENTOS!$B92="AJUSTE","AJUSTE inventario ("&amp;MOVIMIENTOS!$C92&amp;")",MOVIMIENTOS!$B92)))))))))),"")</f>
        <v/>
      </c>
      <c r="M93" t="str">
        <f>IF(AND(AND(MOVIMIENTOS!$B92&lt;&gt;"",NOT(AND(MOVIMIENTOS!$B92="PROCESO",MOVIMIENTOS!$C92&lt;&gt;"Chancho")),NOT(AND(MOVIMIENTOS!$B92="SALDO INICIAL",MOVIMIENTOS!$C92="Chancho"))),OR(MOVIMIENTOS!$B92="SALDO INICIAL",MOVIMIENTOS!$B92="COMPRA",MOVIMIENTOS!$B92="REPROCESO",AND(MOVIMIENTOS!$B92="AJUSTE",MOVIMIENTOS!$C92&lt;&gt;"Chancho",N(MOVIMIENTOS!$F92)&gt;=0))),N(MOVIMIENTOS!$F92),"")</f>
        <v/>
      </c>
      <c r="N93" t="str">
        <f>IF(AND(AND(MOVIMIENTOS!$B92&lt;&gt;"",NOT(AND(MOVIMIENTOS!$B92="PROCESO",MOVIMIENTOS!$C92&lt;&gt;"Chancho")),NOT(AND(MOVIMIENTOS!$B92="SALDO INICIAL",MOVIMIENTOS!$C92="Chancho"))),OR(MOVIMIENTOS!$B92="ENVÍO A SUPESA",MOVIMIENTOS!$B92="MALOGRADO",MOVIMIENTOS!$B92="OTRA SALIDA",MOVIMIENTOS!$B92="TRASIEGO",AND(MOVIMIENTOS!$B92="PROCESO",MOVIMIENTOS!$C92="Chancho"),AND(MOVIMIENTOS!$B92="REGALO",MOVIMIENTOS!$C92&lt;&gt;"Chancho"),AND(MOVIMIENTOS!$B92="VENTA",MOVIMIENTOS!$C92&lt;&gt;"Chancho"),AND(MOVIMIENTOS!$B92="AJUSTE",MOVIMIENTOS!$C92&lt;&gt;"Chancho",N(MOVIMIENTOS!$F92)&lt;0))),IF(MOVIMIENTOS!$B92="AJUSTE",-N(MOVIMIENTOS!$F92),N(MOVIMIENTOS!$F92)),"")</f>
        <v/>
      </c>
      <c r="O93" t="str">
        <f>IF(AND(MOVIMIENTOS!$B92&lt;&gt;"",NOT(AND(MOVIMIENTOS!$B92="PROCESO",MOVIMIENTOS!$C92&lt;&gt;"Chancho")),NOT(AND(MOVIMIENTOS!$B92="SALDO INICIAL",MOVIMIENTOS!$C92="Chancho"))),TRIM(IF(MOVIMIENTOS!$G92&lt;&gt;"",IF(MOVIMIENTOS!$B92="ENVÍO A SUPESA","G-"&amp;MOVIMIENTOS!$G92,MOVIMIENTOS!$G92)&amp;"  ","")&amp;IF(N(MOVIMIENTOS!$E92)&gt;0,MOVIMIENTOS!$E92&amp;" "&amp;MOVIMIENTOS!$D92,"")),"")</f>
        <v/>
      </c>
      <c r="P93">
        <f t="shared" si="13"/>
        <v>5858.5</v>
      </c>
    </row>
    <row r="94" spans="1:16" x14ac:dyDescent="0.2">
      <c r="A94" s="7">
        <f t="shared" si="7"/>
        <v>46226</v>
      </c>
      <c r="B94" s="8" t="str">
        <f t="shared" si="8"/>
        <v>ENVÍO SUPESA cal. A</v>
      </c>
      <c r="C94" s="9" t="str">
        <f t="shared" si="9"/>
        <v/>
      </c>
      <c r="D94" s="9">
        <f t="shared" si="10"/>
        <v>1005</v>
      </c>
      <c r="E94" s="8" t="str">
        <f t="shared" si="11"/>
        <v>G-3008 67 jabas</v>
      </c>
      <c r="F94" s="9">
        <f t="shared" si="12"/>
        <v>4932.5</v>
      </c>
      <c r="J94" t="str">
        <f>IF(AND(MOVIMIENTOS!$B93&lt;&gt;"",NOT(AND(MOVIMIENTOS!$B93="PROCESO",MOVIMIENTOS!$C93&lt;&gt;"Chancho")),NOT(AND(MOVIMIENTOS!$B93="SALDO INICIAL",MOVIMIENTOS!$C93="Chancho"))),COUNT(J$5:J93)+1,"")</f>
        <v/>
      </c>
      <c r="K94" t="str">
        <f>IF(AND(MOVIMIENTOS!$B93&lt;&gt;"",NOT(AND(MOVIMIENTOS!$B93="PROCESO",MOVIMIENTOS!$C93&lt;&gt;"Chancho")),NOT(AND(MOVIMIENTOS!$B93="SALDO INICIAL",MOVIMIENTOS!$C93="Chancho"))),MOVIMIENTOS!$A93,"")</f>
        <v/>
      </c>
      <c r="L94" t="str">
        <f>IF(AND(MOVIMIENTOS!$B93&lt;&gt;"",NOT(AND(MOVIMIENTOS!$B93="PROCESO",MOVIMIENTOS!$C93&lt;&gt;"Chancho")),NOT(AND(MOVIMIENTOS!$B93="SALDO INICIAL",MOVIMIENTOS!$C93="Chancho"))),IF(MOVIMIENTOS!$B93="SALDO INICIAL","APERTURA ("&amp;MOVIMIENTOS!$C93&amp;")",IF(MOVIMIENTOS!$B93="COMPRA","INGRESO (compra)",IF(MOVIMIENTOS!$B93="PROCESO","CHANCHO (proceso)",IF(MOVIMIENTOS!$B93="ENVÍO A SUPESA","ENVÍO SUPESA cal. "&amp;MOVIMIENTOS!$C93,IF(MOVIMIENTOS!$B93="VENTA CHANCHO","VENTA CHANCHO",IF(MOVIMIENTOS!$B93="DEVOLUCIÓN","DEVOLUCIÓN cal. "&amp;MOVIMIENTOS!$C93,IF(MOVIMIENTOS!$B93="TRASIEGO","TRASIEGO cal. "&amp;MOVIMIENTOS!$C93,IF(MOVIMIENTOS!$B93="REGALO","REGALO "&amp;MOVIMIENTOS!$C93,IF(MOVIMIENTOS!$B93="VENTA","VENTA "&amp;MOVIMIENTOS!$C93,IF(MOVIMIENTOS!$B93="AJUSTE","AJUSTE inventario ("&amp;MOVIMIENTOS!$C93&amp;")",MOVIMIENTOS!$B93)))))))))),"")</f>
        <v/>
      </c>
      <c r="M94" t="str">
        <f>IF(AND(AND(MOVIMIENTOS!$B93&lt;&gt;"",NOT(AND(MOVIMIENTOS!$B93="PROCESO",MOVIMIENTOS!$C93&lt;&gt;"Chancho")),NOT(AND(MOVIMIENTOS!$B93="SALDO INICIAL",MOVIMIENTOS!$C93="Chancho"))),OR(MOVIMIENTOS!$B93="SALDO INICIAL",MOVIMIENTOS!$B93="COMPRA",MOVIMIENTOS!$B93="REPROCESO",AND(MOVIMIENTOS!$B93="AJUSTE",MOVIMIENTOS!$C93&lt;&gt;"Chancho",N(MOVIMIENTOS!$F93)&gt;=0))),N(MOVIMIENTOS!$F93),"")</f>
        <v/>
      </c>
      <c r="N94" t="str">
        <f>IF(AND(AND(MOVIMIENTOS!$B93&lt;&gt;"",NOT(AND(MOVIMIENTOS!$B93="PROCESO",MOVIMIENTOS!$C93&lt;&gt;"Chancho")),NOT(AND(MOVIMIENTOS!$B93="SALDO INICIAL",MOVIMIENTOS!$C93="Chancho"))),OR(MOVIMIENTOS!$B93="ENVÍO A SUPESA",MOVIMIENTOS!$B93="MALOGRADO",MOVIMIENTOS!$B93="OTRA SALIDA",MOVIMIENTOS!$B93="TRASIEGO",AND(MOVIMIENTOS!$B93="PROCESO",MOVIMIENTOS!$C93="Chancho"),AND(MOVIMIENTOS!$B93="REGALO",MOVIMIENTOS!$C93&lt;&gt;"Chancho"),AND(MOVIMIENTOS!$B93="VENTA",MOVIMIENTOS!$C93&lt;&gt;"Chancho"),AND(MOVIMIENTOS!$B93="AJUSTE",MOVIMIENTOS!$C93&lt;&gt;"Chancho",N(MOVIMIENTOS!$F93)&lt;0))),IF(MOVIMIENTOS!$B93="AJUSTE",-N(MOVIMIENTOS!$F93),N(MOVIMIENTOS!$F93)),"")</f>
        <v/>
      </c>
      <c r="O94" t="str">
        <f>IF(AND(MOVIMIENTOS!$B93&lt;&gt;"",NOT(AND(MOVIMIENTOS!$B93="PROCESO",MOVIMIENTOS!$C93&lt;&gt;"Chancho")),NOT(AND(MOVIMIENTOS!$B93="SALDO INICIAL",MOVIMIENTOS!$C93="Chancho"))),TRIM(IF(MOVIMIENTOS!$G93&lt;&gt;"",IF(MOVIMIENTOS!$B93="ENVÍO A SUPESA","G-"&amp;MOVIMIENTOS!$G93,MOVIMIENTOS!$G93)&amp;"  ","")&amp;IF(N(MOVIMIENTOS!$E93)&gt;0,MOVIMIENTOS!$E93&amp;" "&amp;MOVIMIENTOS!$D93,"")),"")</f>
        <v/>
      </c>
      <c r="P94">
        <f t="shared" si="13"/>
        <v>5858.5</v>
      </c>
    </row>
    <row r="95" spans="1:16" x14ac:dyDescent="0.2">
      <c r="A95" s="7">
        <f t="shared" si="7"/>
        <v>46226</v>
      </c>
      <c r="B95" s="8" t="str">
        <f t="shared" si="8"/>
        <v>ENVÍO SUPESA cal. P</v>
      </c>
      <c r="C95" s="9" t="str">
        <f t="shared" si="9"/>
        <v/>
      </c>
      <c r="D95" s="9">
        <f t="shared" si="10"/>
        <v>198</v>
      </c>
      <c r="E95" s="8" t="str">
        <f t="shared" si="11"/>
        <v>G-3008 11 jabas</v>
      </c>
      <c r="F95" s="9">
        <f t="shared" si="12"/>
        <v>4734.5</v>
      </c>
      <c r="J95">
        <f>IF(AND(MOVIMIENTOS!$B94&lt;&gt;"",NOT(AND(MOVIMIENTOS!$B94="PROCESO",MOVIMIENTOS!$C94&lt;&gt;"Chancho")),NOT(AND(MOVIMIENTOS!$B94="SALDO INICIAL",MOVIMIENTOS!$C94="Chancho"))),COUNT(J$5:J94)+1,"")</f>
        <v>55</v>
      </c>
      <c r="K95" s="10">
        <f>IF(AND(MOVIMIENTOS!$B94&lt;&gt;"",NOT(AND(MOVIMIENTOS!$B94="PROCESO",MOVIMIENTOS!$C94&lt;&gt;"Chancho")),NOT(AND(MOVIMIENTOS!$B94="SALDO INICIAL",MOVIMIENTOS!$C94="Chancho"))),MOVIMIENTOS!$A94,"")</f>
        <v>46223</v>
      </c>
      <c r="L95" t="str">
        <f>IF(AND(MOVIMIENTOS!$B94&lt;&gt;"",NOT(AND(MOVIMIENTOS!$B94="PROCESO",MOVIMIENTOS!$C94&lt;&gt;"Chancho")),NOT(AND(MOVIMIENTOS!$B94="SALDO INICIAL",MOVIMIENTOS!$C94="Chancho"))),IF(MOVIMIENTOS!$B94="SALDO INICIAL","APERTURA ("&amp;MOVIMIENTOS!$C94&amp;")",IF(MOVIMIENTOS!$B94="COMPRA","INGRESO (compra)",IF(MOVIMIENTOS!$B94="PROCESO","CHANCHO (proceso)",IF(MOVIMIENTOS!$B94="ENVÍO A SUPESA","ENVÍO SUPESA cal. "&amp;MOVIMIENTOS!$C94,IF(MOVIMIENTOS!$B94="VENTA CHANCHO","VENTA CHANCHO",IF(MOVIMIENTOS!$B94="DEVOLUCIÓN","DEVOLUCIÓN cal. "&amp;MOVIMIENTOS!$C94,IF(MOVIMIENTOS!$B94="TRASIEGO","TRASIEGO cal. "&amp;MOVIMIENTOS!$C94,IF(MOVIMIENTOS!$B94="REGALO","REGALO "&amp;MOVIMIENTOS!$C94,IF(MOVIMIENTOS!$B94="VENTA","VENTA "&amp;MOVIMIENTOS!$C94,IF(MOVIMIENTOS!$B94="AJUSTE","AJUSTE inventario ("&amp;MOVIMIENTOS!$C94&amp;")",MOVIMIENTOS!$B94)))))))))),"")</f>
        <v>CHANCHO (proceso)</v>
      </c>
      <c r="M95" t="str">
        <f>IF(AND(AND(MOVIMIENTOS!$B94&lt;&gt;"",NOT(AND(MOVIMIENTOS!$B94="PROCESO",MOVIMIENTOS!$C94&lt;&gt;"Chancho")),NOT(AND(MOVIMIENTOS!$B94="SALDO INICIAL",MOVIMIENTOS!$C94="Chancho"))),OR(MOVIMIENTOS!$B94="SALDO INICIAL",MOVIMIENTOS!$B94="COMPRA",MOVIMIENTOS!$B94="REPROCESO",AND(MOVIMIENTOS!$B94="AJUSTE",MOVIMIENTOS!$C94&lt;&gt;"Chancho",N(MOVIMIENTOS!$F94)&gt;=0))),N(MOVIMIENTOS!$F94),"")</f>
        <v/>
      </c>
      <c r="N95">
        <f>IF(AND(AND(MOVIMIENTOS!$B94&lt;&gt;"",NOT(AND(MOVIMIENTOS!$B94="PROCESO",MOVIMIENTOS!$C94&lt;&gt;"Chancho")),NOT(AND(MOVIMIENTOS!$B94="SALDO INICIAL",MOVIMIENTOS!$C94="Chancho"))),OR(MOVIMIENTOS!$B94="ENVÍO A SUPESA",MOVIMIENTOS!$B94="MALOGRADO",MOVIMIENTOS!$B94="OTRA SALIDA",MOVIMIENTOS!$B94="TRASIEGO",AND(MOVIMIENTOS!$B94="PROCESO",MOVIMIENTOS!$C94="Chancho"),AND(MOVIMIENTOS!$B94="REGALO",MOVIMIENTOS!$C94&lt;&gt;"Chancho"),AND(MOVIMIENTOS!$B94="VENTA",MOVIMIENTOS!$C94&lt;&gt;"Chancho"),AND(MOVIMIENTOS!$B94="AJUSTE",MOVIMIENTOS!$C94&lt;&gt;"Chancho",N(MOVIMIENTOS!$F94)&lt;0))),IF(MOVIMIENTOS!$B94="AJUSTE",-N(MOVIMIENTOS!$F94),N(MOVIMIENTOS!$F94)),"")</f>
        <v>617.5</v>
      </c>
      <c r="O95" t="str">
        <f>IF(AND(MOVIMIENTOS!$B94&lt;&gt;"",NOT(AND(MOVIMIENTOS!$B94="PROCESO",MOVIMIENTOS!$C94&lt;&gt;"Chancho")),NOT(AND(MOVIMIENTOS!$B94="SALDO INICIAL",MOVIMIENTOS!$C94="Chancho"))),TRIM(IF(MOVIMIENTOS!$G94&lt;&gt;"",IF(MOVIMIENTOS!$B94="ENVÍO A SUPESA","G-"&amp;MOVIMIENTOS!$G94,MOVIMIENTOS!$G94)&amp;"  ","")&amp;IF(N(MOVIMIENTOS!$E94)&gt;0,MOVIMIENTOS!$E94&amp;" "&amp;MOVIMIENTOS!$D94,"")),"")</f>
        <v>6.5 sacos</v>
      </c>
      <c r="P95">
        <f t="shared" si="13"/>
        <v>5241</v>
      </c>
    </row>
    <row r="96" spans="1:16" x14ac:dyDescent="0.2">
      <c r="A96" s="7">
        <f t="shared" si="7"/>
        <v>46226</v>
      </c>
      <c r="B96" s="8" t="str">
        <f t="shared" si="8"/>
        <v>ENVÍO SUPESA cal. C</v>
      </c>
      <c r="C96" s="9" t="str">
        <f t="shared" si="9"/>
        <v/>
      </c>
      <c r="D96" s="9">
        <f t="shared" si="10"/>
        <v>204</v>
      </c>
      <c r="E96" s="8" t="str">
        <f t="shared" si="11"/>
        <v>G-3008 12 jabas</v>
      </c>
      <c r="F96" s="9">
        <f t="shared" si="12"/>
        <v>4530.5</v>
      </c>
      <c r="J96">
        <f>IF(AND(MOVIMIENTOS!$B95&lt;&gt;"",NOT(AND(MOVIMIENTOS!$B95="PROCESO",MOVIMIENTOS!$C95&lt;&gt;"Chancho")),NOT(AND(MOVIMIENTOS!$B95="SALDO INICIAL",MOVIMIENTOS!$C95="Chancho"))),COUNT(J$5:J95)+1,"")</f>
        <v>56</v>
      </c>
      <c r="K96" s="10">
        <f>IF(AND(MOVIMIENTOS!$B95&lt;&gt;"",NOT(AND(MOVIMIENTOS!$B95="PROCESO",MOVIMIENTOS!$C95&lt;&gt;"Chancho")),NOT(AND(MOVIMIENTOS!$B95="SALDO INICIAL",MOVIMIENTOS!$C95="Chancho"))),MOVIMIENTOS!$A95,"")</f>
        <v>46223</v>
      </c>
      <c r="L96" t="str">
        <f>IF(AND(MOVIMIENTOS!$B95&lt;&gt;"",NOT(AND(MOVIMIENTOS!$B95="PROCESO",MOVIMIENTOS!$C95&lt;&gt;"Chancho")),NOT(AND(MOVIMIENTOS!$B95="SALDO INICIAL",MOVIMIENTOS!$C95="Chancho"))),IF(MOVIMIENTOS!$B95="SALDO INICIAL","APERTURA ("&amp;MOVIMIENTOS!$C95&amp;")",IF(MOVIMIENTOS!$B95="COMPRA","INGRESO (compra)",IF(MOVIMIENTOS!$B95="PROCESO","CHANCHO (proceso)",IF(MOVIMIENTOS!$B95="ENVÍO A SUPESA","ENVÍO SUPESA cal. "&amp;MOVIMIENTOS!$C95,IF(MOVIMIENTOS!$B95="VENTA CHANCHO","VENTA CHANCHO",IF(MOVIMIENTOS!$B95="DEVOLUCIÓN","DEVOLUCIÓN cal. "&amp;MOVIMIENTOS!$C95,IF(MOVIMIENTOS!$B95="TRASIEGO","TRASIEGO cal. "&amp;MOVIMIENTOS!$C95,IF(MOVIMIENTOS!$B95="REGALO","REGALO "&amp;MOVIMIENTOS!$C95,IF(MOVIMIENTOS!$B95="VENTA","VENTA "&amp;MOVIMIENTOS!$C95,IF(MOVIMIENTOS!$B95="AJUSTE","AJUSTE inventario ("&amp;MOVIMIENTOS!$C95&amp;")",MOVIMIENTOS!$B95)))))))))),"")</f>
        <v>ENVÍO SUPESA cal. A</v>
      </c>
      <c r="M96" t="str">
        <f>IF(AND(AND(MOVIMIENTOS!$B95&lt;&gt;"",NOT(AND(MOVIMIENTOS!$B95="PROCESO",MOVIMIENTOS!$C95&lt;&gt;"Chancho")),NOT(AND(MOVIMIENTOS!$B95="SALDO INICIAL",MOVIMIENTOS!$C95="Chancho"))),OR(MOVIMIENTOS!$B95="SALDO INICIAL",MOVIMIENTOS!$B95="COMPRA",MOVIMIENTOS!$B95="REPROCESO",AND(MOVIMIENTOS!$B95="AJUSTE",MOVIMIENTOS!$C95&lt;&gt;"Chancho",N(MOVIMIENTOS!$F95)&gt;=0))),N(MOVIMIENTOS!$F95),"")</f>
        <v/>
      </c>
      <c r="N96">
        <f>IF(AND(AND(MOVIMIENTOS!$B95&lt;&gt;"",NOT(AND(MOVIMIENTOS!$B95="PROCESO",MOVIMIENTOS!$C95&lt;&gt;"Chancho")),NOT(AND(MOVIMIENTOS!$B95="SALDO INICIAL",MOVIMIENTOS!$C95="Chancho"))),OR(MOVIMIENTOS!$B95="ENVÍO A SUPESA",MOVIMIENTOS!$B95="MALOGRADO",MOVIMIENTOS!$B95="OTRA SALIDA",MOVIMIENTOS!$B95="TRASIEGO",AND(MOVIMIENTOS!$B95="PROCESO",MOVIMIENTOS!$C95="Chancho"),AND(MOVIMIENTOS!$B95="REGALO",MOVIMIENTOS!$C95&lt;&gt;"Chancho"),AND(MOVIMIENTOS!$B95="VENTA",MOVIMIENTOS!$C95&lt;&gt;"Chancho"),AND(MOVIMIENTOS!$B95="AJUSTE",MOVIMIENTOS!$C95&lt;&gt;"Chancho",N(MOVIMIENTOS!$F95)&lt;0))),IF(MOVIMIENTOS!$B95="AJUSTE",-N(MOVIMIENTOS!$F95),N(MOVIMIENTOS!$F95)),"")</f>
        <v>1005</v>
      </c>
      <c r="O96" t="str">
        <f>IF(AND(MOVIMIENTOS!$B95&lt;&gt;"",NOT(AND(MOVIMIENTOS!$B95="PROCESO",MOVIMIENTOS!$C95&lt;&gt;"Chancho")),NOT(AND(MOVIMIENTOS!$B95="SALDO INICIAL",MOVIMIENTOS!$C95="Chancho"))),TRIM(IF(MOVIMIENTOS!$G95&lt;&gt;"",IF(MOVIMIENTOS!$B95="ENVÍO A SUPESA","G-"&amp;MOVIMIENTOS!$G95,MOVIMIENTOS!$G95)&amp;"  ","")&amp;IF(N(MOVIMIENTOS!$E95)&gt;0,MOVIMIENTOS!$E95&amp;" "&amp;MOVIMIENTOS!$D95,"")),"")</f>
        <v>G-3001 67 jabas</v>
      </c>
      <c r="P96">
        <f t="shared" si="13"/>
        <v>4236</v>
      </c>
    </row>
    <row r="97" spans="1:16" x14ac:dyDescent="0.2">
      <c r="A97" s="7">
        <f t="shared" si="7"/>
        <v>46226</v>
      </c>
      <c r="B97" s="8" t="str">
        <f t="shared" si="8"/>
        <v>ENVÍO SUPESA cal. M</v>
      </c>
      <c r="C97" s="9" t="str">
        <f t="shared" si="9"/>
        <v/>
      </c>
      <c r="D97" s="9">
        <f t="shared" si="10"/>
        <v>2006</v>
      </c>
      <c r="E97" s="8" t="str">
        <f t="shared" si="11"/>
        <v>G-3008 118 jabas</v>
      </c>
      <c r="F97" s="9">
        <f t="shared" si="12"/>
        <v>2524.5</v>
      </c>
      <c r="J97">
        <f>IF(AND(MOVIMIENTOS!$B96&lt;&gt;"",NOT(AND(MOVIMIENTOS!$B96="PROCESO",MOVIMIENTOS!$C96&lt;&gt;"Chancho")),NOT(AND(MOVIMIENTOS!$B96="SALDO INICIAL",MOVIMIENTOS!$C96="Chancho"))),COUNT(J$5:J96)+1,"")</f>
        <v>57</v>
      </c>
      <c r="K97" s="10">
        <f>IF(AND(MOVIMIENTOS!$B96&lt;&gt;"",NOT(AND(MOVIMIENTOS!$B96="PROCESO",MOVIMIENTOS!$C96&lt;&gt;"Chancho")),NOT(AND(MOVIMIENTOS!$B96="SALDO INICIAL",MOVIMIENTOS!$C96="Chancho"))),MOVIMIENTOS!$A96,"")</f>
        <v>46223</v>
      </c>
      <c r="L97" t="str">
        <f>IF(AND(MOVIMIENTOS!$B96&lt;&gt;"",NOT(AND(MOVIMIENTOS!$B96="PROCESO",MOVIMIENTOS!$C96&lt;&gt;"Chancho")),NOT(AND(MOVIMIENTOS!$B96="SALDO INICIAL",MOVIMIENTOS!$C96="Chancho"))),IF(MOVIMIENTOS!$B96="SALDO INICIAL","APERTURA ("&amp;MOVIMIENTOS!$C96&amp;")",IF(MOVIMIENTOS!$B96="COMPRA","INGRESO (compra)",IF(MOVIMIENTOS!$B96="PROCESO","CHANCHO (proceso)",IF(MOVIMIENTOS!$B96="ENVÍO A SUPESA","ENVÍO SUPESA cal. "&amp;MOVIMIENTOS!$C96,IF(MOVIMIENTOS!$B96="VENTA CHANCHO","VENTA CHANCHO",IF(MOVIMIENTOS!$B96="DEVOLUCIÓN","DEVOLUCIÓN cal. "&amp;MOVIMIENTOS!$C96,IF(MOVIMIENTOS!$B96="TRASIEGO","TRASIEGO cal. "&amp;MOVIMIENTOS!$C96,IF(MOVIMIENTOS!$B96="REGALO","REGALO "&amp;MOVIMIENTOS!$C96,IF(MOVIMIENTOS!$B96="VENTA","VENTA "&amp;MOVIMIENTOS!$C96,IF(MOVIMIENTOS!$B96="AJUSTE","AJUSTE inventario ("&amp;MOVIMIENTOS!$C96&amp;")",MOVIMIENTOS!$B96)))))))))),"")</f>
        <v>ENVÍO SUPESA cal. P</v>
      </c>
      <c r="M97" t="str">
        <f>IF(AND(AND(MOVIMIENTOS!$B96&lt;&gt;"",NOT(AND(MOVIMIENTOS!$B96="PROCESO",MOVIMIENTOS!$C96&lt;&gt;"Chancho")),NOT(AND(MOVIMIENTOS!$B96="SALDO INICIAL",MOVIMIENTOS!$C96="Chancho"))),OR(MOVIMIENTOS!$B96="SALDO INICIAL",MOVIMIENTOS!$B96="COMPRA",MOVIMIENTOS!$B96="REPROCESO",AND(MOVIMIENTOS!$B96="AJUSTE",MOVIMIENTOS!$C96&lt;&gt;"Chancho",N(MOVIMIENTOS!$F96)&gt;=0))),N(MOVIMIENTOS!$F96),"")</f>
        <v/>
      </c>
      <c r="N97">
        <f>IF(AND(AND(MOVIMIENTOS!$B96&lt;&gt;"",NOT(AND(MOVIMIENTOS!$B96="PROCESO",MOVIMIENTOS!$C96&lt;&gt;"Chancho")),NOT(AND(MOVIMIENTOS!$B96="SALDO INICIAL",MOVIMIENTOS!$C96="Chancho"))),OR(MOVIMIENTOS!$B96="ENVÍO A SUPESA",MOVIMIENTOS!$B96="MALOGRADO",MOVIMIENTOS!$B96="OTRA SALIDA",MOVIMIENTOS!$B96="TRASIEGO",AND(MOVIMIENTOS!$B96="PROCESO",MOVIMIENTOS!$C96="Chancho"),AND(MOVIMIENTOS!$B96="REGALO",MOVIMIENTOS!$C96&lt;&gt;"Chancho"),AND(MOVIMIENTOS!$B96="VENTA",MOVIMIENTOS!$C96&lt;&gt;"Chancho"),AND(MOVIMIENTOS!$B96="AJUSTE",MOVIMIENTOS!$C96&lt;&gt;"Chancho",N(MOVIMIENTOS!$F96)&lt;0))),IF(MOVIMIENTOS!$B96="AJUSTE",-N(MOVIMIENTOS!$F96),N(MOVIMIENTOS!$F96)),"")</f>
        <v>198</v>
      </c>
      <c r="O97" t="str">
        <f>IF(AND(MOVIMIENTOS!$B96&lt;&gt;"",NOT(AND(MOVIMIENTOS!$B96="PROCESO",MOVIMIENTOS!$C96&lt;&gt;"Chancho")),NOT(AND(MOVIMIENTOS!$B96="SALDO INICIAL",MOVIMIENTOS!$C96="Chancho"))),TRIM(IF(MOVIMIENTOS!$G96&lt;&gt;"",IF(MOVIMIENTOS!$B96="ENVÍO A SUPESA","G-"&amp;MOVIMIENTOS!$G96,MOVIMIENTOS!$G96)&amp;"  ","")&amp;IF(N(MOVIMIENTOS!$E96)&gt;0,MOVIMIENTOS!$E96&amp;" "&amp;MOVIMIENTOS!$D96,"")),"")</f>
        <v>G-3001 11 jabas</v>
      </c>
      <c r="P97">
        <f t="shared" si="13"/>
        <v>4038</v>
      </c>
    </row>
    <row r="98" spans="1:16" x14ac:dyDescent="0.2">
      <c r="A98" s="7">
        <f t="shared" si="7"/>
        <v>46226</v>
      </c>
      <c r="B98" s="8" t="str">
        <f t="shared" si="8"/>
        <v>VENTA CHANCHO</v>
      </c>
      <c r="C98" s="9" t="str">
        <f t="shared" si="9"/>
        <v/>
      </c>
      <c r="D98" s="9" t="str">
        <f t="shared" si="10"/>
        <v/>
      </c>
      <c r="E98" s="8" t="str">
        <f t="shared" si="11"/>
        <v>S/T 0.5 sacos</v>
      </c>
      <c r="F98" s="9">
        <f t="shared" si="12"/>
        <v>2524.5</v>
      </c>
      <c r="J98">
        <f>IF(AND(MOVIMIENTOS!$B97&lt;&gt;"",NOT(AND(MOVIMIENTOS!$B97="PROCESO",MOVIMIENTOS!$C97&lt;&gt;"Chancho")),NOT(AND(MOVIMIENTOS!$B97="SALDO INICIAL",MOVIMIENTOS!$C97="Chancho"))),COUNT(J$5:J97)+1,"")</f>
        <v>58</v>
      </c>
      <c r="K98" s="10">
        <f>IF(AND(MOVIMIENTOS!$B97&lt;&gt;"",NOT(AND(MOVIMIENTOS!$B97="PROCESO",MOVIMIENTOS!$C97&lt;&gt;"Chancho")),NOT(AND(MOVIMIENTOS!$B97="SALDO INICIAL",MOVIMIENTOS!$C97="Chancho"))),MOVIMIENTOS!$A97,"")</f>
        <v>46223</v>
      </c>
      <c r="L98" t="str">
        <f>IF(AND(MOVIMIENTOS!$B97&lt;&gt;"",NOT(AND(MOVIMIENTOS!$B97="PROCESO",MOVIMIENTOS!$C97&lt;&gt;"Chancho")),NOT(AND(MOVIMIENTOS!$B97="SALDO INICIAL",MOVIMIENTOS!$C97="Chancho"))),IF(MOVIMIENTOS!$B97="SALDO INICIAL","APERTURA ("&amp;MOVIMIENTOS!$C97&amp;")",IF(MOVIMIENTOS!$B97="COMPRA","INGRESO (compra)",IF(MOVIMIENTOS!$B97="PROCESO","CHANCHO (proceso)",IF(MOVIMIENTOS!$B97="ENVÍO A SUPESA","ENVÍO SUPESA cal. "&amp;MOVIMIENTOS!$C97,IF(MOVIMIENTOS!$B97="VENTA CHANCHO","VENTA CHANCHO",IF(MOVIMIENTOS!$B97="DEVOLUCIÓN","DEVOLUCIÓN cal. "&amp;MOVIMIENTOS!$C97,IF(MOVIMIENTOS!$B97="TRASIEGO","TRASIEGO cal. "&amp;MOVIMIENTOS!$C97,IF(MOVIMIENTOS!$B97="REGALO","REGALO "&amp;MOVIMIENTOS!$C97,IF(MOVIMIENTOS!$B97="VENTA","VENTA "&amp;MOVIMIENTOS!$C97,IF(MOVIMIENTOS!$B97="AJUSTE","AJUSTE inventario ("&amp;MOVIMIENTOS!$C97&amp;")",MOVIMIENTOS!$B97)))))))))),"")</f>
        <v>ENVÍO SUPESA cal. C</v>
      </c>
      <c r="M98" t="str">
        <f>IF(AND(AND(MOVIMIENTOS!$B97&lt;&gt;"",NOT(AND(MOVIMIENTOS!$B97="PROCESO",MOVIMIENTOS!$C97&lt;&gt;"Chancho")),NOT(AND(MOVIMIENTOS!$B97="SALDO INICIAL",MOVIMIENTOS!$C97="Chancho"))),OR(MOVIMIENTOS!$B97="SALDO INICIAL",MOVIMIENTOS!$B97="COMPRA",MOVIMIENTOS!$B97="REPROCESO",AND(MOVIMIENTOS!$B97="AJUSTE",MOVIMIENTOS!$C97&lt;&gt;"Chancho",N(MOVIMIENTOS!$F97)&gt;=0))),N(MOVIMIENTOS!$F97),"")</f>
        <v/>
      </c>
      <c r="N98">
        <f>IF(AND(AND(MOVIMIENTOS!$B97&lt;&gt;"",NOT(AND(MOVIMIENTOS!$B97="PROCESO",MOVIMIENTOS!$C97&lt;&gt;"Chancho")),NOT(AND(MOVIMIENTOS!$B97="SALDO INICIAL",MOVIMIENTOS!$C97="Chancho"))),OR(MOVIMIENTOS!$B97="ENVÍO A SUPESA",MOVIMIENTOS!$B97="MALOGRADO",MOVIMIENTOS!$B97="OTRA SALIDA",MOVIMIENTOS!$B97="TRASIEGO",AND(MOVIMIENTOS!$B97="PROCESO",MOVIMIENTOS!$C97="Chancho"),AND(MOVIMIENTOS!$B97="REGALO",MOVIMIENTOS!$C97&lt;&gt;"Chancho"),AND(MOVIMIENTOS!$B97="VENTA",MOVIMIENTOS!$C97&lt;&gt;"Chancho"),AND(MOVIMIENTOS!$B97="AJUSTE",MOVIMIENTOS!$C97&lt;&gt;"Chancho",N(MOVIMIENTOS!$F97)&lt;0))),IF(MOVIMIENTOS!$B97="AJUSTE",-N(MOVIMIENTOS!$F97),N(MOVIMIENTOS!$F97)),"")</f>
        <v>204</v>
      </c>
      <c r="O98" t="str">
        <f>IF(AND(MOVIMIENTOS!$B97&lt;&gt;"",NOT(AND(MOVIMIENTOS!$B97="PROCESO",MOVIMIENTOS!$C97&lt;&gt;"Chancho")),NOT(AND(MOVIMIENTOS!$B97="SALDO INICIAL",MOVIMIENTOS!$C97="Chancho"))),TRIM(IF(MOVIMIENTOS!$G97&lt;&gt;"",IF(MOVIMIENTOS!$B97="ENVÍO A SUPESA","G-"&amp;MOVIMIENTOS!$G97,MOVIMIENTOS!$G97)&amp;"  ","")&amp;IF(N(MOVIMIENTOS!$E97)&gt;0,MOVIMIENTOS!$E97&amp;" "&amp;MOVIMIENTOS!$D97,"")),"")</f>
        <v>G-3001 12 jabas</v>
      </c>
      <c r="P98">
        <f t="shared" si="13"/>
        <v>3834</v>
      </c>
    </row>
    <row r="99" spans="1:16" x14ac:dyDescent="0.2">
      <c r="A99" s="7">
        <f t="shared" si="7"/>
        <v>46226</v>
      </c>
      <c r="B99" s="8" t="str">
        <f t="shared" si="8"/>
        <v>INGRESO (compra)</v>
      </c>
      <c r="C99" s="9">
        <f t="shared" si="9"/>
        <v>4085</v>
      </c>
      <c r="D99" s="9" t="str">
        <f t="shared" si="10"/>
        <v/>
      </c>
      <c r="E99" s="8" t="str">
        <f t="shared" si="11"/>
        <v>43 sacos</v>
      </c>
      <c r="F99" s="9">
        <f t="shared" si="12"/>
        <v>6609.5</v>
      </c>
      <c r="J99">
        <f>IF(AND(MOVIMIENTOS!$B98&lt;&gt;"",NOT(AND(MOVIMIENTOS!$B98="PROCESO",MOVIMIENTOS!$C98&lt;&gt;"Chancho")),NOT(AND(MOVIMIENTOS!$B98="SALDO INICIAL",MOVIMIENTOS!$C98="Chancho"))),COUNT(J$5:J98)+1,"")</f>
        <v>59</v>
      </c>
      <c r="K99" s="10">
        <f>IF(AND(MOVIMIENTOS!$B98&lt;&gt;"",NOT(AND(MOVIMIENTOS!$B98="PROCESO",MOVIMIENTOS!$C98&lt;&gt;"Chancho")),NOT(AND(MOVIMIENTOS!$B98="SALDO INICIAL",MOVIMIENTOS!$C98="Chancho"))),MOVIMIENTOS!$A98,"")</f>
        <v>46223</v>
      </c>
      <c r="L99" t="str">
        <f>IF(AND(MOVIMIENTOS!$B98&lt;&gt;"",NOT(AND(MOVIMIENTOS!$B98="PROCESO",MOVIMIENTOS!$C98&lt;&gt;"Chancho")),NOT(AND(MOVIMIENTOS!$B98="SALDO INICIAL",MOVIMIENTOS!$C98="Chancho"))),IF(MOVIMIENTOS!$B98="SALDO INICIAL","APERTURA ("&amp;MOVIMIENTOS!$C98&amp;")",IF(MOVIMIENTOS!$B98="COMPRA","INGRESO (compra)",IF(MOVIMIENTOS!$B98="PROCESO","CHANCHO (proceso)",IF(MOVIMIENTOS!$B98="ENVÍO A SUPESA","ENVÍO SUPESA cal. "&amp;MOVIMIENTOS!$C98,IF(MOVIMIENTOS!$B98="VENTA CHANCHO","VENTA CHANCHO",IF(MOVIMIENTOS!$B98="DEVOLUCIÓN","DEVOLUCIÓN cal. "&amp;MOVIMIENTOS!$C98,IF(MOVIMIENTOS!$B98="TRASIEGO","TRASIEGO cal. "&amp;MOVIMIENTOS!$C98,IF(MOVIMIENTOS!$B98="REGALO","REGALO "&amp;MOVIMIENTOS!$C98,IF(MOVIMIENTOS!$B98="VENTA","VENTA "&amp;MOVIMIENTOS!$C98,IF(MOVIMIENTOS!$B98="AJUSTE","AJUSTE inventario ("&amp;MOVIMIENTOS!$C98&amp;")",MOVIMIENTOS!$B98)))))))))),"")</f>
        <v>ENVÍO SUPESA cal. M</v>
      </c>
      <c r="M99" t="str">
        <f>IF(AND(AND(MOVIMIENTOS!$B98&lt;&gt;"",NOT(AND(MOVIMIENTOS!$B98="PROCESO",MOVIMIENTOS!$C98&lt;&gt;"Chancho")),NOT(AND(MOVIMIENTOS!$B98="SALDO INICIAL",MOVIMIENTOS!$C98="Chancho"))),OR(MOVIMIENTOS!$B98="SALDO INICIAL",MOVIMIENTOS!$B98="COMPRA",MOVIMIENTOS!$B98="REPROCESO",AND(MOVIMIENTOS!$B98="AJUSTE",MOVIMIENTOS!$C98&lt;&gt;"Chancho",N(MOVIMIENTOS!$F98)&gt;=0))),N(MOVIMIENTOS!$F98),"")</f>
        <v/>
      </c>
      <c r="N99">
        <f>IF(AND(AND(MOVIMIENTOS!$B98&lt;&gt;"",NOT(AND(MOVIMIENTOS!$B98="PROCESO",MOVIMIENTOS!$C98&lt;&gt;"Chancho")),NOT(AND(MOVIMIENTOS!$B98="SALDO INICIAL",MOVIMIENTOS!$C98="Chancho"))),OR(MOVIMIENTOS!$B98="ENVÍO A SUPESA",MOVIMIENTOS!$B98="MALOGRADO",MOVIMIENTOS!$B98="OTRA SALIDA",MOVIMIENTOS!$B98="TRASIEGO",AND(MOVIMIENTOS!$B98="PROCESO",MOVIMIENTOS!$C98="Chancho"),AND(MOVIMIENTOS!$B98="REGALO",MOVIMIENTOS!$C98&lt;&gt;"Chancho"),AND(MOVIMIENTOS!$B98="VENTA",MOVIMIENTOS!$C98&lt;&gt;"Chancho"),AND(MOVIMIENTOS!$B98="AJUSTE",MOVIMIENTOS!$C98&lt;&gt;"Chancho",N(MOVIMIENTOS!$F98)&lt;0))),IF(MOVIMIENTOS!$B98="AJUSTE",-N(MOVIMIENTOS!$F98),N(MOVIMIENTOS!$F98)),"")</f>
        <v>1887</v>
      </c>
      <c r="O99" t="str">
        <f>IF(AND(MOVIMIENTOS!$B98&lt;&gt;"",NOT(AND(MOVIMIENTOS!$B98="PROCESO",MOVIMIENTOS!$C98&lt;&gt;"Chancho")),NOT(AND(MOVIMIENTOS!$B98="SALDO INICIAL",MOVIMIENTOS!$C98="Chancho"))),TRIM(IF(MOVIMIENTOS!$G98&lt;&gt;"",IF(MOVIMIENTOS!$B98="ENVÍO A SUPESA","G-"&amp;MOVIMIENTOS!$G98,MOVIMIENTOS!$G98)&amp;"  ","")&amp;IF(N(MOVIMIENTOS!$E98)&gt;0,MOVIMIENTOS!$E98&amp;" "&amp;MOVIMIENTOS!$D98,"")),"")</f>
        <v>G-3001 111 jabas</v>
      </c>
      <c r="P99">
        <f t="shared" si="13"/>
        <v>1947</v>
      </c>
    </row>
    <row r="100" spans="1:16" x14ac:dyDescent="0.2">
      <c r="A100" s="7">
        <f t="shared" si="7"/>
        <v>46226</v>
      </c>
      <c r="B100" s="8" t="str">
        <f t="shared" si="8"/>
        <v>INGRESO (compra)</v>
      </c>
      <c r="C100" s="9">
        <f t="shared" si="9"/>
        <v>3515</v>
      </c>
      <c r="D100" s="9" t="str">
        <f t="shared" si="10"/>
        <v/>
      </c>
      <c r="E100" s="8" t="str">
        <f t="shared" si="11"/>
        <v>37 sacos</v>
      </c>
      <c r="F100" s="9">
        <f t="shared" si="12"/>
        <v>10124.5</v>
      </c>
      <c r="J100">
        <f>IF(AND(MOVIMIENTOS!$B99&lt;&gt;"",NOT(AND(MOVIMIENTOS!$B99="PROCESO",MOVIMIENTOS!$C99&lt;&gt;"Chancho")),NOT(AND(MOVIMIENTOS!$B99="SALDO INICIAL",MOVIMIENTOS!$C99="Chancho"))),COUNT(J$5:J99)+1,"")</f>
        <v>60</v>
      </c>
      <c r="K100" s="10">
        <f>IF(AND(MOVIMIENTOS!$B99&lt;&gt;"",NOT(AND(MOVIMIENTOS!$B99="PROCESO",MOVIMIENTOS!$C99&lt;&gt;"Chancho")),NOT(AND(MOVIMIENTOS!$B99="SALDO INICIAL",MOVIMIENTOS!$C99="Chancho"))),MOVIMIENTOS!$A99,"")</f>
        <v>46223</v>
      </c>
      <c r="L100" t="str">
        <f>IF(AND(MOVIMIENTOS!$B99&lt;&gt;"",NOT(AND(MOVIMIENTOS!$B99="PROCESO",MOVIMIENTOS!$C99&lt;&gt;"Chancho")),NOT(AND(MOVIMIENTOS!$B99="SALDO INICIAL",MOVIMIENTOS!$C99="Chancho"))),IF(MOVIMIENTOS!$B99="SALDO INICIAL","APERTURA ("&amp;MOVIMIENTOS!$C99&amp;")",IF(MOVIMIENTOS!$B99="COMPRA","INGRESO (compra)",IF(MOVIMIENTOS!$B99="PROCESO","CHANCHO (proceso)",IF(MOVIMIENTOS!$B99="ENVÍO A SUPESA","ENVÍO SUPESA cal. "&amp;MOVIMIENTOS!$C99,IF(MOVIMIENTOS!$B99="VENTA CHANCHO","VENTA CHANCHO",IF(MOVIMIENTOS!$B99="DEVOLUCIÓN","DEVOLUCIÓN cal. "&amp;MOVIMIENTOS!$C99,IF(MOVIMIENTOS!$B99="TRASIEGO","TRASIEGO cal. "&amp;MOVIMIENTOS!$C99,IF(MOVIMIENTOS!$B99="REGALO","REGALO "&amp;MOVIMIENTOS!$C99,IF(MOVIMIENTOS!$B99="VENTA","VENTA "&amp;MOVIMIENTOS!$C99,IF(MOVIMIENTOS!$B99="AJUSTE","AJUSTE inventario ("&amp;MOVIMIENTOS!$C99&amp;")",MOVIMIENTOS!$B99)))))))))),"")</f>
        <v>VENTA CHANCHO</v>
      </c>
      <c r="M100" t="str">
        <f>IF(AND(AND(MOVIMIENTOS!$B99&lt;&gt;"",NOT(AND(MOVIMIENTOS!$B99="PROCESO",MOVIMIENTOS!$C99&lt;&gt;"Chancho")),NOT(AND(MOVIMIENTOS!$B99="SALDO INICIAL",MOVIMIENTOS!$C99="Chancho"))),OR(MOVIMIENTOS!$B99="SALDO INICIAL",MOVIMIENTOS!$B99="COMPRA",MOVIMIENTOS!$B99="REPROCESO",AND(MOVIMIENTOS!$B99="AJUSTE",MOVIMIENTOS!$C99&lt;&gt;"Chancho",N(MOVIMIENTOS!$F99)&gt;=0))),N(MOVIMIENTOS!$F99),"")</f>
        <v/>
      </c>
      <c r="N100" t="str">
        <f>IF(AND(AND(MOVIMIENTOS!$B99&lt;&gt;"",NOT(AND(MOVIMIENTOS!$B99="PROCESO",MOVIMIENTOS!$C99&lt;&gt;"Chancho")),NOT(AND(MOVIMIENTOS!$B99="SALDO INICIAL",MOVIMIENTOS!$C99="Chancho"))),OR(MOVIMIENTOS!$B99="ENVÍO A SUPESA",MOVIMIENTOS!$B99="MALOGRADO",MOVIMIENTOS!$B99="OTRA SALIDA",MOVIMIENTOS!$B99="TRASIEGO",AND(MOVIMIENTOS!$B99="PROCESO",MOVIMIENTOS!$C99="Chancho"),AND(MOVIMIENTOS!$B99="REGALO",MOVIMIENTOS!$C99&lt;&gt;"Chancho"),AND(MOVIMIENTOS!$B99="VENTA",MOVIMIENTOS!$C99&lt;&gt;"Chancho"),AND(MOVIMIENTOS!$B99="AJUSTE",MOVIMIENTOS!$C99&lt;&gt;"Chancho",N(MOVIMIENTOS!$F99)&lt;0))),IF(MOVIMIENTOS!$B99="AJUSTE",-N(MOVIMIENTOS!$F99),N(MOVIMIENTOS!$F99)),"")</f>
        <v/>
      </c>
      <c r="O100" t="str">
        <f>IF(AND(MOVIMIENTOS!$B99&lt;&gt;"",NOT(AND(MOVIMIENTOS!$B99="PROCESO",MOVIMIENTOS!$C99&lt;&gt;"Chancho")),NOT(AND(MOVIMIENTOS!$B99="SALDO INICIAL",MOVIMIENTOS!$C99="Chancho"))),TRIM(IF(MOVIMIENTOS!$G99&lt;&gt;"",IF(MOVIMIENTOS!$B99="ENVÍO A SUPESA","G-"&amp;MOVIMIENTOS!$G99,MOVIMIENTOS!$G99)&amp;"  ","")&amp;IF(N(MOVIMIENTOS!$E99)&gt;0,MOVIMIENTOS!$E99&amp;" "&amp;MOVIMIENTOS!$D99,"")),"")</f>
        <v>TCK002-726 18 sacos</v>
      </c>
      <c r="P100">
        <f t="shared" si="13"/>
        <v>1947</v>
      </c>
    </row>
    <row r="101" spans="1:16" x14ac:dyDescent="0.2">
      <c r="A101" s="7">
        <f t="shared" si="7"/>
        <v>46227</v>
      </c>
      <c r="B101" s="8" t="str">
        <f t="shared" si="8"/>
        <v>CHANCHO (proceso)</v>
      </c>
      <c r="C101" s="9" t="str">
        <f t="shared" si="9"/>
        <v/>
      </c>
      <c r="D101" s="9">
        <f t="shared" si="10"/>
        <v>570</v>
      </c>
      <c r="E101" s="8" t="str">
        <f t="shared" si="11"/>
        <v>6 sacos</v>
      </c>
      <c r="F101" s="9">
        <f t="shared" si="12"/>
        <v>9554.5</v>
      </c>
      <c r="J101">
        <f>IF(AND(MOVIMIENTOS!$B100&lt;&gt;"",NOT(AND(MOVIMIENTOS!$B100="PROCESO",MOVIMIENTOS!$C100&lt;&gt;"Chancho")),NOT(AND(MOVIMIENTOS!$B100="SALDO INICIAL",MOVIMIENTOS!$C100="Chancho"))),COUNT(J$5:J100)+1,"")</f>
        <v>61</v>
      </c>
      <c r="K101" s="10">
        <f>IF(AND(MOVIMIENTOS!$B100&lt;&gt;"",NOT(AND(MOVIMIENTOS!$B100="PROCESO",MOVIMIENTOS!$C100&lt;&gt;"Chancho")),NOT(AND(MOVIMIENTOS!$B100="SALDO INICIAL",MOVIMIENTOS!$C100="Chancho"))),MOVIMIENTOS!$A100,"")</f>
        <v>46223</v>
      </c>
      <c r="L101" t="str">
        <f>IF(AND(MOVIMIENTOS!$B100&lt;&gt;"",NOT(AND(MOVIMIENTOS!$B100="PROCESO",MOVIMIENTOS!$C100&lt;&gt;"Chancho")),NOT(AND(MOVIMIENTOS!$B100="SALDO INICIAL",MOVIMIENTOS!$C100="Chancho"))),IF(MOVIMIENTOS!$B100="SALDO INICIAL","APERTURA ("&amp;MOVIMIENTOS!$C100&amp;")",IF(MOVIMIENTOS!$B100="COMPRA","INGRESO (compra)",IF(MOVIMIENTOS!$B100="PROCESO","CHANCHO (proceso)",IF(MOVIMIENTOS!$B100="ENVÍO A SUPESA","ENVÍO SUPESA cal. "&amp;MOVIMIENTOS!$C100,IF(MOVIMIENTOS!$B100="VENTA CHANCHO","VENTA CHANCHO",IF(MOVIMIENTOS!$B100="DEVOLUCIÓN","DEVOLUCIÓN cal. "&amp;MOVIMIENTOS!$C100,IF(MOVIMIENTOS!$B100="TRASIEGO","TRASIEGO cal. "&amp;MOVIMIENTOS!$C100,IF(MOVIMIENTOS!$B100="REGALO","REGALO "&amp;MOVIMIENTOS!$C100,IF(MOVIMIENTOS!$B100="VENTA","VENTA "&amp;MOVIMIENTOS!$C100,IF(MOVIMIENTOS!$B100="AJUSTE","AJUSTE inventario ("&amp;MOVIMIENTOS!$C100&amp;")",MOVIMIENTOS!$B100)))))))))),"")</f>
        <v>INGRESO (compra)</v>
      </c>
      <c r="M101">
        <f>IF(AND(AND(MOVIMIENTOS!$B100&lt;&gt;"",NOT(AND(MOVIMIENTOS!$B100="PROCESO",MOVIMIENTOS!$C100&lt;&gt;"Chancho")),NOT(AND(MOVIMIENTOS!$B100="SALDO INICIAL",MOVIMIENTOS!$C100="Chancho"))),OR(MOVIMIENTOS!$B100="SALDO INICIAL",MOVIMIENTOS!$B100="COMPRA",MOVIMIENTOS!$B100="REPROCESO",AND(MOVIMIENTOS!$B100="AJUSTE",MOVIMIENTOS!$C100&lt;&gt;"Chancho",N(MOVIMIENTOS!$F100)&gt;=0))),N(MOVIMIENTOS!$F100),"")</f>
        <v>2090</v>
      </c>
      <c r="N101" t="str">
        <f>IF(AND(AND(MOVIMIENTOS!$B100&lt;&gt;"",NOT(AND(MOVIMIENTOS!$B100="PROCESO",MOVIMIENTOS!$C100&lt;&gt;"Chancho")),NOT(AND(MOVIMIENTOS!$B100="SALDO INICIAL",MOVIMIENTOS!$C100="Chancho"))),OR(MOVIMIENTOS!$B100="ENVÍO A SUPESA",MOVIMIENTOS!$B100="MALOGRADO",MOVIMIENTOS!$B100="OTRA SALIDA",MOVIMIENTOS!$B100="TRASIEGO",AND(MOVIMIENTOS!$B100="PROCESO",MOVIMIENTOS!$C100="Chancho"),AND(MOVIMIENTOS!$B100="REGALO",MOVIMIENTOS!$C100&lt;&gt;"Chancho"),AND(MOVIMIENTOS!$B100="VENTA",MOVIMIENTOS!$C100&lt;&gt;"Chancho"),AND(MOVIMIENTOS!$B100="AJUSTE",MOVIMIENTOS!$C100&lt;&gt;"Chancho",N(MOVIMIENTOS!$F100)&lt;0))),IF(MOVIMIENTOS!$B100="AJUSTE",-N(MOVIMIENTOS!$F100),N(MOVIMIENTOS!$F100)),"")</f>
        <v/>
      </c>
      <c r="O101" t="str">
        <f>IF(AND(MOVIMIENTOS!$B100&lt;&gt;"",NOT(AND(MOVIMIENTOS!$B100="PROCESO",MOVIMIENTOS!$C100&lt;&gt;"Chancho")),NOT(AND(MOVIMIENTOS!$B100="SALDO INICIAL",MOVIMIENTOS!$C100="Chancho"))),TRIM(IF(MOVIMIENTOS!$G100&lt;&gt;"",IF(MOVIMIENTOS!$B100="ENVÍO A SUPESA","G-"&amp;MOVIMIENTOS!$G100,MOVIMIENTOS!$G100)&amp;"  ","")&amp;IF(N(MOVIMIENTOS!$E100)&gt;0,MOVIMIENTOS!$E100&amp;" "&amp;MOVIMIENTOS!$D100,"")),"")</f>
        <v>22 sacos</v>
      </c>
      <c r="P101">
        <f t="shared" si="13"/>
        <v>4037</v>
      </c>
    </row>
    <row r="102" spans="1:16" x14ac:dyDescent="0.2">
      <c r="A102" s="7">
        <f t="shared" si="7"/>
        <v>46227</v>
      </c>
      <c r="B102" s="8" t="str">
        <f t="shared" si="8"/>
        <v>ENVÍO SUPESA cal. A</v>
      </c>
      <c r="C102" s="9" t="str">
        <f t="shared" si="9"/>
        <v/>
      </c>
      <c r="D102" s="9">
        <f t="shared" si="10"/>
        <v>1005</v>
      </c>
      <c r="E102" s="8" t="str">
        <f t="shared" si="11"/>
        <v>G-3011 67 jabas</v>
      </c>
      <c r="F102" s="9">
        <f t="shared" si="12"/>
        <v>8549.5</v>
      </c>
      <c r="J102">
        <f>IF(AND(MOVIMIENTOS!$B101&lt;&gt;"",NOT(AND(MOVIMIENTOS!$B101="PROCESO",MOVIMIENTOS!$C101&lt;&gt;"Chancho")),NOT(AND(MOVIMIENTOS!$B101="SALDO INICIAL",MOVIMIENTOS!$C101="Chancho"))),COUNT(J$5:J101)+1,"")</f>
        <v>62</v>
      </c>
      <c r="K102" s="10">
        <f>IF(AND(MOVIMIENTOS!$B101&lt;&gt;"",NOT(AND(MOVIMIENTOS!$B101="PROCESO",MOVIMIENTOS!$C101&lt;&gt;"Chancho")),NOT(AND(MOVIMIENTOS!$B101="SALDO INICIAL",MOVIMIENTOS!$C101="Chancho"))),MOVIMIENTOS!$A101,"")</f>
        <v>46223</v>
      </c>
      <c r="L102" t="str">
        <f>IF(AND(MOVIMIENTOS!$B101&lt;&gt;"",NOT(AND(MOVIMIENTOS!$B101="PROCESO",MOVIMIENTOS!$C101&lt;&gt;"Chancho")),NOT(AND(MOVIMIENTOS!$B101="SALDO INICIAL",MOVIMIENTOS!$C101="Chancho"))),IF(MOVIMIENTOS!$B101="SALDO INICIAL","APERTURA ("&amp;MOVIMIENTOS!$C101&amp;")",IF(MOVIMIENTOS!$B101="COMPRA","INGRESO (compra)",IF(MOVIMIENTOS!$B101="PROCESO","CHANCHO (proceso)",IF(MOVIMIENTOS!$B101="ENVÍO A SUPESA","ENVÍO SUPESA cal. "&amp;MOVIMIENTOS!$C101,IF(MOVIMIENTOS!$B101="VENTA CHANCHO","VENTA CHANCHO",IF(MOVIMIENTOS!$B101="DEVOLUCIÓN","DEVOLUCIÓN cal. "&amp;MOVIMIENTOS!$C101,IF(MOVIMIENTOS!$B101="TRASIEGO","TRASIEGO cal. "&amp;MOVIMIENTOS!$C101,IF(MOVIMIENTOS!$B101="REGALO","REGALO "&amp;MOVIMIENTOS!$C101,IF(MOVIMIENTOS!$B101="VENTA","VENTA "&amp;MOVIMIENTOS!$C101,IF(MOVIMIENTOS!$B101="AJUSTE","AJUSTE inventario ("&amp;MOVIMIENTOS!$C101&amp;")",MOVIMIENTOS!$B101)))))))))),"")</f>
        <v>TRASIEGO cal. P</v>
      </c>
      <c r="M102" t="str">
        <f>IF(AND(AND(MOVIMIENTOS!$B101&lt;&gt;"",NOT(AND(MOVIMIENTOS!$B101="PROCESO",MOVIMIENTOS!$C101&lt;&gt;"Chancho")),NOT(AND(MOVIMIENTOS!$B101="SALDO INICIAL",MOVIMIENTOS!$C101="Chancho"))),OR(MOVIMIENTOS!$B101="SALDO INICIAL",MOVIMIENTOS!$B101="COMPRA",MOVIMIENTOS!$B101="REPROCESO",AND(MOVIMIENTOS!$B101="AJUSTE",MOVIMIENTOS!$C101&lt;&gt;"Chancho",N(MOVIMIENTOS!$F101)&gt;=0))),N(MOVIMIENTOS!$F101),"")</f>
        <v/>
      </c>
      <c r="N102">
        <f>IF(AND(AND(MOVIMIENTOS!$B101&lt;&gt;"",NOT(AND(MOVIMIENTOS!$B101="PROCESO",MOVIMIENTOS!$C101&lt;&gt;"Chancho")),NOT(AND(MOVIMIENTOS!$B101="SALDO INICIAL",MOVIMIENTOS!$C101="Chancho"))),OR(MOVIMIENTOS!$B101="ENVÍO A SUPESA",MOVIMIENTOS!$B101="MALOGRADO",MOVIMIENTOS!$B101="OTRA SALIDA",MOVIMIENTOS!$B101="TRASIEGO",AND(MOVIMIENTOS!$B101="PROCESO",MOVIMIENTOS!$C101="Chancho"),AND(MOVIMIENTOS!$B101="REGALO",MOVIMIENTOS!$C101&lt;&gt;"Chancho"),AND(MOVIMIENTOS!$B101="VENTA",MOVIMIENTOS!$C101&lt;&gt;"Chancho"),AND(MOVIMIENTOS!$B101="AJUSTE",MOVIMIENTOS!$C101&lt;&gt;"Chancho",N(MOVIMIENTOS!$F101)&lt;0))),IF(MOVIMIENTOS!$B101="AJUSTE",-N(MOVIMIENTOS!$F101),N(MOVIMIENTOS!$F101)),"")</f>
        <v>18</v>
      </c>
      <c r="O102" t="str">
        <f>IF(AND(MOVIMIENTOS!$B101&lt;&gt;"",NOT(AND(MOVIMIENTOS!$B101="PROCESO",MOVIMIENTOS!$C101&lt;&gt;"Chancho")),NOT(AND(MOVIMIENTOS!$B101="SALDO INICIAL",MOVIMIENTOS!$C101="Chancho"))),TRIM(IF(MOVIMIENTOS!$G101&lt;&gt;"",IF(MOVIMIENTOS!$B101="ENVÍO A SUPESA","G-"&amp;MOVIMIENTOS!$G101,MOVIMIENTOS!$G101)&amp;"  ","")&amp;IF(N(MOVIMIENTOS!$E101)&gt;0,MOVIMIENTOS!$E101&amp;" "&amp;MOVIMIENTOS!$D101,"")),"")</f>
        <v>1 jabas</v>
      </c>
      <c r="P102">
        <f t="shared" si="13"/>
        <v>4019</v>
      </c>
    </row>
    <row r="103" spans="1:16" x14ac:dyDescent="0.2">
      <c r="A103" s="7">
        <f t="shared" si="7"/>
        <v>46227</v>
      </c>
      <c r="B103" s="8" t="str">
        <f t="shared" si="8"/>
        <v>ENVÍO SUPESA cal. P</v>
      </c>
      <c r="C103" s="9" t="str">
        <f t="shared" si="9"/>
        <v/>
      </c>
      <c r="D103" s="9">
        <f t="shared" si="10"/>
        <v>198</v>
      </c>
      <c r="E103" s="8" t="str">
        <f t="shared" si="11"/>
        <v>G-3011 11 jabas</v>
      </c>
      <c r="F103" s="9">
        <f t="shared" si="12"/>
        <v>8351.5</v>
      </c>
      <c r="J103">
        <f>IF(AND(MOVIMIENTOS!$B102&lt;&gt;"",NOT(AND(MOVIMIENTOS!$B102="PROCESO",MOVIMIENTOS!$C102&lt;&gt;"Chancho")),NOT(AND(MOVIMIENTOS!$B102="SALDO INICIAL",MOVIMIENTOS!$C102="Chancho"))),COUNT(J$5:J102)+1,"")</f>
        <v>63</v>
      </c>
      <c r="K103" s="10">
        <f>IF(AND(MOVIMIENTOS!$B102&lt;&gt;"",NOT(AND(MOVIMIENTOS!$B102="PROCESO",MOVIMIENTOS!$C102&lt;&gt;"Chancho")),NOT(AND(MOVIMIENTOS!$B102="SALDO INICIAL",MOVIMIENTOS!$C102="Chancho"))),MOVIMIENTOS!$A102,"")</f>
        <v>46223</v>
      </c>
      <c r="L103" t="str">
        <f>IF(AND(MOVIMIENTOS!$B102&lt;&gt;"",NOT(AND(MOVIMIENTOS!$B102="PROCESO",MOVIMIENTOS!$C102&lt;&gt;"Chancho")),NOT(AND(MOVIMIENTOS!$B102="SALDO INICIAL",MOVIMIENTOS!$C102="Chancho"))),IF(MOVIMIENTOS!$B102="SALDO INICIAL","APERTURA ("&amp;MOVIMIENTOS!$C102&amp;")",IF(MOVIMIENTOS!$B102="COMPRA","INGRESO (compra)",IF(MOVIMIENTOS!$B102="PROCESO","CHANCHO (proceso)",IF(MOVIMIENTOS!$B102="ENVÍO A SUPESA","ENVÍO SUPESA cal. "&amp;MOVIMIENTOS!$C102,IF(MOVIMIENTOS!$B102="VENTA CHANCHO","VENTA CHANCHO",IF(MOVIMIENTOS!$B102="DEVOLUCIÓN","DEVOLUCIÓN cal. "&amp;MOVIMIENTOS!$C102,IF(MOVIMIENTOS!$B102="TRASIEGO","TRASIEGO cal. "&amp;MOVIMIENTOS!$C102,IF(MOVIMIENTOS!$B102="REGALO","REGALO "&amp;MOVIMIENTOS!$C102,IF(MOVIMIENTOS!$B102="VENTA","VENTA "&amp;MOVIMIENTOS!$C102,IF(MOVIMIENTOS!$B102="AJUSTE","AJUSTE inventario ("&amp;MOVIMIENTOS!$C102&amp;")",MOVIMIENTOS!$B102)))))))))),"")</f>
        <v>TRASIEGO cal. C</v>
      </c>
      <c r="M103" t="str">
        <f>IF(AND(AND(MOVIMIENTOS!$B102&lt;&gt;"",NOT(AND(MOVIMIENTOS!$B102="PROCESO",MOVIMIENTOS!$C102&lt;&gt;"Chancho")),NOT(AND(MOVIMIENTOS!$B102="SALDO INICIAL",MOVIMIENTOS!$C102="Chancho"))),OR(MOVIMIENTOS!$B102="SALDO INICIAL",MOVIMIENTOS!$B102="COMPRA",MOVIMIENTOS!$B102="REPROCESO",AND(MOVIMIENTOS!$B102="AJUSTE",MOVIMIENTOS!$C102&lt;&gt;"Chancho",N(MOVIMIENTOS!$F102)&gt;=0))),N(MOVIMIENTOS!$F102),"")</f>
        <v/>
      </c>
      <c r="N103">
        <f>IF(AND(AND(MOVIMIENTOS!$B102&lt;&gt;"",NOT(AND(MOVIMIENTOS!$B102="PROCESO",MOVIMIENTOS!$C102&lt;&gt;"Chancho")),NOT(AND(MOVIMIENTOS!$B102="SALDO INICIAL",MOVIMIENTOS!$C102="Chancho"))),OR(MOVIMIENTOS!$B102="ENVÍO A SUPESA",MOVIMIENTOS!$B102="MALOGRADO",MOVIMIENTOS!$B102="OTRA SALIDA",MOVIMIENTOS!$B102="TRASIEGO",AND(MOVIMIENTOS!$B102="PROCESO",MOVIMIENTOS!$C102="Chancho"),AND(MOVIMIENTOS!$B102="REGALO",MOVIMIENTOS!$C102&lt;&gt;"Chancho"),AND(MOVIMIENTOS!$B102="VENTA",MOVIMIENTOS!$C102&lt;&gt;"Chancho"),AND(MOVIMIENTOS!$B102="AJUSTE",MOVIMIENTOS!$C102&lt;&gt;"Chancho",N(MOVIMIENTOS!$F102)&lt;0))),IF(MOVIMIENTOS!$B102="AJUSTE",-N(MOVIMIENTOS!$F102),N(MOVIMIENTOS!$F102)),"")</f>
        <v>17</v>
      </c>
      <c r="O103" t="str">
        <f>IF(AND(MOVIMIENTOS!$B102&lt;&gt;"",NOT(AND(MOVIMIENTOS!$B102="PROCESO",MOVIMIENTOS!$C102&lt;&gt;"Chancho")),NOT(AND(MOVIMIENTOS!$B102="SALDO INICIAL",MOVIMIENTOS!$C102="Chancho"))),TRIM(IF(MOVIMIENTOS!$G102&lt;&gt;"",IF(MOVIMIENTOS!$B102="ENVÍO A SUPESA","G-"&amp;MOVIMIENTOS!$G102,MOVIMIENTOS!$G102)&amp;"  ","")&amp;IF(N(MOVIMIENTOS!$E102)&gt;0,MOVIMIENTOS!$E102&amp;" "&amp;MOVIMIENTOS!$D102,"")),"")</f>
        <v>1 jabas</v>
      </c>
      <c r="P103">
        <f t="shared" si="13"/>
        <v>4002</v>
      </c>
    </row>
    <row r="104" spans="1:16" x14ac:dyDescent="0.2">
      <c r="A104" s="7">
        <f t="shared" si="7"/>
        <v>46227</v>
      </c>
      <c r="B104" s="8" t="str">
        <f t="shared" si="8"/>
        <v>ENVÍO SUPESA cal. C</v>
      </c>
      <c r="C104" s="9" t="str">
        <f t="shared" si="9"/>
        <v/>
      </c>
      <c r="D104" s="9">
        <f t="shared" si="10"/>
        <v>204</v>
      </c>
      <c r="E104" s="8" t="str">
        <f t="shared" si="11"/>
        <v>G-3011 12 jabas</v>
      </c>
      <c r="F104" s="9">
        <f t="shared" si="12"/>
        <v>8147.5</v>
      </c>
      <c r="J104" t="str">
        <f>IF(AND(MOVIMIENTOS!$B103&lt;&gt;"",NOT(AND(MOVIMIENTOS!$B103="PROCESO",MOVIMIENTOS!$C103&lt;&gt;"Chancho")),NOT(AND(MOVIMIENTOS!$B103="SALDO INICIAL",MOVIMIENTOS!$C103="Chancho"))),COUNT(J$5:J103)+1,"")</f>
        <v/>
      </c>
      <c r="K104" t="str">
        <f>IF(AND(MOVIMIENTOS!$B103&lt;&gt;"",NOT(AND(MOVIMIENTOS!$B103="PROCESO",MOVIMIENTOS!$C103&lt;&gt;"Chancho")),NOT(AND(MOVIMIENTOS!$B103="SALDO INICIAL",MOVIMIENTOS!$C103="Chancho"))),MOVIMIENTOS!$A103,"")</f>
        <v/>
      </c>
      <c r="L104" t="str">
        <f>IF(AND(MOVIMIENTOS!$B103&lt;&gt;"",NOT(AND(MOVIMIENTOS!$B103="PROCESO",MOVIMIENTOS!$C103&lt;&gt;"Chancho")),NOT(AND(MOVIMIENTOS!$B103="SALDO INICIAL",MOVIMIENTOS!$C103="Chancho"))),IF(MOVIMIENTOS!$B103="SALDO INICIAL","APERTURA ("&amp;MOVIMIENTOS!$C103&amp;")",IF(MOVIMIENTOS!$B103="COMPRA","INGRESO (compra)",IF(MOVIMIENTOS!$B103="PROCESO","CHANCHO (proceso)",IF(MOVIMIENTOS!$B103="ENVÍO A SUPESA","ENVÍO SUPESA cal. "&amp;MOVIMIENTOS!$C103,IF(MOVIMIENTOS!$B103="VENTA CHANCHO","VENTA CHANCHO",IF(MOVIMIENTOS!$B103="DEVOLUCIÓN","DEVOLUCIÓN cal. "&amp;MOVIMIENTOS!$C103,IF(MOVIMIENTOS!$B103="TRASIEGO","TRASIEGO cal. "&amp;MOVIMIENTOS!$C103,IF(MOVIMIENTOS!$B103="REGALO","REGALO "&amp;MOVIMIENTOS!$C103,IF(MOVIMIENTOS!$B103="VENTA","VENTA "&amp;MOVIMIENTOS!$C103,IF(MOVIMIENTOS!$B103="AJUSTE","AJUSTE inventario ("&amp;MOVIMIENTOS!$C103&amp;")",MOVIMIENTOS!$B103)))))))))),"")</f>
        <v/>
      </c>
      <c r="M104" t="str">
        <f>IF(AND(AND(MOVIMIENTOS!$B103&lt;&gt;"",NOT(AND(MOVIMIENTOS!$B103="PROCESO",MOVIMIENTOS!$C103&lt;&gt;"Chancho")),NOT(AND(MOVIMIENTOS!$B103="SALDO INICIAL",MOVIMIENTOS!$C103="Chancho"))),OR(MOVIMIENTOS!$B103="SALDO INICIAL",MOVIMIENTOS!$B103="COMPRA",MOVIMIENTOS!$B103="REPROCESO",AND(MOVIMIENTOS!$B103="AJUSTE",MOVIMIENTOS!$C103&lt;&gt;"Chancho",N(MOVIMIENTOS!$F103)&gt;=0))),N(MOVIMIENTOS!$F103),"")</f>
        <v/>
      </c>
      <c r="N104" t="str">
        <f>IF(AND(AND(MOVIMIENTOS!$B103&lt;&gt;"",NOT(AND(MOVIMIENTOS!$B103="PROCESO",MOVIMIENTOS!$C103&lt;&gt;"Chancho")),NOT(AND(MOVIMIENTOS!$B103="SALDO INICIAL",MOVIMIENTOS!$C103="Chancho"))),OR(MOVIMIENTOS!$B103="ENVÍO A SUPESA",MOVIMIENTOS!$B103="MALOGRADO",MOVIMIENTOS!$B103="OTRA SALIDA",MOVIMIENTOS!$B103="TRASIEGO",AND(MOVIMIENTOS!$B103="PROCESO",MOVIMIENTOS!$C103="Chancho"),AND(MOVIMIENTOS!$B103="REGALO",MOVIMIENTOS!$C103&lt;&gt;"Chancho"),AND(MOVIMIENTOS!$B103="VENTA",MOVIMIENTOS!$C103&lt;&gt;"Chancho"),AND(MOVIMIENTOS!$B103="AJUSTE",MOVIMIENTOS!$C103&lt;&gt;"Chancho",N(MOVIMIENTOS!$F103)&lt;0))),IF(MOVIMIENTOS!$B103="AJUSTE",-N(MOVIMIENTOS!$F103),N(MOVIMIENTOS!$F103)),"")</f>
        <v/>
      </c>
      <c r="O104" t="str">
        <f>IF(AND(MOVIMIENTOS!$B103&lt;&gt;"",NOT(AND(MOVIMIENTOS!$B103="PROCESO",MOVIMIENTOS!$C103&lt;&gt;"Chancho")),NOT(AND(MOVIMIENTOS!$B103="SALDO INICIAL",MOVIMIENTOS!$C103="Chancho"))),TRIM(IF(MOVIMIENTOS!$G103&lt;&gt;"",IF(MOVIMIENTOS!$B103="ENVÍO A SUPESA","G-"&amp;MOVIMIENTOS!$G103,MOVIMIENTOS!$G103)&amp;"  ","")&amp;IF(N(MOVIMIENTOS!$E103)&gt;0,MOVIMIENTOS!$E103&amp;" "&amp;MOVIMIENTOS!$D103,"")),"")</f>
        <v/>
      </c>
      <c r="P104">
        <f t="shared" si="13"/>
        <v>4002</v>
      </c>
    </row>
    <row r="105" spans="1:16" x14ac:dyDescent="0.2">
      <c r="A105" s="7">
        <f t="shared" si="7"/>
        <v>46227</v>
      </c>
      <c r="B105" s="8" t="str">
        <f t="shared" si="8"/>
        <v>ENVÍO SUPESA cal. M</v>
      </c>
      <c r="C105" s="9" t="str">
        <f t="shared" si="9"/>
        <v/>
      </c>
      <c r="D105" s="9">
        <f t="shared" si="10"/>
        <v>2006</v>
      </c>
      <c r="E105" s="8" t="str">
        <f t="shared" si="11"/>
        <v>G-3011 118 jabas</v>
      </c>
      <c r="F105" s="9">
        <f t="shared" si="12"/>
        <v>6141.5</v>
      </c>
      <c r="J105" t="str">
        <f>IF(AND(MOVIMIENTOS!$B104&lt;&gt;"",NOT(AND(MOVIMIENTOS!$B104="PROCESO",MOVIMIENTOS!$C104&lt;&gt;"Chancho")),NOT(AND(MOVIMIENTOS!$B104="SALDO INICIAL",MOVIMIENTOS!$C104="Chancho"))),COUNT(J$5:J104)+1,"")</f>
        <v/>
      </c>
      <c r="K105" t="str">
        <f>IF(AND(MOVIMIENTOS!$B104&lt;&gt;"",NOT(AND(MOVIMIENTOS!$B104="PROCESO",MOVIMIENTOS!$C104&lt;&gt;"Chancho")),NOT(AND(MOVIMIENTOS!$B104="SALDO INICIAL",MOVIMIENTOS!$C104="Chancho"))),MOVIMIENTOS!$A104,"")</f>
        <v/>
      </c>
      <c r="L105" t="str">
        <f>IF(AND(MOVIMIENTOS!$B104&lt;&gt;"",NOT(AND(MOVIMIENTOS!$B104="PROCESO",MOVIMIENTOS!$C104&lt;&gt;"Chancho")),NOT(AND(MOVIMIENTOS!$B104="SALDO INICIAL",MOVIMIENTOS!$C104="Chancho"))),IF(MOVIMIENTOS!$B104="SALDO INICIAL","APERTURA ("&amp;MOVIMIENTOS!$C104&amp;")",IF(MOVIMIENTOS!$B104="COMPRA","INGRESO (compra)",IF(MOVIMIENTOS!$B104="PROCESO","CHANCHO (proceso)",IF(MOVIMIENTOS!$B104="ENVÍO A SUPESA","ENVÍO SUPESA cal. "&amp;MOVIMIENTOS!$C104,IF(MOVIMIENTOS!$B104="VENTA CHANCHO","VENTA CHANCHO",IF(MOVIMIENTOS!$B104="DEVOLUCIÓN","DEVOLUCIÓN cal. "&amp;MOVIMIENTOS!$C104,IF(MOVIMIENTOS!$B104="TRASIEGO","TRASIEGO cal. "&amp;MOVIMIENTOS!$C104,IF(MOVIMIENTOS!$B104="REGALO","REGALO "&amp;MOVIMIENTOS!$C104,IF(MOVIMIENTOS!$B104="VENTA","VENTA "&amp;MOVIMIENTOS!$C104,IF(MOVIMIENTOS!$B104="AJUSTE","AJUSTE inventario ("&amp;MOVIMIENTOS!$C104&amp;")",MOVIMIENTOS!$B104)))))))))),"")</f>
        <v/>
      </c>
      <c r="M105" t="str">
        <f>IF(AND(AND(MOVIMIENTOS!$B104&lt;&gt;"",NOT(AND(MOVIMIENTOS!$B104="PROCESO",MOVIMIENTOS!$C104&lt;&gt;"Chancho")),NOT(AND(MOVIMIENTOS!$B104="SALDO INICIAL",MOVIMIENTOS!$C104="Chancho"))),OR(MOVIMIENTOS!$B104="SALDO INICIAL",MOVIMIENTOS!$B104="COMPRA",MOVIMIENTOS!$B104="REPROCESO",AND(MOVIMIENTOS!$B104="AJUSTE",MOVIMIENTOS!$C104&lt;&gt;"Chancho",N(MOVIMIENTOS!$F104)&gt;=0))),N(MOVIMIENTOS!$F104),"")</f>
        <v/>
      </c>
      <c r="N105" t="str">
        <f>IF(AND(AND(MOVIMIENTOS!$B104&lt;&gt;"",NOT(AND(MOVIMIENTOS!$B104="PROCESO",MOVIMIENTOS!$C104&lt;&gt;"Chancho")),NOT(AND(MOVIMIENTOS!$B104="SALDO INICIAL",MOVIMIENTOS!$C104="Chancho"))),OR(MOVIMIENTOS!$B104="ENVÍO A SUPESA",MOVIMIENTOS!$B104="MALOGRADO",MOVIMIENTOS!$B104="OTRA SALIDA",MOVIMIENTOS!$B104="TRASIEGO",AND(MOVIMIENTOS!$B104="PROCESO",MOVIMIENTOS!$C104="Chancho"),AND(MOVIMIENTOS!$B104="REGALO",MOVIMIENTOS!$C104&lt;&gt;"Chancho"),AND(MOVIMIENTOS!$B104="VENTA",MOVIMIENTOS!$C104&lt;&gt;"Chancho"),AND(MOVIMIENTOS!$B104="AJUSTE",MOVIMIENTOS!$C104&lt;&gt;"Chancho",N(MOVIMIENTOS!$F104)&lt;0))),IF(MOVIMIENTOS!$B104="AJUSTE",-N(MOVIMIENTOS!$F104),N(MOVIMIENTOS!$F104)),"")</f>
        <v/>
      </c>
      <c r="O105" t="str">
        <f>IF(AND(MOVIMIENTOS!$B104&lt;&gt;"",NOT(AND(MOVIMIENTOS!$B104="PROCESO",MOVIMIENTOS!$C104&lt;&gt;"Chancho")),NOT(AND(MOVIMIENTOS!$B104="SALDO INICIAL",MOVIMIENTOS!$C104="Chancho"))),TRIM(IF(MOVIMIENTOS!$G104&lt;&gt;"",IF(MOVIMIENTOS!$B104="ENVÍO A SUPESA","G-"&amp;MOVIMIENTOS!$G104,MOVIMIENTOS!$G104)&amp;"  ","")&amp;IF(N(MOVIMIENTOS!$E104)&gt;0,MOVIMIENTOS!$E104&amp;" "&amp;MOVIMIENTOS!$D104,"")),"")</f>
        <v/>
      </c>
      <c r="P105">
        <f t="shared" si="13"/>
        <v>4002</v>
      </c>
    </row>
    <row r="106" spans="1:16" x14ac:dyDescent="0.2">
      <c r="A106" s="7">
        <f t="shared" si="7"/>
        <v>46227</v>
      </c>
      <c r="B106" s="8" t="str">
        <f t="shared" si="8"/>
        <v>VENTA CHANCHO</v>
      </c>
      <c r="C106" s="9" t="str">
        <f t="shared" si="9"/>
        <v/>
      </c>
      <c r="D106" s="9" t="str">
        <f t="shared" si="10"/>
        <v/>
      </c>
      <c r="E106" s="8" t="str">
        <f t="shared" si="11"/>
        <v>TCK002-729 9 sacos</v>
      </c>
      <c r="F106" s="9">
        <f t="shared" si="12"/>
        <v>6141.5</v>
      </c>
      <c r="J106">
        <f>IF(AND(MOVIMIENTOS!$B105&lt;&gt;"",NOT(AND(MOVIMIENTOS!$B105="PROCESO",MOVIMIENTOS!$C105&lt;&gt;"Chancho")),NOT(AND(MOVIMIENTOS!$B105="SALDO INICIAL",MOVIMIENTOS!$C105="Chancho"))),COUNT(J$5:J105)+1,"")</f>
        <v>64</v>
      </c>
      <c r="K106" s="10">
        <f>IF(AND(MOVIMIENTOS!$B105&lt;&gt;"",NOT(AND(MOVIMIENTOS!$B105="PROCESO",MOVIMIENTOS!$C105&lt;&gt;"Chancho")),NOT(AND(MOVIMIENTOS!$B105="SALDO INICIAL",MOVIMIENTOS!$C105="Chancho"))),MOVIMIENTOS!$A105,"")</f>
        <v>46224</v>
      </c>
      <c r="L106" t="str">
        <f>IF(AND(MOVIMIENTOS!$B105&lt;&gt;"",NOT(AND(MOVIMIENTOS!$B105="PROCESO",MOVIMIENTOS!$C105&lt;&gt;"Chancho")),NOT(AND(MOVIMIENTOS!$B105="SALDO INICIAL",MOVIMIENTOS!$C105="Chancho"))),IF(MOVIMIENTOS!$B105="SALDO INICIAL","APERTURA ("&amp;MOVIMIENTOS!$C105&amp;")",IF(MOVIMIENTOS!$B105="COMPRA","INGRESO (compra)",IF(MOVIMIENTOS!$B105="PROCESO","CHANCHO (proceso)",IF(MOVIMIENTOS!$B105="ENVÍO A SUPESA","ENVÍO SUPESA cal. "&amp;MOVIMIENTOS!$C105,IF(MOVIMIENTOS!$B105="VENTA CHANCHO","VENTA CHANCHO",IF(MOVIMIENTOS!$B105="DEVOLUCIÓN","DEVOLUCIÓN cal. "&amp;MOVIMIENTOS!$C105,IF(MOVIMIENTOS!$B105="TRASIEGO","TRASIEGO cal. "&amp;MOVIMIENTOS!$C105,IF(MOVIMIENTOS!$B105="REGALO","REGALO "&amp;MOVIMIENTOS!$C105,IF(MOVIMIENTOS!$B105="VENTA","VENTA "&amp;MOVIMIENTOS!$C105,IF(MOVIMIENTOS!$B105="AJUSTE","AJUSTE inventario ("&amp;MOVIMIENTOS!$C105&amp;")",MOVIMIENTOS!$B105)))))))))),"")</f>
        <v>CHANCHO (proceso)</v>
      </c>
      <c r="M106" t="str">
        <f>IF(AND(AND(MOVIMIENTOS!$B105&lt;&gt;"",NOT(AND(MOVIMIENTOS!$B105="PROCESO",MOVIMIENTOS!$C105&lt;&gt;"Chancho")),NOT(AND(MOVIMIENTOS!$B105="SALDO INICIAL",MOVIMIENTOS!$C105="Chancho"))),OR(MOVIMIENTOS!$B105="SALDO INICIAL",MOVIMIENTOS!$B105="COMPRA",MOVIMIENTOS!$B105="REPROCESO",AND(MOVIMIENTOS!$B105="AJUSTE",MOVIMIENTOS!$C105&lt;&gt;"Chancho",N(MOVIMIENTOS!$F105)&gt;=0))),N(MOVIMIENTOS!$F105),"")</f>
        <v/>
      </c>
      <c r="N106">
        <f>IF(AND(AND(MOVIMIENTOS!$B105&lt;&gt;"",NOT(AND(MOVIMIENTOS!$B105="PROCESO",MOVIMIENTOS!$C105&lt;&gt;"Chancho")),NOT(AND(MOVIMIENTOS!$B105="SALDO INICIAL",MOVIMIENTOS!$C105="Chancho"))),OR(MOVIMIENTOS!$B105="ENVÍO A SUPESA",MOVIMIENTOS!$B105="MALOGRADO",MOVIMIENTOS!$B105="OTRA SALIDA",MOVIMIENTOS!$B105="TRASIEGO",AND(MOVIMIENTOS!$B105="PROCESO",MOVIMIENTOS!$C105="Chancho"),AND(MOVIMIENTOS!$B105="REGALO",MOVIMIENTOS!$C105&lt;&gt;"Chancho"),AND(MOVIMIENTOS!$B105="VENTA",MOVIMIENTOS!$C105&lt;&gt;"Chancho"),AND(MOVIMIENTOS!$B105="AJUSTE",MOVIMIENTOS!$C105&lt;&gt;"Chancho",N(MOVIMIENTOS!$F105)&lt;0))),IF(MOVIMIENTOS!$B105="AJUSTE",-N(MOVIMIENTOS!$F105),N(MOVIMIENTOS!$F105)),"")</f>
        <v>285</v>
      </c>
      <c r="O106" t="str">
        <f>IF(AND(MOVIMIENTOS!$B105&lt;&gt;"",NOT(AND(MOVIMIENTOS!$B105="PROCESO",MOVIMIENTOS!$C105&lt;&gt;"Chancho")),NOT(AND(MOVIMIENTOS!$B105="SALDO INICIAL",MOVIMIENTOS!$C105="Chancho"))),TRIM(IF(MOVIMIENTOS!$G105&lt;&gt;"",IF(MOVIMIENTOS!$B105="ENVÍO A SUPESA","G-"&amp;MOVIMIENTOS!$G105,MOVIMIENTOS!$G105)&amp;"  ","")&amp;IF(N(MOVIMIENTOS!$E105)&gt;0,MOVIMIENTOS!$E105&amp;" "&amp;MOVIMIENTOS!$D105,"")),"")</f>
        <v>3 sacos</v>
      </c>
      <c r="P106">
        <f t="shared" si="13"/>
        <v>3717</v>
      </c>
    </row>
    <row r="107" spans="1:16" x14ac:dyDescent="0.2">
      <c r="A107" s="7">
        <f t="shared" si="7"/>
        <v>46227</v>
      </c>
      <c r="B107" s="8" t="str">
        <f t="shared" si="8"/>
        <v>AJUSTE inventario (A)</v>
      </c>
      <c r="C107" s="9">
        <f t="shared" si="9"/>
        <v>45</v>
      </c>
      <c r="D107" s="9" t="str">
        <f t="shared" si="10"/>
        <v/>
      </c>
      <c r="E107" s="8" t="str">
        <f t="shared" si="11"/>
        <v>3 jabas</v>
      </c>
      <c r="F107" s="9">
        <f t="shared" si="12"/>
        <v>6186.5</v>
      </c>
      <c r="J107">
        <f>IF(AND(MOVIMIENTOS!$B106&lt;&gt;"",NOT(AND(MOVIMIENTOS!$B106="PROCESO",MOVIMIENTOS!$C106&lt;&gt;"Chancho")),NOT(AND(MOVIMIENTOS!$B106="SALDO INICIAL",MOVIMIENTOS!$C106="Chancho"))),COUNT(J$5:J106)+1,"")</f>
        <v>65</v>
      </c>
      <c r="K107" s="10">
        <f>IF(AND(MOVIMIENTOS!$B106&lt;&gt;"",NOT(AND(MOVIMIENTOS!$B106="PROCESO",MOVIMIENTOS!$C106&lt;&gt;"Chancho")),NOT(AND(MOVIMIENTOS!$B106="SALDO INICIAL",MOVIMIENTOS!$C106="Chancho"))),MOVIMIENTOS!$A106,"")</f>
        <v>46224</v>
      </c>
      <c r="L107" t="str">
        <f>IF(AND(MOVIMIENTOS!$B106&lt;&gt;"",NOT(AND(MOVIMIENTOS!$B106="PROCESO",MOVIMIENTOS!$C106&lt;&gt;"Chancho")),NOT(AND(MOVIMIENTOS!$B106="SALDO INICIAL",MOVIMIENTOS!$C106="Chancho"))),IF(MOVIMIENTOS!$B106="SALDO INICIAL","APERTURA ("&amp;MOVIMIENTOS!$C106&amp;")",IF(MOVIMIENTOS!$B106="COMPRA","INGRESO (compra)",IF(MOVIMIENTOS!$B106="PROCESO","CHANCHO (proceso)",IF(MOVIMIENTOS!$B106="ENVÍO A SUPESA","ENVÍO SUPESA cal. "&amp;MOVIMIENTOS!$C106,IF(MOVIMIENTOS!$B106="VENTA CHANCHO","VENTA CHANCHO",IF(MOVIMIENTOS!$B106="DEVOLUCIÓN","DEVOLUCIÓN cal. "&amp;MOVIMIENTOS!$C106,IF(MOVIMIENTOS!$B106="TRASIEGO","TRASIEGO cal. "&amp;MOVIMIENTOS!$C106,IF(MOVIMIENTOS!$B106="REGALO","REGALO "&amp;MOVIMIENTOS!$C106,IF(MOVIMIENTOS!$B106="VENTA","VENTA "&amp;MOVIMIENTOS!$C106,IF(MOVIMIENTOS!$B106="AJUSTE","AJUSTE inventario ("&amp;MOVIMIENTOS!$C106&amp;")",MOVIMIENTOS!$B106)))))))))),"")</f>
        <v>INGRESO (compra)</v>
      </c>
      <c r="M107">
        <f>IF(AND(AND(MOVIMIENTOS!$B106&lt;&gt;"",NOT(AND(MOVIMIENTOS!$B106="PROCESO",MOVIMIENTOS!$C106&lt;&gt;"Chancho")),NOT(AND(MOVIMIENTOS!$B106="SALDO INICIAL",MOVIMIENTOS!$C106="Chancho"))),OR(MOVIMIENTOS!$B106="SALDO INICIAL",MOVIMIENTOS!$B106="COMPRA",MOVIMIENTOS!$B106="REPROCESO",AND(MOVIMIENTOS!$B106="AJUSTE",MOVIMIENTOS!$C106&lt;&gt;"Chancho",N(MOVIMIENTOS!$F106)&gt;=0))),N(MOVIMIENTOS!$F106),"")</f>
        <v>6650</v>
      </c>
      <c r="N107" t="str">
        <f>IF(AND(AND(MOVIMIENTOS!$B106&lt;&gt;"",NOT(AND(MOVIMIENTOS!$B106="PROCESO",MOVIMIENTOS!$C106&lt;&gt;"Chancho")),NOT(AND(MOVIMIENTOS!$B106="SALDO INICIAL",MOVIMIENTOS!$C106="Chancho"))),OR(MOVIMIENTOS!$B106="ENVÍO A SUPESA",MOVIMIENTOS!$B106="MALOGRADO",MOVIMIENTOS!$B106="OTRA SALIDA",MOVIMIENTOS!$B106="TRASIEGO",AND(MOVIMIENTOS!$B106="PROCESO",MOVIMIENTOS!$C106="Chancho"),AND(MOVIMIENTOS!$B106="REGALO",MOVIMIENTOS!$C106&lt;&gt;"Chancho"),AND(MOVIMIENTOS!$B106="VENTA",MOVIMIENTOS!$C106&lt;&gt;"Chancho"),AND(MOVIMIENTOS!$B106="AJUSTE",MOVIMIENTOS!$C106&lt;&gt;"Chancho",N(MOVIMIENTOS!$F106)&lt;0))),IF(MOVIMIENTOS!$B106="AJUSTE",-N(MOVIMIENTOS!$F106),N(MOVIMIENTOS!$F106)),"")</f>
        <v/>
      </c>
      <c r="O107" t="str">
        <f>IF(AND(MOVIMIENTOS!$B106&lt;&gt;"",NOT(AND(MOVIMIENTOS!$B106="PROCESO",MOVIMIENTOS!$C106&lt;&gt;"Chancho")),NOT(AND(MOVIMIENTOS!$B106="SALDO INICIAL",MOVIMIENTOS!$C106="Chancho"))),TRIM(IF(MOVIMIENTOS!$G106&lt;&gt;"",IF(MOVIMIENTOS!$B106="ENVÍO A SUPESA","G-"&amp;MOVIMIENTOS!$G106,MOVIMIENTOS!$G106)&amp;"  ","")&amp;IF(N(MOVIMIENTOS!$E106)&gt;0,MOVIMIENTOS!$E106&amp;" "&amp;MOVIMIENTOS!$D106,"")),"")</f>
        <v>70 sacos</v>
      </c>
      <c r="P107">
        <f t="shared" si="13"/>
        <v>10367</v>
      </c>
    </row>
    <row r="108" spans="1:16" x14ac:dyDescent="0.2">
      <c r="A108" s="7">
        <f t="shared" si="7"/>
        <v>46227</v>
      </c>
      <c r="B108" s="8" t="str">
        <f t="shared" si="8"/>
        <v>VENTA CHANCHO</v>
      </c>
      <c r="C108" s="9" t="str">
        <f t="shared" si="9"/>
        <v/>
      </c>
      <c r="D108" s="9" t="str">
        <f t="shared" si="10"/>
        <v/>
      </c>
      <c r="E108" s="8" t="str">
        <f t="shared" si="11"/>
        <v>1 sacos</v>
      </c>
      <c r="F108" s="9">
        <f t="shared" si="12"/>
        <v>6186.5</v>
      </c>
      <c r="J108" t="str">
        <f>IF(AND(MOVIMIENTOS!$B107&lt;&gt;"",NOT(AND(MOVIMIENTOS!$B107="PROCESO",MOVIMIENTOS!$C107&lt;&gt;"Chancho")),NOT(AND(MOVIMIENTOS!$B107="SALDO INICIAL",MOVIMIENTOS!$C107="Chancho"))),COUNT(J$5:J107)+1,"")</f>
        <v/>
      </c>
      <c r="K108" t="str">
        <f>IF(AND(MOVIMIENTOS!$B107&lt;&gt;"",NOT(AND(MOVIMIENTOS!$B107="PROCESO",MOVIMIENTOS!$C107&lt;&gt;"Chancho")),NOT(AND(MOVIMIENTOS!$B107="SALDO INICIAL",MOVIMIENTOS!$C107="Chancho"))),MOVIMIENTOS!$A107,"")</f>
        <v/>
      </c>
      <c r="L108" t="str">
        <f>IF(AND(MOVIMIENTOS!$B107&lt;&gt;"",NOT(AND(MOVIMIENTOS!$B107="PROCESO",MOVIMIENTOS!$C107&lt;&gt;"Chancho")),NOT(AND(MOVIMIENTOS!$B107="SALDO INICIAL",MOVIMIENTOS!$C107="Chancho"))),IF(MOVIMIENTOS!$B107="SALDO INICIAL","APERTURA ("&amp;MOVIMIENTOS!$C107&amp;")",IF(MOVIMIENTOS!$B107="COMPRA","INGRESO (compra)",IF(MOVIMIENTOS!$B107="PROCESO","CHANCHO (proceso)",IF(MOVIMIENTOS!$B107="ENVÍO A SUPESA","ENVÍO SUPESA cal. "&amp;MOVIMIENTOS!$C107,IF(MOVIMIENTOS!$B107="VENTA CHANCHO","VENTA CHANCHO",IF(MOVIMIENTOS!$B107="DEVOLUCIÓN","DEVOLUCIÓN cal. "&amp;MOVIMIENTOS!$C107,IF(MOVIMIENTOS!$B107="TRASIEGO","TRASIEGO cal. "&amp;MOVIMIENTOS!$C107,IF(MOVIMIENTOS!$B107="REGALO","REGALO "&amp;MOVIMIENTOS!$C107,IF(MOVIMIENTOS!$B107="VENTA","VENTA "&amp;MOVIMIENTOS!$C107,IF(MOVIMIENTOS!$B107="AJUSTE","AJUSTE inventario ("&amp;MOVIMIENTOS!$C107&amp;")",MOVIMIENTOS!$B107)))))))))),"")</f>
        <v/>
      </c>
      <c r="M108" t="str">
        <f>IF(AND(AND(MOVIMIENTOS!$B107&lt;&gt;"",NOT(AND(MOVIMIENTOS!$B107="PROCESO",MOVIMIENTOS!$C107&lt;&gt;"Chancho")),NOT(AND(MOVIMIENTOS!$B107="SALDO INICIAL",MOVIMIENTOS!$C107="Chancho"))),OR(MOVIMIENTOS!$B107="SALDO INICIAL",MOVIMIENTOS!$B107="COMPRA",MOVIMIENTOS!$B107="REPROCESO",AND(MOVIMIENTOS!$B107="AJUSTE",MOVIMIENTOS!$C107&lt;&gt;"Chancho",N(MOVIMIENTOS!$F107)&gt;=0))),N(MOVIMIENTOS!$F107),"")</f>
        <v/>
      </c>
      <c r="N108" t="str">
        <f>IF(AND(AND(MOVIMIENTOS!$B107&lt;&gt;"",NOT(AND(MOVIMIENTOS!$B107="PROCESO",MOVIMIENTOS!$C107&lt;&gt;"Chancho")),NOT(AND(MOVIMIENTOS!$B107="SALDO INICIAL",MOVIMIENTOS!$C107="Chancho"))),OR(MOVIMIENTOS!$B107="ENVÍO A SUPESA",MOVIMIENTOS!$B107="MALOGRADO",MOVIMIENTOS!$B107="OTRA SALIDA",MOVIMIENTOS!$B107="TRASIEGO",AND(MOVIMIENTOS!$B107="PROCESO",MOVIMIENTOS!$C107="Chancho"),AND(MOVIMIENTOS!$B107="REGALO",MOVIMIENTOS!$C107&lt;&gt;"Chancho"),AND(MOVIMIENTOS!$B107="VENTA",MOVIMIENTOS!$C107&lt;&gt;"Chancho"),AND(MOVIMIENTOS!$B107="AJUSTE",MOVIMIENTOS!$C107&lt;&gt;"Chancho",N(MOVIMIENTOS!$F107)&lt;0))),IF(MOVIMIENTOS!$B107="AJUSTE",-N(MOVIMIENTOS!$F107),N(MOVIMIENTOS!$F107)),"")</f>
        <v/>
      </c>
      <c r="O108" t="str">
        <f>IF(AND(MOVIMIENTOS!$B107&lt;&gt;"",NOT(AND(MOVIMIENTOS!$B107="PROCESO",MOVIMIENTOS!$C107&lt;&gt;"Chancho")),NOT(AND(MOVIMIENTOS!$B107="SALDO INICIAL",MOVIMIENTOS!$C107="Chancho"))),TRIM(IF(MOVIMIENTOS!$G107&lt;&gt;"",IF(MOVIMIENTOS!$B107="ENVÍO A SUPESA","G-"&amp;MOVIMIENTOS!$G107,MOVIMIENTOS!$G107)&amp;"  ","")&amp;IF(N(MOVIMIENTOS!$E107)&gt;0,MOVIMIENTOS!$E107&amp;" "&amp;MOVIMIENTOS!$D107,"")),"")</f>
        <v/>
      </c>
      <c r="P108">
        <f t="shared" si="13"/>
        <v>10367</v>
      </c>
    </row>
    <row r="109" spans="1:16" x14ac:dyDescent="0.2">
      <c r="A109" s="7">
        <f t="shared" si="7"/>
        <v>46227</v>
      </c>
      <c r="B109" s="8" t="str">
        <f t="shared" si="8"/>
        <v>ENVÍO SUPESA cal. Primera</v>
      </c>
      <c r="C109" s="9" t="str">
        <f t="shared" si="9"/>
        <v/>
      </c>
      <c r="D109" s="9">
        <f t="shared" si="10"/>
        <v>48</v>
      </c>
      <c r="E109" s="8" t="str">
        <f t="shared" si="11"/>
        <v>48 kg</v>
      </c>
      <c r="F109" s="9">
        <f t="shared" si="12"/>
        <v>6138.5</v>
      </c>
      <c r="J109" t="str">
        <f>IF(AND(MOVIMIENTOS!$B108&lt;&gt;"",NOT(AND(MOVIMIENTOS!$B108="PROCESO",MOVIMIENTOS!$C108&lt;&gt;"Chancho")),NOT(AND(MOVIMIENTOS!$B108="SALDO INICIAL",MOVIMIENTOS!$C108="Chancho"))),COUNT(J$5:J108)+1,"")</f>
        <v/>
      </c>
      <c r="K109" t="str">
        <f>IF(AND(MOVIMIENTOS!$B108&lt;&gt;"",NOT(AND(MOVIMIENTOS!$B108="PROCESO",MOVIMIENTOS!$C108&lt;&gt;"Chancho")),NOT(AND(MOVIMIENTOS!$B108="SALDO INICIAL",MOVIMIENTOS!$C108="Chancho"))),MOVIMIENTOS!$A108,"")</f>
        <v/>
      </c>
      <c r="L109" t="str">
        <f>IF(AND(MOVIMIENTOS!$B108&lt;&gt;"",NOT(AND(MOVIMIENTOS!$B108="PROCESO",MOVIMIENTOS!$C108&lt;&gt;"Chancho")),NOT(AND(MOVIMIENTOS!$B108="SALDO INICIAL",MOVIMIENTOS!$C108="Chancho"))),IF(MOVIMIENTOS!$B108="SALDO INICIAL","APERTURA ("&amp;MOVIMIENTOS!$C108&amp;")",IF(MOVIMIENTOS!$B108="COMPRA","INGRESO (compra)",IF(MOVIMIENTOS!$B108="PROCESO","CHANCHO (proceso)",IF(MOVIMIENTOS!$B108="ENVÍO A SUPESA","ENVÍO SUPESA cal. "&amp;MOVIMIENTOS!$C108,IF(MOVIMIENTOS!$B108="VENTA CHANCHO","VENTA CHANCHO",IF(MOVIMIENTOS!$B108="DEVOLUCIÓN","DEVOLUCIÓN cal. "&amp;MOVIMIENTOS!$C108,IF(MOVIMIENTOS!$B108="TRASIEGO","TRASIEGO cal. "&amp;MOVIMIENTOS!$C108,IF(MOVIMIENTOS!$B108="REGALO","REGALO "&amp;MOVIMIENTOS!$C108,IF(MOVIMIENTOS!$B108="VENTA","VENTA "&amp;MOVIMIENTOS!$C108,IF(MOVIMIENTOS!$B108="AJUSTE","AJUSTE inventario ("&amp;MOVIMIENTOS!$C108&amp;")",MOVIMIENTOS!$B108)))))))))),"")</f>
        <v/>
      </c>
      <c r="M109" t="str">
        <f>IF(AND(AND(MOVIMIENTOS!$B108&lt;&gt;"",NOT(AND(MOVIMIENTOS!$B108="PROCESO",MOVIMIENTOS!$C108&lt;&gt;"Chancho")),NOT(AND(MOVIMIENTOS!$B108="SALDO INICIAL",MOVIMIENTOS!$C108="Chancho"))),OR(MOVIMIENTOS!$B108="SALDO INICIAL",MOVIMIENTOS!$B108="COMPRA",MOVIMIENTOS!$B108="REPROCESO",AND(MOVIMIENTOS!$B108="AJUSTE",MOVIMIENTOS!$C108&lt;&gt;"Chancho",N(MOVIMIENTOS!$F108)&gt;=0))),N(MOVIMIENTOS!$F108),"")</f>
        <v/>
      </c>
      <c r="N109" t="str">
        <f>IF(AND(AND(MOVIMIENTOS!$B108&lt;&gt;"",NOT(AND(MOVIMIENTOS!$B108="PROCESO",MOVIMIENTOS!$C108&lt;&gt;"Chancho")),NOT(AND(MOVIMIENTOS!$B108="SALDO INICIAL",MOVIMIENTOS!$C108="Chancho"))),OR(MOVIMIENTOS!$B108="ENVÍO A SUPESA",MOVIMIENTOS!$B108="MALOGRADO",MOVIMIENTOS!$B108="OTRA SALIDA",MOVIMIENTOS!$B108="TRASIEGO",AND(MOVIMIENTOS!$B108="PROCESO",MOVIMIENTOS!$C108="Chancho"),AND(MOVIMIENTOS!$B108="REGALO",MOVIMIENTOS!$C108&lt;&gt;"Chancho"),AND(MOVIMIENTOS!$B108="VENTA",MOVIMIENTOS!$C108&lt;&gt;"Chancho"),AND(MOVIMIENTOS!$B108="AJUSTE",MOVIMIENTOS!$C108&lt;&gt;"Chancho",N(MOVIMIENTOS!$F108)&lt;0))),IF(MOVIMIENTOS!$B108="AJUSTE",-N(MOVIMIENTOS!$F108),N(MOVIMIENTOS!$F108)),"")</f>
        <v/>
      </c>
      <c r="O109" t="str">
        <f>IF(AND(MOVIMIENTOS!$B108&lt;&gt;"",NOT(AND(MOVIMIENTOS!$B108="PROCESO",MOVIMIENTOS!$C108&lt;&gt;"Chancho")),NOT(AND(MOVIMIENTOS!$B108="SALDO INICIAL",MOVIMIENTOS!$C108="Chancho"))),TRIM(IF(MOVIMIENTOS!$G108&lt;&gt;"",IF(MOVIMIENTOS!$B108="ENVÍO A SUPESA","G-"&amp;MOVIMIENTOS!$G108,MOVIMIENTOS!$G108)&amp;"  ","")&amp;IF(N(MOVIMIENTOS!$E108)&gt;0,MOVIMIENTOS!$E108&amp;" "&amp;MOVIMIENTOS!$D108,"")),"")</f>
        <v/>
      </c>
      <c r="P109">
        <f t="shared" si="13"/>
        <v>10367</v>
      </c>
    </row>
    <row r="110" spans="1:16" x14ac:dyDescent="0.2">
      <c r="A110" s="7" t="str">
        <f t="shared" si="7"/>
        <v/>
      </c>
      <c r="B110" s="8" t="str">
        <f t="shared" si="8"/>
        <v/>
      </c>
      <c r="C110" s="9" t="str">
        <f t="shared" si="9"/>
        <v/>
      </c>
      <c r="D110" s="9" t="str">
        <f t="shared" si="10"/>
        <v/>
      </c>
      <c r="E110" s="8" t="str">
        <f t="shared" si="11"/>
        <v/>
      </c>
      <c r="F110" s="9" t="str">
        <f t="shared" si="12"/>
        <v/>
      </c>
      <c r="J110" t="str">
        <f>IF(AND(MOVIMIENTOS!$B109&lt;&gt;"",NOT(AND(MOVIMIENTOS!$B109="PROCESO",MOVIMIENTOS!$C109&lt;&gt;"Chancho")),NOT(AND(MOVIMIENTOS!$B109="SALDO INICIAL",MOVIMIENTOS!$C109="Chancho"))),COUNT(J$5:J109)+1,"")</f>
        <v/>
      </c>
      <c r="K110" t="str">
        <f>IF(AND(MOVIMIENTOS!$B109&lt;&gt;"",NOT(AND(MOVIMIENTOS!$B109="PROCESO",MOVIMIENTOS!$C109&lt;&gt;"Chancho")),NOT(AND(MOVIMIENTOS!$B109="SALDO INICIAL",MOVIMIENTOS!$C109="Chancho"))),MOVIMIENTOS!$A109,"")</f>
        <v/>
      </c>
      <c r="L110" t="str">
        <f>IF(AND(MOVIMIENTOS!$B109&lt;&gt;"",NOT(AND(MOVIMIENTOS!$B109="PROCESO",MOVIMIENTOS!$C109&lt;&gt;"Chancho")),NOT(AND(MOVIMIENTOS!$B109="SALDO INICIAL",MOVIMIENTOS!$C109="Chancho"))),IF(MOVIMIENTOS!$B109="SALDO INICIAL","APERTURA ("&amp;MOVIMIENTOS!$C109&amp;")",IF(MOVIMIENTOS!$B109="COMPRA","INGRESO (compra)",IF(MOVIMIENTOS!$B109="PROCESO","CHANCHO (proceso)",IF(MOVIMIENTOS!$B109="ENVÍO A SUPESA","ENVÍO SUPESA cal. "&amp;MOVIMIENTOS!$C109,IF(MOVIMIENTOS!$B109="VENTA CHANCHO","VENTA CHANCHO",IF(MOVIMIENTOS!$B109="DEVOLUCIÓN","DEVOLUCIÓN cal. "&amp;MOVIMIENTOS!$C109,IF(MOVIMIENTOS!$B109="TRASIEGO","TRASIEGO cal. "&amp;MOVIMIENTOS!$C109,IF(MOVIMIENTOS!$B109="REGALO","REGALO "&amp;MOVIMIENTOS!$C109,IF(MOVIMIENTOS!$B109="VENTA","VENTA "&amp;MOVIMIENTOS!$C109,IF(MOVIMIENTOS!$B109="AJUSTE","AJUSTE inventario ("&amp;MOVIMIENTOS!$C109&amp;")",MOVIMIENTOS!$B109)))))))))),"")</f>
        <v/>
      </c>
      <c r="M110" t="str">
        <f>IF(AND(AND(MOVIMIENTOS!$B109&lt;&gt;"",NOT(AND(MOVIMIENTOS!$B109="PROCESO",MOVIMIENTOS!$C109&lt;&gt;"Chancho")),NOT(AND(MOVIMIENTOS!$B109="SALDO INICIAL",MOVIMIENTOS!$C109="Chancho"))),OR(MOVIMIENTOS!$B109="SALDO INICIAL",MOVIMIENTOS!$B109="COMPRA",MOVIMIENTOS!$B109="REPROCESO",AND(MOVIMIENTOS!$B109="AJUSTE",MOVIMIENTOS!$C109&lt;&gt;"Chancho",N(MOVIMIENTOS!$F109)&gt;=0))),N(MOVIMIENTOS!$F109),"")</f>
        <v/>
      </c>
      <c r="N110" t="str">
        <f>IF(AND(AND(MOVIMIENTOS!$B109&lt;&gt;"",NOT(AND(MOVIMIENTOS!$B109="PROCESO",MOVIMIENTOS!$C109&lt;&gt;"Chancho")),NOT(AND(MOVIMIENTOS!$B109="SALDO INICIAL",MOVIMIENTOS!$C109="Chancho"))),OR(MOVIMIENTOS!$B109="ENVÍO A SUPESA",MOVIMIENTOS!$B109="MALOGRADO",MOVIMIENTOS!$B109="OTRA SALIDA",MOVIMIENTOS!$B109="TRASIEGO",AND(MOVIMIENTOS!$B109="PROCESO",MOVIMIENTOS!$C109="Chancho"),AND(MOVIMIENTOS!$B109="REGALO",MOVIMIENTOS!$C109&lt;&gt;"Chancho"),AND(MOVIMIENTOS!$B109="VENTA",MOVIMIENTOS!$C109&lt;&gt;"Chancho"),AND(MOVIMIENTOS!$B109="AJUSTE",MOVIMIENTOS!$C109&lt;&gt;"Chancho",N(MOVIMIENTOS!$F109)&lt;0))),IF(MOVIMIENTOS!$B109="AJUSTE",-N(MOVIMIENTOS!$F109),N(MOVIMIENTOS!$F109)),"")</f>
        <v/>
      </c>
      <c r="O110" t="str">
        <f>IF(AND(MOVIMIENTOS!$B109&lt;&gt;"",NOT(AND(MOVIMIENTOS!$B109="PROCESO",MOVIMIENTOS!$C109&lt;&gt;"Chancho")),NOT(AND(MOVIMIENTOS!$B109="SALDO INICIAL",MOVIMIENTOS!$C109="Chancho"))),TRIM(IF(MOVIMIENTOS!$G109&lt;&gt;"",IF(MOVIMIENTOS!$B109="ENVÍO A SUPESA","G-"&amp;MOVIMIENTOS!$G109,MOVIMIENTOS!$G109)&amp;"  ","")&amp;IF(N(MOVIMIENTOS!$E109)&gt;0,MOVIMIENTOS!$E109&amp;" "&amp;MOVIMIENTOS!$D109,"")),"")</f>
        <v/>
      </c>
      <c r="P110">
        <f t="shared" si="13"/>
        <v>10367</v>
      </c>
    </row>
    <row r="111" spans="1:16" x14ac:dyDescent="0.2">
      <c r="A111" s="7" t="str">
        <f t="shared" si="7"/>
        <v/>
      </c>
      <c r="B111" s="8" t="str">
        <f t="shared" si="8"/>
        <v/>
      </c>
      <c r="C111" s="9" t="str">
        <f t="shared" si="9"/>
        <v/>
      </c>
      <c r="D111" s="9" t="str">
        <f t="shared" si="10"/>
        <v/>
      </c>
      <c r="E111" s="8" t="str">
        <f t="shared" si="11"/>
        <v/>
      </c>
      <c r="F111" s="9" t="str">
        <f t="shared" si="12"/>
        <v/>
      </c>
      <c r="J111" t="str">
        <f>IF(AND(MOVIMIENTOS!$B110&lt;&gt;"",NOT(AND(MOVIMIENTOS!$B110="PROCESO",MOVIMIENTOS!$C110&lt;&gt;"Chancho")),NOT(AND(MOVIMIENTOS!$B110="SALDO INICIAL",MOVIMIENTOS!$C110="Chancho"))),COUNT(J$5:J110)+1,"")</f>
        <v/>
      </c>
      <c r="K111" t="str">
        <f>IF(AND(MOVIMIENTOS!$B110&lt;&gt;"",NOT(AND(MOVIMIENTOS!$B110="PROCESO",MOVIMIENTOS!$C110&lt;&gt;"Chancho")),NOT(AND(MOVIMIENTOS!$B110="SALDO INICIAL",MOVIMIENTOS!$C110="Chancho"))),MOVIMIENTOS!$A110,"")</f>
        <v/>
      </c>
      <c r="L111" t="str">
        <f>IF(AND(MOVIMIENTOS!$B110&lt;&gt;"",NOT(AND(MOVIMIENTOS!$B110="PROCESO",MOVIMIENTOS!$C110&lt;&gt;"Chancho")),NOT(AND(MOVIMIENTOS!$B110="SALDO INICIAL",MOVIMIENTOS!$C110="Chancho"))),IF(MOVIMIENTOS!$B110="SALDO INICIAL","APERTURA ("&amp;MOVIMIENTOS!$C110&amp;")",IF(MOVIMIENTOS!$B110="COMPRA","INGRESO (compra)",IF(MOVIMIENTOS!$B110="PROCESO","CHANCHO (proceso)",IF(MOVIMIENTOS!$B110="ENVÍO A SUPESA","ENVÍO SUPESA cal. "&amp;MOVIMIENTOS!$C110,IF(MOVIMIENTOS!$B110="VENTA CHANCHO","VENTA CHANCHO",IF(MOVIMIENTOS!$B110="DEVOLUCIÓN","DEVOLUCIÓN cal. "&amp;MOVIMIENTOS!$C110,IF(MOVIMIENTOS!$B110="TRASIEGO","TRASIEGO cal. "&amp;MOVIMIENTOS!$C110,IF(MOVIMIENTOS!$B110="REGALO","REGALO "&amp;MOVIMIENTOS!$C110,IF(MOVIMIENTOS!$B110="VENTA","VENTA "&amp;MOVIMIENTOS!$C110,IF(MOVIMIENTOS!$B110="AJUSTE","AJUSTE inventario ("&amp;MOVIMIENTOS!$C110&amp;")",MOVIMIENTOS!$B110)))))))))),"")</f>
        <v/>
      </c>
      <c r="M111" t="str">
        <f>IF(AND(AND(MOVIMIENTOS!$B110&lt;&gt;"",NOT(AND(MOVIMIENTOS!$B110="PROCESO",MOVIMIENTOS!$C110&lt;&gt;"Chancho")),NOT(AND(MOVIMIENTOS!$B110="SALDO INICIAL",MOVIMIENTOS!$C110="Chancho"))),OR(MOVIMIENTOS!$B110="SALDO INICIAL",MOVIMIENTOS!$B110="COMPRA",MOVIMIENTOS!$B110="REPROCESO",AND(MOVIMIENTOS!$B110="AJUSTE",MOVIMIENTOS!$C110&lt;&gt;"Chancho",N(MOVIMIENTOS!$F110)&gt;=0))),N(MOVIMIENTOS!$F110),"")</f>
        <v/>
      </c>
      <c r="N111" t="str">
        <f>IF(AND(AND(MOVIMIENTOS!$B110&lt;&gt;"",NOT(AND(MOVIMIENTOS!$B110="PROCESO",MOVIMIENTOS!$C110&lt;&gt;"Chancho")),NOT(AND(MOVIMIENTOS!$B110="SALDO INICIAL",MOVIMIENTOS!$C110="Chancho"))),OR(MOVIMIENTOS!$B110="ENVÍO A SUPESA",MOVIMIENTOS!$B110="MALOGRADO",MOVIMIENTOS!$B110="OTRA SALIDA",MOVIMIENTOS!$B110="TRASIEGO",AND(MOVIMIENTOS!$B110="PROCESO",MOVIMIENTOS!$C110="Chancho"),AND(MOVIMIENTOS!$B110="REGALO",MOVIMIENTOS!$C110&lt;&gt;"Chancho"),AND(MOVIMIENTOS!$B110="VENTA",MOVIMIENTOS!$C110&lt;&gt;"Chancho"),AND(MOVIMIENTOS!$B110="AJUSTE",MOVIMIENTOS!$C110&lt;&gt;"Chancho",N(MOVIMIENTOS!$F110)&lt;0))),IF(MOVIMIENTOS!$B110="AJUSTE",-N(MOVIMIENTOS!$F110),N(MOVIMIENTOS!$F110)),"")</f>
        <v/>
      </c>
      <c r="O111" t="str">
        <f>IF(AND(MOVIMIENTOS!$B110&lt;&gt;"",NOT(AND(MOVIMIENTOS!$B110="PROCESO",MOVIMIENTOS!$C110&lt;&gt;"Chancho")),NOT(AND(MOVIMIENTOS!$B110="SALDO INICIAL",MOVIMIENTOS!$C110="Chancho"))),TRIM(IF(MOVIMIENTOS!$G110&lt;&gt;"",IF(MOVIMIENTOS!$B110="ENVÍO A SUPESA","G-"&amp;MOVIMIENTOS!$G110,MOVIMIENTOS!$G110)&amp;"  ","")&amp;IF(N(MOVIMIENTOS!$E110)&gt;0,MOVIMIENTOS!$E110&amp;" "&amp;MOVIMIENTOS!$D110,"")),"")</f>
        <v/>
      </c>
      <c r="P111">
        <f t="shared" si="13"/>
        <v>10367</v>
      </c>
    </row>
    <row r="112" spans="1:16" x14ac:dyDescent="0.2">
      <c r="A112" s="7" t="str">
        <f t="shared" si="7"/>
        <v/>
      </c>
      <c r="B112" s="8" t="str">
        <f t="shared" si="8"/>
        <v/>
      </c>
      <c r="C112" s="9" t="str">
        <f t="shared" si="9"/>
        <v/>
      </c>
      <c r="D112" s="9" t="str">
        <f t="shared" si="10"/>
        <v/>
      </c>
      <c r="E112" s="8" t="str">
        <f t="shared" si="11"/>
        <v/>
      </c>
      <c r="F112" s="9" t="str">
        <f t="shared" si="12"/>
        <v/>
      </c>
      <c r="J112">
        <f>IF(AND(MOVIMIENTOS!$B111&lt;&gt;"",NOT(AND(MOVIMIENTOS!$B111="PROCESO",MOVIMIENTOS!$C111&lt;&gt;"Chancho")),NOT(AND(MOVIMIENTOS!$B111="SALDO INICIAL",MOVIMIENTOS!$C111="Chancho"))),COUNT(J$5:J111)+1,"")</f>
        <v>66</v>
      </c>
      <c r="K112" s="10">
        <f>IF(AND(MOVIMIENTOS!$B111&lt;&gt;"",NOT(AND(MOVIMIENTOS!$B111="PROCESO",MOVIMIENTOS!$C111&lt;&gt;"Chancho")),NOT(AND(MOVIMIENTOS!$B111="SALDO INICIAL",MOVIMIENTOS!$C111="Chancho"))),MOVIMIENTOS!$A111,"")</f>
        <v>46224</v>
      </c>
      <c r="L112" t="str">
        <f>IF(AND(MOVIMIENTOS!$B111&lt;&gt;"",NOT(AND(MOVIMIENTOS!$B111="PROCESO",MOVIMIENTOS!$C111&lt;&gt;"Chancho")),NOT(AND(MOVIMIENTOS!$B111="SALDO INICIAL",MOVIMIENTOS!$C111="Chancho"))),IF(MOVIMIENTOS!$B111="SALDO INICIAL","APERTURA ("&amp;MOVIMIENTOS!$C111&amp;")",IF(MOVIMIENTOS!$B111="COMPRA","INGRESO (compra)",IF(MOVIMIENTOS!$B111="PROCESO","CHANCHO (proceso)",IF(MOVIMIENTOS!$B111="ENVÍO A SUPESA","ENVÍO SUPESA cal. "&amp;MOVIMIENTOS!$C111,IF(MOVIMIENTOS!$B111="VENTA CHANCHO","VENTA CHANCHO",IF(MOVIMIENTOS!$B111="DEVOLUCIÓN","DEVOLUCIÓN cal. "&amp;MOVIMIENTOS!$C111,IF(MOVIMIENTOS!$B111="TRASIEGO","TRASIEGO cal. "&amp;MOVIMIENTOS!$C111,IF(MOVIMIENTOS!$B111="REGALO","REGALO "&amp;MOVIMIENTOS!$C111,IF(MOVIMIENTOS!$B111="VENTA","VENTA "&amp;MOVIMIENTOS!$C111,IF(MOVIMIENTOS!$B111="AJUSTE","AJUSTE inventario ("&amp;MOVIMIENTOS!$C111&amp;")",MOVIMIENTOS!$B111)))))))))),"")</f>
        <v>CHANCHO (proceso)</v>
      </c>
      <c r="M112" t="str">
        <f>IF(AND(AND(MOVIMIENTOS!$B111&lt;&gt;"",NOT(AND(MOVIMIENTOS!$B111="PROCESO",MOVIMIENTOS!$C111&lt;&gt;"Chancho")),NOT(AND(MOVIMIENTOS!$B111="SALDO INICIAL",MOVIMIENTOS!$C111="Chancho"))),OR(MOVIMIENTOS!$B111="SALDO INICIAL",MOVIMIENTOS!$B111="COMPRA",MOVIMIENTOS!$B111="REPROCESO",AND(MOVIMIENTOS!$B111="AJUSTE",MOVIMIENTOS!$C111&lt;&gt;"Chancho",N(MOVIMIENTOS!$F111)&gt;=0))),N(MOVIMIENTOS!$F111),"")</f>
        <v/>
      </c>
      <c r="N112">
        <f>IF(AND(AND(MOVIMIENTOS!$B111&lt;&gt;"",NOT(AND(MOVIMIENTOS!$B111="PROCESO",MOVIMIENTOS!$C111&lt;&gt;"Chancho")),NOT(AND(MOVIMIENTOS!$B111="SALDO INICIAL",MOVIMIENTOS!$C111="Chancho"))),OR(MOVIMIENTOS!$B111="ENVÍO A SUPESA",MOVIMIENTOS!$B111="MALOGRADO",MOVIMIENTOS!$B111="OTRA SALIDA",MOVIMIENTOS!$B111="TRASIEGO",AND(MOVIMIENTOS!$B111="PROCESO",MOVIMIENTOS!$C111="Chancho"),AND(MOVIMIENTOS!$B111="REGALO",MOVIMIENTOS!$C111&lt;&gt;"Chancho"),AND(MOVIMIENTOS!$B111="VENTA",MOVIMIENTOS!$C111&lt;&gt;"Chancho"),AND(MOVIMIENTOS!$B111="AJUSTE",MOVIMIENTOS!$C111&lt;&gt;"Chancho",N(MOVIMIENTOS!$F111)&lt;0))),IF(MOVIMIENTOS!$B111="AJUSTE",-N(MOVIMIENTOS!$F111),N(MOVIMIENTOS!$F111)),"")</f>
        <v>380</v>
      </c>
      <c r="O112" t="str">
        <f>IF(AND(MOVIMIENTOS!$B111&lt;&gt;"",NOT(AND(MOVIMIENTOS!$B111="PROCESO",MOVIMIENTOS!$C111&lt;&gt;"Chancho")),NOT(AND(MOVIMIENTOS!$B111="SALDO INICIAL",MOVIMIENTOS!$C111="Chancho"))),TRIM(IF(MOVIMIENTOS!$G111&lt;&gt;"",IF(MOVIMIENTOS!$B111="ENVÍO A SUPESA","G-"&amp;MOVIMIENTOS!$G111,MOVIMIENTOS!$G111)&amp;"  ","")&amp;IF(N(MOVIMIENTOS!$E111)&gt;0,MOVIMIENTOS!$E111&amp;" "&amp;MOVIMIENTOS!$D111,"")),"")</f>
        <v>4 sacos</v>
      </c>
      <c r="P112">
        <f t="shared" si="13"/>
        <v>9987</v>
      </c>
    </row>
    <row r="113" spans="1:16" x14ac:dyDescent="0.2">
      <c r="A113" s="7" t="str">
        <f t="shared" si="7"/>
        <v/>
      </c>
      <c r="B113" s="8" t="str">
        <f t="shared" si="8"/>
        <v/>
      </c>
      <c r="C113" s="9" t="str">
        <f t="shared" si="9"/>
        <v/>
      </c>
      <c r="D113" s="9" t="str">
        <f t="shared" si="10"/>
        <v/>
      </c>
      <c r="E113" s="8" t="str">
        <f t="shared" si="11"/>
        <v/>
      </c>
      <c r="F113" s="9" t="str">
        <f t="shared" si="12"/>
        <v/>
      </c>
      <c r="J113">
        <f>IF(AND(MOVIMIENTOS!$B112&lt;&gt;"",NOT(AND(MOVIMIENTOS!$B112="PROCESO",MOVIMIENTOS!$C112&lt;&gt;"Chancho")),NOT(AND(MOVIMIENTOS!$B112="SALDO INICIAL",MOVIMIENTOS!$C112="Chancho"))),COUNT(J$5:J112)+1,"")</f>
        <v>67</v>
      </c>
      <c r="K113" s="10">
        <f>IF(AND(MOVIMIENTOS!$B112&lt;&gt;"",NOT(AND(MOVIMIENTOS!$B112="PROCESO",MOVIMIENTOS!$C112&lt;&gt;"Chancho")),NOT(AND(MOVIMIENTOS!$B112="SALDO INICIAL",MOVIMIENTOS!$C112="Chancho"))),MOVIMIENTOS!$A112,"")</f>
        <v>46224</v>
      </c>
      <c r="L113" t="str">
        <f>IF(AND(MOVIMIENTOS!$B112&lt;&gt;"",NOT(AND(MOVIMIENTOS!$B112="PROCESO",MOVIMIENTOS!$C112&lt;&gt;"Chancho")),NOT(AND(MOVIMIENTOS!$B112="SALDO INICIAL",MOVIMIENTOS!$C112="Chancho"))),IF(MOVIMIENTOS!$B112="SALDO INICIAL","APERTURA ("&amp;MOVIMIENTOS!$C112&amp;")",IF(MOVIMIENTOS!$B112="COMPRA","INGRESO (compra)",IF(MOVIMIENTOS!$B112="PROCESO","CHANCHO (proceso)",IF(MOVIMIENTOS!$B112="ENVÍO A SUPESA","ENVÍO SUPESA cal. "&amp;MOVIMIENTOS!$C112,IF(MOVIMIENTOS!$B112="VENTA CHANCHO","VENTA CHANCHO",IF(MOVIMIENTOS!$B112="DEVOLUCIÓN","DEVOLUCIÓN cal. "&amp;MOVIMIENTOS!$C112,IF(MOVIMIENTOS!$B112="TRASIEGO","TRASIEGO cal. "&amp;MOVIMIENTOS!$C112,IF(MOVIMIENTOS!$B112="REGALO","REGALO "&amp;MOVIMIENTOS!$C112,IF(MOVIMIENTOS!$B112="VENTA","VENTA "&amp;MOVIMIENTOS!$C112,IF(MOVIMIENTOS!$B112="AJUSTE","AJUSTE inventario ("&amp;MOVIMIENTOS!$C112&amp;")",MOVIMIENTOS!$B112)))))))))),"")</f>
        <v>ENVÍO SUPESA cal. A</v>
      </c>
      <c r="M113" t="str">
        <f>IF(AND(AND(MOVIMIENTOS!$B112&lt;&gt;"",NOT(AND(MOVIMIENTOS!$B112="PROCESO",MOVIMIENTOS!$C112&lt;&gt;"Chancho")),NOT(AND(MOVIMIENTOS!$B112="SALDO INICIAL",MOVIMIENTOS!$C112="Chancho"))),OR(MOVIMIENTOS!$B112="SALDO INICIAL",MOVIMIENTOS!$B112="COMPRA",MOVIMIENTOS!$B112="REPROCESO",AND(MOVIMIENTOS!$B112="AJUSTE",MOVIMIENTOS!$C112&lt;&gt;"Chancho",N(MOVIMIENTOS!$F112)&gt;=0))),N(MOVIMIENTOS!$F112),"")</f>
        <v/>
      </c>
      <c r="N113">
        <f>IF(AND(AND(MOVIMIENTOS!$B112&lt;&gt;"",NOT(AND(MOVIMIENTOS!$B112="PROCESO",MOVIMIENTOS!$C112&lt;&gt;"Chancho")),NOT(AND(MOVIMIENTOS!$B112="SALDO INICIAL",MOVIMIENTOS!$C112="Chancho"))),OR(MOVIMIENTOS!$B112="ENVÍO A SUPESA",MOVIMIENTOS!$B112="MALOGRADO",MOVIMIENTOS!$B112="OTRA SALIDA",MOVIMIENTOS!$B112="TRASIEGO",AND(MOVIMIENTOS!$B112="PROCESO",MOVIMIENTOS!$C112="Chancho"),AND(MOVIMIENTOS!$B112="REGALO",MOVIMIENTOS!$C112&lt;&gt;"Chancho"),AND(MOVIMIENTOS!$B112="VENTA",MOVIMIENTOS!$C112&lt;&gt;"Chancho"),AND(MOVIMIENTOS!$B112="AJUSTE",MOVIMIENTOS!$C112&lt;&gt;"Chancho",N(MOVIMIENTOS!$F112)&lt;0))),IF(MOVIMIENTOS!$B112="AJUSTE",-N(MOVIMIENTOS!$F112),N(MOVIMIENTOS!$F112)),"")</f>
        <v>1005</v>
      </c>
      <c r="O113" t="str">
        <f>IF(AND(MOVIMIENTOS!$B112&lt;&gt;"",NOT(AND(MOVIMIENTOS!$B112="PROCESO",MOVIMIENTOS!$C112&lt;&gt;"Chancho")),NOT(AND(MOVIMIENTOS!$B112="SALDO INICIAL",MOVIMIENTOS!$C112="Chancho"))),TRIM(IF(MOVIMIENTOS!$G112&lt;&gt;"",IF(MOVIMIENTOS!$B112="ENVÍO A SUPESA","G-"&amp;MOVIMIENTOS!$G112,MOVIMIENTOS!$G112)&amp;"  ","")&amp;IF(N(MOVIMIENTOS!$E112)&gt;0,MOVIMIENTOS!$E112&amp;" "&amp;MOVIMIENTOS!$D112,"")),"")</f>
        <v>G-3004 67 jabas</v>
      </c>
      <c r="P113">
        <f t="shared" si="13"/>
        <v>8982</v>
      </c>
    </row>
    <row r="114" spans="1:16" x14ac:dyDescent="0.2">
      <c r="A114" s="7" t="str">
        <f t="shared" si="7"/>
        <v/>
      </c>
      <c r="B114" s="8" t="str">
        <f t="shared" si="8"/>
        <v/>
      </c>
      <c r="C114" s="9" t="str">
        <f t="shared" si="9"/>
        <v/>
      </c>
      <c r="D114" s="9" t="str">
        <f t="shared" si="10"/>
        <v/>
      </c>
      <c r="E114" s="8" t="str">
        <f t="shared" si="11"/>
        <v/>
      </c>
      <c r="F114" s="9" t="str">
        <f t="shared" si="12"/>
        <v/>
      </c>
      <c r="J114">
        <f>IF(AND(MOVIMIENTOS!$B113&lt;&gt;"",NOT(AND(MOVIMIENTOS!$B113="PROCESO",MOVIMIENTOS!$C113&lt;&gt;"Chancho")),NOT(AND(MOVIMIENTOS!$B113="SALDO INICIAL",MOVIMIENTOS!$C113="Chancho"))),COUNT(J$5:J113)+1,"")</f>
        <v>68</v>
      </c>
      <c r="K114" s="10">
        <f>IF(AND(MOVIMIENTOS!$B113&lt;&gt;"",NOT(AND(MOVIMIENTOS!$B113="PROCESO",MOVIMIENTOS!$C113&lt;&gt;"Chancho")),NOT(AND(MOVIMIENTOS!$B113="SALDO INICIAL",MOVIMIENTOS!$C113="Chancho"))),MOVIMIENTOS!$A113,"")</f>
        <v>46224</v>
      </c>
      <c r="L114" t="str">
        <f>IF(AND(MOVIMIENTOS!$B113&lt;&gt;"",NOT(AND(MOVIMIENTOS!$B113="PROCESO",MOVIMIENTOS!$C113&lt;&gt;"Chancho")),NOT(AND(MOVIMIENTOS!$B113="SALDO INICIAL",MOVIMIENTOS!$C113="Chancho"))),IF(MOVIMIENTOS!$B113="SALDO INICIAL","APERTURA ("&amp;MOVIMIENTOS!$C113&amp;")",IF(MOVIMIENTOS!$B113="COMPRA","INGRESO (compra)",IF(MOVIMIENTOS!$B113="PROCESO","CHANCHO (proceso)",IF(MOVIMIENTOS!$B113="ENVÍO A SUPESA","ENVÍO SUPESA cal. "&amp;MOVIMIENTOS!$C113,IF(MOVIMIENTOS!$B113="VENTA CHANCHO","VENTA CHANCHO",IF(MOVIMIENTOS!$B113="DEVOLUCIÓN","DEVOLUCIÓN cal. "&amp;MOVIMIENTOS!$C113,IF(MOVIMIENTOS!$B113="TRASIEGO","TRASIEGO cal. "&amp;MOVIMIENTOS!$C113,IF(MOVIMIENTOS!$B113="REGALO","REGALO "&amp;MOVIMIENTOS!$C113,IF(MOVIMIENTOS!$B113="VENTA","VENTA "&amp;MOVIMIENTOS!$C113,IF(MOVIMIENTOS!$B113="AJUSTE","AJUSTE inventario ("&amp;MOVIMIENTOS!$C113&amp;")",MOVIMIENTOS!$B113)))))))))),"")</f>
        <v>ENVÍO SUPESA cal. P</v>
      </c>
      <c r="M114" t="str">
        <f>IF(AND(AND(MOVIMIENTOS!$B113&lt;&gt;"",NOT(AND(MOVIMIENTOS!$B113="PROCESO",MOVIMIENTOS!$C113&lt;&gt;"Chancho")),NOT(AND(MOVIMIENTOS!$B113="SALDO INICIAL",MOVIMIENTOS!$C113="Chancho"))),OR(MOVIMIENTOS!$B113="SALDO INICIAL",MOVIMIENTOS!$B113="COMPRA",MOVIMIENTOS!$B113="REPROCESO",AND(MOVIMIENTOS!$B113="AJUSTE",MOVIMIENTOS!$C113&lt;&gt;"Chancho",N(MOVIMIENTOS!$F113)&gt;=0))),N(MOVIMIENTOS!$F113),"")</f>
        <v/>
      </c>
      <c r="N114">
        <f>IF(AND(AND(MOVIMIENTOS!$B113&lt;&gt;"",NOT(AND(MOVIMIENTOS!$B113="PROCESO",MOVIMIENTOS!$C113&lt;&gt;"Chancho")),NOT(AND(MOVIMIENTOS!$B113="SALDO INICIAL",MOVIMIENTOS!$C113="Chancho"))),OR(MOVIMIENTOS!$B113="ENVÍO A SUPESA",MOVIMIENTOS!$B113="MALOGRADO",MOVIMIENTOS!$B113="OTRA SALIDA",MOVIMIENTOS!$B113="TRASIEGO",AND(MOVIMIENTOS!$B113="PROCESO",MOVIMIENTOS!$C113="Chancho"),AND(MOVIMIENTOS!$B113="REGALO",MOVIMIENTOS!$C113&lt;&gt;"Chancho"),AND(MOVIMIENTOS!$B113="VENTA",MOVIMIENTOS!$C113&lt;&gt;"Chancho"),AND(MOVIMIENTOS!$B113="AJUSTE",MOVIMIENTOS!$C113&lt;&gt;"Chancho",N(MOVIMIENTOS!$F113)&lt;0))),IF(MOVIMIENTOS!$B113="AJUSTE",-N(MOVIMIENTOS!$F113),N(MOVIMIENTOS!$F113)),"")</f>
        <v>198</v>
      </c>
      <c r="O114" t="str">
        <f>IF(AND(MOVIMIENTOS!$B113&lt;&gt;"",NOT(AND(MOVIMIENTOS!$B113="PROCESO",MOVIMIENTOS!$C113&lt;&gt;"Chancho")),NOT(AND(MOVIMIENTOS!$B113="SALDO INICIAL",MOVIMIENTOS!$C113="Chancho"))),TRIM(IF(MOVIMIENTOS!$G113&lt;&gt;"",IF(MOVIMIENTOS!$B113="ENVÍO A SUPESA","G-"&amp;MOVIMIENTOS!$G113,MOVIMIENTOS!$G113)&amp;"  ","")&amp;IF(N(MOVIMIENTOS!$E113)&gt;0,MOVIMIENTOS!$E113&amp;" "&amp;MOVIMIENTOS!$D113,"")),"")</f>
        <v>G-3004 11 jabas</v>
      </c>
      <c r="P114">
        <f t="shared" si="13"/>
        <v>8784</v>
      </c>
    </row>
    <row r="115" spans="1:16" x14ac:dyDescent="0.2">
      <c r="A115" s="7" t="str">
        <f t="shared" si="7"/>
        <v/>
      </c>
      <c r="B115" s="8" t="str">
        <f t="shared" si="8"/>
        <v/>
      </c>
      <c r="C115" s="9" t="str">
        <f t="shared" si="9"/>
        <v/>
      </c>
      <c r="D115" s="9" t="str">
        <f t="shared" si="10"/>
        <v/>
      </c>
      <c r="E115" s="8" t="str">
        <f t="shared" si="11"/>
        <v/>
      </c>
      <c r="F115" s="9" t="str">
        <f t="shared" si="12"/>
        <v/>
      </c>
      <c r="J115">
        <f>IF(AND(MOVIMIENTOS!$B114&lt;&gt;"",NOT(AND(MOVIMIENTOS!$B114="PROCESO",MOVIMIENTOS!$C114&lt;&gt;"Chancho")),NOT(AND(MOVIMIENTOS!$B114="SALDO INICIAL",MOVIMIENTOS!$C114="Chancho"))),COUNT(J$5:J114)+1,"")</f>
        <v>69</v>
      </c>
      <c r="K115" s="10">
        <f>IF(AND(MOVIMIENTOS!$B114&lt;&gt;"",NOT(AND(MOVIMIENTOS!$B114="PROCESO",MOVIMIENTOS!$C114&lt;&gt;"Chancho")),NOT(AND(MOVIMIENTOS!$B114="SALDO INICIAL",MOVIMIENTOS!$C114="Chancho"))),MOVIMIENTOS!$A114,"")</f>
        <v>46224</v>
      </c>
      <c r="L115" t="str">
        <f>IF(AND(MOVIMIENTOS!$B114&lt;&gt;"",NOT(AND(MOVIMIENTOS!$B114="PROCESO",MOVIMIENTOS!$C114&lt;&gt;"Chancho")),NOT(AND(MOVIMIENTOS!$B114="SALDO INICIAL",MOVIMIENTOS!$C114="Chancho"))),IF(MOVIMIENTOS!$B114="SALDO INICIAL","APERTURA ("&amp;MOVIMIENTOS!$C114&amp;")",IF(MOVIMIENTOS!$B114="COMPRA","INGRESO (compra)",IF(MOVIMIENTOS!$B114="PROCESO","CHANCHO (proceso)",IF(MOVIMIENTOS!$B114="ENVÍO A SUPESA","ENVÍO SUPESA cal. "&amp;MOVIMIENTOS!$C114,IF(MOVIMIENTOS!$B114="VENTA CHANCHO","VENTA CHANCHO",IF(MOVIMIENTOS!$B114="DEVOLUCIÓN","DEVOLUCIÓN cal. "&amp;MOVIMIENTOS!$C114,IF(MOVIMIENTOS!$B114="TRASIEGO","TRASIEGO cal. "&amp;MOVIMIENTOS!$C114,IF(MOVIMIENTOS!$B114="REGALO","REGALO "&amp;MOVIMIENTOS!$C114,IF(MOVIMIENTOS!$B114="VENTA","VENTA "&amp;MOVIMIENTOS!$C114,IF(MOVIMIENTOS!$B114="AJUSTE","AJUSTE inventario ("&amp;MOVIMIENTOS!$C114&amp;")",MOVIMIENTOS!$B114)))))))))),"")</f>
        <v>ENVÍO SUPESA cal. C</v>
      </c>
      <c r="M115" t="str">
        <f>IF(AND(AND(MOVIMIENTOS!$B114&lt;&gt;"",NOT(AND(MOVIMIENTOS!$B114="PROCESO",MOVIMIENTOS!$C114&lt;&gt;"Chancho")),NOT(AND(MOVIMIENTOS!$B114="SALDO INICIAL",MOVIMIENTOS!$C114="Chancho"))),OR(MOVIMIENTOS!$B114="SALDO INICIAL",MOVIMIENTOS!$B114="COMPRA",MOVIMIENTOS!$B114="REPROCESO",AND(MOVIMIENTOS!$B114="AJUSTE",MOVIMIENTOS!$C114&lt;&gt;"Chancho",N(MOVIMIENTOS!$F114)&gt;=0))),N(MOVIMIENTOS!$F114),"")</f>
        <v/>
      </c>
      <c r="N115">
        <f>IF(AND(AND(MOVIMIENTOS!$B114&lt;&gt;"",NOT(AND(MOVIMIENTOS!$B114="PROCESO",MOVIMIENTOS!$C114&lt;&gt;"Chancho")),NOT(AND(MOVIMIENTOS!$B114="SALDO INICIAL",MOVIMIENTOS!$C114="Chancho"))),OR(MOVIMIENTOS!$B114="ENVÍO A SUPESA",MOVIMIENTOS!$B114="MALOGRADO",MOVIMIENTOS!$B114="OTRA SALIDA",MOVIMIENTOS!$B114="TRASIEGO",AND(MOVIMIENTOS!$B114="PROCESO",MOVIMIENTOS!$C114="Chancho"),AND(MOVIMIENTOS!$B114="REGALO",MOVIMIENTOS!$C114&lt;&gt;"Chancho"),AND(MOVIMIENTOS!$B114="VENTA",MOVIMIENTOS!$C114&lt;&gt;"Chancho"),AND(MOVIMIENTOS!$B114="AJUSTE",MOVIMIENTOS!$C114&lt;&gt;"Chancho",N(MOVIMIENTOS!$F114)&lt;0))),IF(MOVIMIENTOS!$B114="AJUSTE",-N(MOVIMIENTOS!$F114),N(MOVIMIENTOS!$F114)),"")</f>
        <v>170</v>
      </c>
      <c r="O115" t="str">
        <f>IF(AND(MOVIMIENTOS!$B114&lt;&gt;"",NOT(AND(MOVIMIENTOS!$B114="PROCESO",MOVIMIENTOS!$C114&lt;&gt;"Chancho")),NOT(AND(MOVIMIENTOS!$B114="SALDO INICIAL",MOVIMIENTOS!$C114="Chancho"))),TRIM(IF(MOVIMIENTOS!$G114&lt;&gt;"",IF(MOVIMIENTOS!$B114="ENVÍO A SUPESA","G-"&amp;MOVIMIENTOS!$G114,MOVIMIENTOS!$G114)&amp;"  ","")&amp;IF(N(MOVIMIENTOS!$E114)&gt;0,MOVIMIENTOS!$E114&amp;" "&amp;MOVIMIENTOS!$D114,"")),"")</f>
        <v>G-3004 10 jabas</v>
      </c>
      <c r="P115">
        <f t="shared" si="13"/>
        <v>8614</v>
      </c>
    </row>
    <row r="116" spans="1:16" x14ac:dyDescent="0.2">
      <c r="A116" s="7" t="str">
        <f t="shared" si="7"/>
        <v/>
      </c>
      <c r="B116" s="8" t="str">
        <f t="shared" si="8"/>
        <v/>
      </c>
      <c r="C116" s="9" t="str">
        <f t="shared" si="9"/>
        <v/>
      </c>
      <c r="D116" s="9" t="str">
        <f t="shared" si="10"/>
        <v/>
      </c>
      <c r="E116" s="8" t="str">
        <f t="shared" si="11"/>
        <v/>
      </c>
      <c r="F116" s="9" t="str">
        <f t="shared" si="12"/>
        <v/>
      </c>
      <c r="J116">
        <f>IF(AND(MOVIMIENTOS!$B115&lt;&gt;"",NOT(AND(MOVIMIENTOS!$B115="PROCESO",MOVIMIENTOS!$C115&lt;&gt;"Chancho")),NOT(AND(MOVIMIENTOS!$B115="SALDO INICIAL",MOVIMIENTOS!$C115="Chancho"))),COUNT(J$5:J115)+1,"")</f>
        <v>70</v>
      </c>
      <c r="K116" s="10">
        <f>IF(AND(MOVIMIENTOS!$B115&lt;&gt;"",NOT(AND(MOVIMIENTOS!$B115="PROCESO",MOVIMIENTOS!$C115&lt;&gt;"Chancho")),NOT(AND(MOVIMIENTOS!$B115="SALDO INICIAL",MOVIMIENTOS!$C115="Chancho"))),MOVIMIENTOS!$A115,"")</f>
        <v>46224</v>
      </c>
      <c r="L116" t="str">
        <f>IF(AND(MOVIMIENTOS!$B115&lt;&gt;"",NOT(AND(MOVIMIENTOS!$B115="PROCESO",MOVIMIENTOS!$C115&lt;&gt;"Chancho")),NOT(AND(MOVIMIENTOS!$B115="SALDO INICIAL",MOVIMIENTOS!$C115="Chancho"))),IF(MOVIMIENTOS!$B115="SALDO INICIAL","APERTURA ("&amp;MOVIMIENTOS!$C115&amp;")",IF(MOVIMIENTOS!$B115="COMPRA","INGRESO (compra)",IF(MOVIMIENTOS!$B115="PROCESO","CHANCHO (proceso)",IF(MOVIMIENTOS!$B115="ENVÍO A SUPESA","ENVÍO SUPESA cal. "&amp;MOVIMIENTOS!$C115,IF(MOVIMIENTOS!$B115="VENTA CHANCHO","VENTA CHANCHO",IF(MOVIMIENTOS!$B115="DEVOLUCIÓN","DEVOLUCIÓN cal. "&amp;MOVIMIENTOS!$C115,IF(MOVIMIENTOS!$B115="TRASIEGO","TRASIEGO cal. "&amp;MOVIMIENTOS!$C115,IF(MOVIMIENTOS!$B115="REGALO","REGALO "&amp;MOVIMIENTOS!$C115,IF(MOVIMIENTOS!$B115="VENTA","VENTA "&amp;MOVIMIENTOS!$C115,IF(MOVIMIENTOS!$B115="AJUSTE","AJUSTE inventario ("&amp;MOVIMIENTOS!$C115&amp;")",MOVIMIENTOS!$B115)))))))))),"")</f>
        <v>ENVÍO SUPESA cal. M</v>
      </c>
      <c r="M116" t="str">
        <f>IF(AND(AND(MOVIMIENTOS!$B115&lt;&gt;"",NOT(AND(MOVIMIENTOS!$B115="PROCESO",MOVIMIENTOS!$C115&lt;&gt;"Chancho")),NOT(AND(MOVIMIENTOS!$B115="SALDO INICIAL",MOVIMIENTOS!$C115="Chancho"))),OR(MOVIMIENTOS!$B115="SALDO INICIAL",MOVIMIENTOS!$B115="COMPRA",MOVIMIENTOS!$B115="REPROCESO",AND(MOVIMIENTOS!$B115="AJUSTE",MOVIMIENTOS!$C115&lt;&gt;"Chancho",N(MOVIMIENTOS!$F115)&gt;=0))),N(MOVIMIENTOS!$F115),"")</f>
        <v/>
      </c>
      <c r="N116">
        <f>IF(AND(AND(MOVIMIENTOS!$B115&lt;&gt;"",NOT(AND(MOVIMIENTOS!$B115="PROCESO",MOVIMIENTOS!$C115&lt;&gt;"Chancho")),NOT(AND(MOVIMIENTOS!$B115="SALDO INICIAL",MOVIMIENTOS!$C115="Chancho"))),OR(MOVIMIENTOS!$B115="ENVÍO A SUPESA",MOVIMIENTOS!$B115="MALOGRADO",MOVIMIENTOS!$B115="OTRA SALIDA",MOVIMIENTOS!$B115="TRASIEGO",AND(MOVIMIENTOS!$B115="PROCESO",MOVIMIENTOS!$C115="Chancho"),AND(MOVIMIENTOS!$B115="REGALO",MOVIMIENTOS!$C115&lt;&gt;"Chancho"),AND(MOVIMIENTOS!$B115="VENTA",MOVIMIENTOS!$C115&lt;&gt;"Chancho"),AND(MOVIMIENTOS!$B115="AJUSTE",MOVIMIENTOS!$C115&lt;&gt;"Chancho",N(MOVIMIENTOS!$F115)&lt;0))),IF(MOVIMIENTOS!$B115="AJUSTE",-N(MOVIMIENTOS!$F115),N(MOVIMIENTOS!$F115)),"")</f>
        <v>1887</v>
      </c>
      <c r="O116" t="str">
        <f>IF(AND(MOVIMIENTOS!$B115&lt;&gt;"",NOT(AND(MOVIMIENTOS!$B115="PROCESO",MOVIMIENTOS!$C115&lt;&gt;"Chancho")),NOT(AND(MOVIMIENTOS!$B115="SALDO INICIAL",MOVIMIENTOS!$C115="Chancho"))),TRIM(IF(MOVIMIENTOS!$G115&lt;&gt;"",IF(MOVIMIENTOS!$B115="ENVÍO A SUPESA","G-"&amp;MOVIMIENTOS!$G115,MOVIMIENTOS!$G115)&amp;"  ","")&amp;IF(N(MOVIMIENTOS!$E115)&gt;0,MOVIMIENTOS!$E115&amp;" "&amp;MOVIMIENTOS!$D115,"")),"")</f>
        <v>G-3004 111 jabas</v>
      </c>
      <c r="P116">
        <f t="shared" si="13"/>
        <v>6727</v>
      </c>
    </row>
    <row r="117" spans="1:16" x14ac:dyDescent="0.2">
      <c r="A117" s="7" t="str">
        <f t="shared" si="7"/>
        <v/>
      </c>
      <c r="B117" s="8" t="str">
        <f t="shared" si="8"/>
        <v/>
      </c>
      <c r="C117" s="9" t="str">
        <f t="shared" si="9"/>
        <v/>
      </c>
      <c r="D117" s="9" t="str">
        <f t="shared" si="10"/>
        <v/>
      </c>
      <c r="E117" s="8" t="str">
        <f t="shared" si="11"/>
        <v/>
      </c>
      <c r="F117" s="9" t="str">
        <f t="shared" si="12"/>
        <v/>
      </c>
      <c r="J117">
        <f>IF(AND(MOVIMIENTOS!$B116&lt;&gt;"",NOT(AND(MOVIMIENTOS!$B116="PROCESO",MOVIMIENTOS!$C116&lt;&gt;"Chancho")),NOT(AND(MOVIMIENTOS!$B116="SALDO INICIAL",MOVIMIENTOS!$C116="Chancho"))),COUNT(J$5:J116)+1,"")</f>
        <v>71</v>
      </c>
      <c r="K117" s="10">
        <f>IF(AND(MOVIMIENTOS!$B116&lt;&gt;"",NOT(AND(MOVIMIENTOS!$B116="PROCESO",MOVIMIENTOS!$C116&lt;&gt;"Chancho")),NOT(AND(MOVIMIENTOS!$B116="SALDO INICIAL",MOVIMIENTOS!$C116="Chancho"))),MOVIMIENTOS!$A116,"")</f>
        <v>46224</v>
      </c>
      <c r="L117" t="str">
        <f>IF(AND(MOVIMIENTOS!$B116&lt;&gt;"",NOT(AND(MOVIMIENTOS!$B116="PROCESO",MOVIMIENTOS!$C116&lt;&gt;"Chancho")),NOT(AND(MOVIMIENTOS!$B116="SALDO INICIAL",MOVIMIENTOS!$C116="Chancho"))),IF(MOVIMIENTOS!$B116="SALDO INICIAL","APERTURA ("&amp;MOVIMIENTOS!$C116&amp;")",IF(MOVIMIENTOS!$B116="COMPRA","INGRESO (compra)",IF(MOVIMIENTOS!$B116="PROCESO","CHANCHO (proceso)",IF(MOVIMIENTOS!$B116="ENVÍO A SUPESA","ENVÍO SUPESA cal. "&amp;MOVIMIENTOS!$C116,IF(MOVIMIENTOS!$B116="VENTA CHANCHO","VENTA CHANCHO",IF(MOVIMIENTOS!$B116="DEVOLUCIÓN","DEVOLUCIÓN cal. "&amp;MOVIMIENTOS!$C116,IF(MOVIMIENTOS!$B116="TRASIEGO","TRASIEGO cal. "&amp;MOVIMIENTOS!$C116,IF(MOVIMIENTOS!$B116="REGALO","REGALO "&amp;MOVIMIENTOS!$C116,IF(MOVIMIENTOS!$B116="VENTA","VENTA "&amp;MOVIMIENTOS!$C116,IF(MOVIMIENTOS!$B116="AJUSTE","AJUSTE inventario ("&amp;MOVIMIENTOS!$C116&amp;")",MOVIMIENTOS!$B116)))))))))),"")</f>
        <v>DEVOLUCIÓN cal. A</v>
      </c>
      <c r="M117" t="str">
        <f>IF(AND(AND(MOVIMIENTOS!$B116&lt;&gt;"",NOT(AND(MOVIMIENTOS!$B116="PROCESO",MOVIMIENTOS!$C116&lt;&gt;"Chancho")),NOT(AND(MOVIMIENTOS!$B116="SALDO INICIAL",MOVIMIENTOS!$C116="Chancho"))),OR(MOVIMIENTOS!$B116="SALDO INICIAL",MOVIMIENTOS!$B116="COMPRA",MOVIMIENTOS!$B116="REPROCESO",AND(MOVIMIENTOS!$B116="AJUSTE",MOVIMIENTOS!$C116&lt;&gt;"Chancho",N(MOVIMIENTOS!$F116)&gt;=0))),N(MOVIMIENTOS!$F116),"")</f>
        <v/>
      </c>
      <c r="N117" t="str">
        <f>IF(AND(AND(MOVIMIENTOS!$B116&lt;&gt;"",NOT(AND(MOVIMIENTOS!$B116="PROCESO",MOVIMIENTOS!$C116&lt;&gt;"Chancho")),NOT(AND(MOVIMIENTOS!$B116="SALDO INICIAL",MOVIMIENTOS!$C116="Chancho"))),OR(MOVIMIENTOS!$B116="ENVÍO A SUPESA",MOVIMIENTOS!$B116="MALOGRADO",MOVIMIENTOS!$B116="OTRA SALIDA",MOVIMIENTOS!$B116="TRASIEGO",AND(MOVIMIENTOS!$B116="PROCESO",MOVIMIENTOS!$C116="Chancho"),AND(MOVIMIENTOS!$B116="REGALO",MOVIMIENTOS!$C116&lt;&gt;"Chancho"),AND(MOVIMIENTOS!$B116="VENTA",MOVIMIENTOS!$C116&lt;&gt;"Chancho"),AND(MOVIMIENTOS!$B116="AJUSTE",MOVIMIENTOS!$C116&lt;&gt;"Chancho",N(MOVIMIENTOS!$F116)&lt;0))),IF(MOVIMIENTOS!$B116="AJUSTE",-N(MOVIMIENTOS!$F116),N(MOVIMIENTOS!$F116)),"")</f>
        <v/>
      </c>
      <c r="O117" t="str">
        <f>IF(AND(MOVIMIENTOS!$B116&lt;&gt;"",NOT(AND(MOVIMIENTOS!$B116="PROCESO",MOVIMIENTOS!$C116&lt;&gt;"Chancho")),NOT(AND(MOVIMIENTOS!$B116="SALDO INICIAL",MOVIMIENTOS!$C116="Chancho"))),TRIM(IF(MOVIMIENTOS!$G116&lt;&gt;"",IF(MOVIMIENTOS!$B116="ENVÍO A SUPESA","G-"&amp;MOVIMIENTOS!$G116,MOVIMIENTOS!$G116)&amp;"  ","")&amp;IF(N(MOVIMIENTOS!$E116)&gt;0,MOVIMIENTOS!$E116&amp;" "&amp;MOVIMIENTOS!$D116,"")),"")</f>
        <v>1 jabas</v>
      </c>
      <c r="P117">
        <f t="shared" si="13"/>
        <v>6727</v>
      </c>
    </row>
    <row r="118" spans="1:16" x14ac:dyDescent="0.2">
      <c r="A118" s="7" t="str">
        <f t="shared" si="7"/>
        <v/>
      </c>
      <c r="B118" s="8" t="str">
        <f t="shared" si="8"/>
        <v/>
      </c>
      <c r="C118" s="9" t="str">
        <f t="shared" si="9"/>
        <v/>
      </c>
      <c r="D118" s="9" t="str">
        <f t="shared" si="10"/>
        <v/>
      </c>
      <c r="E118" s="8" t="str">
        <f t="shared" si="11"/>
        <v/>
      </c>
      <c r="F118" s="9" t="str">
        <f t="shared" si="12"/>
        <v/>
      </c>
      <c r="J118">
        <f>IF(AND(MOVIMIENTOS!$B117&lt;&gt;"",NOT(AND(MOVIMIENTOS!$B117="PROCESO",MOVIMIENTOS!$C117&lt;&gt;"Chancho")),NOT(AND(MOVIMIENTOS!$B117="SALDO INICIAL",MOVIMIENTOS!$C117="Chancho"))),COUNT(J$5:J117)+1,"")</f>
        <v>72</v>
      </c>
      <c r="K118" s="10">
        <f>IF(AND(MOVIMIENTOS!$B117&lt;&gt;"",NOT(AND(MOVIMIENTOS!$B117="PROCESO",MOVIMIENTOS!$C117&lt;&gt;"Chancho")),NOT(AND(MOVIMIENTOS!$B117="SALDO INICIAL",MOVIMIENTOS!$C117="Chancho"))),MOVIMIENTOS!$A117,"")</f>
        <v>46224</v>
      </c>
      <c r="L118" t="str">
        <f>IF(AND(MOVIMIENTOS!$B117&lt;&gt;"",NOT(AND(MOVIMIENTOS!$B117="PROCESO",MOVIMIENTOS!$C117&lt;&gt;"Chancho")),NOT(AND(MOVIMIENTOS!$B117="SALDO INICIAL",MOVIMIENTOS!$C117="Chancho"))),IF(MOVIMIENTOS!$B117="SALDO INICIAL","APERTURA ("&amp;MOVIMIENTOS!$C117&amp;")",IF(MOVIMIENTOS!$B117="COMPRA","INGRESO (compra)",IF(MOVIMIENTOS!$B117="PROCESO","CHANCHO (proceso)",IF(MOVIMIENTOS!$B117="ENVÍO A SUPESA","ENVÍO SUPESA cal. "&amp;MOVIMIENTOS!$C117,IF(MOVIMIENTOS!$B117="VENTA CHANCHO","VENTA CHANCHO",IF(MOVIMIENTOS!$B117="DEVOLUCIÓN","DEVOLUCIÓN cal. "&amp;MOVIMIENTOS!$C117,IF(MOVIMIENTOS!$B117="TRASIEGO","TRASIEGO cal. "&amp;MOVIMIENTOS!$C117,IF(MOVIMIENTOS!$B117="REGALO","REGALO "&amp;MOVIMIENTOS!$C117,IF(MOVIMIENTOS!$B117="VENTA","VENTA "&amp;MOVIMIENTOS!$C117,IF(MOVIMIENTOS!$B117="AJUSTE","AJUSTE inventario ("&amp;MOVIMIENTOS!$C117&amp;")",MOVIMIENTOS!$B117)))))))))),"")</f>
        <v>DEVOLUCIÓN cal. M</v>
      </c>
      <c r="M118" t="str">
        <f>IF(AND(AND(MOVIMIENTOS!$B117&lt;&gt;"",NOT(AND(MOVIMIENTOS!$B117="PROCESO",MOVIMIENTOS!$C117&lt;&gt;"Chancho")),NOT(AND(MOVIMIENTOS!$B117="SALDO INICIAL",MOVIMIENTOS!$C117="Chancho"))),OR(MOVIMIENTOS!$B117="SALDO INICIAL",MOVIMIENTOS!$B117="COMPRA",MOVIMIENTOS!$B117="REPROCESO",AND(MOVIMIENTOS!$B117="AJUSTE",MOVIMIENTOS!$C117&lt;&gt;"Chancho",N(MOVIMIENTOS!$F117)&gt;=0))),N(MOVIMIENTOS!$F117),"")</f>
        <v/>
      </c>
      <c r="N118" t="str">
        <f>IF(AND(AND(MOVIMIENTOS!$B117&lt;&gt;"",NOT(AND(MOVIMIENTOS!$B117="PROCESO",MOVIMIENTOS!$C117&lt;&gt;"Chancho")),NOT(AND(MOVIMIENTOS!$B117="SALDO INICIAL",MOVIMIENTOS!$C117="Chancho"))),OR(MOVIMIENTOS!$B117="ENVÍO A SUPESA",MOVIMIENTOS!$B117="MALOGRADO",MOVIMIENTOS!$B117="OTRA SALIDA",MOVIMIENTOS!$B117="TRASIEGO",AND(MOVIMIENTOS!$B117="PROCESO",MOVIMIENTOS!$C117="Chancho"),AND(MOVIMIENTOS!$B117="REGALO",MOVIMIENTOS!$C117&lt;&gt;"Chancho"),AND(MOVIMIENTOS!$B117="VENTA",MOVIMIENTOS!$C117&lt;&gt;"Chancho"),AND(MOVIMIENTOS!$B117="AJUSTE",MOVIMIENTOS!$C117&lt;&gt;"Chancho",N(MOVIMIENTOS!$F117)&lt;0))),IF(MOVIMIENTOS!$B117="AJUSTE",-N(MOVIMIENTOS!$F117),N(MOVIMIENTOS!$F117)),"")</f>
        <v/>
      </c>
      <c r="O118" t="str">
        <f>IF(AND(MOVIMIENTOS!$B117&lt;&gt;"",NOT(AND(MOVIMIENTOS!$B117="PROCESO",MOVIMIENTOS!$C117&lt;&gt;"Chancho")),NOT(AND(MOVIMIENTOS!$B117="SALDO INICIAL",MOVIMIENTOS!$C117="Chancho"))),TRIM(IF(MOVIMIENTOS!$G117&lt;&gt;"",IF(MOVIMIENTOS!$B117="ENVÍO A SUPESA","G-"&amp;MOVIMIENTOS!$G117,MOVIMIENTOS!$G117)&amp;"  ","")&amp;IF(N(MOVIMIENTOS!$E117)&gt;0,MOVIMIENTOS!$E117&amp;" "&amp;MOVIMIENTOS!$D117,"")),"")</f>
        <v>1 jabas</v>
      </c>
      <c r="P118">
        <f t="shared" si="13"/>
        <v>6727</v>
      </c>
    </row>
    <row r="119" spans="1:16" x14ac:dyDescent="0.2">
      <c r="A119" s="7" t="str">
        <f t="shared" si="7"/>
        <v/>
      </c>
      <c r="B119" s="8" t="str">
        <f t="shared" si="8"/>
        <v/>
      </c>
      <c r="C119" s="9" t="str">
        <f t="shared" si="9"/>
        <v/>
      </c>
      <c r="D119" s="9" t="str">
        <f t="shared" si="10"/>
        <v/>
      </c>
      <c r="E119" s="8" t="str">
        <f t="shared" si="11"/>
        <v/>
      </c>
      <c r="F119" s="9" t="str">
        <f t="shared" si="12"/>
        <v/>
      </c>
      <c r="J119">
        <f>IF(AND(MOVIMIENTOS!$B118&lt;&gt;"",NOT(AND(MOVIMIENTOS!$B118="PROCESO",MOVIMIENTOS!$C118&lt;&gt;"Chancho")),NOT(AND(MOVIMIENTOS!$B118="SALDO INICIAL",MOVIMIENTOS!$C118="Chancho"))),COUNT(J$5:J118)+1,"")</f>
        <v>73</v>
      </c>
      <c r="K119" s="10">
        <f>IF(AND(MOVIMIENTOS!$B118&lt;&gt;"",NOT(AND(MOVIMIENTOS!$B118="PROCESO",MOVIMIENTOS!$C118&lt;&gt;"Chancho")),NOT(AND(MOVIMIENTOS!$B118="SALDO INICIAL",MOVIMIENTOS!$C118="Chancho"))),MOVIMIENTOS!$A118,"")</f>
        <v>46224</v>
      </c>
      <c r="L119" t="str">
        <f>IF(AND(MOVIMIENTOS!$B118&lt;&gt;"",NOT(AND(MOVIMIENTOS!$B118="PROCESO",MOVIMIENTOS!$C118&lt;&gt;"Chancho")),NOT(AND(MOVIMIENTOS!$B118="SALDO INICIAL",MOVIMIENTOS!$C118="Chancho"))),IF(MOVIMIENTOS!$B118="SALDO INICIAL","APERTURA ("&amp;MOVIMIENTOS!$C118&amp;")",IF(MOVIMIENTOS!$B118="COMPRA","INGRESO (compra)",IF(MOVIMIENTOS!$B118="PROCESO","CHANCHO (proceso)",IF(MOVIMIENTOS!$B118="ENVÍO A SUPESA","ENVÍO SUPESA cal. "&amp;MOVIMIENTOS!$C118,IF(MOVIMIENTOS!$B118="VENTA CHANCHO","VENTA CHANCHO",IF(MOVIMIENTOS!$B118="DEVOLUCIÓN","DEVOLUCIÓN cal. "&amp;MOVIMIENTOS!$C118,IF(MOVIMIENTOS!$B118="TRASIEGO","TRASIEGO cal. "&amp;MOVIMIENTOS!$C118,IF(MOVIMIENTOS!$B118="REGALO","REGALO "&amp;MOVIMIENTOS!$C118,IF(MOVIMIENTOS!$B118="VENTA","VENTA "&amp;MOVIMIENTOS!$C118,IF(MOVIMIENTOS!$B118="AJUSTE","AJUSTE inventario ("&amp;MOVIMIENTOS!$C118&amp;")",MOVIMIENTOS!$B118)))))))))),"")</f>
        <v>TRASIEGO cal. A</v>
      </c>
      <c r="M119" t="str">
        <f>IF(AND(AND(MOVIMIENTOS!$B118&lt;&gt;"",NOT(AND(MOVIMIENTOS!$B118="PROCESO",MOVIMIENTOS!$C118&lt;&gt;"Chancho")),NOT(AND(MOVIMIENTOS!$B118="SALDO INICIAL",MOVIMIENTOS!$C118="Chancho"))),OR(MOVIMIENTOS!$B118="SALDO INICIAL",MOVIMIENTOS!$B118="COMPRA",MOVIMIENTOS!$B118="REPROCESO",AND(MOVIMIENTOS!$B118="AJUSTE",MOVIMIENTOS!$C118&lt;&gt;"Chancho",N(MOVIMIENTOS!$F118)&gt;=0))),N(MOVIMIENTOS!$F118),"")</f>
        <v/>
      </c>
      <c r="N119">
        <f>IF(AND(AND(MOVIMIENTOS!$B118&lt;&gt;"",NOT(AND(MOVIMIENTOS!$B118="PROCESO",MOVIMIENTOS!$C118&lt;&gt;"Chancho")),NOT(AND(MOVIMIENTOS!$B118="SALDO INICIAL",MOVIMIENTOS!$C118="Chancho"))),OR(MOVIMIENTOS!$B118="ENVÍO A SUPESA",MOVIMIENTOS!$B118="MALOGRADO",MOVIMIENTOS!$B118="OTRA SALIDA",MOVIMIENTOS!$B118="TRASIEGO",AND(MOVIMIENTOS!$B118="PROCESO",MOVIMIENTOS!$C118="Chancho"),AND(MOVIMIENTOS!$B118="REGALO",MOVIMIENTOS!$C118&lt;&gt;"Chancho"),AND(MOVIMIENTOS!$B118="VENTA",MOVIMIENTOS!$C118&lt;&gt;"Chancho"),AND(MOVIMIENTOS!$B118="AJUSTE",MOVIMIENTOS!$C118&lt;&gt;"Chancho",N(MOVIMIENTOS!$F118)&lt;0))),IF(MOVIMIENTOS!$B118="AJUSTE",-N(MOVIMIENTOS!$F118),N(MOVIMIENTOS!$F118)),"")</f>
        <v>15</v>
      </c>
      <c r="O119" t="str">
        <f>IF(AND(MOVIMIENTOS!$B118&lt;&gt;"",NOT(AND(MOVIMIENTOS!$B118="PROCESO",MOVIMIENTOS!$C118&lt;&gt;"Chancho")),NOT(AND(MOVIMIENTOS!$B118="SALDO INICIAL",MOVIMIENTOS!$C118="Chancho"))),TRIM(IF(MOVIMIENTOS!$G118&lt;&gt;"",IF(MOVIMIENTOS!$B118="ENVÍO A SUPESA","G-"&amp;MOVIMIENTOS!$G118,MOVIMIENTOS!$G118)&amp;"  ","")&amp;IF(N(MOVIMIENTOS!$E118)&gt;0,MOVIMIENTOS!$E118&amp;" "&amp;MOVIMIENTOS!$D118,"")),"")</f>
        <v>1 jabas</v>
      </c>
      <c r="P119">
        <f t="shared" si="13"/>
        <v>6712</v>
      </c>
    </row>
    <row r="120" spans="1:16" x14ac:dyDescent="0.2">
      <c r="A120" s="7" t="str">
        <f t="shared" si="7"/>
        <v/>
      </c>
      <c r="B120" s="8" t="str">
        <f t="shared" si="8"/>
        <v/>
      </c>
      <c r="C120" s="9" t="str">
        <f t="shared" si="9"/>
        <v/>
      </c>
      <c r="D120" s="9" t="str">
        <f t="shared" si="10"/>
        <v/>
      </c>
      <c r="E120" s="8" t="str">
        <f t="shared" si="11"/>
        <v/>
      </c>
      <c r="F120" s="9" t="str">
        <f t="shared" si="12"/>
        <v/>
      </c>
      <c r="J120">
        <f>IF(AND(MOVIMIENTOS!$B119&lt;&gt;"",NOT(AND(MOVIMIENTOS!$B119="PROCESO",MOVIMIENTOS!$C119&lt;&gt;"Chancho")),NOT(AND(MOVIMIENTOS!$B119="SALDO INICIAL",MOVIMIENTOS!$C119="Chancho"))),COUNT(J$5:J119)+1,"")</f>
        <v>74</v>
      </c>
      <c r="K120" s="10">
        <f>IF(AND(MOVIMIENTOS!$B119&lt;&gt;"",NOT(AND(MOVIMIENTOS!$B119="PROCESO",MOVIMIENTOS!$C119&lt;&gt;"Chancho")),NOT(AND(MOVIMIENTOS!$B119="SALDO INICIAL",MOVIMIENTOS!$C119="Chancho"))),MOVIMIENTOS!$A119,"")</f>
        <v>46224</v>
      </c>
      <c r="L120" t="str">
        <f>IF(AND(MOVIMIENTOS!$B119&lt;&gt;"",NOT(AND(MOVIMIENTOS!$B119="PROCESO",MOVIMIENTOS!$C119&lt;&gt;"Chancho")),NOT(AND(MOVIMIENTOS!$B119="SALDO INICIAL",MOVIMIENTOS!$C119="Chancho"))),IF(MOVIMIENTOS!$B119="SALDO INICIAL","APERTURA ("&amp;MOVIMIENTOS!$C119&amp;")",IF(MOVIMIENTOS!$B119="COMPRA","INGRESO (compra)",IF(MOVIMIENTOS!$B119="PROCESO","CHANCHO (proceso)",IF(MOVIMIENTOS!$B119="ENVÍO A SUPESA","ENVÍO SUPESA cal. "&amp;MOVIMIENTOS!$C119,IF(MOVIMIENTOS!$B119="VENTA CHANCHO","VENTA CHANCHO",IF(MOVIMIENTOS!$B119="DEVOLUCIÓN","DEVOLUCIÓN cal. "&amp;MOVIMIENTOS!$C119,IF(MOVIMIENTOS!$B119="TRASIEGO","TRASIEGO cal. "&amp;MOVIMIENTOS!$C119,IF(MOVIMIENTOS!$B119="REGALO","REGALO "&amp;MOVIMIENTOS!$C119,IF(MOVIMIENTOS!$B119="VENTA","VENTA "&amp;MOVIMIENTOS!$C119,IF(MOVIMIENTOS!$B119="AJUSTE","AJUSTE inventario ("&amp;MOVIMIENTOS!$C119&amp;")",MOVIMIENTOS!$B119)))))))))),"")</f>
        <v>TRASIEGO cal. M</v>
      </c>
      <c r="M120" t="str">
        <f>IF(AND(AND(MOVIMIENTOS!$B119&lt;&gt;"",NOT(AND(MOVIMIENTOS!$B119="PROCESO",MOVIMIENTOS!$C119&lt;&gt;"Chancho")),NOT(AND(MOVIMIENTOS!$B119="SALDO INICIAL",MOVIMIENTOS!$C119="Chancho"))),OR(MOVIMIENTOS!$B119="SALDO INICIAL",MOVIMIENTOS!$B119="COMPRA",MOVIMIENTOS!$B119="REPROCESO",AND(MOVIMIENTOS!$B119="AJUSTE",MOVIMIENTOS!$C119&lt;&gt;"Chancho",N(MOVIMIENTOS!$F119)&gt;=0))),N(MOVIMIENTOS!$F119),"")</f>
        <v/>
      </c>
      <c r="N120">
        <f>IF(AND(AND(MOVIMIENTOS!$B119&lt;&gt;"",NOT(AND(MOVIMIENTOS!$B119="PROCESO",MOVIMIENTOS!$C119&lt;&gt;"Chancho")),NOT(AND(MOVIMIENTOS!$B119="SALDO INICIAL",MOVIMIENTOS!$C119="Chancho"))),OR(MOVIMIENTOS!$B119="ENVÍO A SUPESA",MOVIMIENTOS!$B119="MALOGRADO",MOVIMIENTOS!$B119="OTRA SALIDA",MOVIMIENTOS!$B119="TRASIEGO",AND(MOVIMIENTOS!$B119="PROCESO",MOVIMIENTOS!$C119="Chancho"),AND(MOVIMIENTOS!$B119="REGALO",MOVIMIENTOS!$C119&lt;&gt;"Chancho"),AND(MOVIMIENTOS!$B119="VENTA",MOVIMIENTOS!$C119&lt;&gt;"Chancho"),AND(MOVIMIENTOS!$B119="AJUSTE",MOVIMIENTOS!$C119&lt;&gt;"Chancho",N(MOVIMIENTOS!$F119)&lt;0))),IF(MOVIMIENTOS!$B119="AJUSTE",-N(MOVIMIENTOS!$F119),N(MOVIMIENTOS!$F119)),"")</f>
        <v>17</v>
      </c>
      <c r="O120" t="str">
        <f>IF(AND(MOVIMIENTOS!$B119&lt;&gt;"",NOT(AND(MOVIMIENTOS!$B119="PROCESO",MOVIMIENTOS!$C119&lt;&gt;"Chancho")),NOT(AND(MOVIMIENTOS!$B119="SALDO INICIAL",MOVIMIENTOS!$C119="Chancho"))),TRIM(IF(MOVIMIENTOS!$G119&lt;&gt;"",IF(MOVIMIENTOS!$B119="ENVÍO A SUPESA","G-"&amp;MOVIMIENTOS!$G119,MOVIMIENTOS!$G119)&amp;"  ","")&amp;IF(N(MOVIMIENTOS!$E119)&gt;0,MOVIMIENTOS!$E119&amp;" "&amp;MOVIMIENTOS!$D119,"")),"")</f>
        <v>1 jabas</v>
      </c>
      <c r="P120">
        <f t="shared" si="13"/>
        <v>6695</v>
      </c>
    </row>
    <row r="121" spans="1:16" x14ac:dyDescent="0.2">
      <c r="A121" s="7" t="str">
        <f t="shared" si="7"/>
        <v/>
      </c>
      <c r="B121" s="8" t="str">
        <f t="shared" si="8"/>
        <v/>
      </c>
      <c r="C121" s="9" t="str">
        <f t="shared" si="9"/>
        <v/>
      </c>
      <c r="D121" s="9" t="str">
        <f t="shared" si="10"/>
        <v/>
      </c>
      <c r="E121" s="8" t="str">
        <f t="shared" si="11"/>
        <v/>
      </c>
      <c r="F121" s="9" t="str">
        <f t="shared" si="12"/>
        <v/>
      </c>
      <c r="J121">
        <f>IF(AND(MOVIMIENTOS!$B120&lt;&gt;"",NOT(AND(MOVIMIENTOS!$B120="PROCESO",MOVIMIENTOS!$C120&lt;&gt;"Chancho")),NOT(AND(MOVIMIENTOS!$B120="SALDO INICIAL",MOVIMIENTOS!$C120="Chancho"))),COUNT(J$5:J120)+1,"")</f>
        <v>75</v>
      </c>
      <c r="K121" s="10">
        <f>IF(AND(MOVIMIENTOS!$B120&lt;&gt;"",NOT(AND(MOVIMIENTOS!$B120="PROCESO",MOVIMIENTOS!$C120&lt;&gt;"Chancho")),NOT(AND(MOVIMIENTOS!$B120="SALDO INICIAL",MOVIMIENTOS!$C120="Chancho"))),MOVIMIENTOS!$A120,"")</f>
        <v>46224</v>
      </c>
      <c r="L121" t="str">
        <f>IF(AND(MOVIMIENTOS!$B120&lt;&gt;"",NOT(AND(MOVIMIENTOS!$B120="PROCESO",MOVIMIENTOS!$C120&lt;&gt;"Chancho")),NOT(AND(MOVIMIENTOS!$B120="SALDO INICIAL",MOVIMIENTOS!$C120="Chancho"))),IF(MOVIMIENTOS!$B120="SALDO INICIAL","APERTURA ("&amp;MOVIMIENTOS!$C120&amp;")",IF(MOVIMIENTOS!$B120="COMPRA","INGRESO (compra)",IF(MOVIMIENTOS!$B120="PROCESO","CHANCHO (proceso)",IF(MOVIMIENTOS!$B120="ENVÍO A SUPESA","ENVÍO SUPESA cal. "&amp;MOVIMIENTOS!$C120,IF(MOVIMIENTOS!$B120="VENTA CHANCHO","VENTA CHANCHO",IF(MOVIMIENTOS!$B120="DEVOLUCIÓN","DEVOLUCIÓN cal. "&amp;MOVIMIENTOS!$C120,IF(MOVIMIENTOS!$B120="TRASIEGO","TRASIEGO cal. "&amp;MOVIMIENTOS!$C120,IF(MOVIMIENTOS!$B120="REGALO","REGALO "&amp;MOVIMIENTOS!$C120,IF(MOVIMIENTOS!$B120="VENTA","VENTA "&amp;MOVIMIENTOS!$C120,IF(MOVIMIENTOS!$B120="AJUSTE","AJUSTE inventario ("&amp;MOVIMIENTOS!$C120&amp;")",MOVIMIENTOS!$B120)))))))))),"")</f>
        <v>REPROCESO</v>
      </c>
      <c r="M121">
        <f>IF(AND(AND(MOVIMIENTOS!$B120&lt;&gt;"",NOT(AND(MOVIMIENTOS!$B120="PROCESO",MOVIMIENTOS!$C120&lt;&gt;"Chancho")),NOT(AND(MOVIMIENTOS!$B120="SALDO INICIAL",MOVIMIENTOS!$C120="Chancho"))),OR(MOVIMIENTOS!$B120="SALDO INICIAL",MOVIMIENTOS!$B120="COMPRA",MOVIMIENTOS!$B120="REPROCESO",AND(MOVIMIENTOS!$B120="AJUSTE",MOVIMIENTOS!$C120&lt;&gt;"Chancho",N(MOVIMIENTOS!$F120)&gt;=0))),N(MOVIMIENTOS!$F120),"")</f>
        <v>17</v>
      </c>
      <c r="N121" t="str">
        <f>IF(AND(AND(MOVIMIENTOS!$B120&lt;&gt;"",NOT(AND(MOVIMIENTOS!$B120="PROCESO",MOVIMIENTOS!$C120&lt;&gt;"Chancho")),NOT(AND(MOVIMIENTOS!$B120="SALDO INICIAL",MOVIMIENTOS!$C120="Chancho"))),OR(MOVIMIENTOS!$B120="ENVÍO A SUPESA",MOVIMIENTOS!$B120="MALOGRADO",MOVIMIENTOS!$B120="OTRA SALIDA",MOVIMIENTOS!$B120="TRASIEGO",AND(MOVIMIENTOS!$B120="PROCESO",MOVIMIENTOS!$C120="Chancho"),AND(MOVIMIENTOS!$B120="REGALO",MOVIMIENTOS!$C120&lt;&gt;"Chancho"),AND(MOVIMIENTOS!$B120="VENTA",MOVIMIENTOS!$C120&lt;&gt;"Chancho"),AND(MOVIMIENTOS!$B120="AJUSTE",MOVIMIENTOS!$C120&lt;&gt;"Chancho",N(MOVIMIENTOS!$F120)&lt;0))),IF(MOVIMIENTOS!$B120="AJUSTE",-N(MOVIMIENTOS!$F120),N(MOVIMIENTOS!$F120)),"")</f>
        <v/>
      </c>
      <c r="O121" t="str">
        <f>IF(AND(MOVIMIENTOS!$B120&lt;&gt;"",NOT(AND(MOVIMIENTOS!$B120="PROCESO",MOVIMIENTOS!$C120&lt;&gt;"Chancho")),NOT(AND(MOVIMIENTOS!$B120="SALDO INICIAL",MOVIMIENTOS!$C120="Chancho"))),TRIM(IF(MOVIMIENTOS!$G120&lt;&gt;"",IF(MOVIMIENTOS!$B120="ENVÍO A SUPESA","G-"&amp;MOVIMIENTOS!$G120,MOVIMIENTOS!$G120)&amp;"  ","")&amp;IF(N(MOVIMIENTOS!$E120)&gt;0,MOVIMIENTOS!$E120&amp;" "&amp;MOVIMIENTOS!$D120,"")),"")</f>
        <v>17 kg</v>
      </c>
      <c r="P121">
        <f t="shared" si="13"/>
        <v>6712</v>
      </c>
    </row>
    <row r="122" spans="1:16" x14ac:dyDescent="0.2">
      <c r="A122" s="7" t="str">
        <f t="shared" si="7"/>
        <v/>
      </c>
      <c r="B122" s="8" t="str">
        <f t="shared" si="8"/>
        <v/>
      </c>
      <c r="C122" s="9" t="str">
        <f t="shared" si="9"/>
        <v/>
      </c>
      <c r="D122" s="9" t="str">
        <f t="shared" si="10"/>
        <v/>
      </c>
      <c r="E122" s="8" t="str">
        <f t="shared" si="11"/>
        <v/>
      </c>
      <c r="F122" s="9" t="str">
        <f t="shared" si="12"/>
        <v/>
      </c>
      <c r="J122" t="str">
        <f>IF(AND(MOVIMIENTOS!$B121&lt;&gt;"",NOT(AND(MOVIMIENTOS!$B121="PROCESO",MOVIMIENTOS!$C121&lt;&gt;"Chancho")),NOT(AND(MOVIMIENTOS!$B121="SALDO INICIAL",MOVIMIENTOS!$C121="Chancho"))),COUNT(J$5:J121)+1,"")</f>
        <v/>
      </c>
      <c r="K122" t="str">
        <f>IF(AND(MOVIMIENTOS!$B121&lt;&gt;"",NOT(AND(MOVIMIENTOS!$B121="PROCESO",MOVIMIENTOS!$C121&lt;&gt;"Chancho")),NOT(AND(MOVIMIENTOS!$B121="SALDO INICIAL",MOVIMIENTOS!$C121="Chancho"))),MOVIMIENTOS!$A121,"")</f>
        <v/>
      </c>
      <c r="L122" t="str">
        <f>IF(AND(MOVIMIENTOS!$B121&lt;&gt;"",NOT(AND(MOVIMIENTOS!$B121="PROCESO",MOVIMIENTOS!$C121&lt;&gt;"Chancho")),NOT(AND(MOVIMIENTOS!$B121="SALDO INICIAL",MOVIMIENTOS!$C121="Chancho"))),IF(MOVIMIENTOS!$B121="SALDO INICIAL","APERTURA ("&amp;MOVIMIENTOS!$C121&amp;")",IF(MOVIMIENTOS!$B121="COMPRA","INGRESO (compra)",IF(MOVIMIENTOS!$B121="PROCESO","CHANCHO (proceso)",IF(MOVIMIENTOS!$B121="ENVÍO A SUPESA","ENVÍO SUPESA cal. "&amp;MOVIMIENTOS!$C121,IF(MOVIMIENTOS!$B121="VENTA CHANCHO","VENTA CHANCHO",IF(MOVIMIENTOS!$B121="DEVOLUCIÓN","DEVOLUCIÓN cal. "&amp;MOVIMIENTOS!$C121,IF(MOVIMIENTOS!$B121="TRASIEGO","TRASIEGO cal. "&amp;MOVIMIENTOS!$C121,IF(MOVIMIENTOS!$B121="REGALO","REGALO "&amp;MOVIMIENTOS!$C121,IF(MOVIMIENTOS!$B121="VENTA","VENTA "&amp;MOVIMIENTOS!$C121,IF(MOVIMIENTOS!$B121="AJUSTE","AJUSTE inventario ("&amp;MOVIMIENTOS!$C121&amp;")",MOVIMIENTOS!$B121)))))))))),"")</f>
        <v/>
      </c>
      <c r="M122" t="str">
        <f>IF(AND(AND(MOVIMIENTOS!$B121&lt;&gt;"",NOT(AND(MOVIMIENTOS!$B121="PROCESO",MOVIMIENTOS!$C121&lt;&gt;"Chancho")),NOT(AND(MOVIMIENTOS!$B121="SALDO INICIAL",MOVIMIENTOS!$C121="Chancho"))),OR(MOVIMIENTOS!$B121="SALDO INICIAL",MOVIMIENTOS!$B121="COMPRA",MOVIMIENTOS!$B121="REPROCESO",AND(MOVIMIENTOS!$B121="AJUSTE",MOVIMIENTOS!$C121&lt;&gt;"Chancho",N(MOVIMIENTOS!$F121)&gt;=0))),N(MOVIMIENTOS!$F121),"")</f>
        <v/>
      </c>
      <c r="N122" t="str">
        <f>IF(AND(AND(MOVIMIENTOS!$B121&lt;&gt;"",NOT(AND(MOVIMIENTOS!$B121="PROCESO",MOVIMIENTOS!$C121&lt;&gt;"Chancho")),NOT(AND(MOVIMIENTOS!$B121="SALDO INICIAL",MOVIMIENTOS!$C121="Chancho"))),OR(MOVIMIENTOS!$B121="ENVÍO A SUPESA",MOVIMIENTOS!$B121="MALOGRADO",MOVIMIENTOS!$B121="OTRA SALIDA",MOVIMIENTOS!$B121="TRASIEGO",AND(MOVIMIENTOS!$B121="PROCESO",MOVIMIENTOS!$C121="Chancho"),AND(MOVIMIENTOS!$B121="REGALO",MOVIMIENTOS!$C121&lt;&gt;"Chancho"),AND(MOVIMIENTOS!$B121="VENTA",MOVIMIENTOS!$C121&lt;&gt;"Chancho"),AND(MOVIMIENTOS!$B121="AJUSTE",MOVIMIENTOS!$C121&lt;&gt;"Chancho",N(MOVIMIENTOS!$F121)&lt;0))),IF(MOVIMIENTOS!$B121="AJUSTE",-N(MOVIMIENTOS!$F121),N(MOVIMIENTOS!$F121)),"")</f>
        <v/>
      </c>
      <c r="O122" t="str">
        <f>IF(AND(MOVIMIENTOS!$B121&lt;&gt;"",NOT(AND(MOVIMIENTOS!$B121="PROCESO",MOVIMIENTOS!$C121&lt;&gt;"Chancho")),NOT(AND(MOVIMIENTOS!$B121="SALDO INICIAL",MOVIMIENTOS!$C121="Chancho"))),TRIM(IF(MOVIMIENTOS!$G121&lt;&gt;"",IF(MOVIMIENTOS!$B121="ENVÍO A SUPESA","G-"&amp;MOVIMIENTOS!$G121,MOVIMIENTOS!$G121)&amp;"  ","")&amp;IF(N(MOVIMIENTOS!$E121)&gt;0,MOVIMIENTOS!$E121&amp;" "&amp;MOVIMIENTOS!$D121,"")),"")</f>
        <v/>
      </c>
      <c r="P122">
        <f t="shared" si="13"/>
        <v>6712</v>
      </c>
    </row>
    <row r="123" spans="1:16" x14ac:dyDescent="0.2">
      <c r="A123" s="7" t="str">
        <f t="shared" si="7"/>
        <v/>
      </c>
      <c r="B123" s="8" t="str">
        <f t="shared" si="8"/>
        <v/>
      </c>
      <c r="C123" s="9" t="str">
        <f t="shared" si="9"/>
        <v/>
      </c>
      <c r="D123" s="9" t="str">
        <f t="shared" si="10"/>
        <v/>
      </c>
      <c r="E123" s="8" t="str">
        <f t="shared" si="11"/>
        <v/>
      </c>
      <c r="F123" s="9" t="str">
        <f t="shared" si="12"/>
        <v/>
      </c>
      <c r="J123" t="str">
        <f>IF(AND(MOVIMIENTOS!$B122&lt;&gt;"",NOT(AND(MOVIMIENTOS!$B122="PROCESO",MOVIMIENTOS!$C122&lt;&gt;"Chancho")),NOT(AND(MOVIMIENTOS!$B122="SALDO INICIAL",MOVIMIENTOS!$C122="Chancho"))),COUNT(J$5:J122)+1,"")</f>
        <v/>
      </c>
      <c r="K123" t="str">
        <f>IF(AND(MOVIMIENTOS!$B122&lt;&gt;"",NOT(AND(MOVIMIENTOS!$B122="PROCESO",MOVIMIENTOS!$C122&lt;&gt;"Chancho")),NOT(AND(MOVIMIENTOS!$B122="SALDO INICIAL",MOVIMIENTOS!$C122="Chancho"))),MOVIMIENTOS!$A122,"")</f>
        <v/>
      </c>
      <c r="L123" t="str">
        <f>IF(AND(MOVIMIENTOS!$B122&lt;&gt;"",NOT(AND(MOVIMIENTOS!$B122="PROCESO",MOVIMIENTOS!$C122&lt;&gt;"Chancho")),NOT(AND(MOVIMIENTOS!$B122="SALDO INICIAL",MOVIMIENTOS!$C122="Chancho"))),IF(MOVIMIENTOS!$B122="SALDO INICIAL","APERTURA ("&amp;MOVIMIENTOS!$C122&amp;")",IF(MOVIMIENTOS!$B122="COMPRA","INGRESO (compra)",IF(MOVIMIENTOS!$B122="PROCESO","CHANCHO (proceso)",IF(MOVIMIENTOS!$B122="ENVÍO A SUPESA","ENVÍO SUPESA cal. "&amp;MOVIMIENTOS!$C122,IF(MOVIMIENTOS!$B122="VENTA CHANCHO","VENTA CHANCHO",IF(MOVIMIENTOS!$B122="DEVOLUCIÓN","DEVOLUCIÓN cal. "&amp;MOVIMIENTOS!$C122,IF(MOVIMIENTOS!$B122="TRASIEGO","TRASIEGO cal. "&amp;MOVIMIENTOS!$C122,IF(MOVIMIENTOS!$B122="REGALO","REGALO "&amp;MOVIMIENTOS!$C122,IF(MOVIMIENTOS!$B122="VENTA","VENTA "&amp;MOVIMIENTOS!$C122,IF(MOVIMIENTOS!$B122="AJUSTE","AJUSTE inventario ("&amp;MOVIMIENTOS!$C122&amp;")",MOVIMIENTOS!$B122)))))))))),"")</f>
        <v/>
      </c>
      <c r="M123" t="str">
        <f>IF(AND(AND(MOVIMIENTOS!$B122&lt;&gt;"",NOT(AND(MOVIMIENTOS!$B122="PROCESO",MOVIMIENTOS!$C122&lt;&gt;"Chancho")),NOT(AND(MOVIMIENTOS!$B122="SALDO INICIAL",MOVIMIENTOS!$C122="Chancho"))),OR(MOVIMIENTOS!$B122="SALDO INICIAL",MOVIMIENTOS!$B122="COMPRA",MOVIMIENTOS!$B122="REPROCESO",AND(MOVIMIENTOS!$B122="AJUSTE",MOVIMIENTOS!$C122&lt;&gt;"Chancho",N(MOVIMIENTOS!$F122)&gt;=0))),N(MOVIMIENTOS!$F122),"")</f>
        <v/>
      </c>
      <c r="N123" t="str">
        <f>IF(AND(AND(MOVIMIENTOS!$B122&lt;&gt;"",NOT(AND(MOVIMIENTOS!$B122="PROCESO",MOVIMIENTOS!$C122&lt;&gt;"Chancho")),NOT(AND(MOVIMIENTOS!$B122="SALDO INICIAL",MOVIMIENTOS!$C122="Chancho"))),OR(MOVIMIENTOS!$B122="ENVÍO A SUPESA",MOVIMIENTOS!$B122="MALOGRADO",MOVIMIENTOS!$B122="OTRA SALIDA",MOVIMIENTOS!$B122="TRASIEGO",AND(MOVIMIENTOS!$B122="PROCESO",MOVIMIENTOS!$C122="Chancho"),AND(MOVIMIENTOS!$B122="REGALO",MOVIMIENTOS!$C122&lt;&gt;"Chancho"),AND(MOVIMIENTOS!$B122="VENTA",MOVIMIENTOS!$C122&lt;&gt;"Chancho"),AND(MOVIMIENTOS!$B122="AJUSTE",MOVIMIENTOS!$C122&lt;&gt;"Chancho",N(MOVIMIENTOS!$F122)&lt;0))),IF(MOVIMIENTOS!$B122="AJUSTE",-N(MOVIMIENTOS!$F122),N(MOVIMIENTOS!$F122)),"")</f>
        <v/>
      </c>
      <c r="O123" t="str">
        <f>IF(AND(MOVIMIENTOS!$B122&lt;&gt;"",NOT(AND(MOVIMIENTOS!$B122="PROCESO",MOVIMIENTOS!$C122&lt;&gt;"Chancho")),NOT(AND(MOVIMIENTOS!$B122="SALDO INICIAL",MOVIMIENTOS!$C122="Chancho"))),TRIM(IF(MOVIMIENTOS!$G122&lt;&gt;"",IF(MOVIMIENTOS!$B122="ENVÍO A SUPESA","G-"&amp;MOVIMIENTOS!$G122,MOVIMIENTOS!$G122)&amp;"  ","")&amp;IF(N(MOVIMIENTOS!$E122)&gt;0,MOVIMIENTOS!$E122&amp;" "&amp;MOVIMIENTOS!$D122,"")),"")</f>
        <v/>
      </c>
      <c r="P123">
        <f t="shared" si="13"/>
        <v>6712</v>
      </c>
    </row>
    <row r="124" spans="1:16" x14ac:dyDescent="0.2">
      <c r="A124" s="7" t="str">
        <f t="shared" si="7"/>
        <v/>
      </c>
      <c r="B124" s="8" t="str">
        <f t="shared" si="8"/>
        <v/>
      </c>
      <c r="C124" s="9" t="str">
        <f t="shared" si="9"/>
        <v/>
      </c>
      <c r="D124" s="9" t="str">
        <f t="shared" si="10"/>
        <v/>
      </c>
      <c r="E124" s="8" t="str">
        <f t="shared" si="11"/>
        <v/>
      </c>
      <c r="F124" s="9" t="str">
        <f t="shared" si="12"/>
        <v/>
      </c>
      <c r="J124" t="str">
        <f>IF(AND(MOVIMIENTOS!$B123&lt;&gt;"",NOT(AND(MOVIMIENTOS!$B123="PROCESO",MOVIMIENTOS!$C123&lt;&gt;"Chancho")),NOT(AND(MOVIMIENTOS!$B123="SALDO INICIAL",MOVIMIENTOS!$C123="Chancho"))),COUNT(J$5:J123)+1,"")</f>
        <v/>
      </c>
      <c r="K124" t="str">
        <f>IF(AND(MOVIMIENTOS!$B123&lt;&gt;"",NOT(AND(MOVIMIENTOS!$B123="PROCESO",MOVIMIENTOS!$C123&lt;&gt;"Chancho")),NOT(AND(MOVIMIENTOS!$B123="SALDO INICIAL",MOVIMIENTOS!$C123="Chancho"))),MOVIMIENTOS!$A123,"")</f>
        <v/>
      </c>
      <c r="L124" t="str">
        <f>IF(AND(MOVIMIENTOS!$B123&lt;&gt;"",NOT(AND(MOVIMIENTOS!$B123="PROCESO",MOVIMIENTOS!$C123&lt;&gt;"Chancho")),NOT(AND(MOVIMIENTOS!$B123="SALDO INICIAL",MOVIMIENTOS!$C123="Chancho"))),IF(MOVIMIENTOS!$B123="SALDO INICIAL","APERTURA ("&amp;MOVIMIENTOS!$C123&amp;")",IF(MOVIMIENTOS!$B123="COMPRA","INGRESO (compra)",IF(MOVIMIENTOS!$B123="PROCESO","CHANCHO (proceso)",IF(MOVIMIENTOS!$B123="ENVÍO A SUPESA","ENVÍO SUPESA cal. "&amp;MOVIMIENTOS!$C123,IF(MOVIMIENTOS!$B123="VENTA CHANCHO","VENTA CHANCHO",IF(MOVIMIENTOS!$B123="DEVOLUCIÓN","DEVOLUCIÓN cal. "&amp;MOVIMIENTOS!$C123,IF(MOVIMIENTOS!$B123="TRASIEGO","TRASIEGO cal. "&amp;MOVIMIENTOS!$C123,IF(MOVIMIENTOS!$B123="REGALO","REGALO "&amp;MOVIMIENTOS!$C123,IF(MOVIMIENTOS!$B123="VENTA","VENTA "&amp;MOVIMIENTOS!$C123,IF(MOVIMIENTOS!$B123="AJUSTE","AJUSTE inventario ("&amp;MOVIMIENTOS!$C123&amp;")",MOVIMIENTOS!$B123)))))))))),"")</f>
        <v/>
      </c>
      <c r="M124" t="str">
        <f>IF(AND(AND(MOVIMIENTOS!$B123&lt;&gt;"",NOT(AND(MOVIMIENTOS!$B123="PROCESO",MOVIMIENTOS!$C123&lt;&gt;"Chancho")),NOT(AND(MOVIMIENTOS!$B123="SALDO INICIAL",MOVIMIENTOS!$C123="Chancho"))),OR(MOVIMIENTOS!$B123="SALDO INICIAL",MOVIMIENTOS!$B123="COMPRA",MOVIMIENTOS!$B123="REPROCESO",AND(MOVIMIENTOS!$B123="AJUSTE",MOVIMIENTOS!$C123&lt;&gt;"Chancho",N(MOVIMIENTOS!$F123)&gt;=0))),N(MOVIMIENTOS!$F123),"")</f>
        <v/>
      </c>
      <c r="N124" t="str">
        <f>IF(AND(AND(MOVIMIENTOS!$B123&lt;&gt;"",NOT(AND(MOVIMIENTOS!$B123="PROCESO",MOVIMIENTOS!$C123&lt;&gt;"Chancho")),NOT(AND(MOVIMIENTOS!$B123="SALDO INICIAL",MOVIMIENTOS!$C123="Chancho"))),OR(MOVIMIENTOS!$B123="ENVÍO A SUPESA",MOVIMIENTOS!$B123="MALOGRADO",MOVIMIENTOS!$B123="OTRA SALIDA",MOVIMIENTOS!$B123="TRASIEGO",AND(MOVIMIENTOS!$B123="PROCESO",MOVIMIENTOS!$C123="Chancho"),AND(MOVIMIENTOS!$B123="REGALO",MOVIMIENTOS!$C123&lt;&gt;"Chancho"),AND(MOVIMIENTOS!$B123="VENTA",MOVIMIENTOS!$C123&lt;&gt;"Chancho"),AND(MOVIMIENTOS!$B123="AJUSTE",MOVIMIENTOS!$C123&lt;&gt;"Chancho",N(MOVIMIENTOS!$F123)&lt;0))),IF(MOVIMIENTOS!$B123="AJUSTE",-N(MOVIMIENTOS!$F123),N(MOVIMIENTOS!$F123)),"")</f>
        <v/>
      </c>
      <c r="O124" t="str">
        <f>IF(AND(MOVIMIENTOS!$B123&lt;&gt;"",NOT(AND(MOVIMIENTOS!$B123="PROCESO",MOVIMIENTOS!$C123&lt;&gt;"Chancho")),NOT(AND(MOVIMIENTOS!$B123="SALDO INICIAL",MOVIMIENTOS!$C123="Chancho"))),TRIM(IF(MOVIMIENTOS!$G123&lt;&gt;"",IF(MOVIMIENTOS!$B123="ENVÍO A SUPESA","G-"&amp;MOVIMIENTOS!$G123,MOVIMIENTOS!$G123)&amp;"  ","")&amp;IF(N(MOVIMIENTOS!$E123)&gt;0,MOVIMIENTOS!$E123&amp;" "&amp;MOVIMIENTOS!$D123,"")),"")</f>
        <v/>
      </c>
      <c r="P124">
        <f t="shared" si="13"/>
        <v>6712</v>
      </c>
    </row>
    <row r="125" spans="1:16" x14ac:dyDescent="0.2">
      <c r="A125" s="7" t="str">
        <f t="shared" si="7"/>
        <v/>
      </c>
      <c r="B125" s="8" t="str">
        <f t="shared" si="8"/>
        <v/>
      </c>
      <c r="C125" s="9" t="str">
        <f t="shared" si="9"/>
        <v/>
      </c>
      <c r="D125" s="9" t="str">
        <f t="shared" si="10"/>
        <v/>
      </c>
      <c r="E125" s="8" t="str">
        <f t="shared" si="11"/>
        <v/>
      </c>
      <c r="F125" s="9" t="str">
        <f t="shared" si="12"/>
        <v/>
      </c>
      <c r="J125" t="str">
        <f>IF(AND(MOVIMIENTOS!$B124&lt;&gt;"",NOT(AND(MOVIMIENTOS!$B124="PROCESO",MOVIMIENTOS!$C124&lt;&gt;"Chancho")),NOT(AND(MOVIMIENTOS!$B124="SALDO INICIAL",MOVIMIENTOS!$C124="Chancho"))),COUNT(J$5:J124)+1,"")</f>
        <v/>
      </c>
      <c r="K125" t="str">
        <f>IF(AND(MOVIMIENTOS!$B124&lt;&gt;"",NOT(AND(MOVIMIENTOS!$B124="PROCESO",MOVIMIENTOS!$C124&lt;&gt;"Chancho")),NOT(AND(MOVIMIENTOS!$B124="SALDO INICIAL",MOVIMIENTOS!$C124="Chancho"))),MOVIMIENTOS!$A124,"")</f>
        <v/>
      </c>
      <c r="L125" t="str">
        <f>IF(AND(MOVIMIENTOS!$B124&lt;&gt;"",NOT(AND(MOVIMIENTOS!$B124="PROCESO",MOVIMIENTOS!$C124&lt;&gt;"Chancho")),NOT(AND(MOVIMIENTOS!$B124="SALDO INICIAL",MOVIMIENTOS!$C124="Chancho"))),IF(MOVIMIENTOS!$B124="SALDO INICIAL","APERTURA ("&amp;MOVIMIENTOS!$C124&amp;")",IF(MOVIMIENTOS!$B124="COMPRA","INGRESO (compra)",IF(MOVIMIENTOS!$B124="PROCESO","CHANCHO (proceso)",IF(MOVIMIENTOS!$B124="ENVÍO A SUPESA","ENVÍO SUPESA cal. "&amp;MOVIMIENTOS!$C124,IF(MOVIMIENTOS!$B124="VENTA CHANCHO","VENTA CHANCHO",IF(MOVIMIENTOS!$B124="DEVOLUCIÓN","DEVOLUCIÓN cal. "&amp;MOVIMIENTOS!$C124,IF(MOVIMIENTOS!$B124="TRASIEGO","TRASIEGO cal. "&amp;MOVIMIENTOS!$C124,IF(MOVIMIENTOS!$B124="REGALO","REGALO "&amp;MOVIMIENTOS!$C124,IF(MOVIMIENTOS!$B124="VENTA","VENTA "&amp;MOVIMIENTOS!$C124,IF(MOVIMIENTOS!$B124="AJUSTE","AJUSTE inventario ("&amp;MOVIMIENTOS!$C124&amp;")",MOVIMIENTOS!$B124)))))))))),"")</f>
        <v/>
      </c>
      <c r="M125" t="str">
        <f>IF(AND(AND(MOVIMIENTOS!$B124&lt;&gt;"",NOT(AND(MOVIMIENTOS!$B124="PROCESO",MOVIMIENTOS!$C124&lt;&gt;"Chancho")),NOT(AND(MOVIMIENTOS!$B124="SALDO INICIAL",MOVIMIENTOS!$C124="Chancho"))),OR(MOVIMIENTOS!$B124="SALDO INICIAL",MOVIMIENTOS!$B124="COMPRA",MOVIMIENTOS!$B124="REPROCESO",AND(MOVIMIENTOS!$B124="AJUSTE",MOVIMIENTOS!$C124&lt;&gt;"Chancho",N(MOVIMIENTOS!$F124)&gt;=0))),N(MOVIMIENTOS!$F124),"")</f>
        <v/>
      </c>
      <c r="N125" t="str">
        <f>IF(AND(AND(MOVIMIENTOS!$B124&lt;&gt;"",NOT(AND(MOVIMIENTOS!$B124="PROCESO",MOVIMIENTOS!$C124&lt;&gt;"Chancho")),NOT(AND(MOVIMIENTOS!$B124="SALDO INICIAL",MOVIMIENTOS!$C124="Chancho"))),OR(MOVIMIENTOS!$B124="ENVÍO A SUPESA",MOVIMIENTOS!$B124="MALOGRADO",MOVIMIENTOS!$B124="OTRA SALIDA",MOVIMIENTOS!$B124="TRASIEGO",AND(MOVIMIENTOS!$B124="PROCESO",MOVIMIENTOS!$C124="Chancho"),AND(MOVIMIENTOS!$B124="REGALO",MOVIMIENTOS!$C124&lt;&gt;"Chancho"),AND(MOVIMIENTOS!$B124="VENTA",MOVIMIENTOS!$C124&lt;&gt;"Chancho"),AND(MOVIMIENTOS!$B124="AJUSTE",MOVIMIENTOS!$C124&lt;&gt;"Chancho",N(MOVIMIENTOS!$F124)&lt;0))),IF(MOVIMIENTOS!$B124="AJUSTE",-N(MOVIMIENTOS!$F124),N(MOVIMIENTOS!$F124)),"")</f>
        <v/>
      </c>
      <c r="O125" t="str">
        <f>IF(AND(MOVIMIENTOS!$B124&lt;&gt;"",NOT(AND(MOVIMIENTOS!$B124="PROCESO",MOVIMIENTOS!$C124&lt;&gt;"Chancho")),NOT(AND(MOVIMIENTOS!$B124="SALDO INICIAL",MOVIMIENTOS!$C124="Chancho"))),TRIM(IF(MOVIMIENTOS!$G124&lt;&gt;"",IF(MOVIMIENTOS!$B124="ENVÍO A SUPESA","G-"&amp;MOVIMIENTOS!$G124,MOVIMIENTOS!$G124)&amp;"  ","")&amp;IF(N(MOVIMIENTOS!$E124)&gt;0,MOVIMIENTOS!$E124&amp;" "&amp;MOVIMIENTOS!$D124,"")),"")</f>
        <v/>
      </c>
      <c r="P125">
        <f t="shared" si="13"/>
        <v>6712</v>
      </c>
    </row>
    <row r="126" spans="1:16" x14ac:dyDescent="0.2">
      <c r="A126" s="7" t="str">
        <f t="shared" si="7"/>
        <v/>
      </c>
      <c r="B126" s="8" t="str">
        <f t="shared" si="8"/>
        <v/>
      </c>
      <c r="C126" s="9" t="str">
        <f t="shared" si="9"/>
        <v/>
      </c>
      <c r="D126" s="9" t="str">
        <f t="shared" si="10"/>
        <v/>
      </c>
      <c r="E126" s="8" t="str">
        <f t="shared" si="11"/>
        <v/>
      </c>
      <c r="F126" s="9" t="str">
        <f t="shared" si="12"/>
        <v/>
      </c>
      <c r="J126">
        <f>IF(AND(MOVIMIENTOS!$B125&lt;&gt;"",NOT(AND(MOVIMIENTOS!$B125="PROCESO",MOVIMIENTOS!$C125&lt;&gt;"Chancho")),NOT(AND(MOVIMIENTOS!$B125="SALDO INICIAL",MOVIMIENTOS!$C125="Chancho"))),COUNT(J$5:J125)+1,"")</f>
        <v>76</v>
      </c>
      <c r="K126" s="10">
        <f>IF(AND(MOVIMIENTOS!$B125&lt;&gt;"",NOT(AND(MOVIMIENTOS!$B125="PROCESO",MOVIMIENTOS!$C125&lt;&gt;"Chancho")),NOT(AND(MOVIMIENTOS!$B125="SALDO INICIAL",MOVIMIENTOS!$C125="Chancho"))),MOVIMIENTOS!$A125,"")</f>
        <v>46225</v>
      </c>
      <c r="L126" t="str">
        <f>IF(AND(MOVIMIENTOS!$B125&lt;&gt;"",NOT(AND(MOVIMIENTOS!$B125="PROCESO",MOVIMIENTOS!$C125&lt;&gt;"Chancho")),NOT(AND(MOVIMIENTOS!$B125="SALDO INICIAL",MOVIMIENTOS!$C125="Chancho"))),IF(MOVIMIENTOS!$B125="SALDO INICIAL","APERTURA ("&amp;MOVIMIENTOS!$C125&amp;")",IF(MOVIMIENTOS!$B125="COMPRA","INGRESO (compra)",IF(MOVIMIENTOS!$B125="PROCESO","CHANCHO (proceso)",IF(MOVIMIENTOS!$B125="ENVÍO A SUPESA","ENVÍO SUPESA cal. "&amp;MOVIMIENTOS!$C125,IF(MOVIMIENTOS!$B125="VENTA CHANCHO","VENTA CHANCHO",IF(MOVIMIENTOS!$B125="DEVOLUCIÓN","DEVOLUCIÓN cal. "&amp;MOVIMIENTOS!$C125,IF(MOVIMIENTOS!$B125="TRASIEGO","TRASIEGO cal. "&amp;MOVIMIENTOS!$C125,IF(MOVIMIENTOS!$B125="REGALO","REGALO "&amp;MOVIMIENTOS!$C125,IF(MOVIMIENTOS!$B125="VENTA","VENTA "&amp;MOVIMIENTOS!$C125,IF(MOVIMIENTOS!$B125="AJUSTE","AJUSTE inventario ("&amp;MOVIMIENTOS!$C125&amp;")",MOVIMIENTOS!$B125)))))))))),"")</f>
        <v>CHANCHO (proceso)</v>
      </c>
      <c r="M126" t="str">
        <f>IF(AND(AND(MOVIMIENTOS!$B125&lt;&gt;"",NOT(AND(MOVIMIENTOS!$B125="PROCESO",MOVIMIENTOS!$C125&lt;&gt;"Chancho")),NOT(AND(MOVIMIENTOS!$B125="SALDO INICIAL",MOVIMIENTOS!$C125="Chancho"))),OR(MOVIMIENTOS!$B125="SALDO INICIAL",MOVIMIENTOS!$B125="COMPRA",MOVIMIENTOS!$B125="REPROCESO",AND(MOVIMIENTOS!$B125="AJUSTE",MOVIMIENTOS!$C125&lt;&gt;"Chancho",N(MOVIMIENTOS!$F125)&gt;=0))),N(MOVIMIENTOS!$F125),"")</f>
        <v/>
      </c>
      <c r="N126">
        <f>IF(AND(AND(MOVIMIENTOS!$B125&lt;&gt;"",NOT(AND(MOVIMIENTOS!$B125="PROCESO",MOVIMIENTOS!$C125&lt;&gt;"Chancho")),NOT(AND(MOVIMIENTOS!$B125="SALDO INICIAL",MOVIMIENTOS!$C125="Chancho"))),OR(MOVIMIENTOS!$B125="ENVÍO A SUPESA",MOVIMIENTOS!$B125="MALOGRADO",MOVIMIENTOS!$B125="OTRA SALIDA",MOVIMIENTOS!$B125="TRASIEGO",AND(MOVIMIENTOS!$B125="PROCESO",MOVIMIENTOS!$C125="Chancho"),AND(MOVIMIENTOS!$B125="REGALO",MOVIMIENTOS!$C125&lt;&gt;"Chancho"),AND(MOVIMIENTOS!$B125="VENTA",MOVIMIENTOS!$C125&lt;&gt;"Chancho"),AND(MOVIMIENTOS!$B125="AJUSTE",MOVIMIENTOS!$C125&lt;&gt;"Chancho",N(MOVIMIENTOS!$F125)&lt;0))),IF(MOVIMIENTOS!$B125="AJUSTE",-N(MOVIMIENTOS!$F125),N(MOVIMIENTOS!$F125)),"")</f>
        <v>760</v>
      </c>
      <c r="O126" t="str">
        <f>IF(AND(MOVIMIENTOS!$B125&lt;&gt;"",NOT(AND(MOVIMIENTOS!$B125="PROCESO",MOVIMIENTOS!$C125&lt;&gt;"Chancho")),NOT(AND(MOVIMIENTOS!$B125="SALDO INICIAL",MOVIMIENTOS!$C125="Chancho"))),TRIM(IF(MOVIMIENTOS!$G125&lt;&gt;"",IF(MOVIMIENTOS!$B125="ENVÍO A SUPESA","G-"&amp;MOVIMIENTOS!$G125,MOVIMIENTOS!$G125)&amp;"  ","")&amp;IF(N(MOVIMIENTOS!$E125)&gt;0,MOVIMIENTOS!$E125&amp;" "&amp;MOVIMIENTOS!$D125,"")),"")</f>
        <v>8 sacos</v>
      </c>
      <c r="P126">
        <f t="shared" si="13"/>
        <v>5952</v>
      </c>
    </row>
    <row r="127" spans="1:16" x14ac:dyDescent="0.2">
      <c r="A127" s="7" t="str">
        <f t="shared" si="7"/>
        <v/>
      </c>
      <c r="B127" s="8" t="str">
        <f t="shared" si="8"/>
        <v/>
      </c>
      <c r="C127" s="9" t="str">
        <f t="shared" si="9"/>
        <v/>
      </c>
      <c r="D127" s="9" t="str">
        <f t="shared" si="10"/>
        <v/>
      </c>
      <c r="E127" s="8" t="str">
        <f t="shared" si="11"/>
        <v/>
      </c>
      <c r="F127" s="9" t="str">
        <f t="shared" si="12"/>
        <v/>
      </c>
      <c r="J127">
        <f>IF(AND(MOVIMIENTOS!$B126&lt;&gt;"",NOT(AND(MOVIMIENTOS!$B126="PROCESO",MOVIMIENTOS!$C126&lt;&gt;"Chancho")),NOT(AND(MOVIMIENTOS!$B126="SALDO INICIAL",MOVIMIENTOS!$C126="Chancho"))),COUNT(J$5:J126)+1,"")</f>
        <v>77</v>
      </c>
      <c r="K127" s="10">
        <f>IF(AND(MOVIMIENTOS!$B126&lt;&gt;"",NOT(AND(MOVIMIENTOS!$B126="PROCESO",MOVIMIENTOS!$C126&lt;&gt;"Chancho")),NOT(AND(MOVIMIENTOS!$B126="SALDO INICIAL",MOVIMIENTOS!$C126="Chancho"))),MOVIMIENTOS!$A126,"")</f>
        <v>46225</v>
      </c>
      <c r="L127" t="str">
        <f>IF(AND(MOVIMIENTOS!$B126&lt;&gt;"",NOT(AND(MOVIMIENTOS!$B126="PROCESO",MOVIMIENTOS!$C126&lt;&gt;"Chancho")),NOT(AND(MOVIMIENTOS!$B126="SALDO INICIAL",MOVIMIENTOS!$C126="Chancho"))),IF(MOVIMIENTOS!$B126="SALDO INICIAL","APERTURA ("&amp;MOVIMIENTOS!$C126&amp;")",IF(MOVIMIENTOS!$B126="COMPRA","INGRESO (compra)",IF(MOVIMIENTOS!$B126="PROCESO","CHANCHO (proceso)",IF(MOVIMIENTOS!$B126="ENVÍO A SUPESA","ENVÍO SUPESA cal. "&amp;MOVIMIENTOS!$C126,IF(MOVIMIENTOS!$B126="VENTA CHANCHO","VENTA CHANCHO",IF(MOVIMIENTOS!$B126="DEVOLUCIÓN","DEVOLUCIÓN cal. "&amp;MOVIMIENTOS!$C126,IF(MOVIMIENTOS!$B126="TRASIEGO","TRASIEGO cal. "&amp;MOVIMIENTOS!$C126,IF(MOVIMIENTOS!$B126="REGALO","REGALO "&amp;MOVIMIENTOS!$C126,IF(MOVIMIENTOS!$B126="VENTA","VENTA "&amp;MOVIMIENTOS!$C126,IF(MOVIMIENTOS!$B126="AJUSTE","AJUSTE inventario ("&amp;MOVIMIENTOS!$C126&amp;")",MOVIMIENTOS!$B126)))))))))),"")</f>
        <v>MALOGRADO</v>
      </c>
      <c r="M127" t="str">
        <f>IF(AND(AND(MOVIMIENTOS!$B126&lt;&gt;"",NOT(AND(MOVIMIENTOS!$B126="PROCESO",MOVIMIENTOS!$C126&lt;&gt;"Chancho")),NOT(AND(MOVIMIENTOS!$B126="SALDO INICIAL",MOVIMIENTOS!$C126="Chancho"))),OR(MOVIMIENTOS!$B126="SALDO INICIAL",MOVIMIENTOS!$B126="COMPRA",MOVIMIENTOS!$B126="REPROCESO",AND(MOVIMIENTOS!$B126="AJUSTE",MOVIMIENTOS!$C126&lt;&gt;"Chancho",N(MOVIMIENTOS!$F126)&gt;=0))),N(MOVIMIENTOS!$F126),"")</f>
        <v/>
      </c>
      <c r="N127">
        <f>IF(AND(AND(MOVIMIENTOS!$B126&lt;&gt;"",NOT(AND(MOVIMIENTOS!$B126="PROCESO",MOVIMIENTOS!$C126&lt;&gt;"Chancho")),NOT(AND(MOVIMIENTOS!$B126="SALDO INICIAL",MOVIMIENTOS!$C126="Chancho"))),OR(MOVIMIENTOS!$B126="ENVÍO A SUPESA",MOVIMIENTOS!$B126="MALOGRADO",MOVIMIENTOS!$B126="OTRA SALIDA",MOVIMIENTOS!$B126="TRASIEGO",AND(MOVIMIENTOS!$B126="PROCESO",MOVIMIENTOS!$C126="Chancho"),AND(MOVIMIENTOS!$B126="REGALO",MOVIMIENTOS!$C126&lt;&gt;"Chancho"),AND(MOVIMIENTOS!$B126="VENTA",MOVIMIENTOS!$C126&lt;&gt;"Chancho"),AND(MOVIMIENTOS!$B126="AJUSTE",MOVIMIENTOS!$C126&lt;&gt;"Chancho",N(MOVIMIENTOS!$F126)&lt;0))),IF(MOVIMIENTOS!$B126="AJUSTE",-N(MOVIMIENTOS!$F126),N(MOVIMIENTOS!$F126)),"")</f>
        <v>50</v>
      </c>
      <c r="O127" t="str">
        <f>IF(AND(MOVIMIENTOS!$B126&lt;&gt;"",NOT(AND(MOVIMIENTOS!$B126="PROCESO",MOVIMIENTOS!$C126&lt;&gt;"Chancho")),NOT(AND(MOVIMIENTOS!$B126="SALDO INICIAL",MOVIMIENTOS!$C126="Chancho"))),TRIM(IF(MOVIMIENTOS!$G126&lt;&gt;"",IF(MOVIMIENTOS!$B126="ENVÍO A SUPESA","G-"&amp;MOVIMIENTOS!$G126,MOVIMIENTOS!$G126)&amp;"  ","")&amp;IF(N(MOVIMIENTOS!$E126)&gt;0,MOVIMIENTOS!$E126&amp;" "&amp;MOVIMIENTOS!$D126,"")),"")</f>
        <v>50 kg</v>
      </c>
      <c r="P127">
        <f t="shared" si="13"/>
        <v>5902</v>
      </c>
    </row>
    <row r="128" spans="1:16" x14ac:dyDescent="0.2">
      <c r="A128" s="7" t="str">
        <f t="shared" si="7"/>
        <v/>
      </c>
      <c r="B128" s="8" t="str">
        <f t="shared" si="8"/>
        <v/>
      </c>
      <c r="C128" s="9" t="str">
        <f t="shared" si="9"/>
        <v/>
      </c>
      <c r="D128" s="9" t="str">
        <f t="shared" si="10"/>
        <v/>
      </c>
      <c r="E128" s="8" t="str">
        <f t="shared" si="11"/>
        <v/>
      </c>
      <c r="F128" s="9" t="str">
        <f t="shared" si="12"/>
        <v/>
      </c>
      <c r="J128">
        <f>IF(AND(MOVIMIENTOS!$B127&lt;&gt;"",NOT(AND(MOVIMIENTOS!$B127="PROCESO",MOVIMIENTOS!$C127&lt;&gt;"Chancho")),NOT(AND(MOVIMIENTOS!$B127="SALDO INICIAL",MOVIMIENTOS!$C127="Chancho"))),COUNT(J$5:J127)+1,"")</f>
        <v>78</v>
      </c>
      <c r="K128" s="10">
        <f>IF(AND(MOVIMIENTOS!$B127&lt;&gt;"",NOT(AND(MOVIMIENTOS!$B127="PROCESO",MOVIMIENTOS!$C127&lt;&gt;"Chancho")),NOT(AND(MOVIMIENTOS!$B127="SALDO INICIAL",MOVIMIENTOS!$C127="Chancho"))),MOVIMIENTOS!$A127,"")</f>
        <v>46225</v>
      </c>
      <c r="L128" t="str">
        <f>IF(AND(MOVIMIENTOS!$B127&lt;&gt;"",NOT(AND(MOVIMIENTOS!$B127="PROCESO",MOVIMIENTOS!$C127&lt;&gt;"Chancho")),NOT(AND(MOVIMIENTOS!$B127="SALDO INICIAL",MOVIMIENTOS!$C127="Chancho"))),IF(MOVIMIENTOS!$B127="SALDO INICIAL","APERTURA ("&amp;MOVIMIENTOS!$C127&amp;")",IF(MOVIMIENTOS!$B127="COMPRA","INGRESO (compra)",IF(MOVIMIENTOS!$B127="PROCESO","CHANCHO (proceso)",IF(MOVIMIENTOS!$B127="ENVÍO A SUPESA","ENVÍO SUPESA cal. "&amp;MOVIMIENTOS!$C127,IF(MOVIMIENTOS!$B127="VENTA CHANCHO","VENTA CHANCHO",IF(MOVIMIENTOS!$B127="DEVOLUCIÓN","DEVOLUCIÓN cal. "&amp;MOVIMIENTOS!$C127,IF(MOVIMIENTOS!$B127="TRASIEGO","TRASIEGO cal. "&amp;MOVIMIENTOS!$C127,IF(MOVIMIENTOS!$B127="REGALO","REGALO "&amp;MOVIMIENTOS!$C127,IF(MOVIMIENTOS!$B127="VENTA","VENTA "&amp;MOVIMIENTOS!$C127,IF(MOVIMIENTOS!$B127="AJUSTE","AJUSTE inventario ("&amp;MOVIMIENTOS!$C127&amp;")",MOVIMIENTOS!$B127)))))))))),"")</f>
        <v>ENVÍO SUPESA cal. A</v>
      </c>
      <c r="M128" t="str">
        <f>IF(AND(AND(MOVIMIENTOS!$B127&lt;&gt;"",NOT(AND(MOVIMIENTOS!$B127="PROCESO",MOVIMIENTOS!$C127&lt;&gt;"Chancho")),NOT(AND(MOVIMIENTOS!$B127="SALDO INICIAL",MOVIMIENTOS!$C127="Chancho"))),OR(MOVIMIENTOS!$B127="SALDO INICIAL",MOVIMIENTOS!$B127="COMPRA",MOVIMIENTOS!$B127="REPROCESO",AND(MOVIMIENTOS!$B127="AJUSTE",MOVIMIENTOS!$C127&lt;&gt;"Chancho",N(MOVIMIENTOS!$F127)&gt;=0))),N(MOVIMIENTOS!$F127),"")</f>
        <v/>
      </c>
      <c r="N128">
        <f>IF(AND(AND(MOVIMIENTOS!$B127&lt;&gt;"",NOT(AND(MOVIMIENTOS!$B127="PROCESO",MOVIMIENTOS!$C127&lt;&gt;"Chancho")),NOT(AND(MOVIMIENTOS!$B127="SALDO INICIAL",MOVIMIENTOS!$C127="Chancho"))),OR(MOVIMIENTOS!$B127="ENVÍO A SUPESA",MOVIMIENTOS!$B127="MALOGRADO",MOVIMIENTOS!$B127="OTRA SALIDA",MOVIMIENTOS!$B127="TRASIEGO",AND(MOVIMIENTOS!$B127="PROCESO",MOVIMIENTOS!$C127="Chancho"),AND(MOVIMIENTOS!$B127="REGALO",MOVIMIENTOS!$C127&lt;&gt;"Chancho"),AND(MOVIMIENTOS!$B127="VENTA",MOVIMIENTOS!$C127&lt;&gt;"Chancho"),AND(MOVIMIENTOS!$B127="AJUSTE",MOVIMIENTOS!$C127&lt;&gt;"Chancho",N(MOVIMIENTOS!$F127)&lt;0))),IF(MOVIMIENTOS!$B127="AJUSTE",-N(MOVIMIENTOS!$F127),N(MOVIMIENTOS!$F127)),"")</f>
        <v>1005</v>
      </c>
      <c r="O128" t="str">
        <f>IF(AND(MOVIMIENTOS!$B127&lt;&gt;"",NOT(AND(MOVIMIENTOS!$B127="PROCESO",MOVIMIENTOS!$C127&lt;&gt;"Chancho")),NOT(AND(MOVIMIENTOS!$B127="SALDO INICIAL",MOVIMIENTOS!$C127="Chancho"))),TRIM(IF(MOVIMIENTOS!$G127&lt;&gt;"",IF(MOVIMIENTOS!$B127="ENVÍO A SUPESA","G-"&amp;MOVIMIENTOS!$G127,MOVIMIENTOS!$G127)&amp;"  ","")&amp;IF(N(MOVIMIENTOS!$E127)&gt;0,MOVIMIENTOS!$E127&amp;" "&amp;MOVIMIENTOS!$D127,"")),"")</f>
        <v>G-3006 67 jabas</v>
      </c>
      <c r="P128">
        <f t="shared" si="13"/>
        <v>4897</v>
      </c>
    </row>
    <row r="129" spans="1:16" x14ac:dyDescent="0.2">
      <c r="A129" s="7" t="str">
        <f t="shared" si="7"/>
        <v/>
      </c>
      <c r="B129" s="8" t="str">
        <f t="shared" si="8"/>
        <v/>
      </c>
      <c r="C129" s="9" t="str">
        <f t="shared" si="9"/>
        <v/>
      </c>
      <c r="D129" s="9" t="str">
        <f t="shared" si="10"/>
        <v/>
      </c>
      <c r="E129" s="8" t="str">
        <f t="shared" si="11"/>
        <v/>
      </c>
      <c r="F129" s="9" t="str">
        <f t="shared" si="12"/>
        <v/>
      </c>
      <c r="J129">
        <f>IF(AND(MOVIMIENTOS!$B128&lt;&gt;"",NOT(AND(MOVIMIENTOS!$B128="PROCESO",MOVIMIENTOS!$C128&lt;&gt;"Chancho")),NOT(AND(MOVIMIENTOS!$B128="SALDO INICIAL",MOVIMIENTOS!$C128="Chancho"))),COUNT(J$5:J128)+1,"")</f>
        <v>79</v>
      </c>
      <c r="K129" s="10">
        <f>IF(AND(MOVIMIENTOS!$B128&lt;&gt;"",NOT(AND(MOVIMIENTOS!$B128="PROCESO",MOVIMIENTOS!$C128&lt;&gt;"Chancho")),NOT(AND(MOVIMIENTOS!$B128="SALDO INICIAL",MOVIMIENTOS!$C128="Chancho"))),MOVIMIENTOS!$A128,"")</f>
        <v>46225</v>
      </c>
      <c r="L129" t="str">
        <f>IF(AND(MOVIMIENTOS!$B128&lt;&gt;"",NOT(AND(MOVIMIENTOS!$B128="PROCESO",MOVIMIENTOS!$C128&lt;&gt;"Chancho")),NOT(AND(MOVIMIENTOS!$B128="SALDO INICIAL",MOVIMIENTOS!$C128="Chancho"))),IF(MOVIMIENTOS!$B128="SALDO INICIAL","APERTURA ("&amp;MOVIMIENTOS!$C128&amp;")",IF(MOVIMIENTOS!$B128="COMPRA","INGRESO (compra)",IF(MOVIMIENTOS!$B128="PROCESO","CHANCHO (proceso)",IF(MOVIMIENTOS!$B128="ENVÍO A SUPESA","ENVÍO SUPESA cal. "&amp;MOVIMIENTOS!$C128,IF(MOVIMIENTOS!$B128="VENTA CHANCHO","VENTA CHANCHO",IF(MOVIMIENTOS!$B128="DEVOLUCIÓN","DEVOLUCIÓN cal. "&amp;MOVIMIENTOS!$C128,IF(MOVIMIENTOS!$B128="TRASIEGO","TRASIEGO cal. "&amp;MOVIMIENTOS!$C128,IF(MOVIMIENTOS!$B128="REGALO","REGALO "&amp;MOVIMIENTOS!$C128,IF(MOVIMIENTOS!$B128="VENTA","VENTA "&amp;MOVIMIENTOS!$C128,IF(MOVIMIENTOS!$B128="AJUSTE","AJUSTE inventario ("&amp;MOVIMIENTOS!$C128&amp;")",MOVIMIENTOS!$B128)))))))))),"")</f>
        <v>ENVÍO SUPESA cal. P</v>
      </c>
      <c r="M129" t="str">
        <f>IF(AND(AND(MOVIMIENTOS!$B128&lt;&gt;"",NOT(AND(MOVIMIENTOS!$B128="PROCESO",MOVIMIENTOS!$C128&lt;&gt;"Chancho")),NOT(AND(MOVIMIENTOS!$B128="SALDO INICIAL",MOVIMIENTOS!$C128="Chancho"))),OR(MOVIMIENTOS!$B128="SALDO INICIAL",MOVIMIENTOS!$B128="COMPRA",MOVIMIENTOS!$B128="REPROCESO",AND(MOVIMIENTOS!$B128="AJUSTE",MOVIMIENTOS!$C128&lt;&gt;"Chancho",N(MOVIMIENTOS!$F128)&gt;=0))),N(MOVIMIENTOS!$F128),"")</f>
        <v/>
      </c>
      <c r="N129">
        <f>IF(AND(AND(MOVIMIENTOS!$B128&lt;&gt;"",NOT(AND(MOVIMIENTOS!$B128="PROCESO",MOVIMIENTOS!$C128&lt;&gt;"Chancho")),NOT(AND(MOVIMIENTOS!$B128="SALDO INICIAL",MOVIMIENTOS!$C128="Chancho"))),OR(MOVIMIENTOS!$B128="ENVÍO A SUPESA",MOVIMIENTOS!$B128="MALOGRADO",MOVIMIENTOS!$B128="OTRA SALIDA",MOVIMIENTOS!$B128="TRASIEGO",AND(MOVIMIENTOS!$B128="PROCESO",MOVIMIENTOS!$C128="Chancho"),AND(MOVIMIENTOS!$B128="REGALO",MOVIMIENTOS!$C128&lt;&gt;"Chancho"),AND(MOVIMIENTOS!$B128="VENTA",MOVIMIENTOS!$C128&lt;&gt;"Chancho"),AND(MOVIMIENTOS!$B128="AJUSTE",MOVIMIENTOS!$C128&lt;&gt;"Chancho",N(MOVIMIENTOS!$F128)&lt;0))),IF(MOVIMIENTOS!$B128="AJUSTE",-N(MOVIMIENTOS!$F128),N(MOVIMIENTOS!$F128)),"")</f>
        <v>198</v>
      </c>
      <c r="O129" t="str">
        <f>IF(AND(MOVIMIENTOS!$B128&lt;&gt;"",NOT(AND(MOVIMIENTOS!$B128="PROCESO",MOVIMIENTOS!$C128&lt;&gt;"Chancho")),NOT(AND(MOVIMIENTOS!$B128="SALDO INICIAL",MOVIMIENTOS!$C128="Chancho"))),TRIM(IF(MOVIMIENTOS!$G128&lt;&gt;"",IF(MOVIMIENTOS!$B128="ENVÍO A SUPESA","G-"&amp;MOVIMIENTOS!$G128,MOVIMIENTOS!$G128)&amp;"  ","")&amp;IF(N(MOVIMIENTOS!$E128)&gt;0,MOVIMIENTOS!$E128&amp;" "&amp;MOVIMIENTOS!$D128,"")),"")</f>
        <v>G-3006 11 jabas</v>
      </c>
      <c r="P129">
        <f t="shared" si="13"/>
        <v>4699</v>
      </c>
    </row>
    <row r="130" spans="1:16" x14ac:dyDescent="0.2">
      <c r="A130" s="7" t="str">
        <f t="shared" si="7"/>
        <v/>
      </c>
      <c r="B130" s="8" t="str">
        <f t="shared" si="8"/>
        <v/>
      </c>
      <c r="C130" s="9" t="str">
        <f t="shared" si="9"/>
        <v/>
      </c>
      <c r="D130" s="9" t="str">
        <f t="shared" si="10"/>
        <v/>
      </c>
      <c r="E130" s="8" t="str">
        <f t="shared" si="11"/>
        <v/>
      </c>
      <c r="F130" s="9" t="str">
        <f t="shared" si="12"/>
        <v/>
      </c>
      <c r="J130">
        <f>IF(AND(MOVIMIENTOS!$B129&lt;&gt;"",NOT(AND(MOVIMIENTOS!$B129="PROCESO",MOVIMIENTOS!$C129&lt;&gt;"Chancho")),NOT(AND(MOVIMIENTOS!$B129="SALDO INICIAL",MOVIMIENTOS!$C129="Chancho"))),COUNT(J$5:J129)+1,"")</f>
        <v>80</v>
      </c>
      <c r="K130" s="10">
        <f>IF(AND(MOVIMIENTOS!$B129&lt;&gt;"",NOT(AND(MOVIMIENTOS!$B129="PROCESO",MOVIMIENTOS!$C129&lt;&gt;"Chancho")),NOT(AND(MOVIMIENTOS!$B129="SALDO INICIAL",MOVIMIENTOS!$C129="Chancho"))),MOVIMIENTOS!$A129,"")</f>
        <v>46225</v>
      </c>
      <c r="L130" t="str">
        <f>IF(AND(MOVIMIENTOS!$B129&lt;&gt;"",NOT(AND(MOVIMIENTOS!$B129="PROCESO",MOVIMIENTOS!$C129&lt;&gt;"Chancho")),NOT(AND(MOVIMIENTOS!$B129="SALDO INICIAL",MOVIMIENTOS!$C129="Chancho"))),IF(MOVIMIENTOS!$B129="SALDO INICIAL","APERTURA ("&amp;MOVIMIENTOS!$C129&amp;")",IF(MOVIMIENTOS!$B129="COMPRA","INGRESO (compra)",IF(MOVIMIENTOS!$B129="PROCESO","CHANCHO (proceso)",IF(MOVIMIENTOS!$B129="ENVÍO A SUPESA","ENVÍO SUPESA cal. "&amp;MOVIMIENTOS!$C129,IF(MOVIMIENTOS!$B129="VENTA CHANCHO","VENTA CHANCHO",IF(MOVIMIENTOS!$B129="DEVOLUCIÓN","DEVOLUCIÓN cal. "&amp;MOVIMIENTOS!$C129,IF(MOVIMIENTOS!$B129="TRASIEGO","TRASIEGO cal. "&amp;MOVIMIENTOS!$C129,IF(MOVIMIENTOS!$B129="REGALO","REGALO "&amp;MOVIMIENTOS!$C129,IF(MOVIMIENTOS!$B129="VENTA","VENTA "&amp;MOVIMIENTOS!$C129,IF(MOVIMIENTOS!$B129="AJUSTE","AJUSTE inventario ("&amp;MOVIMIENTOS!$C129&amp;")",MOVIMIENTOS!$B129)))))))))),"")</f>
        <v>ENVÍO SUPESA cal. C</v>
      </c>
      <c r="M130" t="str">
        <f>IF(AND(AND(MOVIMIENTOS!$B129&lt;&gt;"",NOT(AND(MOVIMIENTOS!$B129="PROCESO",MOVIMIENTOS!$C129&lt;&gt;"Chancho")),NOT(AND(MOVIMIENTOS!$B129="SALDO INICIAL",MOVIMIENTOS!$C129="Chancho"))),OR(MOVIMIENTOS!$B129="SALDO INICIAL",MOVIMIENTOS!$B129="COMPRA",MOVIMIENTOS!$B129="REPROCESO",AND(MOVIMIENTOS!$B129="AJUSTE",MOVIMIENTOS!$C129&lt;&gt;"Chancho",N(MOVIMIENTOS!$F129)&gt;=0))),N(MOVIMIENTOS!$F129),"")</f>
        <v/>
      </c>
      <c r="N130">
        <f>IF(AND(AND(MOVIMIENTOS!$B129&lt;&gt;"",NOT(AND(MOVIMIENTOS!$B129="PROCESO",MOVIMIENTOS!$C129&lt;&gt;"Chancho")),NOT(AND(MOVIMIENTOS!$B129="SALDO INICIAL",MOVIMIENTOS!$C129="Chancho"))),OR(MOVIMIENTOS!$B129="ENVÍO A SUPESA",MOVIMIENTOS!$B129="MALOGRADO",MOVIMIENTOS!$B129="OTRA SALIDA",MOVIMIENTOS!$B129="TRASIEGO",AND(MOVIMIENTOS!$B129="PROCESO",MOVIMIENTOS!$C129="Chancho"),AND(MOVIMIENTOS!$B129="REGALO",MOVIMIENTOS!$C129&lt;&gt;"Chancho"),AND(MOVIMIENTOS!$B129="VENTA",MOVIMIENTOS!$C129&lt;&gt;"Chancho"),AND(MOVIMIENTOS!$B129="AJUSTE",MOVIMIENTOS!$C129&lt;&gt;"Chancho",N(MOVIMIENTOS!$F129)&lt;0))),IF(MOVIMIENTOS!$B129="AJUSTE",-N(MOVIMIENTOS!$F129),N(MOVIMIENTOS!$F129)),"")</f>
        <v>204</v>
      </c>
      <c r="O130" t="str">
        <f>IF(AND(MOVIMIENTOS!$B129&lt;&gt;"",NOT(AND(MOVIMIENTOS!$B129="PROCESO",MOVIMIENTOS!$C129&lt;&gt;"Chancho")),NOT(AND(MOVIMIENTOS!$B129="SALDO INICIAL",MOVIMIENTOS!$C129="Chancho"))),TRIM(IF(MOVIMIENTOS!$G129&lt;&gt;"",IF(MOVIMIENTOS!$B129="ENVÍO A SUPESA","G-"&amp;MOVIMIENTOS!$G129,MOVIMIENTOS!$G129)&amp;"  ","")&amp;IF(N(MOVIMIENTOS!$E129)&gt;0,MOVIMIENTOS!$E129&amp;" "&amp;MOVIMIENTOS!$D129,"")),"")</f>
        <v>G-3006 12 jabas</v>
      </c>
      <c r="P130">
        <f t="shared" si="13"/>
        <v>4495</v>
      </c>
    </row>
    <row r="131" spans="1:16" x14ac:dyDescent="0.2">
      <c r="A131" s="7" t="str">
        <f t="shared" si="7"/>
        <v/>
      </c>
      <c r="B131" s="8" t="str">
        <f t="shared" si="8"/>
        <v/>
      </c>
      <c r="C131" s="9" t="str">
        <f t="shared" si="9"/>
        <v/>
      </c>
      <c r="D131" s="9" t="str">
        <f t="shared" si="10"/>
        <v/>
      </c>
      <c r="E131" s="8" t="str">
        <f t="shared" si="11"/>
        <v/>
      </c>
      <c r="F131" s="9" t="str">
        <f t="shared" si="12"/>
        <v/>
      </c>
      <c r="J131">
        <f>IF(AND(MOVIMIENTOS!$B130&lt;&gt;"",NOT(AND(MOVIMIENTOS!$B130="PROCESO",MOVIMIENTOS!$C130&lt;&gt;"Chancho")),NOT(AND(MOVIMIENTOS!$B130="SALDO INICIAL",MOVIMIENTOS!$C130="Chancho"))),COUNT(J$5:J130)+1,"")</f>
        <v>81</v>
      </c>
      <c r="K131" s="10">
        <f>IF(AND(MOVIMIENTOS!$B130&lt;&gt;"",NOT(AND(MOVIMIENTOS!$B130="PROCESO",MOVIMIENTOS!$C130&lt;&gt;"Chancho")),NOT(AND(MOVIMIENTOS!$B130="SALDO INICIAL",MOVIMIENTOS!$C130="Chancho"))),MOVIMIENTOS!$A130,"")</f>
        <v>46225</v>
      </c>
      <c r="L131" t="str">
        <f>IF(AND(MOVIMIENTOS!$B130&lt;&gt;"",NOT(AND(MOVIMIENTOS!$B130="PROCESO",MOVIMIENTOS!$C130&lt;&gt;"Chancho")),NOT(AND(MOVIMIENTOS!$B130="SALDO INICIAL",MOVIMIENTOS!$C130="Chancho"))),IF(MOVIMIENTOS!$B130="SALDO INICIAL","APERTURA ("&amp;MOVIMIENTOS!$C130&amp;")",IF(MOVIMIENTOS!$B130="COMPRA","INGRESO (compra)",IF(MOVIMIENTOS!$B130="PROCESO","CHANCHO (proceso)",IF(MOVIMIENTOS!$B130="ENVÍO A SUPESA","ENVÍO SUPESA cal. "&amp;MOVIMIENTOS!$C130,IF(MOVIMIENTOS!$B130="VENTA CHANCHO","VENTA CHANCHO",IF(MOVIMIENTOS!$B130="DEVOLUCIÓN","DEVOLUCIÓN cal. "&amp;MOVIMIENTOS!$C130,IF(MOVIMIENTOS!$B130="TRASIEGO","TRASIEGO cal. "&amp;MOVIMIENTOS!$C130,IF(MOVIMIENTOS!$B130="REGALO","REGALO "&amp;MOVIMIENTOS!$C130,IF(MOVIMIENTOS!$B130="VENTA","VENTA "&amp;MOVIMIENTOS!$C130,IF(MOVIMIENTOS!$B130="AJUSTE","AJUSTE inventario ("&amp;MOVIMIENTOS!$C130&amp;")",MOVIMIENTOS!$B130)))))))))),"")</f>
        <v>ENVÍO SUPESA cal. M</v>
      </c>
      <c r="M131" t="str">
        <f>IF(AND(AND(MOVIMIENTOS!$B130&lt;&gt;"",NOT(AND(MOVIMIENTOS!$B130="PROCESO",MOVIMIENTOS!$C130&lt;&gt;"Chancho")),NOT(AND(MOVIMIENTOS!$B130="SALDO INICIAL",MOVIMIENTOS!$C130="Chancho"))),OR(MOVIMIENTOS!$B130="SALDO INICIAL",MOVIMIENTOS!$B130="COMPRA",MOVIMIENTOS!$B130="REPROCESO",AND(MOVIMIENTOS!$B130="AJUSTE",MOVIMIENTOS!$C130&lt;&gt;"Chancho",N(MOVIMIENTOS!$F130)&gt;=0))),N(MOVIMIENTOS!$F130),"")</f>
        <v/>
      </c>
      <c r="N131">
        <f>IF(AND(AND(MOVIMIENTOS!$B130&lt;&gt;"",NOT(AND(MOVIMIENTOS!$B130="PROCESO",MOVIMIENTOS!$C130&lt;&gt;"Chancho")),NOT(AND(MOVIMIENTOS!$B130="SALDO INICIAL",MOVIMIENTOS!$C130="Chancho"))),OR(MOVIMIENTOS!$B130="ENVÍO A SUPESA",MOVIMIENTOS!$B130="MALOGRADO",MOVIMIENTOS!$B130="OTRA SALIDA",MOVIMIENTOS!$B130="TRASIEGO",AND(MOVIMIENTOS!$B130="PROCESO",MOVIMIENTOS!$C130="Chancho"),AND(MOVIMIENTOS!$B130="REGALO",MOVIMIENTOS!$C130&lt;&gt;"Chancho"),AND(MOVIMIENTOS!$B130="VENTA",MOVIMIENTOS!$C130&lt;&gt;"Chancho"),AND(MOVIMIENTOS!$B130="AJUSTE",MOVIMIENTOS!$C130&lt;&gt;"Chancho",N(MOVIMIENTOS!$F130)&lt;0))),IF(MOVIMIENTOS!$B130="AJUSTE",-N(MOVIMIENTOS!$F130),N(MOVIMIENTOS!$F130)),"")</f>
        <v>1887</v>
      </c>
      <c r="O131" t="str">
        <f>IF(AND(MOVIMIENTOS!$B130&lt;&gt;"",NOT(AND(MOVIMIENTOS!$B130="PROCESO",MOVIMIENTOS!$C130&lt;&gt;"Chancho")),NOT(AND(MOVIMIENTOS!$B130="SALDO INICIAL",MOVIMIENTOS!$C130="Chancho"))),TRIM(IF(MOVIMIENTOS!$G130&lt;&gt;"",IF(MOVIMIENTOS!$B130="ENVÍO A SUPESA","G-"&amp;MOVIMIENTOS!$G130,MOVIMIENTOS!$G130)&amp;"  ","")&amp;IF(N(MOVIMIENTOS!$E130)&gt;0,MOVIMIENTOS!$E130&amp;" "&amp;MOVIMIENTOS!$D130,"")),"")</f>
        <v>G-3006 111 jabas</v>
      </c>
      <c r="P131">
        <f t="shared" si="13"/>
        <v>2608</v>
      </c>
    </row>
    <row r="132" spans="1:16" x14ac:dyDescent="0.2">
      <c r="A132" s="7" t="str">
        <f t="shared" si="7"/>
        <v/>
      </c>
      <c r="B132" s="8" t="str">
        <f t="shared" si="8"/>
        <v/>
      </c>
      <c r="C132" s="9" t="str">
        <f t="shared" si="9"/>
        <v/>
      </c>
      <c r="D132" s="9" t="str">
        <f t="shared" si="10"/>
        <v/>
      </c>
      <c r="E132" s="8" t="str">
        <f t="shared" si="11"/>
        <v/>
      </c>
      <c r="F132" s="9" t="str">
        <f t="shared" si="12"/>
        <v/>
      </c>
      <c r="J132">
        <f>IF(AND(MOVIMIENTOS!$B131&lt;&gt;"",NOT(AND(MOVIMIENTOS!$B131="PROCESO",MOVIMIENTOS!$C131&lt;&gt;"Chancho")),NOT(AND(MOVIMIENTOS!$B131="SALDO INICIAL",MOVIMIENTOS!$C131="Chancho"))),COUNT(J$5:J131)+1,"")</f>
        <v>82</v>
      </c>
      <c r="K132" s="10">
        <f>IF(AND(MOVIMIENTOS!$B131&lt;&gt;"",NOT(AND(MOVIMIENTOS!$B131="PROCESO",MOVIMIENTOS!$C131&lt;&gt;"Chancho")),NOT(AND(MOVIMIENTOS!$B131="SALDO INICIAL",MOVIMIENTOS!$C131="Chancho"))),MOVIMIENTOS!$A131,"")</f>
        <v>46225</v>
      </c>
      <c r="L132" t="str">
        <f>IF(AND(MOVIMIENTOS!$B131&lt;&gt;"",NOT(AND(MOVIMIENTOS!$B131="PROCESO",MOVIMIENTOS!$C131&lt;&gt;"Chancho")),NOT(AND(MOVIMIENTOS!$B131="SALDO INICIAL",MOVIMIENTOS!$C131="Chancho"))),IF(MOVIMIENTOS!$B131="SALDO INICIAL","APERTURA ("&amp;MOVIMIENTOS!$C131&amp;")",IF(MOVIMIENTOS!$B131="COMPRA","INGRESO (compra)",IF(MOVIMIENTOS!$B131="PROCESO","CHANCHO (proceso)",IF(MOVIMIENTOS!$B131="ENVÍO A SUPESA","ENVÍO SUPESA cal. "&amp;MOVIMIENTOS!$C131,IF(MOVIMIENTOS!$B131="VENTA CHANCHO","VENTA CHANCHO",IF(MOVIMIENTOS!$B131="DEVOLUCIÓN","DEVOLUCIÓN cal. "&amp;MOVIMIENTOS!$C131,IF(MOVIMIENTOS!$B131="TRASIEGO","TRASIEGO cal. "&amp;MOVIMIENTOS!$C131,IF(MOVIMIENTOS!$B131="REGALO","REGALO "&amp;MOVIMIENTOS!$C131,IF(MOVIMIENTOS!$B131="VENTA","VENTA "&amp;MOVIMIENTOS!$C131,IF(MOVIMIENTOS!$B131="AJUSTE","AJUSTE inventario ("&amp;MOVIMIENTOS!$C131&amp;")",MOVIMIENTOS!$B131)))))))))),"")</f>
        <v>VENTA CHANCHO</v>
      </c>
      <c r="M132" t="str">
        <f>IF(AND(AND(MOVIMIENTOS!$B131&lt;&gt;"",NOT(AND(MOVIMIENTOS!$B131="PROCESO",MOVIMIENTOS!$C131&lt;&gt;"Chancho")),NOT(AND(MOVIMIENTOS!$B131="SALDO INICIAL",MOVIMIENTOS!$C131="Chancho"))),OR(MOVIMIENTOS!$B131="SALDO INICIAL",MOVIMIENTOS!$B131="COMPRA",MOVIMIENTOS!$B131="REPROCESO",AND(MOVIMIENTOS!$B131="AJUSTE",MOVIMIENTOS!$C131&lt;&gt;"Chancho",N(MOVIMIENTOS!$F131)&gt;=0))),N(MOVIMIENTOS!$F131),"")</f>
        <v/>
      </c>
      <c r="N132" t="str">
        <f>IF(AND(AND(MOVIMIENTOS!$B131&lt;&gt;"",NOT(AND(MOVIMIENTOS!$B131="PROCESO",MOVIMIENTOS!$C131&lt;&gt;"Chancho")),NOT(AND(MOVIMIENTOS!$B131="SALDO INICIAL",MOVIMIENTOS!$C131="Chancho"))),OR(MOVIMIENTOS!$B131="ENVÍO A SUPESA",MOVIMIENTOS!$B131="MALOGRADO",MOVIMIENTOS!$B131="OTRA SALIDA",MOVIMIENTOS!$B131="TRASIEGO",AND(MOVIMIENTOS!$B131="PROCESO",MOVIMIENTOS!$C131="Chancho"),AND(MOVIMIENTOS!$B131="REGALO",MOVIMIENTOS!$C131&lt;&gt;"Chancho"),AND(MOVIMIENTOS!$B131="VENTA",MOVIMIENTOS!$C131&lt;&gt;"Chancho"),AND(MOVIMIENTOS!$B131="AJUSTE",MOVIMIENTOS!$C131&lt;&gt;"Chancho",N(MOVIMIENTOS!$F131)&lt;0))),IF(MOVIMIENTOS!$B131="AJUSTE",-N(MOVIMIENTOS!$F131),N(MOVIMIENTOS!$F131)),"")</f>
        <v/>
      </c>
      <c r="O132" t="str">
        <f>IF(AND(MOVIMIENTOS!$B131&lt;&gt;"",NOT(AND(MOVIMIENTOS!$B131="PROCESO",MOVIMIENTOS!$C131&lt;&gt;"Chancho")),NOT(AND(MOVIMIENTOS!$B131="SALDO INICIAL",MOVIMIENTOS!$C131="Chancho"))),TRIM(IF(MOVIMIENTOS!$G131&lt;&gt;"",IF(MOVIMIENTOS!$B131="ENVÍO A SUPESA","G-"&amp;MOVIMIENTOS!$G131,MOVIMIENTOS!$G131)&amp;"  ","")&amp;IF(N(MOVIMIENTOS!$E131)&gt;0,MOVIMIENTOS!$E131&amp;" "&amp;MOVIMIENTOS!$D131,"")),"")</f>
        <v>S/T 10 sacos</v>
      </c>
      <c r="P132">
        <f t="shared" si="13"/>
        <v>2608</v>
      </c>
    </row>
    <row r="133" spans="1:16" x14ac:dyDescent="0.2">
      <c r="A133" s="7" t="str">
        <f t="shared" si="7"/>
        <v/>
      </c>
      <c r="B133" s="8" t="str">
        <f t="shared" si="8"/>
        <v/>
      </c>
      <c r="C133" s="9" t="str">
        <f t="shared" si="9"/>
        <v/>
      </c>
      <c r="D133" s="9" t="str">
        <f t="shared" si="10"/>
        <v/>
      </c>
      <c r="E133" s="8" t="str">
        <f t="shared" si="11"/>
        <v/>
      </c>
      <c r="F133" s="9" t="str">
        <f t="shared" si="12"/>
        <v/>
      </c>
      <c r="J133">
        <f>IF(AND(MOVIMIENTOS!$B132&lt;&gt;"",NOT(AND(MOVIMIENTOS!$B132="PROCESO",MOVIMIENTOS!$C132&lt;&gt;"Chancho")),NOT(AND(MOVIMIENTOS!$B132="SALDO INICIAL",MOVIMIENTOS!$C132="Chancho"))),COUNT(J$5:J132)+1,"")</f>
        <v>83</v>
      </c>
      <c r="K133" s="10">
        <f>IF(AND(MOVIMIENTOS!$B132&lt;&gt;"",NOT(AND(MOVIMIENTOS!$B132="PROCESO",MOVIMIENTOS!$C132&lt;&gt;"Chancho")),NOT(AND(MOVIMIENTOS!$B132="SALDO INICIAL",MOVIMIENTOS!$C132="Chancho"))),MOVIMIENTOS!$A132,"")</f>
        <v>46225</v>
      </c>
      <c r="L133" t="str">
        <f>IF(AND(MOVIMIENTOS!$B132&lt;&gt;"",NOT(AND(MOVIMIENTOS!$B132="PROCESO",MOVIMIENTOS!$C132&lt;&gt;"Chancho")),NOT(AND(MOVIMIENTOS!$B132="SALDO INICIAL",MOVIMIENTOS!$C132="Chancho"))),IF(MOVIMIENTOS!$B132="SALDO INICIAL","APERTURA ("&amp;MOVIMIENTOS!$C132&amp;")",IF(MOVIMIENTOS!$B132="COMPRA","INGRESO (compra)",IF(MOVIMIENTOS!$B132="PROCESO","CHANCHO (proceso)",IF(MOVIMIENTOS!$B132="ENVÍO A SUPESA","ENVÍO SUPESA cal. "&amp;MOVIMIENTOS!$C132,IF(MOVIMIENTOS!$B132="VENTA CHANCHO","VENTA CHANCHO",IF(MOVIMIENTOS!$B132="DEVOLUCIÓN","DEVOLUCIÓN cal. "&amp;MOVIMIENTOS!$C132,IF(MOVIMIENTOS!$B132="TRASIEGO","TRASIEGO cal. "&amp;MOVIMIENTOS!$C132,IF(MOVIMIENTOS!$B132="REGALO","REGALO "&amp;MOVIMIENTOS!$C132,IF(MOVIMIENTOS!$B132="VENTA","VENTA "&amp;MOVIMIENTOS!$C132,IF(MOVIMIENTOS!$B132="AJUSTE","AJUSTE inventario ("&amp;MOVIMIENTOS!$C132&amp;")",MOVIMIENTOS!$B132)))))))))),"")</f>
        <v>DEVOLUCIÓN cal. A</v>
      </c>
      <c r="M133" t="str">
        <f>IF(AND(AND(MOVIMIENTOS!$B132&lt;&gt;"",NOT(AND(MOVIMIENTOS!$B132="PROCESO",MOVIMIENTOS!$C132&lt;&gt;"Chancho")),NOT(AND(MOVIMIENTOS!$B132="SALDO INICIAL",MOVIMIENTOS!$C132="Chancho"))),OR(MOVIMIENTOS!$B132="SALDO INICIAL",MOVIMIENTOS!$B132="COMPRA",MOVIMIENTOS!$B132="REPROCESO",AND(MOVIMIENTOS!$B132="AJUSTE",MOVIMIENTOS!$C132&lt;&gt;"Chancho",N(MOVIMIENTOS!$F132)&gt;=0))),N(MOVIMIENTOS!$F132),"")</f>
        <v/>
      </c>
      <c r="N133" t="str">
        <f>IF(AND(AND(MOVIMIENTOS!$B132&lt;&gt;"",NOT(AND(MOVIMIENTOS!$B132="PROCESO",MOVIMIENTOS!$C132&lt;&gt;"Chancho")),NOT(AND(MOVIMIENTOS!$B132="SALDO INICIAL",MOVIMIENTOS!$C132="Chancho"))),OR(MOVIMIENTOS!$B132="ENVÍO A SUPESA",MOVIMIENTOS!$B132="MALOGRADO",MOVIMIENTOS!$B132="OTRA SALIDA",MOVIMIENTOS!$B132="TRASIEGO",AND(MOVIMIENTOS!$B132="PROCESO",MOVIMIENTOS!$C132="Chancho"),AND(MOVIMIENTOS!$B132="REGALO",MOVIMIENTOS!$C132&lt;&gt;"Chancho"),AND(MOVIMIENTOS!$B132="VENTA",MOVIMIENTOS!$C132&lt;&gt;"Chancho"),AND(MOVIMIENTOS!$B132="AJUSTE",MOVIMIENTOS!$C132&lt;&gt;"Chancho",N(MOVIMIENTOS!$F132)&lt;0))),IF(MOVIMIENTOS!$B132="AJUSTE",-N(MOVIMIENTOS!$F132),N(MOVIMIENTOS!$F132)),"")</f>
        <v/>
      </c>
      <c r="O133" t="str">
        <f>IF(AND(MOVIMIENTOS!$B132&lt;&gt;"",NOT(AND(MOVIMIENTOS!$B132="PROCESO",MOVIMIENTOS!$C132&lt;&gt;"Chancho")),NOT(AND(MOVIMIENTOS!$B132="SALDO INICIAL",MOVIMIENTOS!$C132="Chancho"))),TRIM(IF(MOVIMIENTOS!$G132&lt;&gt;"",IF(MOVIMIENTOS!$B132="ENVÍO A SUPESA","G-"&amp;MOVIMIENTOS!$G132,MOVIMIENTOS!$G132)&amp;"  ","")&amp;IF(N(MOVIMIENTOS!$E132)&gt;0,MOVIMIENTOS!$E132&amp;" "&amp;MOVIMIENTOS!$D132,"")),"")</f>
        <v>1 jabas</v>
      </c>
      <c r="P133">
        <f t="shared" si="13"/>
        <v>2608</v>
      </c>
    </row>
    <row r="134" spans="1:16" x14ac:dyDescent="0.2">
      <c r="A134" s="7" t="str">
        <f t="shared" ref="A134:A197" si="14">IFERROR(INDEX(K$6:K$401,MATCH(ROW()-5,J$6:J$401,0)),"")</f>
        <v/>
      </c>
      <c r="B134" s="8" t="str">
        <f t="shared" ref="B134:B197" si="15">IFERROR(INDEX(L$6:L$401,MATCH(ROW()-5,J$6:J$401,0)),"")</f>
        <v/>
      </c>
      <c r="C134" s="9" t="str">
        <f t="shared" ref="C134:C197" si="16">IFERROR(INDEX(M$6:M$401,MATCH(ROW()-5,J$6:J$401,0)),"")</f>
        <v/>
      </c>
      <c r="D134" s="9" t="str">
        <f t="shared" ref="D134:D197" si="17">IFERROR(INDEX(N$6:N$401,MATCH(ROW()-5,J$6:J$401,0)),"")</f>
        <v/>
      </c>
      <c r="E134" s="8" t="str">
        <f t="shared" ref="E134:E197" si="18">IFERROR(INDEX(O$6:O$401,MATCH(ROW()-5,J$6:J$401,0)),"")</f>
        <v/>
      </c>
      <c r="F134" s="9" t="str">
        <f t="shared" ref="F134:F197" si="19">IFERROR(INDEX(P$6:P$401,MATCH(ROW()-5,J$6:J$401,0)),"")</f>
        <v/>
      </c>
      <c r="J134">
        <f>IF(AND(MOVIMIENTOS!$B133&lt;&gt;"",NOT(AND(MOVIMIENTOS!$B133="PROCESO",MOVIMIENTOS!$C133&lt;&gt;"Chancho")),NOT(AND(MOVIMIENTOS!$B133="SALDO INICIAL",MOVIMIENTOS!$C133="Chancho"))),COUNT(J$5:J133)+1,"")</f>
        <v>84</v>
      </c>
      <c r="K134" s="10">
        <f>IF(AND(MOVIMIENTOS!$B133&lt;&gt;"",NOT(AND(MOVIMIENTOS!$B133="PROCESO",MOVIMIENTOS!$C133&lt;&gt;"Chancho")),NOT(AND(MOVIMIENTOS!$B133="SALDO INICIAL",MOVIMIENTOS!$C133="Chancho"))),MOVIMIENTOS!$A133,"")</f>
        <v>46225</v>
      </c>
      <c r="L134" t="str">
        <f>IF(AND(MOVIMIENTOS!$B133&lt;&gt;"",NOT(AND(MOVIMIENTOS!$B133="PROCESO",MOVIMIENTOS!$C133&lt;&gt;"Chancho")),NOT(AND(MOVIMIENTOS!$B133="SALDO INICIAL",MOVIMIENTOS!$C133="Chancho"))),IF(MOVIMIENTOS!$B133="SALDO INICIAL","APERTURA ("&amp;MOVIMIENTOS!$C133&amp;")",IF(MOVIMIENTOS!$B133="COMPRA","INGRESO (compra)",IF(MOVIMIENTOS!$B133="PROCESO","CHANCHO (proceso)",IF(MOVIMIENTOS!$B133="ENVÍO A SUPESA","ENVÍO SUPESA cal. "&amp;MOVIMIENTOS!$C133,IF(MOVIMIENTOS!$B133="VENTA CHANCHO","VENTA CHANCHO",IF(MOVIMIENTOS!$B133="DEVOLUCIÓN","DEVOLUCIÓN cal. "&amp;MOVIMIENTOS!$C133,IF(MOVIMIENTOS!$B133="TRASIEGO","TRASIEGO cal. "&amp;MOVIMIENTOS!$C133,IF(MOVIMIENTOS!$B133="REGALO","REGALO "&amp;MOVIMIENTOS!$C133,IF(MOVIMIENTOS!$B133="VENTA","VENTA "&amp;MOVIMIENTOS!$C133,IF(MOVIMIENTOS!$B133="AJUSTE","AJUSTE inventario ("&amp;MOVIMIENTOS!$C133&amp;")",MOVIMIENTOS!$B133)))))))))),"")</f>
        <v>DEVOLUCIÓN cal. M</v>
      </c>
      <c r="M134" t="str">
        <f>IF(AND(AND(MOVIMIENTOS!$B133&lt;&gt;"",NOT(AND(MOVIMIENTOS!$B133="PROCESO",MOVIMIENTOS!$C133&lt;&gt;"Chancho")),NOT(AND(MOVIMIENTOS!$B133="SALDO INICIAL",MOVIMIENTOS!$C133="Chancho"))),OR(MOVIMIENTOS!$B133="SALDO INICIAL",MOVIMIENTOS!$B133="COMPRA",MOVIMIENTOS!$B133="REPROCESO",AND(MOVIMIENTOS!$B133="AJUSTE",MOVIMIENTOS!$C133&lt;&gt;"Chancho",N(MOVIMIENTOS!$F133)&gt;=0))),N(MOVIMIENTOS!$F133),"")</f>
        <v/>
      </c>
      <c r="N134" t="str">
        <f>IF(AND(AND(MOVIMIENTOS!$B133&lt;&gt;"",NOT(AND(MOVIMIENTOS!$B133="PROCESO",MOVIMIENTOS!$C133&lt;&gt;"Chancho")),NOT(AND(MOVIMIENTOS!$B133="SALDO INICIAL",MOVIMIENTOS!$C133="Chancho"))),OR(MOVIMIENTOS!$B133="ENVÍO A SUPESA",MOVIMIENTOS!$B133="MALOGRADO",MOVIMIENTOS!$B133="OTRA SALIDA",MOVIMIENTOS!$B133="TRASIEGO",AND(MOVIMIENTOS!$B133="PROCESO",MOVIMIENTOS!$C133="Chancho"),AND(MOVIMIENTOS!$B133="REGALO",MOVIMIENTOS!$C133&lt;&gt;"Chancho"),AND(MOVIMIENTOS!$B133="VENTA",MOVIMIENTOS!$C133&lt;&gt;"Chancho"),AND(MOVIMIENTOS!$B133="AJUSTE",MOVIMIENTOS!$C133&lt;&gt;"Chancho",N(MOVIMIENTOS!$F133)&lt;0))),IF(MOVIMIENTOS!$B133="AJUSTE",-N(MOVIMIENTOS!$F133),N(MOVIMIENTOS!$F133)),"")</f>
        <v/>
      </c>
      <c r="O134" t="str">
        <f>IF(AND(MOVIMIENTOS!$B133&lt;&gt;"",NOT(AND(MOVIMIENTOS!$B133="PROCESO",MOVIMIENTOS!$C133&lt;&gt;"Chancho")),NOT(AND(MOVIMIENTOS!$B133="SALDO INICIAL",MOVIMIENTOS!$C133="Chancho"))),TRIM(IF(MOVIMIENTOS!$G133&lt;&gt;"",IF(MOVIMIENTOS!$B133="ENVÍO A SUPESA","G-"&amp;MOVIMIENTOS!$G133,MOVIMIENTOS!$G133)&amp;"  ","")&amp;IF(N(MOVIMIENTOS!$E133)&gt;0,MOVIMIENTOS!$E133&amp;" "&amp;MOVIMIENTOS!$D133,"")),"")</f>
        <v>9 jabas</v>
      </c>
      <c r="P134">
        <f t="shared" ref="P134:P197" si="20">N(P133)+N(M134)-N(N134)</f>
        <v>2608</v>
      </c>
    </row>
    <row r="135" spans="1:16" x14ac:dyDescent="0.2">
      <c r="A135" s="7" t="str">
        <f t="shared" si="14"/>
        <v/>
      </c>
      <c r="B135" s="8" t="str">
        <f t="shared" si="15"/>
        <v/>
      </c>
      <c r="C135" s="9" t="str">
        <f t="shared" si="16"/>
        <v/>
      </c>
      <c r="D135" s="9" t="str">
        <f t="shared" si="17"/>
        <v/>
      </c>
      <c r="E135" s="8" t="str">
        <f t="shared" si="18"/>
        <v/>
      </c>
      <c r="F135" s="9" t="str">
        <f t="shared" si="19"/>
        <v/>
      </c>
      <c r="J135">
        <f>IF(AND(MOVIMIENTOS!$B134&lt;&gt;"",NOT(AND(MOVIMIENTOS!$B134="PROCESO",MOVIMIENTOS!$C134&lt;&gt;"Chancho")),NOT(AND(MOVIMIENTOS!$B134="SALDO INICIAL",MOVIMIENTOS!$C134="Chancho"))),COUNT(J$5:J134)+1,"")</f>
        <v>85</v>
      </c>
      <c r="K135" s="10">
        <f>IF(AND(MOVIMIENTOS!$B134&lt;&gt;"",NOT(AND(MOVIMIENTOS!$B134="PROCESO",MOVIMIENTOS!$C134&lt;&gt;"Chancho")),NOT(AND(MOVIMIENTOS!$B134="SALDO INICIAL",MOVIMIENTOS!$C134="Chancho"))),MOVIMIENTOS!$A134,"")</f>
        <v>46225</v>
      </c>
      <c r="L135" t="str">
        <f>IF(AND(MOVIMIENTOS!$B134&lt;&gt;"",NOT(AND(MOVIMIENTOS!$B134="PROCESO",MOVIMIENTOS!$C134&lt;&gt;"Chancho")),NOT(AND(MOVIMIENTOS!$B134="SALDO INICIAL",MOVIMIENTOS!$C134="Chancho"))),IF(MOVIMIENTOS!$B134="SALDO INICIAL","APERTURA ("&amp;MOVIMIENTOS!$C134&amp;")",IF(MOVIMIENTOS!$B134="COMPRA","INGRESO (compra)",IF(MOVIMIENTOS!$B134="PROCESO","CHANCHO (proceso)",IF(MOVIMIENTOS!$B134="ENVÍO A SUPESA","ENVÍO SUPESA cal. "&amp;MOVIMIENTOS!$C134,IF(MOVIMIENTOS!$B134="VENTA CHANCHO","VENTA CHANCHO",IF(MOVIMIENTOS!$B134="DEVOLUCIÓN","DEVOLUCIÓN cal. "&amp;MOVIMIENTOS!$C134,IF(MOVIMIENTOS!$B134="TRASIEGO","TRASIEGO cal. "&amp;MOVIMIENTOS!$C134,IF(MOVIMIENTOS!$B134="REGALO","REGALO "&amp;MOVIMIENTOS!$C134,IF(MOVIMIENTOS!$B134="VENTA","VENTA "&amp;MOVIMIENTOS!$C134,IF(MOVIMIENTOS!$B134="AJUSTE","AJUSTE inventario ("&amp;MOVIMIENTOS!$C134&amp;")",MOVIMIENTOS!$B134)))))))))),"")</f>
        <v>TRASIEGO cal. A</v>
      </c>
      <c r="M135" t="str">
        <f>IF(AND(AND(MOVIMIENTOS!$B134&lt;&gt;"",NOT(AND(MOVIMIENTOS!$B134="PROCESO",MOVIMIENTOS!$C134&lt;&gt;"Chancho")),NOT(AND(MOVIMIENTOS!$B134="SALDO INICIAL",MOVIMIENTOS!$C134="Chancho"))),OR(MOVIMIENTOS!$B134="SALDO INICIAL",MOVIMIENTOS!$B134="COMPRA",MOVIMIENTOS!$B134="REPROCESO",AND(MOVIMIENTOS!$B134="AJUSTE",MOVIMIENTOS!$C134&lt;&gt;"Chancho",N(MOVIMIENTOS!$F134)&gt;=0))),N(MOVIMIENTOS!$F134),"")</f>
        <v/>
      </c>
      <c r="N135">
        <f>IF(AND(AND(MOVIMIENTOS!$B134&lt;&gt;"",NOT(AND(MOVIMIENTOS!$B134="PROCESO",MOVIMIENTOS!$C134&lt;&gt;"Chancho")),NOT(AND(MOVIMIENTOS!$B134="SALDO INICIAL",MOVIMIENTOS!$C134="Chancho"))),OR(MOVIMIENTOS!$B134="ENVÍO A SUPESA",MOVIMIENTOS!$B134="MALOGRADO",MOVIMIENTOS!$B134="OTRA SALIDA",MOVIMIENTOS!$B134="TRASIEGO",AND(MOVIMIENTOS!$B134="PROCESO",MOVIMIENTOS!$C134="Chancho"),AND(MOVIMIENTOS!$B134="REGALO",MOVIMIENTOS!$C134&lt;&gt;"Chancho"),AND(MOVIMIENTOS!$B134="VENTA",MOVIMIENTOS!$C134&lt;&gt;"Chancho"),AND(MOVIMIENTOS!$B134="AJUSTE",MOVIMIENTOS!$C134&lt;&gt;"Chancho",N(MOVIMIENTOS!$F134)&lt;0))),IF(MOVIMIENTOS!$B134="AJUSTE",-N(MOVIMIENTOS!$F134),N(MOVIMIENTOS!$F134)),"")</f>
        <v>15</v>
      </c>
      <c r="O135" t="str">
        <f>IF(AND(MOVIMIENTOS!$B134&lt;&gt;"",NOT(AND(MOVIMIENTOS!$B134="PROCESO",MOVIMIENTOS!$C134&lt;&gt;"Chancho")),NOT(AND(MOVIMIENTOS!$B134="SALDO INICIAL",MOVIMIENTOS!$C134="Chancho"))),TRIM(IF(MOVIMIENTOS!$G134&lt;&gt;"",IF(MOVIMIENTOS!$B134="ENVÍO A SUPESA","G-"&amp;MOVIMIENTOS!$G134,MOVIMIENTOS!$G134)&amp;"  ","")&amp;IF(N(MOVIMIENTOS!$E134)&gt;0,MOVIMIENTOS!$E134&amp;" "&amp;MOVIMIENTOS!$D134,"")),"")</f>
        <v>1 jabas</v>
      </c>
      <c r="P135">
        <f t="shared" si="20"/>
        <v>2593</v>
      </c>
    </row>
    <row r="136" spans="1:16" x14ac:dyDescent="0.2">
      <c r="A136" s="7" t="str">
        <f t="shared" si="14"/>
        <v/>
      </c>
      <c r="B136" s="8" t="str">
        <f t="shared" si="15"/>
        <v/>
      </c>
      <c r="C136" s="9" t="str">
        <f t="shared" si="16"/>
        <v/>
      </c>
      <c r="D136" s="9" t="str">
        <f t="shared" si="17"/>
        <v/>
      </c>
      <c r="E136" s="8" t="str">
        <f t="shared" si="18"/>
        <v/>
      </c>
      <c r="F136" s="9" t="str">
        <f t="shared" si="19"/>
        <v/>
      </c>
      <c r="J136">
        <f>IF(AND(MOVIMIENTOS!$B135&lt;&gt;"",NOT(AND(MOVIMIENTOS!$B135="PROCESO",MOVIMIENTOS!$C135&lt;&gt;"Chancho")),NOT(AND(MOVIMIENTOS!$B135="SALDO INICIAL",MOVIMIENTOS!$C135="Chancho"))),COUNT(J$5:J135)+1,"")</f>
        <v>86</v>
      </c>
      <c r="K136" s="10">
        <f>IF(AND(MOVIMIENTOS!$B135&lt;&gt;"",NOT(AND(MOVIMIENTOS!$B135="PROCESO",MOVIMIENTOS!$C135&lt;&gt;"Chancho")),NOT(AND(MOVIMIENTOS!$B135="SALDO INICIAL",MOVIMIENTOS!$C135="Chancho"))),MOVIMIENTOS!$A135,"")</f>
        <v>46225</v>
      </c>
      <c r="L136" t="str">
        <f>IF(AND(MOVIMIENTOS!$B135&lt;&gt;"",NOT(AND(MOVIMIENTOS!$B135="PROCESO",MOVIMIENTOS!$C135&lt;&gt;"Chancho")),NOT(AND(MOVIMIENTOS!$B135="SALDO INICIAL",MOVIMIENTOS!$C135="Chancho"))),IF(MOVIMIENTOS!$B135="SALDO INICIAL","APERTURA ("&amp;MOVIMIENTOS!$C135&amp;")",IF(MOVIMIENTOS!$B135="COMPRA","INGRESO (compra)",IF(MOVIMIENTOS!$B135="PROCESO","CHANCHO (proceso)",IF(MOVIMIENTOS!$B135="ENVÍO A SUPESA","ENVÍO SUPESA cal. "&amp;MOVIMIENTOS!$C135,IF(MOVIMIENTOS!$B135="VENTA CHANCHO","VENTA CHANCHO",IF(MOVIMIENTOS!$B135="DEVOLUCIÓN","DEVOLUCIÓN cal. "&amp;MOVIMIENTOS!$C135,IF(MOVIMIENTOS!$B135="TRASIEGO","TRASIEGO cal. "&amp;MOVIMIENTOS!$C135,IF(MOVIMIENTOS!$B135="REGALO","REGALO "&amp;MOVIMIENTOS!$C135,IF(MOVIMIENTOS!$B135="VENTA","VENTA "&amp;MOVIMIENTOS!$C135,IF(MOVIMIENTOS!$B135="AJUSTE","AJUSTE inventario ("&amp;MOVIMIENTOS!$C135&amp;")",MOVIMIENTOS!$B135)))))))))),"")</f>
        <v>REPROCESO</v>
      </c>
      <c r="M136">
        <f>IF(AND(AND(MOVIMIENTOS!$B135&lt;&gt;"",NOT(AND(MOVIMIENTOS!$B135="PROCESO",MOVIMIENTOS!$C135&lt;&gt;"Chancho")),NOT(AND(MOVIMIENTOS!$B135="SALDO INICIAL",MOVIMIENTOS!$C135="Chancho"))),OR(MOVIMIENTOS!$B135="SALDO INICIAL",MOVIMIENTOS!$B135="COMPRA",MOVIMIENTOS!$B135="REPROCESO",AND(MOVIMIENTOS!$B135="AJUSTE",MOVIMIENTOS!$C135&lt;&gt;"Chancho",N(MOVIMIENTOS!$F135)&gt;=0))),N(MOVIMIENTOS!$F135),"")</f>
        <v>162</v>
      </c>
      <c r="N136" t="str">
        <f>IF(AND(AND(MOVIMIENTOS!$B135&lt;&gt;"",NOT(AND(MOVIMIENTOS!$B135="PROCESO",MOVIMIENTOS!$C135&lt;&gt;"Chancho")),NOT(AND(MOVIMIENTOS!$B135="SALDO INICIAL",MOVIMIENTOS!$C135="Chancho"))),OR(MOVIMIENTOS!$B135="ENVÍO A SUPESA",MOVIMIENTOS!$B135="MALOGRADO",MOVIMIENTOS!$B135="OTRA SALIDA",MOVIMIENTOS!$B135="TRASIEGO",AND(MOVIMIENTOS!$B135="PROCESO",MOVIMIENTOS!$C135="Chancho"),AND(MOVIMIENTOS!$B135="REGALO",MOVIMIENTOS!$C135&lt;&gt;"Chancho"),AND(MOVIMIENTOS!$B135="VENTA",MOVIMIENTOS!$C135&lt;&gt;"Chancho"),AND(MOVIMIENTOS!$B135="AJUSTE",MOVIMIENTOS!$C135&lt;&gt;"Chancho",N(MOVIMIENTOS!$F135)&lt;0))),IF(MOVIMIENTOS!$B135="AJUSTE",-N(MOVIMIENTOS!$F135),N(MOVIMIENTOS!$F135)),"")</f>
        <v/>
      </c>
      <c r="O136" t="str">
        <f>IF(AND(MOVIMIENTOS!$B135&lt;&gt;"",NOT(AND(MOVIMIENTOS!$B135="PROCESO",MOVIMIENTOS!$C135&lt;&gt;"Chancho")),NOT(AND(MOVIMIENTOS!$B135="SALDO INICIAL",MOVIMIENTOS!$C135="Chancho"))),TRIM(IF(MOVIMIENTOS!$G135&lt;&gt;"",IF(MOVIMIENTOS!$B135="ENVÍO A SUPESA","G-"&amp;MOVIMIENTOS!$G135,MOVIMIENTOS!$G135)&amp;"  ","")&amp;IF(N(MOVIMIENTOS!$E135)&gt;0,MOVIMIENTOS!$E135&amp;" "&amp;MOVIMIENTOS!$D135,"")),"")</f>
        <v>162 kg</v>
      </c>
      <c r="P136">
        <f t="shared" si="20"/>
        <v>2755</v>
      </c>
    </row>
    <row r="137" spans="1:16" x14ac:dyDescent="0.2">
      <c r="A137" s="7" t="str">
        <f t="shared" si="14"/>
        <v/>
      </c>
      <c r="B137" s="8" t="str">
        <f t="shared" si="15"/>
        <v/>
      </c>
      <c r="C137" s="9" t="str">
        <f t="shared" si="16"/>
        <v/>
      </c>
      <c r="D137" s="9" t="str">
        <f t="shared" si="17"/>
        <v/>
      </c>
      <c r="E137" s="8" t="str">
        <f t="shared" si="18"/>
        <v/>
      </c>
      <c r="F137" s="9" t="str">
        <f t="shared" si="19"/>
        <v/>
      </c>
      <c r="J137">
        <f>IF(AND(MOVIMIENTOS!$B136&lt;&gt;"",NOT(AND(MOVIMIENTOS!$B136="PROCESO",MOVIMIENTOS!$C136&lt;&gt;"Chancho")),NOT(AND(MOVIMIENTOS!$B136="SALDO INICIAL",MOVIMIENTOS!$C136="Chancho"))),COUNT(J$5:J136)+1,"")</f>
        <v>87</v>
      </c>
      <c r="K137" s="10">
        <f>IF(AND(MOVIMIENTOS!$B136&lt;&gt;"",NOT(AND(MOVIMIENTOS!$B136="PROCESO",MOVIMIENTOS!$C136&lt;&gt;"Chancho")),NOT(AND(MOVIMIENTOS!$B136="SALDO INICIAL",MOVIMIENTOS!$C136="Chancho"))),MOVIMIENTOS!$A136,"")</f>
        <v>46225</v>
      </c>
      <c r="L137" t="str">
        <f>IF(AND(MOVIMIENTOS!$B136&lt;&gt;"",NOT(AND(MOVIMIENTOS!$B136="PROCESO",MOVIMIENTOS!$C136&lt;&gt;"Chancho")),NOT(AND(MOVIMIENTOS!$B136="SALDO INICIAL",MOVIMIENTOS!$C136="Chancho"))),IF(MOVIMIENTOS!$B136="SALDO INICIAL","APERTURA ("&amp;MOVIMIENTOS!$C136&amp;")",IF(MOVIMIENTOS!$B136="COMPRA","INGRESO (compra)",IF(MOVIMIENTOS!$B136="PROCESO","CHANCHO (proceso)",IF(MOVIMIENTOS!$B136="ENVÍO A SUPESA","ENVÍO SUPESA cal. "&amp;MOVIMIENTOS!$C136,IF(MOVIMIENTOS!$B136="VENTA CHANCHO","VENTA CHANCHO",IF(MOVIMIENTOS!$B136="DEVOLUCIÓN","DEVOLUCIÓN cal. "&amp;MOVIMIENTOS!$C136,IF(MOVIMIENTOS!$B136="TRASIEGO","TRASIEGO cal. "&amp;MOVIMIENTOS!$C136,IF(MOVIMIENTOS!$B136="REGALO","REGALO "&amp;MOVIMIENTOS!$C136,IF(MOVIMIENTOS!$B136="VENTA","VENTA "&amp;MOVIMIENTOS!$C136,IF(MOVIMIENTOS!$B136="AJUSTE","AJUSTE inventario ("&amp;MOVIMIENTOS!$C136&amp;")",MOVIMIENTOS!$B136)))))))))),"")</f>
        <v>INGRESO (compra)</v>
      </c>
      <c r="M137">
        <f>IF(AND(AND(MOVIMIENTOS!$B136&lt;&gt;"",NOT(AND(MOVIMIENTOS!$B136="PROCESO",MOVIMIENTOS!$C136&lt;&gt;"Chancho")),NOT(AND(MOVIMIENTOS!$B136="SALDO INICIAL",MOVIMIENTOS!$C136="Chancho"))),OR(MOVIMIENTOS!$B136="SALDO INICIAL",MOVIMIENTOS!$B136="COMPRA",MOVIMIENTOS!$B136="REPROCESO",AND(MOVIMIENTOS!$B136="AJUSTE",MOVIMIENTOS!$C136&lt;&gt;"Chancho",N(MOVIMIENTOS!$F136)&gt;=0))),N(MOVIMIENTOS!$F136),"")</f>
        <v>3800</v>
      </c>
      <c r="N137" t="str">
        <f>IF(AND(AND(MOVIMIENTOS!$B136&lt;&gt;"",NOT(AND(MOVIMIENTOS!$B136="PROCESO",MOVIMIENTOS!$C136&lt;&gt;"Chancho")),NOT(AND(MOVIMIENTOS!$B136="SALDO INICIAL",MOVIMIENTOS!$C136="Chancho"))),OR(MOVIMIENTOS!$B136="ENVÍO A SUPESA",MOVIMIENTOS!$B136="MALOGRADO",MOVIMIENTOS!$B136="OTRA SALIDA",MOVIMIENTOS!$B136="TRASIEGO",AND(MOVIMIENTOS!$B136="PROCESO",MOVIMIENTOS!$C136="Chancho"),AND(MOVIMIENTOS!$B136="REGALO",MOVIMIENTOS!$C136&lt;&gt;"Chancho"),AND(MOVIMIENTOS!$B136="VENTA",MOVIMIENTOS!$C136&lt;&gt;"Chancho"),AND(MOVIMIENTOS!$B136="AJUSTE",MOVIMIENTOS!$C136&lt;&gt;"Chancho",N(MOVIMIENTOS!$F136)&lt;0))),IF(MOVIMIENTOS!$B136="AJUSTE",-N(MOVIMIENTOS!$F136),N(MOVIMIENTOS!$F136)),"")</f>
        <v/>
      </c>
      <c r="O137" t="str">
        <f>IF(AND(MOVIMIENTOS!$B136&lt;&gt;"",NOT(AND(MOVIMIENTOS!$B136="PROCESO",MOVIMIENTOS!$C136&lt;&gt;"Chancho")),NOT(AND(MOVIMIENTOS!$B136="SALDO INICIAL",MOVIMIENTOS!$C136="Chancho"))),TRIM(IF(MOVIMIENTOS!$G136&lt;&gt;"",IF(MOVIMIENTOS!$B136="ENVÍO A SUPESA","G-"&amp;MOVIMIENTOS!$G136,MOVIMIENTOS!$G136)&amp;"  ","")&amp;IF(N(MOVIMIENTOS!$E136)&gt;0,MOVIMIENTOS!$E136&amp;" "&amp;MOVIMIENTOS!$D136,"")),"")</f>
        <v>40 sacos</v>
      </c>
      <c r="P137">
        <f t="shared" si="20"/>
        <v>6555</v>
      </c>
    </row>
    <row r="138" spans="1:16" x14ac:dyDescent="0.2">
      <c r="A138" s="7" t="str">
        <f t="shared" si="14"/>
        <v/>
      </c>
      <c r="B138" s="8" t="str">
        <f t="shared" si="15"/>
        <v/>
      </c>
      <c r="C138" s="9" t="str">
        <f t="shared" si="16"/>
        <v/>
      </c>
      <c r="D138" s="9" t="str">
        <f t="shared" si="17"/>
        <v/>
      </c>
      <c r="E138" s="8" t="str">
        <f t="shared" si="18"/>
        <v/>
      </c>
      <c r="F138" s="9" t="str">
        <f t="shared" si="19"/>
        <v/>
      </c>
      <c r="J138" t="str">
        <f>IF(AND(MOVIMIENTOS!$B137&lt;&gt;"",NOT(AND(MOVIMIENTOS!$B137="PROCESO",MOVIMIENTOS!$C137&lt;&gt;"Chancho")),NOT(AND(MOVIMIENTOS!$B137="SALDO INICIAL",MOVIMIENTOS!$C137="Chancho"))),COUNT(J$5:J137)+1,"")</f>
        <v/>
      </c>
      <c r="K138" t="str">
        <f>IF(AND(MOVIMIENTOS!$B137&lt;&gt;"",NOT(AND(MOVIMIENTOS!$B137="PROCESO",MOVIMIENTOS!$C137&lt;&gt;"Chancho")),NOT(AND(MOVIMIENTOS!$B137="SALDO INICIAL",MOVIMIENTOS!$C137="Chancho"))),MOVIMIENTOS!$A137,"")</f>
        <v/>
      </c>
      <c r="L138" t="str">
        <f>IF(AND(MOVIMIENTOS!$B137&lt;&gt;"",NOT(AND(MOVIMIENTOS!$B137="PROCESO",MOVIMIENTOS!$C137&lt;&gt;"Chancho")),NOT(AND(MOVIMIENTOS!$B137="SALDO INICIAL",MOVIMIENTOS!$C137="Chancho"))),IF(MOVIMIENTOS!$B137="SALDO INICIAL","APERTURA ("&amp;MOVIMIENTOS!$C137&amp;")",IF(MOVIMIENTOS!$B137="COMPRA","INGRESO (compra)",IF(MOVIMIENTOS!$B137="PROCESO","CHANCHO (proceso)",IF(MOVIMIENTOS!$B137="ENVÍO A SUPESA","ENVÍO SUPESA cal. "&amp;MOVIMIENTOS!$C137,IF(MOVIMIENTOS!$B137="VENTA CHANCHO","VENTA CHANCHO",IF(MOVIMIENTOS!$B137="DEVOLUCIÓN","DEVOLUCIÓN cal. "&amp;MOVIMIENTOS!$C137,IF(MOVIMIENTOS!$B137="TRASIEGO","TRASIEGO cal. "&amp;MOVIMIENTOS!$C137,IF(MOVIMIENTOS!$B137="REGALO","REGALO "&amp;MOVIMIENTOS!$C137,IF(MOVIMIENTOS!$B137="VENTA","VENTA "&amp;MOVIMIENTOS!$C137,IF(MOVIMIENTOS!$B137="AJUSTE","AJUSTE inventario ("&amp;MOVIMIENTOS!$C137&amp;")",MOVIMIENTOS!$B137)))))))))),"")</f>
        <v/>
      </c>
      <c r="M138" t="str">
        <f>IF(AND(AND(MOVIMIENTOS!$B137&lt;&gt;"",NOT(AND(MOVIMIENTOS!$B137="PROCESO",MOVIMIENTOS!$C137&lt;&gt;"Chancho")),NOT(AND(MOVIMIENTOS!$B137="SALDO INICIAL",MOVIMIENTOS!$C137="Chancho"))),OR(MOVIMIENTOS!$B137="SALDO INICIAL",MOVIMIENTOS!$B137="COMPRA",MOVIMIENTOS!$B137="REPROCESO",AND(MOVIMIENTOS!$B137="AJUSTE",MOVIMIENTOS!$C137&lt;&gt;"Chancho",N(MOVIMIENTOS!$F137)&gt;=0))),N(MOVIMIENTOS!$F137),"")</f>
        <v/>
      </c>
      <c r="N138" t="str">
        <f>IF(AND(AND(MOVIMIENTOS!$B137&lt;&gt;"",NOT(AND(MOVIMIENTOS!$B137="PROCESO",MOVIMIENTOS!$C137&lt;&gt;"Chancho")),NOT(AND(MOVIMIENTOS!$B137="SALDO INICIAL",MOVIMIENTOS!$C137="Chancho"))),OR(MOVIMIENTOS!$B137="ENVÍO A SUPESA",MOVIMIENTOS!$B137="MALOGRADO",MOVIMIENTOS!$B137="OTRA SALIDA",MOVIMIENTOS!$B137="TRASIEGO",AND(MOVIMIENTOS!$B137="PROCESO",MOVIMIENTOS!$C137="Chancho"),AND(MOVIMIENTOS!$B137="REGALO",MOVIMIENTOS!$C137&lt;&gt;"Chancho"),AND(MOVIMIENTOS!$B137="VENTA",MOVIMIENTOS!$C137&lt;&gt;"Chancho"),AND(MOVIMIENTOS!$B137="AJUSTE",MOVIMIENTOS!$C137&lt;&gt;"Chancho",N(MOVIMIENTOS!$F137)&lt;0))),IF(MOVIMIENTOS!$B137="AJUSTE",-N(MOVIMIENTOS!$F137),N(MOVIMIENTOS!$F137)),"")</f>
        <v/>
      </c>
      <c r="O138" t="str">
        <f>IF(AND(MOVIMIENTOS!$B137&lt;&gt;"",NOT(AND(MOVIMIENTOS!$B137="PROCESO",MOVIMIENTOS!$C137&lt;&gt;"Chancho")),NOT(AND(MOVIMIENTOS!$B137="SALDO INICIAL",MOVIMIENTOS!$C137="Chancho"))),TRIM(IF(MOVIMIENTOS!$G137&lt;&gt;"",IF(MOVIMIENTOS!$B137="ENVÍO A SUPESA","G-"&amp;MOVIMIENTOS!$G137,MOVIMIENTOS!$G137)&amp;"  ","")&amp;IF(N(MOVIMIENTOS!$E137)&gt;0,MOVIMIENTOS!$E137&amp;" "&amp;MOVIMIENTOS!$D137,"")),"")</f>
        <v/>
      </c>
      <c r="P138">
        <f t="shared" si="20"/>
        <v>6555</v>
      </c>
    </row>
    <row r="139" spans="1:16" x14ac:dyDescent="0.2">
      <c r="A139" s="7" t="str">
        <f t="shared" si="14"/>
        <v/>
      </c>
      <c r="B139" s="8" t="str">
        <f t="shared" si="15"/>
        <v/>
      </c>
      <c r="C139" s="9" t="str">
        <f t="shared" si="16"/>
        <v/>
      </c>
      <c r="D139" s="9" t="str">
        <f t="shared" si="17"/>
        <v/>
      </c>
      <c r="E139" s="8" t="str">
        <f t="shared" si="18"/>
        <v/>
      </c>
      <c r="F139" s="9" t="str">
        <f t="shared" si="19"/>
        <v/>
      </c>
      <c r="J139" t="str">
        <f>IF(AND(MOVIMIENTOS!$B138&lt;&gt;"",NOT(AND(MOVIMIENTOS!$B138="PROCESO",MOVIMIENTOS!$C138&lt;&gt;"Chancho")),NOT(AND(MOVIMIENTOS!$B138="SALDO INICIAL",MOVIMIENTOS!$C138="Chancho"))),COUNT(J$5:J138)+1,"")</f>
        <v/>
      </c>
      <c r="K139" t="str">
        <f>IF(AND(MOVIMIENTOS!$B138&lt;&gt;"",NOT(AND(MOVIMIENTOS!$B138="PROCESO",MOVIMIENTOS!$C138&lt;&gt;"Chancho")),NOT(AND(MOVIMIENTOS!$B138="SALDO INICIAL",MOVIMIENTOS!$C138="Chancho"))),MOVIMIENTOS!$A138,"")</f>
        <v/>
      </c>
      <c r="L139" t="str">
        <f>IF(AND(MOVIMIENTOS!$B138&lt;&gt;"",NOT(AND(MOVIMIENTOS!$B138="PROCESO",MOVIMIENTOS!$C138&lt;&gt;"Chancho")),NOT(AND(MOVIMIENTOS!$B138="SALDO INICIAL",MOVIMIENTOS!$C138="Chancho"))),IF(MOVIMIENTOS!$B138="SALDO INICIAL","APERTURA ("&amp;MOVIMIENTOS!$C138&amp;")",IF(MOVIMIENTOS!$B138="COMPRA","INGRESO (compra)",IF(MOVIMIENTOS!$B138="PROCESO","CHANCHO (proceso)",IF(MOVIMIENTOS!$B138="ENVÍO A SUPESA","ENVÍO SUPESA cal. "&amp;MOVIMIENTOS!$C138,IF(MOVIMIENTOS!$B138="VENTA CHANCHO","VENTA CHANCHO",IF(MOVIMIENTOS!$B138="DEVOLUCIÓN","DEVOLUCIÓN cal. "&amp;MOVIMIENTOS!$C138,IF(MOVIMIENTOS!$B138="TRASIEGO","TRASIEGO cal. "&amp;MOVIMIENTOS!$C138,IF(MOVIMIENTOS!$B138="REGALO","REGALO "&amp;MOVIMIENTOS!$C138,IF(MOVIMIENTOS!$B138="VENTA","VENTA "&amp;MOVIMIENTOS!$C138,IF(MOVIMIENTOS!$B138="AJUSTE","AJUSTE inventario ("&amp;MOVIMIENTOS!$C138&amp;")",MOVIMIENTOS!$B138)))))))))),"")</f>
        <v/>
      </c>
      <c r="M139" t="str">
        <f>IF(AND(AND(MOVIMIENTOS!$B138&lt;&gt;"",NOT(AND(MOVIMIENTOS!$B138="PROCESO",MOVIMIENTOS!$C138&lt;&gt;"Chancho")),NOT(AND(MOVIMIENTOS!$B138="SALDO INICIAL",MOVIMIENTOS!$C138="Chancho"))),OR(MOVIMIENTOS!$B138="SALDO INICIAL",MOVIMIENTOS!$B138="COMPRA",MOVIMIENTOS!$B138="REPROCESO",AND(MOVIMIENTOS!$B138="AJUSTE",MOVIMIENTOS!$C138&lt;&gt;"Chancho",N(MOVIMIENTOS!$F138)&gt;=0))),N(MOVIMIENTOS!$F138),"")</f>
        <v/>
      </c>
      <c r="N139" t="str">
        <f>IF(AND(AND(MOVIMIENTOS!$B138&lt;&gt;"",NOT(AND(MOVIMIENTOS!$B138="PROCESO",MOVIMIENTOS!$C138&lt;&gt;"Chancho")),NOT(AND(MOVIMIENTOS!$B138="SALDO INICIAL",MOVIMIENTOS!$C138="Chancho"))),OR(MOVIMIENTOS!$B138="ENVÍO A SUPESA",MOVIMIENTOS!$B138="MALOGRADO",MOVIMIENTOS!$B138="OTRA SALIDA",MOVIMIENTOS!$B138="TRASIEGO",AND(MOVIMIENTOS!$B138="PROCESO",MOVIMIENTOS!$C138="Chancho"),AND(MOVIMIENTOS!$B138="REGALO",MOVIMIENTOS!$C138&lt;&gt;"Chancho"),AND(MOVIMIENTOS!$B138="VENTA",MOVIMIENTOS!$C138&lt;&gt;"Chancho"),AND(MOVIMIENTOS!$B138="AJUSTE",MOVIMIENTOS!$C138&lt;&gt;"Chancho",N(MOVIMIENTOS!$F138)&lt;0))),IF(MOVIMIENTOS!$B138="AJUSTE",-N(MOVIMIENTOS!$F138),N(MOVIMIENTOS!$F138)),"")</f>
        <v/>
      </c>
      <c r="O139" t="str">
        <f>IF(AND(MOVIMIENTOS!$B138&lt;&gt;"",NOT(AND(MOVIMIENTOS!$B138="PROCESO",MOVIMIENTOS!$C138&lt;&gt;"Chancho")),NOT(AND(MOVIMIENTOS!$B138="SALDO INICIAL",MOVIMIENTOS!$C138="Chancho"))),TRIM(IF(MOVIMIENTOS!$G138&lt;&gt;"",IF(MOVIMIENTOS!$B138="ENVÍO A SUPESA","G-"&amp;MOVIMIENTOS!$G138,MOVIMIENTOS!$G138)&amp;"  ","")&amp;IF(N(MOVIMIENTOS!$E138)&gt;0,MOVIMIENTOS!$E138&amp;" "&amp;MOVIMIENTOS!$D138,"")),"")</f>
        <v/>
      </c>
      <c r="P139">
        <f t="shared" si="20"/>
        <v>6555</v>
      </c>
    </row>
    <row r="140" spans="1:16" x14ac:dyDescent="0.2">
      <c r="A140" s="7" t="str">
        <f t="shared" si="14"/>
        <v/>
      </c>
      <c r="B140" s="8" t="str">
        <f t="shared" si="15"/>
        <v/>
      </c>
      <c r="C140" s="9" t="str">
        <f t="shared" si="16"/>
        <v/>
      </c>
      <c r="D140" s="9" t="str">
        <f t="shared" si="17"/>
        <v/>
      </c>
      <c r="E140" s="8" t="str">
        <f t="shared" si="18"/>
        <v/>
      </c>
      <c r="F140" s="9" t="str">
        <f t="shared" si="19"/>
        <v/>
      </c>
      <c r="J140" t="str">
        <f>IF(AND(MOVIMIENTOS!$B139&lt;&gt;"",NOT(AND(MOVIMIENTOS!$B139="PROCESO",MOVIMIENTOS!$C139&lt;&gt;"Chancho")),NOT(AND(MOVIMIENTOS!$B139="SALDO INICIAL",MOVIMIENTOS!$C139="Chancho"))),COUNT(J$5:J139)+1,"")</f>
        <v/>
      </c>
      <c r="K140" t="str">
        <f>IF(AND(MOVIMIENTOS!$B139&lt;&gt;"",NOT(AND(MOVIMIENTOS!$B139="PROCESO",MOVIMIENTOS!$C139&lt;&gt;"Chancho")),NOT(AND(MOVIMIENTOS!$B139="SALDO INICIAL",MOVIMIENTOS!$C139="Chancho"))),MOVIMIENTOS!$A139,"")</f>
        <v/>
      </c>
      <c r="L140" t="str">
        <f>IF(AND(MOVIMIENTOS!$B139&lt;&gt;"",NOT(AND(MOVIMIENTOS!$B139="PROCESO",MOVIMIENTOS!$C139&lt;&gt;"Chancho")),NOT(AND(MOVIMIENTOS!$B139="SALDO INICIAL",MOVIMIENTOS!$C139="Chancho"))),IF(MOVIMIENTOS!$B139="SALDO INICIAL","APERTURA ("&amp;MOVIMIENTOS!$C139&amp;")",IF(MOVIMIENTOS!$B139="COMPRA","INGRESO (compra)",IF(MOVIMIENTOS!$B139="PROCESO","CHANCHO (proceso)",IF(MOVIMIENTOS!$B139="ENVÍO A SUPESA","ENVÍO SUPESA cal. "&amp;MOVIMIENTOS!$C139,IF(MOVIMIENTOS!$B139="VENTA CHANCHO","VENTA CHANCHO",IF(MOVIMIENTOS!$B139="DEVOLUCIÓN","DEVOLUCIÓN cal. "&amp;MOVIMIENTOS!$C139,IF(MOVIMIENTOS!$B139="TRASIEGO","TRASIEGO cal. "&amp;MOVIMIENTOS!$C139,IF(MOVIMIENTOS!$B139="REGALO","REGALO "&amp;MOVIMIENTOS!$C139,IF(MOVIMIENTOS!$B139="VENTA","VENTA "&amp;MOVIMIENTOS!$C139,IF(MOVIMIENTOS!$B139="AJUSTE","AJUSTE inventario ("&amp;MOVIMIENTOS!$C139&amp;")",MOVIMIENTOS!$B139)))))))))),"")</f>
        <v/>
      </c>
      <c r="M140" t="str">
        <f>IF(AND(AND(MOVIMIENTOS!$B139&lt;&gt;"",NOT(AND(MOVIMIENTOS!$B139="PROCESO",MOVIMIENTOS!$C139&lt;&gt;"Chancho")),NOT(AND(MOVIMIENTOS!$B139="SALDO INICIAL",MOVIMIENTOS!$C139="Chancho"))),OR(MOVIMIENTOS!$B139="SALDO INICIAL",MOVIMIENTOS!$B139="COMPRA",MOVIMIENTOS!$B139="REPROCESO",AND(MOVIMIENTOS!$B139="AJUSTE",MOVIMIENTOS!$C139&lt;&gt;"Chancho",N(MOVIMIENTOS!$F139)&gt;=0))),N(MOVIMIENTOS!$F139),"")</f>
        <v/>
      </c>
      <c r="N140" t="str">
        <f>IF(AND(AND(MOVIMIENTOS!$B139&lt;&gt;"",NOT(AND(MOVIMIENTOS!$B139="PROCESO",MOVIMIENTOS!$C139&lt;&gt;"Chancho")),NOT(AND(MOVIMIENTOS!$B139="SALDO INICIAL",MOVIMIENTOS!$C139="Chancho"))),OR(MOVIMIENTOS!$B139="ENVÍO A SUPESA",MOVIMIENTOS!$B139="MALOGRADO",MOVIMIENTOS!$B139="OTRA SALIDA",MOVIMIENTOS!$B139="TRASIEGO",AND(MOVIMIENTOS!$B139="PROCESO",MOVIMIENTOS!$C139="Chancho"),AND(MOVIMIENTOS!$B139="REGALO",MOVIMIENTOS!$C139&lt;&gt;"Chancho"),AND(MOVIMIENTOS!$B139="VENTA",MOVIMIENTOS!$C139&lt;&gt;"Chancho"),AND(MOVIMIENTOS!$B139="AJUSTE",MOVIMIENTOS!$C139&lt;&gt;"Chancho",N(MOVIMIENTOS!$F139)&lt;0))),IF(MOVIMIENTOS!$B139="AJUSTE",-N(MOVIMIENTOS!$F139),N(MOVIMIENTOS!$F139)),"")</f>
        <v/>
      </c>
      <c r="O140" t="str">
        <f>IF(AND(MOVIMIENTOS!$B139&lt;&gt;"",NOT(AND(MOVIMIENTOS!$B139="PROCESO",MOVIMIENTOS!$C139&lt;&gt;"Chancho")),NOT(AND(MOVIMIENTOS!$B139="SALDO INICIAL",MOVIMIENTOS!$C139="Chancho"))),TRIM(IF(MOVIMIENTOS!$G139&lt;&gt;"",IF(MOVIMIENTOS!$B139="ENVÍO A SUPESA","G-"&amp;MOVIMIENTOS!$G139,MOVIMIENTOS!$G139)&amp;"  ","")&amp;IF(N(MOVIMIENTOS!$E139)&gt;0,MOVIMIENTOS!$E139&amp;" "&amp;MOVIMIENTOS!$D139,"")),"")</f>
        <v/>
      </c>
      <c r="P140">
        <f t="shared" si="20"/>
        <v>6555</v>
      </c>
    </row>
    <row r="141" spans="1:16" x14ac:dyDescent="0.2">
      <c r="A141" s="7" t="str">
        <f t="shared" si="14"/>
        <v/>
      </c>
      <c r="B141" s="8" t="str">
        <f t="shared" si="15"/>
        <v/>
      </c>
      <c r="C141" s="9" t="str">
        <f t="shared" si="16"/>
        <v/>
      </c>
      <c r="D141" s="9" t="str">
        <f t="shared" si="17"/>
        <v/>
      </c>
      <c r="E141" s="8" t="str">
        <f t="shared" si="18"/>
        <v/>
      </c>
      <c r="F141" s="9" t="str">
        <f t="shared" si="19"/>
        <v/>
      </c>
      <c r="J141" t="str">
        <f>IF(AND(MOVIMIENTOS!$B140&lt;&gt;"",NOT(AND(MOVIMIENTOS!$B140="PROCESO",MOVIMIENTOS!$C140&lt;&gt;"Chancho")),NOT(AND(MOVIMIENTOS!$B140="SALDO INICIAL",MOVIMIENTOS!$C140="Chancho"))),COUNT(J$5:J140)+1,"")</f>
        <v/>
      </c>
      <c r="K141" t="str">
        <f>IF(AND(MOVIMIENTOS!$B140&lt;&gt;"",NOT(AND(MOVIMIENTOS!$B140="PROCESO",MOVIMIENTOS!$C140&lt;&gt;"Chancho")),NOT(AND(MOVIMIENTOS!$B140="SALDO INICIAL",MOVIMIENTOS!$C140="Chancho"))),MOVIMIENTOS!$A140,"")</f>
        <v/>
      </c>
      <c r="L141" t="str">
        <f>IF(AND(MOVIMIENTOS!$B140&lt;&gt;"",NOT(AND(MOVIMIENTOS!$B140="PROCESO",MOVIMIENTOS!$C140&lt;&gt;"Chancho")),NOT(AND(MOVIMIENTOS!$B140="SALDO INICIAL",MOVIMIENTOS!$C140="Chancho"))),IF(MOVIMIENTOS!$B140="SALDO INICIAL","APERTURA ("&amp;MOVIMIENTOS!$C140&amp;")",IF(MOVIMIENTOS!$B140="COMPRA","INGRESO (compra)",IF(MOVIMIENTOS!$B140="PROCESO","CHANCHO (proceso)",IF(MOVIMIENTOS!$B140="ENVÍO A SUPESA","ENVÍO SUPESA cal. "&amp;MOVIMIENTOS!$C140,IF(MOVIMIENTOS!$B140="VENTA CHANCHO","VENTA CHANCHO",IF(MOVIMIENTOS!$B140="DEVOLUCIÓN","DEVOLUCIÓN cal. "&amp;MOVIMIENTOS!$C140,IF(MOVIMIENTOS!$B140="TRASIEGO","TRASIEGO cal. "&amp;MOVIMIENTOS!$C140,IF(MOVIMIENTOS!$B140="REGALO","REGALO "&amp;MOVIMIENTOS!$C140,IF(MOVIMIENTOS!$B140="VENTA","VENTA "&amp;MOVIMIENTOS!$C140,IF(MOVIMIENTOS!$B140="AJUSTE","AJUSTE inventario ("&amp;MOVIMIENTOS!$C140&amp;")",MOVIMIENTOS!$B140)))))))))),"")</f>
        <v/>
      </c>
      <c r="M141" t="str">
        <f>IF(AND(AND(MOVIMIENTOS!$B140&lt;&gt;"",NOT(AND(MOVIMIENTOS!$B140="PROCESO",MOVIMIENTOS!$C140&lt;&gt;"Chancho")),NOT(AND(MOVIMIENTOS!$B140="SALDO INICIAL",MOVIMIENTOS!$C140="Chancho"))),OR(MOVIMIENTOS!$B140="SALDO INICIAL",MOVIMIENTOS!$B140="COMPRA",MOVIMIENTOS!$B140="REPROCESO",AND(MOVIMIENTOS!$B140="AJUSTE",MOVIMIENTOS!$C140&lt;&gt;"Chancho",N(MOVIMIENTOS!$F140)&gt;=0))),N(MOVIMIENTOS!$F140),"")</f>
        <v/>
      </c>
      <c r="N141" t="str">
        <f>IF(AND(AND(MOVIMIENTOS!$B140&lt;&gt;"",NOT(AND(MOVIMIENTOS!$B140="PROCESO",MOVIMIENTOS!$C140&lt;&gt;"Chancho")),NOT(AND(MOVIMIENTOS!$B140="SALDO INICIAL",MOVIMIENTOS!$C140="Chancho"))),OR(MOVIMIENTOS!$B140="ENVÍO A SUPESA",MOVIMIENTOS!$B140="MALOGRADO",MOVIMIENTOS!$B140="OTRA SALIDA",MOVIMIENTOS!$B140="TRASIEGO",AND(MOVIMIENTOS!$B140="PROCESO",MOVIMIENTOS!$C140="Chancho"),AND(MOVIMIENTOS!$B140="REGALO",MOVIMIENTOS!$C140&lt;&gt;"Chancho"),AND(MOVIMIENTOS!$B140="VENTA",MOVIMIENTOS!$C140&lt;&gt;"Chancho"),AND(MOVIMIENTOS!$B140="AJUSTE",MOVIMIENTOS!$C140&lt;&gt;"Chancho",N(MOVIMIENTOS!$F140)&lt;0))),IF(MOVIMIENTOS!$B140="AJUSTE",-N(MOVIMIENTOS!$F140),N(MOVIMIENTOS!$F140)),"")</f>
        <v/>
      </c>
      <c r="O141" t="str">
        <f>IF(AND(MOVIMIENTOS!$B140&lt;&gt;"",NOT(AND(MOVIMIENTOS!$B140="PROCESO",MOVIMIENTOS!$C140&lt;&gt;"Chancho")),NOT(AND(MOVIMIENTOS!$B140="SALDO INICIAL",MOVIMIENTOS!$C140="Chancho"))),TRIM(IF(MOVIMIENTOS!$G140&lt;&gt;"",IF(MOVIMIENTOS!$B140="ENVÍO A SUPESA","G-"&amp;MOVIMIENTOS!$G140,MOVIMIENTOS!$G140)&amp;"  ","")&amp;IF(N(MOVIMIENTOS!$E140)&gt;0,MOVIMIENTOS!$E140&amp;" "&amp;MOVIMIENTOS!$D140,"")),"")</f>
        <v/>
      </c>
      <c r="P141">
        <f t="shared" si="20"/>
        <v>6555</v>
      </c>
    </row>
    <row r="142" spans="1:16" x14ac:dyDescent="0.2">
      <c r="A142" s="7" t="str">
        <f t="shared" si="14"/>
        <v/>
      </c>
      <c r="B142" s="8" t="str">
        <f t="shared" si="15"/>
        <v/>
      </c>
      <c r="C142" s="9" t="str">
        <f t="shared" si="16"/>
        <v/>
      </c>
      <c r="D142" s="9" t="str">
        <f t="shared" si="17"/>
        <v/>
      </c>
      <c r="E142" s="8" t="str">
        <f t="shared" si="18"/>
        <v/>
      </c>
      <c r="F142" s="9" t="str">
        <f t="shared" si="19"/>
        <v/>
      </c>
      <c r="J142">
        <f>IF(AND(MOVIMIENTOS!$B141&lt;&gt;"",NOT(AND(MOVIMIENTOS!$B141="PROCESO",MOVIMIENTOS!$C141&lt;&gt;"Chancho")),NOT(AND(MOVIMIENTOS!$B141="SALDO INICIAL",MOVIMIENTOS!$C141="Chancho"))),COUNT(J$5:J141)+1,"")</f>
        <v>88</v>
      </c>
      <c r="K142" s="10">
        <f>IF(AND(MOVIMIENTOS!$B141&lt;&gt;"",NOT(AND(MOVIMIENTOS!$B141="PROCESO",MOVIMIENTOS!$C141&lt;&gt;"Chancho")),NOT(AND(MOVIMIENTOS!$B141="SALDO INICIAL",MOVIMIENTOS!$C141="Chancho"))),MOVIMIENTOS!$A141,"")</f>
        <v>46226</v>
      </c>
      <c r="L142" t="str">
        <f>IF(AND(MOVIMIENTOS!$B141&lt;&gt;"",NOT(AND(MOVIMIENTOS!$B141="PROCESO",MOVIMIENTOS!$C141&lt;&gt;"Chancho")),NOT(AND(MOVIMIENTOS!$B141="SALDO INICIAL",MOVIMIENTOS!$C141="Chancho"))),IF(MOVIMIENTOS!$B141="SALDO INICIAL","APERTURA ("&amp;MOVIMIENTOS!$C141&amp;")",IF(MOVIMIENTOS!$B141="COMPRA","INGRESO (compra)",IF(MOVIMIENTOS!$B141="PROCESO","CHANCHO (proceso)",IF(MOVIMIENTOS!$B141="ENVÍO A SUPESA","ENVÍO SUPESA cal. "&amp;MOVIMIENTOS!$C141,IF(MOVIMIENTOS!$B141="VENTA CHANCHO","VENTA CHANCHO",IF(MOVIMIENTOS!$B141="DEVOLUCIÓN","DEVOLUCIÓN cal. "&amp;MOVIMIENTOS!$C141,IF(MOVIMIENTOS!$B141="TRASIEGO","TRASIEGO cal. "&amp;MOVIMIENTOS!$C141,IF(MOVIMIENTOS!$B141="REGALO","REGALO "&amp;MOVIMIENTOS!$C141,IF(MOVIMIENTOS!$B141="VENTA","VENTA "&amp;MOVIMIENTOS!$C141,IF(MOVIMIENTOS!$B141="AJUSTE","AJUSTE inventario ("&amp;MOVIMIENTOS!$C141&amp;")",MOVIMIENTOS!$B141)))))))))),"")</f>
        <v>CHANCHO (proceso)</v>
      </c>
      <c r="M142" t="str">
        <f>IF(AND(AND(MOVIMIENTOS!$B141&lt;&gt;"",NOT(AND(MOVIMIENTOS!$B141="PROCESO",MOVIMIENTOS!$C141&lt;&gt;"Chancho")),NOT(AND(MOVIMIENTOS!$B141="SALDO INICIAL",MOVIMIENTOS!$C141="Chancho"))),OR(MOVIMIENTOS!$B141="SALDO INICIAL",MOVIMIENTOS!$B141="COMPRA",MOVIMIENTOS!$B141="REPROCESO",AND(MOVIMIENTOS!$B141="AJUSTE",MOVIMIENTOS!$C141&lt;&gt;"Chancho",N(MOVIMIENTOS!$F141)&gt;=0))),N(MOVIMIENTOS!$F141),"")</f>
        <v/>
      </c>
      <c r="N142">
        <f>IF(AND(AND(MOVIMIENTOS!$B141&lt;&gt;"",NOT(AND(MOVIMIENTOS!$B141="PROCESO",MOVIMIENTOS!$C141&lt;&gt;"Chancho")),NOT(AND(MOVIMIENTOS!$B141="SALDO INICIAL",MOVIMIENTOS!$C141="Chancho"))),OR(MOVIMIENTOS!$B141="ENVÍO A SUPESA",MOVIMIENTOS!$B141="MALOGRADO",MOVIMIENTOS!$B141="OTRA SALIDA",MOVIMIENTOS!$B141="TRASIEGO",AND(MOVIMIENTOS!$B141="PROCESO",MOVIMIENTOS!$C141="Chancho"),AND(MOVIMIENTOS!$B141="REGALO",MOVIMIENTOS!$C141&lt;&gt;"Chancho"),AND(MOVIMIENTOS!$B141="VENTA",MOVIMIENTOS!$C141&lt;&gt;"Chancho"),AND(MOVIMIENTOS!$B141="AJUSTE",MOVIMIENTOS!$C141&lt;&gt;"Chancho",N(MOVIMIENTOS!$F141)&lt;0))),IF(MOVIMIENTOS!$B141="AJUSTE",-N(MOVIMIENTOS!$F141),N(MOVIMIENTOS!$F141)),"")</f>
        <v>617.5</v>
      </c>
      <c r="O142" t="str">
        <f>IF(AND(MOVIMIENTOS!$B141&lt;&gt;"",NOT(AND(MOVIMIENTOS!$B141="PROCESO",MOVIMIENTOS!$C141&lt;&gt;"Chancho")),NOT(AND(MOVIMIENTOS!$B141="SALDO INICIAL",MOVIMIENTOS!$C141="Chancho"))),TRIM(IF(MOVIMIENTOS!$G141&lt;&gt;"",IF(MOVIMIENTOS!$B141="ENVÍO A SUPESA","G-"&amp;MOVIMIENTOS!$G141,MOVIMIENTOS!$G141)&amp;"  ","")&amp;IF(N(MOVIMIENTOS!$E141)&gt;0,MOVIMIENTOS!$E141&amp;" "&amp;MOVIMIENTOS!$D141,"")),"")</f>
        <v>6.5 sacos</v>
      </c>
      <c r="P142">
        <f t="shared" si="20"/>
        <v>5937.5</v>
      </c>
    </row>
    <row r="143" spans="1:16" x14ac:dyDescent="0.2">
      <c r="A143" s="7" t="str">
        <f t="shared" si="14"/>
        <v/>
      </c>
      <c r="B143" s="8" t="str">
        <f t="shared" si="15"/>
        <v/>
      </c>
      <c r="C143" s="9" t="str">
        <f t="shared" si="16"/>
        <v/>
      </c>
      <c r="D143" s="9" t="str">
        <f t="shared" si="17"/>
        <v/>
      </c>
      <c r="E143" s="8" t="str">
        <f t="shared" si="18"/>
        <v/>
      </c>
      <c r="F143" s="9" t="str">
        <f t="shared" si="19"/>
        <v/>
      </c>
      <c r="J143">
        <f>IF(AND(MOVIMIENTOS!$B142&lt;&gt;"",NOT(AND(MOVIMIENTOS!$B142="PROCESO",MOVIMIENTOS!$C142&lt;&gt;"Chancho")),NOT(AND(MOVIMIENTOS!$B142="SALDO INICIAL",MOVIMIENTOS!$C142="Chancho"))),COUNT(J$5:J142)+1,"")</f>
        <v>89</v>
      </c>
      <c r="K143" s="10">
        <f>IF(AND(MOVIMIENTOS!$B142&lt;&gt;"",NOT(AND(MOVIMIENTOS!$B142="PROCESO",MOVIMIENTOS!$C142&lt;&gt;"Chancho")),NOT(AND(MOVIMIENTOS!$B142="SALDO INICIAL",MOVIMIENTOS!$C142="Chancho"))),MOVIMIENTOS!$A142,"")</f>
        <v>46226</v>
      </c>
      <c r="L143" t="str">
        <f>IF(AND(MOVIMIENTOS!$B142&lt;&gt;"",NOT(AND(MOVIMIENTOS!$B142="PROCESO",MOVIMIENTOS!$C142&lt;&gt;"Chancho")),NOT(AND(MOVIMIENTOS!$B142="SALDO INICIAL",MOVIMIENTOS!$C142="Chancho"))),IF(MOVIMIENTOS!$B142="SALDO INICIAL","APERTURA ("&amp;MOVIMIENTOS!$C142&amp;")",IF(MOVIMIENTOS!$B142="COMPRA","INGRESO (compra)",IF(MOVIMIENTOS!$B142="PROCESO","CHANCHO (proceso)",IF(MOVIMIENTOS!$B142="ENVÍO A SUPESA","ENVÍO SUPESA cal. "&amp;MOVIMIENTOS!$C142,IF(MOVIMIENTOS!$B142="VENTA CHANCHO","VENTA CHANCHO",IF(MOVIMIENTOS!$B142="DEVOLUCIÓN","DEVOLUCIÓN cal. "&amp;MOVIMIENTOS!$C142,IF(MOVIMIENTOS!$B142="TRASIEGO","TRASIEGO cal. "&amp;MOVIMIENTOS!$C142,IF(MOVIMIENTOS!$B142="REGALO","REGALO "&amp;MOVIMIENTOS!$C142,IF(MOVIMIENTOS!$B142="VENTA","VENTA "&amp;MOVIMIENTOS!$C142,IF(MOVIMIENTOS!$B142="AJUSTE","AJUSTE inventario ("&amp;MOVIMIENTOS!$C142&amp;")",MOVIMIENTOS!$B142)))))))))),"")</f>
        <v>ENVÍO SUPESA cal. A</v>
      </c>
      <c r="M143" t="str">
        <f>IF(AND(AND(MOVIMIENTOS!$B142&lt;&gt;"",NOT(AND(MOVIMIENTOS!$B142="PROCESO",MOVIMIENTOS!$C142&lt;&gt;"Chancho")),NOT(AND(MOVIMIENTOS!$B142="SALDO INICIAL",MOVIMIENTOS!$C142="Chancho"))),OR(MOVIMIENTOS!$B142="SALDO INICIAL",MOVIMIENTOS!$B142="COMPRA",MOVIMIENTOS!$B142="REPROCESO",AND(MOVIMIENTOS!$B142="AJUSTE",MOVIMIENTOS!$C142&lt;&gt;"Chancho",N(MOVIMIENTOS!$F142)&gt;=0))),N(MOVIMIENTOS!$F142),"")</f>
        <v/>
      </c>
      <c r="N143">
        <f>IF(AND(AND(MOVIMIENTOS!$B142&lt;&gt;"",NOT(AND(MOVIMIENTOS!$B142="PROCESO",MOVIMIENTOS!$C142&lt;&gt;"Chancho")),NOT(AND(MOVIMIENTOS!$B142="SALDO INICIAL",MOVIMIENTOS!$C142="Chancho"))),OR(MOVIMIENTOS!$B142="ENVÍO A SUPESA",MOVIMIENTOS!$B142="MALOGRADO",MOVIMIENTOS!$B142="OTRA SALIDA",MOVIMIENTOS!$B142="TRASIEGO",AND(MOVIMIENTOS!$B142="PROCESO",MOVIMIENTOS!$C142="Chancho"),AND(MOVIMIENTOS!$B142="REGALO",MOVIMIENTOS!$C142&lt;&gt;"Chancho"),AND(MOVIMIENTOS!$B142="VENTA",MOVIMIENTOS!$C142&lt;&gt;"Chancho"),AND(MOVIMIENTOS!$B142="AJUSTE",MOVIMIENTOS!$C142&lt;&gt;"Chancho",N(MOVIMIENTOS!$F142)&lt;0))),IF(MOVIMIENTOS!$B142="AJUSTE",-N(MOVIMIENTOS!$F142),N(MOVIMIENTOS!$F142)),"")</f>
        <v>1005</v>
      </c>
      <c r="O143" t="str">
        <f>IF(AND(MOVIMIENTOS!$B142&lt;&gt;"",NOT(AND(MOVIMIENTOS!$B142="PROCESO",MOVIMIENTOS!$C142&lt;&gt;"Chancho")),NOT(AND(MOVIMIENTOS!$B142="SALDO INICIAL",MOVIMIENTOS!$C142="Chancho"))),TRIM(IF(MOVIMIENTOS!$G142&lt;&gt;"",IF(MOVIMIENTOS!$B142="ENVÍO A SUPESA","G-"&amp;MOVIMIENTOS!$G142,MOVIMIENTOS!$G142)&amp;"  ","")&amp;IF(N(MOVIMIENTOS!$E142)&gt;0,MOVIMIENTOS!$E142&amp;" "&amp;MOVIMIENTOS!$D142,"")),"")</f>
        <v>G-3008 67 jabas</v>
      </c>
      <c r="P143">
        <f t="shared" si="20"/>
        <v>4932.5</v>
      </c>
    </row>
    <row r="144" spans="1:16" x14ac:dyDescent="0.2">
      <c r="A144" s="7" t="str">
        <f t="shared" si="14"/>
        <v/>
      </c>
      <c r="B144" s="8" t="str">
        <f t="shared" si="15"/>
        <v/>
      </c>
      <c r="C144" s="9" t="str">
        <f t="shared" si="16"/>
        <v/>
      </c>
      <c r="D144" s="9" t="str">
        <f t="shared" si="17"/>
        <v/>
      </c>
      <c r="E144" s="8" t="str">
        <f t="shared" si="18"/>
        <v/>
      </c>
      <c r="F144" s="9" t="str">
        <f t="shared" si="19"/>
        <v/>
      </c>
      <c r="J144">
        <f>IF(AND(MOVIMIENTOS!$B143&lt;&gt;"",NOT(AND(MOVIMIENTOS!$B143="PROCESO",MOVIMIENTOS!$C143&lt;&gt;"Chancho")),NOT(AND(MOVIMIENTOS!$B143="SALDO INICIAL",MOVIMIENTOS!$C143="Chancho"))),COUNT(J$5:J143)+1,"")</f>
        <v>90</v>
      </c>
      <c r="K144" s="10">
        <f>IF(AND(MOVIMIENTOS!$B143&lt;&gt;"",NOT(AND(MOVIMIENTOS!$B143="PROCESO",MOVIMIENTOS!$C143&lt;&gt;"Chancho")),NOT(AND(MOVIMIENTOS!$B143="SALDO INICIAL",MOVIMIENTOS!$C143="Chancho"))),MOVIMIENTOS!$A143,"")</f>
        <v>46226</v>
      </c>
      <c r="L144" t="str">
        <f>IF(AND(MOVIMIENTOS!$B143&lt;&gt;"",NOT(AND(MOVIMIENTOS!$B143="PROCESO",MOVIMIENTOS!$C143&lt;&gt;"Chancho")),NOT(AND(MOVIMIENTOS!$B143="SALDO INICIAL",MOVIMIENTOS!$C143="Chancho"))),IF(MOVIMIENTOS!$B143="SALDO INICIAL","APERTURA ("&amp;MOVIMIENTOS!$C143&amp;")",IF(MOVIMIENTOS!$B143="COMPRA","INGRESO (compra)",IF(MOVIMIENTOS!$B143="PROCESO","CHANCHO (proceso)",IF(MOVIMIENTOS!$B143="ENVÍO A SUPESA","ENVÍO SUPESA cal. "&amp;MOVIMIENTOS!$C143,IF(MOVIMIENTOS!$B143="VENTA CHANCHO","VENTA CHANCHO",IF(MOVIMIENTOS!$B143="DEVOLUCIÓN","DEVOLUCIÓN cal. "&amp;MOVIMIENTOS!$C143,IF(MOVIMIENTOS!$B143="TRASIEGO","TRASIEGO cal. "&amp;MOVIMIENTOS!$C143,IF(MOVIMIENTOS!$B143="REGALO","REGALO "&amp;MOVIMIENTOS!$C143,IF(MOVIMIENTOS!$B143="VENTA","VENTA "&amp;MOVIMIENTOS!$C143,IF(MOVIMIENTOS!$B143="AJUSTE","AJUSTE inventario ("&amp;MOVIMIENTOS!$C143&amp;")",MOVIMIENTOS!$B143)))))))))),"")</f>
        <v>ENVÍO SUPESA cal. P</v>
      </c>
      <c r="M144" t="str">
        <f>IF(AND(AND(MOVIMIENTOS!$B143&lt;&gt;"",NOT(AND(MOVIMIENTOS!$B143="PROCESO",MOVIMIENTOS!$C143&lt;&gt;"Chancho")),NOT(AND(MOVIMIENTOS!$B143="SALDO INICIAL",MOVIMIENTOS!$C143="Chancho"))),OR(MOVIMIENTOS!$B143="SALDO INICIAL",MOVIMIENTOS!$B143="COMPRA",MOVIMIENTOS!$B143="REPROCESO",AND(MOVIMIENTOS!$B143="AJUSTE",MOVIMIENTOS!$C143&lt;&gt;"Chancho",N(MOVIMIENTOS!$F143)&gt;=0))),N(MOVIMIENTOS!$F143),"")</f>
        <v/>
      </c>
      <c r="N144">
        <f>IF(AND(AND(MOVIMIENTOS!$B143&lt;&gt;"",NOT(AND(MOVIMIENTOS!$B143="PROCESO",MOVIMIENTOS!$C143&lt;&gt;"Chancho")),NOT(AND(MOVIMIENTOS!$B143="SALDO INICIAL",MOVIMIENTOS!$C143="Chancho"))),OR(MOVIMIENTOS!$B143="ENVÍO A SUPESA",MOVIMIENTOS!$B143="MALOGRADO",MOVIMIENTOS!$B143="OTRA SALIDA",MOVIMIENTOS!$B143="TRASIEGO",AND(MOVIMIENTOS!$B143="PROCESO",MOVIMIENTOS!$C143="Chancho"),AND(MOVIMIENTOS!$B143="REGALO",MOVIMIENTOS!$C143&lt;&gt;"Chancho"),AND(MOVIMIENTOS!$B143="VENTA",MOVIMIENTOS!$C143&lt;&gt;"Chancho"),AND(MOVIMIENTOS!$B143="AJUSTE",MOVIMIENTOS!$C143&lt;&gt;"Chancho",N(MOVIMIENTOS!$F143)&lt;0))),IF(MOVIMIENTOS!$B143="AJUSTE",-N(MOVIMIENTOS!$F143),N(MOVIMIENTOS!$F143)),"")</f>
        <v>198</v>
      </c>
      <c r="O144" t="str">
        <f>IF(AND(MOVIMIENTOS!$B143&lt;&gt;"",NOT(AND(MOVIMIENTOS!$B143="PROCESO",MOVIMIENTOS!$C143&lt;&gt;"Chancho")),NOT(AND(MOVIMIENTOS!$B143="SALDO INICIAL",MOVIMIENTOS!$C143="Chancho"))),TRIM(IF(MOVIMIENTOS!$G143&lt;&gt;"",IF(MOVIMIENTOS!$B143="ENVÍO A SUPESA","G-"&amp;MOVIMIENTOS!$G143,MOVIMIENTOS!$G143)&amp;"  ","")&amp;IF(N(MOVIMIENTOS!$E143)&gt;0,MOVIMIENTOS!$E143&amp;" "&amp;MOVIMIENTOS!$D143,"")),"")</f>
        <v>G-3008 11 jabas</v>
      </c>
      <c r="P144">
        <f t="shared" si="20"/>
        <v>4734.5</v>
      </c>
    </row>
    <row r="145" spans="1:16" x14ac:dyDescent="0.2">
      <c r="A145" s="7" t="str">
        <f t="shared" si="14"/>
        <v/>
      </c>
      <c r="B145" s="8" t="str">
        <f t="shared" si="15"/>
        <v/>
      </c>
      <c r="C145" s="9" t="str">
        <f t="shared" si="16"/>
        <v/>
      </c>
      <c r="D145" s="9" t="str">
        <f t="shared" si="17"/>
        <v/>
      </c>
      <c r="E145" s="8" t="str">
        <f t="shared" si="18"/>
        <v/>
      </c>
      <c r="F145" s="9" t="str">
        <f t="shared" si="19"/>
        <v/>
      </c>
      <c r="J145">
        <f>IF(AND(MOVIMIENTOS!$B144&lt;&gt;"",NOT(AND(MOVIMIENTOS!$B144="PROCESO",MOVIMIENTOS!$C144&lt;&gt;"Chancho")),NOT(AND(MOVIMIENTOS!$B144="SALDO INICIAL",MOVIMIENTOS!$C144="Chancho"))),COUNT(J$5:J144)+1,"")</f>
        <v>91</v>
      </c>
      <c r="K145" s="10">
        <f>IF(AND(MOVIMIENTOS!$B144&lt;&gt;"",NOT(AND(MOVIMIENTOS!$B144="PROCESO",MOVIMIENTOS!$C144&lt;&gt;"Chancho")),NOT(AND(MOVIMIENTOS!$B144="SALDO INICIAL",MOVIMIENTOS!$C144="Chancho"))),MOVIMIENTOS!$A144,"")</f>
        <v>46226</v>
      </c>
      <c r="L145" t="str">
        <f>IF(AND(MOVIMIENTOS!$B144&lt;&gt;"",NOT(AND(MOVIMIENTOS!$B144="PROCESO",MOVIMIENTOS!$C144&lt;&gt;"Chancho")),NOT(AND(MOVIMIENTOS!$B144="SALDO INICIAL",MOVIMIENTOS!$C144="Chancho"))),IF(MOVIMIENTOS!$B144="SALDO INICIAL","APERTURA ("&amp;MOVIMIENTOS!$C144&amp;")",IF(MOVIMIENTOS!$B144="COMPRA","INGRESO (compra)",IF(MOVIMIENTOS!$B144="PROCESO","CHANCHO (proceso)",IF(MOVIMIENTOS!$B144="ENVÍO A SUPESA","ENVÍO SUPESA cal. "&amp;MOVIMIENTOS!$C144,IF(MOVIMIENTOS!$B144="VENTA CHANCHO","VENTA CHANCHO",IF(MOVIMIENTOS!$B144="DEVOLUCIÓN","DEVOLUCIÓN cal. "&amp;MOVIMIENTOS!$C144,IF(MOVIMIENTOS!$B144="TRASIEGO","TRASIEGO cal. "&amp;MOVIMIENTOS!$C144,IF(MOVIMIENTOS!$B144="REGALO","REGALO "&amp;MOVIMIENTOS!$C144,IF(MOVIMIENTOS!$B144="VENTA","VENTA "&amp;MOVIMIENTOS!$C144,IF(MOVIMIENTOS!$B144="AJUSTE","AJUSTE inventario ("&amp;MOVIMIENTOS!$C144&amp;")",MOVIMIENTOS!$B144)))))))))),"")</f>
        <v>ENVÍO SUPESA cal. C</v>
      </c>
      <c r="M145" t="str">
        <f>IF(AND(AND(MOVIMIENTOS!$B144&lt;&gt;"",NOT(AND(MOVIMIENTOS!$B144="PROCESO",MOVIMIENTOS!$C144&lt;&gt;"Chancho")),NOT(AND(MOVIMIENTOS!$B144="SALDO INICIAL",MOVIMIENTOS!$C144="Chancho"))),OR(MOVIMIENTOS!$B144="SALDO INICIAL",MOVIMIENTOS!$B144="COMPRA",MOVIMIENTOS!$B144="REPROCESO",AND(MOVIMIENTOS!$B144="AJUSTE",MOVIMIENTOS!$C144&lt;&gt;"Chancho",N(MOVIMIENTOS!$F144)&gt;=0))),N(MOVIMIENTOS!$F144),"")</f>
        <v/>
      </c>
      <c r="N145">
        <f>IF(AND(AND(MOVIMIENTOS!$B144&lt;&gt;"",NOT(AND(MOVIMIENTOS!$B144="PROCESO",MOVIMIENTOS!$C144&lt;&gt;"Chancho")),NOT(AND(MOVIMIENTOS!$B144="SALDO INICIAL",MOVIMIENTOS!$C144="Chancho"))),OR(MOVIMIENTOS!$B144="ENVÍO A SUPESA",MOVIMIENTOS!$B144="MALOGRADO",MOVIMIENTOS!$B144="OTRA SALIDA",MOVIMIENTOS!$B144="TRASIEGO",AND(MOVIMIENTOS!$B144="PROCESO",MOVIMIENTOS!$C144="Chancho"),AND(MOVIMIENTOS!$B144="REGALO",MOVIMIENTOS!$C144&lt;&gt;"Chancho"),AND(MOVIMIENTOS!$B144="VENTA",MOVIMIENTOS!$C144&lt;&gt;"Chancho"),AND(MOVIMIENTOS!$B144="AJUSTE",MOVIMIENTOS!$C144&lt;&gt;"Chancho",N(MOVIMIENTOS!$F144)&lt;0))),IF(MOVIMIENTOS!$B144="AJUSTE",-N(MOVIMIENTOS!$F144),N(MOVIMIENTOS!$F144)),"")</f>
        <v>204</v>
      </c>
      <c r="O145" t="str">
        <f>IF(AND(MOVIMIENTOS!$B144&lt;&gt;"",NOT(AND(MOVIMIENTOS!$B144="PROCESO",MOVIMIENTOS!$C144&lt;&gt;"Chancho")),NOT(AND(MOVIMIENTOS!$B144="SALDO INICIAL",MOVIMIENTOS!$C144="Chancho"))),TRIM(IF(MOVIMIENTOS!$G144&lt;&gt;"",IF(MOVIMIENTOS!$B144="ENVÍO A SUPESA","G-"&amp;MOVIMIENTOS!$G144,MOVIMIENTOS!$G144)&amp;"  ","")&amp;IF(N(MOVIMIENTOS!$E144)&gt;0,MOVIMIENTOS!$E144&amp;" "&amp;MOVIMIENTOS!$D144,"")),"")</f>
        <v>G-3008 12 jabas</v>
      </c>
      <c r="P145">
        <f t="shared" si="20"/>
        <v>4530.5</v>
      </c>
    </row>
    <row r="146" spans="1:16" x14ac:dyDescent="0.2">
      <c r="A146" s="7" t="str">
        <f t="shared" si="14"/>
        <v/>
      </c>
      <c r="B146" s="8" t="str">
        <f t="shared" si="15"/>
        <v/>
      </c>
      <c r="C146" s="9" t="str">
        <f t="shared" si="16"/>
        <v/>
      </c>
      <c r="D146" s="9" t="str">
        <f t="shared" si="17"/>
        <v/>
      </c>
      <c r="E146" s="8" t="str">
        <f t="shared" si="18"/>
        <v/>
      </c>
      <c r="F146" s="9" t="str">
        <f t="shared" si="19"/>
        <v/>
      </c>
      <c r="J146">
        <f>IF(AND(MOVIMIENTOS!$B145&lt;&gt;"",NOT(AND(MOVIMIENTOS!$B145="PROCESO",MOVIMIENTOS!$C145&lt;&gt;"Chancho")),NOT(AND(MOVIMIENTOS!$B145="SALDO INICIAL",MOVIMIENTOS!$C145="Chancho"))),COUNT(J$5:J145)+1,"")</f>
        <v>92</v>
      </c>
      <c r="K146" s="10">
        <f>IF(AND(MOVIMIENTOS!$B145&lt;&gt;"",NOT(AND(MOVIMIENTOS!$B145="PROCESO",MOVIMIENTOS!$C145&lt;&gt;"Chancho")),NOT(AND(MOVIMIENTOS!$B145="SALDO INICIAL",MOVIMIENTOS!$C145="Chancho"))),MOVIMIENTOS!$A145,"")</f>
        <v>46226</v>
      </c>
      <c r="L146" t="str">
        <f>IF(AND(MOVIMIENTOS!$B145&lt;&gt;"",NOT(AND(MOVIMIENTOS!$B145="PROCESO",MOVIMIENTOS!$C145&lt;&gt;"Chancho")),NOT(AND(MOVIMIENTOS!$B145="SALDO INICIAL",MOVIMIENTOS!$C145="Chancho"))),IF(MOVIMIENTOS!$B145="SALDO INICIAL","APERTURA ("&amp;MOVIMIENTOS!$C145&amp;")",IF(MOVIMIENTOS!$B145="COMPRA","INGRESO (compra)",IF(MOVIMIENTOS!$B145="PROCESO","CHANCHO (proceso)",IF(MOVIMIENTOS!$B145="ENVÍO A SUPESA","ENVÍO SUPESA cal. "&amp;MOVIMIENTOS!$C145,IF(MOVIMIENTOS!$B145="VENTA CHANCHO","VENTA CHANCHO",IF(MOVIMIENTOS!$B145="DEVOLUCIÓN","DEVOLUCIÓN cal. "&amp;MOVIMIENTOS!$C145,IF(MOVIMIENTOS!$B145="TRASIEGO","TRASIEGO cal. "&amp;MOVIMIENTOS!$C145,IF(MOVIMIENTOS!$B145="REGALO","REGALO "&amp;MOVIMIENTOS!$C145,IF(MOVIMIENTOS!$B145="VENTA","VENTA "&amp;MOVIMIENTOS!$C145,IF(MOVIMIENTOS!$B145="AJUSTE","AJUSTE inventario ("&amp;MOVIMIENTOS!$C145&amp;")",MOVIMIENTOS!$B145)))))))))),"")</f>
        <v>ENVÍO SUPESA cal. M</v>
      </c>
      <c r="M146" t="str">
        <f>IF(AND(AND(MOVIMIENTOS!$B145&lt;&gt;"",NOT(AND(MOVIMIENTOS!$B145="PROCESO",MOVIMIENTOS!$C145&lt;&gt;"Chancho")),NOT(AND(MOVIMIENTOS!$B145="SALDO INICIAL",MOVIMIENTOS!$C145="Chancho"))),OR(MOVIMIENTOS!$B145="SALDO INICIAL",MOVIMIENTOS!$B145="COMPRA",MOVIMIENTOS!$B145="REPROCESO",AND(MOVIMIENTOS!$B145="AJUSTE",MOVIMIENTOS!$C145&lt;&gt;"Chancho",N(MOVIMIENTOS!$F145)&gt;=0))),N(MOVIMIENTOS!$F145),"")</f>
        <v/>
      </c>
      <c r="N146">
        <f>IF(AND(AND(MOVIMIENTOS!$B145&lt;&gt;"",NOT(AND(MOVIMIENTOS!$B145="PROCESO",MOVIMIENTOS!$C145&lt;&gt;"Chancho")),NOT(AND(MOVIMIENTOS!$B145="SALDO INICIAL",MOVIMIENTOS!$C145="Chancho"))),OR(MOVIMIENTOS!$B145="ENVÍO A SUPESA",MOVIMIENTOS!$B145="MALOGRADO",MOVIMIENTOS!$B145="OTRA SALIDA",MOVIMIENTOS!$B145="TRASIEGO",AND(MOVIMIENTOS!$B145="PROCESO",MOVIMIENTOS!$C145="Chancho"),AND(MOVIMIENTOS!$B145="REGALO",MOVIMIENTOS!$C145&lt;&gt;"Chancho"),AND(MOVIMIENTOS!$B145="VENTA",MOVIMIENTOS!$C145&lt;&gt;"Chancho"),AND(MOVIMIENTOS!$B145="AJUSTE",MOVIMIENTOS!$C145&lt;&gt;"Chancho",N(MOVIMIENTOS!$F145)&lt;0))),IF(MOVIMIENTOS!$B145="AJUSTE",-N(MOVIMIENTOS!$F145),N(MOVIMIENTOS!$F145)),"")</f>
        <v>2006</v>
      </c>
      <c r="O146" t="str">
        <f>IF(AND(MOVIMIENTOS!$B145&lt;&gt;"",NOT(AND(MOVIMIENTOS!$B145="PROCESO",MOVIMIENTOS!$C145&lt;&gt;"Chancho")),NOT(AND(MOVIMIENTOS!$B145="SALDO INICIAL",MOVIMIENTOS!$C145="Chancho"))),TRIM(IF(MOVIMIENTOS!$G145&lt;&gt;"",IF(MOVIMIENTOS!$B145="ENVÍO A SUPESA","G-"&amp;MOVIMIENTOS!$G145,MOVIMIENTOS!$G145)&amp;"  ","")&amp;IF(N(MOVIMIENTOS!$E145)&gt;0,MOVIMIENTOS!$E145&amp;" "&amp;MOVIMIENTOS!$D145,"")),"")</f>
        <v>G-3008 118 jabas</v>
      </c>
      <c r="P146">
        <f t="shared" si="20"/>
        <v>2524.5</v>
      </c>
    </row>
    <row r="147" spans="1:16" x14ac:dyDescent="0.2">
      <c r="A147" s="7" t="str">
        <f t="shared" si="14"/>
        <v/>
      </c>
      <c r="B147" s="8" t="str">
        <f t="shared" si="15"/>
        <v/>
      </c>
      <c r="C147" s="9" t="str">
        <f t="shared" si="16"/>
        <v/>
      </c>
      <c r="D147" s="9" t="str">
        <f t="shared" si="17"/>
        <v/>
      </c>
      <c r="E147" s="8" t="str">
        <f t="shared" si="18"/>
        <v/>
      </c>
      <c r="F147" s="9" t="str">
        <f t="shared" si="19"/>
        <v/>
      </c>
      <c r="J147">
        <f>IF(AND(MOVIMIENTOS!$B146&lt;&gt;"",NOT(AND(MOVIMIENTOS!$B146="PROCESO",MOVIMIENTOS!$C146&lt;&gt;"Chancho")),NOT(AND(MOVIMIENTOS!$B146="SALDO INICIAL",MOVIMIENTOS!$C146="Chancho"))),COUNT(J$5:J146)+1,"")</f>
        <v>93</v>
      </c>
      <c r="K147" s="10">
        <f>IF(AND(MOVIMIENTOS!$B146&lt;&gt;"",NOT(AND(MOVIMIENTOS!$B146="PROCESO",MOVIMIENTOS!$C146&lt;&gt;"Chancho")),NOT(AND(MOVIMIENTOS!$B146="SALDO INICIAL",MOVIMIENTOS!$C146="Chancho"))),MOVIMIENTOS!$A146,"")</f>
        <v>46226</v>
      </c>
      <c r="L147" t="str">
        <f>IF(AND(MOVIMIENTOS!$B146&lt;&gt;"",NOT(AND(MOVIMIENTOS!$B146="PROCESO",MOVIMIENTOS!$C146&lt;&gt;"Chancho")),NOT(AND(MOVIMIENTOS!$B146="SALDO INICIAL",MOVIMIENTOS!$C146="Chancho"))),IF(MOVIMIENTOS!$B146="SALDO INICIAL","APERTURA ("&amp;MOVIMIENTOS!$C146&amp;")",IF(MOVIMIENTOS!$B146="COMPRA","INGRESO (compra)",IF(MOVIMIENTOS!$B146="PROCESO","CHANCHO (proceso)",IF(MOVIMIENTOS!$B146="ENVÍO A SUPESA","ENVÍO SUPESA cal. "&amp;MOVIMIENTOS!$C146,IF(MOVIMIENTOS!$B146="VENTA CHANCHO","VENTA CHANCHO",IF(MOVIMIENTOS!$B146="DEVOLUCIÓN","DEVOLUCIÓN cal. "&amp;MOVIMIENTOS!$C146,IF(MOVIMIENTOS!$B146="TRASIEGO","TRASIEGO cal. "&amp;MOVIMIENTOS!$C146,IF(MOVIMIENTOS!$B146="REGALO","REGALO "&amp;MOVIMIENTOS!$C146,IF(MOVIMIENTOS!$B146="VENTA","VENTA "&amp;MOVIMIENTOS!$C146,IF(MOVIMIENTOS!$B146="AJUSTE","AJUSTE inventario ("&amp;MOVIMIENTOS!$C146&amp;")",MOVIMIENTOS!$B146)))))))))),"")</f>
        <v>VENTA CHANCHO</v>
      </c>
      <c r="M147" t="str">
        <f>IF(AND(AND(MOVIMIENTOS!$B146&lt;&gt;"",NOT(AND(MOVIMIENTOS!$B146="PROCESO",MOVIMIENTOS!$C146&lt;&gt;"Chancho")),NOT(AND(MOVIMIENTOS!$B146="SALDO INICIAL",MOVIMIENTOS!$C146="Chancho"))),OR(MOVIMIENTOS!$B146="SALDO INICIAL",MOVIMIENTOS!$B146="COMPRA",MOVIMIENTOS!$B146="REPROCESO",AND(MOVIMIENTOS!$B146="AJUSTE",MOVIMIENTOS!$C146&lt;&gt;"Chancho",N(MOVIMIENTOS!$F146)&gt;=0))),N(MOVIMIENTOS!$F146),"")</f>
        <v/>
      </c>
      <c r="N147" t="str">
        <f>IF(AND(AND(MOVIMIENTOS!$B146&lt;&gt;"",NOT(AND(MOVIMIENTOS!$B146="PROCESO",MOVIMIENTOS!$C146&lt;&gt;"Chancho")),NOT(AND(MOVIMIENTOS!$B146="SALDO INICIAL",MOVIMIENTOS!$C146="Chancho"))),OR(MOVIMIENTOS!$B146="ENVÍO A SUPESA",MOVIMIENTOS!$B146="MALOGRADO",MOVIMIENTOS!$B146="OTRA SALIDA",MOVIMIENTOS!$B146="TRASIEGO",AND(MOVIMIENTOS!$B146="PROCESO",MOVIMIENTOS!$C146="Chancho"),AND(MOVIMIENTOS!$B146="REGALO",MOVIMIENTOS!$C146&lt;&gt;"Chancho"),AND(MOVIMIENTOS!$B146="VENTA",MOVIMIENTOS!$C146&lt;&gt;"Chancho"),AND(MOVIMIENTOS!$B146="AJUSTE",MOVIMIENTOS!$C146&lt;&gt;"Chancho",N(MOVIMIENTOS!$F146)&lt;0))),IF(MOVIMIENTOS!$B146="AJUSTE",-N(MOVIMIENTOS!$F146),N(MOVIMIENTOS!$F146)),"")</f>
        <v/>
      </c>
      <c r="O147" t="str">
        <f>IF(AND(MOVIMIENTOS!$B146&lt;&gt;"",NOT(AND(MOVIMIENTOS!$B146="PROCESO",MOVIMIENTOS!$C146&lt;&gt;"Chancho")),NOT(AND(MOVIMIENTOS!$B146="SALDO INICIAL",MOVIMIENTOS!$C146="Chancho"))),TRIM(IF(MOVIMIENTOS!$G146&lt;&gt;"",IF(MOVIMIENTOS!$B146="ENVÍO A SUPESA","G-"&amp;MOVIMIENTOS!$G146,MOVIMIENTOS!$G146)&amp;"  ","")&amp;IF(N(MOVIMIENTOS!$E146)&gt;0,MOVIMIENTOS!$E146&amp;" "&amp;MOVIMIENTOS!$D146,"")),"")</f>
        <v>S/T 0.5 sacos</v>
      </c>
      <c r="P147">
        <f t="shared" si="20"/>
        <v>2524.5</v>
      </c>
    </row>
    <row r="148" spans="1:16" x14ac:dyDescent="0.2">
      <c r="A148" s="7" t="str">
        <f t="shared" si="14"/>
        <v/>
      </c>
      <c r="B148" s="8" t="str">
        <f t="shared" si="15"/>
        <v/>
      </c>
      <c r="C148" s="9" t="str">
        <f t="shared" si="16"/>
        <v/>
      </c>
      <c r="D148" s="9" t="str">
        <f t="shared" si="17"/>
        <v/>
      </c>
      <c r="E148" s="8" t="str">
        <f t="shared" si="18"/>
        <v/>
      </c>
      <c r="F148" s="9" t="str">
        <f t="shared" si="19"/>
        <v/>
      </c>
      <c r="J148">
        <f>IF(AND(MOVIMIENTOS!$B147&lt;&gt;"",NOT(AND(MOVIMIENTOS!$B147="PROCESO",MOVIMIENTOS!$C147&lt;&gt;"Chancho")),NOT(AND(MOVIMIENTOS!$B147="SALDO INICIAL",MOVIMIENTOS!$C147="Chancho"))),COUNT(J$5:J147)+1,"")</f>
        <v>94</v>
      </c>
      <c r="K148" s="10">
        <f>IF(AND(MOVIMIENTOS!$B147&lt;&gt;"",NOT(AND(MOVIMIENTOS!$B147="PROCESO",MOVIMIENTOS!$C147&lt;&gt;"Chancho")),NOT(AND(MOVIMIENTOS!$B147="SALDO INICIAL",MOVIMIENTOS!$C147="Chancho"))),MOVIMIENTOS!$A147,"")</f>
        <v>46226</v>
      </c>
      <c r="L148" t="str">
        <f>IF(AND(MOVIMIENTOS!$B147&lt;&gt;"",NOT(AND(MOVIMIENTOS!$B147="PROCESO",MOVIMIENTOS!$C147&lt;&gt;"Chancho")),NOT(AND(MOVIMIENTOS!$B147="SALDO INICIAL",MOVIMIENTOS!$C147="Chancho"))),IF(MOVIMIENTOS!$B147="SALDO INICIAL","APERTURA ("&amp;MOVIMIENTOS!$C147&amp;")",IF(MOVIMIENTOS!$B147="COMPRA","INGRESO (compra)",IF(MOVIMIENTOS!$B147="PROCESO","CHANCHO (proceso)",IF(MOVIMIENTOS!$B147="ENVÍO A SUPESA","ENVÍO SUPESA cal. "&amp;MOVIMIENTOS!$C147,IF(MOVIMIENTOS!$B147="VENTA CHANCHO","VENTA CHANCHO",IF(MOVIMIENTOS!$B147="DEVOLUCIÓN","DEVOLUCIÓN cal. "&amp;MOVIMIENTOS!$C147,IF(MOVIMIENTOS!$B147="TRASIEGO","TRASIEGO cal. "&amp;MOVIMIENTOS!$C147,IF(MOVIMIENTOS!$B147="REGALO","REGALO "&amp;MOVIMIENTOS!$C147,IF(MOVIMIENTOS!$B147="VENTA","VENTA "&amp;MOVIMIENTOS!$C147,IF(MOVIMIENTOS!$B147="AJUSTE","AJUSTE inventario ("&amp;MOVIMIENTOS!$C147&amp;")",MOVIMIENTOS!$B147)))))))))),"")</f>
        <v>INGRESO (compra)</v>
      </c>
      <c r="M148">
        <f>IF(AND(AND(MOVIMIENTOS!$B147&lt;&gt;"",NOT(AND(MOVIMIENTOS!$B147="PROCESO",MOVIMIENTOS!$C147&lt;&gt;"Chancho")),NOT(AND(MOVIMIENTOS!$B147="SALDO INICIAL",MOVIMIENTOS!$C147="Chancho"))),OR(MOVIMIENTOS!$B147="SALDO INICIAL",MOVIMIENTOS!$B147="COMPRA",MOVIMIENTOS!$B147="REPROCESO",AND(MOVIMIENTOS!$B147="AJUSTE",MOVIMIENTOS!$C147&lt;&gt;"Chancho",N(MOVIMIENTOS!$F147)&gt;=0))),N(MOVIMIENTOS!$F147),"")</f>
        <v>4085</v>
      </c>
      <c r="N148" t="str">
        <f>IF(AND(AND(MOVIMIENTOS!$B147&lt;&gt;"",NOT(AND(MOVIMIENTOS!$B147="PROCESO",MOVIMIENTOS!$C147&lt;&gt;"Chancho")),NOT(AND(MOVIMIENTOS!$B147="SALDO INICIAL",MOVIMIENTOS!$C147="Chancho"))),OR(MOVIMIENTOS!$B147="ENVÍO A SUPESA",MOVIMIENTOS!$B147="MALOGRADO",MOVIMIENTOS!$B147="OTRA SALIDA",MOVIMIENTOS!$B147="TRASIEGO",AND(MOVIMIENTOS!$B147="PROCESO",MOVIMIENTOS!$C147="Chancho"),AND(MOVIMIENTOS!$B147="REGALO",MOVIMIENTOS!$C147&lt;&gt;"Chancho"),AND(MOVIMIENTOS!$B147="VENTA",MOVIMIENTOS!$C147&lt;&gt;"Chancho"),AND(MOVIMIENTOS!$B147="AJUSTE",MOVIMIENTOS!$C147&lt;&gt;"Chancho",N(MOVIMIENTOS!$F147)&lt;0))),IF(MOVIMIENTOS!$B147="AJUSTE",-N(MOVIMIENTOS!$F147),N(MOVIMIENTOS!$F147)),"")</f>
        <v/>
      </c>
      <c r="O148" t="str">
        <f>IF(AND(MOVIMIENTOS!$B147&lt;&gt;"",NOT(AND(MOVIMIENTOS!$B147="PROCESO",MOVIMIENTOS!$C147&lt;&gt;"Chancho")),NOT(AND(MOVIMIENTOS!$B147="SALDO INICIAL",MOVIMIENTOS!$C147="Chancho"))),TRIM(IF(MOVIMIENTOS!$G147&lt;&gt;"",IF(MOVIMIENTOS!$B147="ENVÍO A SUPESA","G-"&amp;MOVIMIENTOS!$G147,MOVIMIENTOS!$G147)&amp;"  ","")&amp;IF(N(MOVIMIENTOS!$E147)&gt;0,MOVIMIENTOS!$E147&amp;" "&amp;MOVIMIENTOS!$D147,"")),"")</f>
        <v>43 sacos</v>
      </c>
      <c r="P148">
        <f t="shared" si="20"/>
        <v>6609.5</v>
      </c>
    </row>
    <row r="149" spans="1:16" x14ac:dyDescent="0.2">
      <c r="A149" s="7" t="str">
        <f t="shared" si="14"/>
        <v/>
      </c>
      <c r="B149" s="8" t="str">
        <f t="shared" si="15"/>
        <v/>
      </c>
      <c r="C149" s="9" t="str">
        <f t="shared" si="16"/>
        <v/>
      </c>
      <c r="D149" s="9" t="str">
        <f t="shared" si="17"/>
        <v/>
      </c>
      <c r="E149" s="8" t="str">
        <f t="shared" si="18"/>
        <v/>
      </c>
      <c r="F149" s="9" t="str">
        <f t="shared" si="19"/>
        <v/>
      </c>
      <c r="J149">
        <f>IF(AND(MOVIMIENTOS!$B148&lt;&gt;"",NOT(AND(MOVIMIENTOS!$B148="PROCESO",MOVIMIENTOS!$C148&lt;&gt;"Chancho")),NOT(AND(MOVIMIENTOS!$B148="SALDO INICIAL",MOVIMIENTOS!$C148="Chancho"))),COUNT(J$5:J148)+1,"")</f>
        <v>95</v>
      </c>
      <c r="K149" s="10">
        <f>IF(AND(MOVIMIENTOS!$B148&lt;&gt;"",NOT(AND(MOVIMIENTOS!$B148="PROCESO",MOVIMIENTOS!$C148&lt;&gt;"Chancho")),NOT(AND(MOVIMIENTOS!$B148="SALDO INICIAL",MOVIMIENTOS!$C148="Chancho"))),MOVIMIENTOS!$A148,"")</f>
        <v>46226</v>
      </c>
      <c r="L149" t="str">
        <f>IF(AND(MOVIMIENTOS!$B148&lt;&gt;"",NOT(AND(MOVIMIENTOS!$B148="PROCESO",MOVIMIENTOS!$C148&lt;&gt;"Chancho")),NOT(AND(MOVIMIENTOS!$B148="SALDO INICIAL",MOVIMIENTOS!$C148="Chancho"))),IF(MOVIMIENTOS!$B148="SALDO INICIAL","APERTURA ("&amp;MOVIMIENTOS!$C148&amp;")",IF(MOVIMIENTOS!$B148="COMPRA","INGRESO (compra)",IF(MOVIMIENTOS!$B148="PROCESO","CHANCHO (proceso)",IF(MOVIMIENTOS!$B148="ENVÍO A SUPESA","ENVÍO SUPESA cal. "&amp;MOVIMIENTOS!$C148,IF(MOVIMIENTOS!$B148="VENTA CHANCHO","VENTA CHANCHO",IF(MOVIMIENTOS!$B148="DEVOLUCIÓN","DEVOLUCIÓN cal. "&amp;MOVIMIENTOS!$C148,IF(MOVIMIENTOS!$B148="TRASIEGO","TRASIEGO cal. "&amp;MOVIMIENTOS!$C148,IF(MOVIMIENTOS!$B148="REGALO","REGALO "&amp;MOVIMIENTOS!$C148,IF(MOVIMIENTOS!$B148="VENTA","VENTA "&amp;MOVIMIENTOS!$C148,IF(MOVIMIENTOS!$B148="AJUSTE","AJUSTE inventario ("&amp;MOVIMIENTOS!$C148&amp;")",MOVIMIENTOS!$B148)))))))))),"")</f>
        <v>INGRESO (compra)</v>
      </c>
      <c r="M149">
        <f>IF(AND(AND(MOVIMIENTOS!$B148&lt;&gt;"",NOT(AND(MOVIMIENTOS!$B148="PROCESO",MOVIMIENTOS!$C148&lt;&gt;"Chancho")),NOT(AND(MOVIMIENTOS!$B148="SALDO INICIAL",MOVIMIENTOS!$C148="Chancho"))),OR(MOVIMIENTOS!$B148="SALDO INICIAL",MOVIMIENTOS!$B148="COMPRA",MOVIMIENTOS!$B148="REPROCESO",AND(MOVIMIENTOS!$B148="AJUSTE",MOVIMIENTOS!$C148&lt;&gt;"Chancho",N(MOVIMIENTOS!$F148)&gt;=0))),N(MOVIMIENTOS!$F148),"")</f>
        <v>3515</v>
      </c>
      <c r="N149" t="str">
        <f>IF(AND(AND(MOVIMIENTOS!$B148&lt;&gt;"",NOT(AND(MOVIMIENTOS!$B148="PROCESO",MOVIMIENTOS!$C148&lt;&gt;"Chancho")),NOT(AND(MOVIMIENTOS!$B148="SALDO INICIAL",MOVIMIENTOS!$C148="Chancho"))),OR(MOVIMIENTOS!$B148="ENVÍO A SUPESA",MOVIMIENTOS!$B148="MALOGRADO",MOVIMIENTOS!$B148="OTRA SALIDA",MOVIMIENTOS!$B148="TRASIEGO",AND(MOVIMIENTOS!$B148="PROCESO",MOVIMIENTOS!$C148="Chancho"),AND(MOVIMIENTOS!$B148="REGALO",MOVIMIENTOS!$C148&lt;&gt;"Chancho"),AND(MOVIMIENTOS!$B148="VENTA",MOVIMIENTOS!$C148&lt;&gt;"Chancho"),AND(MOVIMIENTOS!$B148="AJUSTE",MOVIMIENTOS!$C148&lt;&gt;"Chancho",N(MOVIMIENTOS!$F148)&lt;0))),IF(MOVIMIENTOS!$B148="AJUSTE",-N(MOVIMIENTOS!$F148),N(MOVIMIENTOS!$F148)),"")</f>
        <v/>
      </c>
      <c r="O149" t="str">
        <f>IF(AND(MOVIMIENTOS!$B148&lt;&gt;"",NOT(AND(MOVIMIENTOS!$B148="PROCESO",MOVIMIENTOS!$C148&lt;&gt;"Chancho")),NOT(AND(MOVIMIENTOS!$B148="SALDO INICIAL",MOVIMIENTOS!$C148="Chancho"))),TRIM(IF(MOVIMIENTOS!$G148&lt;&gt;"",IF(MOVIMIENTOS!$B148="ENVÍO A SUPESA","G-"&amp;MOVIMIENTOS!$G148,MOVIMIENTOS!$G148)&amp;"  ","")&amp;IF(N(MOVIMIENTOS!$E148)&gt;0,MOVIMIENTOS!$E148&amp;" "&amp;MOVIMIENTOS!$D148,"")),"")</f>
        <v>37 sacos</v>
      </c>
      <c r="P149">
        <f t="shared" si="20"/>
        <v>10124.5</v>
      </c>
    </row>
    <row r="150" spans="1:16" x14ac:dyDescent="0.2">
      <c r="A150" s="7" t="str">
        <f t="shared" si="14"/>
        <v/>
      </c>
      <c r="B150" s="8" t="str">
        <f t="shared" si="15"/>
        <v/>
      </c>
      <c r="C150" s="9" t="str">
        <f t="shared" si="16"/>
        <v/>
      </c>
      <c r="D150" s="9" t="str">
        <f t="shared" si="17"/>
        <v/>
      </c>
      <c r="E150" s="8" t="str">
        <f t="shared" si="18"/>
        <v/>
      </c>
      <c r="F150" s="9" t="str">
        <f t="shared" si="19"/>
        <v/>
      </c>
      <c r="J150" t="str">
        <f>IF(AND(MOVIMIENTOS!$B149&lt;&gt;"",NOT(AND(MOVIMIENTOS!$B149="PROCESO",MOVIMIENTOS!$C149&lt;&gt;"Chancho")),NOT(AND(MOVIMIENTOS!$B149="SALDO INICIAL",MOVIMIENTOS!$C149="Chancho"))),COUNT(J$5:J149)+1,"")</f>
        <v/>
      </c>
      <c r="K150" t="str">
        <f>IF(AND(MOVIMIENTOS!$B149&lt;&gt;"",NOT(AND(MOVIMIENTOS!$B149="PROCESO",MOVIMIENTOS!$C149&lt;&gt;"Chancho")),NOT(AND(MOVIMIENTOS!$B149="SALDO INICIAL",MOVIMIENTOS!$C149="Chancho"))),MOVIMIENTOS!$A149,"")</f>
        <v/>
      </c>
      <c r="L150" t="str">
        <f>IF(AND(MOVIMIENTOS!$B149&lt;&gt;"",NOT(AND(MOVIMIENTOS!$B149="PROCESO",MOVIMIENTOS!$C149&lt;&gt;"Chancho")),NOT(AND(MOVIMIENTOS!$B149="SALDO INICIAL",MOVIMIENTOS!$C149="Chancho"))),IF(MOVIMIENTOS!$B149="SALDO INICIAL","APERTURA ("&amp;MOVIMIENTOS!$C149&amp;")",IF(MOVIMIENTOS!$B149="COMPRA","INGRESO (compra)",IF(MOVIMIENTOS!$B149="PROCESO","CHANCHO (proceso)",IF(MOVIMIENTOS!$B149="ENVÍO A SUPESA","ENVÍO SUPESA cal. "&amp;MOVIMIENTOS!$C149,IF(MOVIMIENTOS!$B149="VENTA CHANCHO","VENTA CHANCHO",IF(MOVIMIENTOS!$B149="DEVOLUCIÓN","DEVOLUCIÓN cal. "&amp;MOVIMIENTOS!$C149,IF(MOVIMIENTOS!$B149="TRASIEGO","TRASIEGO cal. "&amp;MOVIMIENTOS!$C149,IF(MOVIMIENTOS!$B149="REGALO","REGALO "&amp;MOVIMIENTOS!$C149,IF(MOVIMIENTOS!$B149="VENTA","VENTA "&amp;MOVIMIENTOS!$C149,IF(MOVIMIENTOS!$B149="AJUSTE","AJUSTE inventario ("&amp;MOVIMIENTOS!$C149&amp;")",MOVIMIENTOS!$B149)))))))))),"")</f>
        <v/>
      </c>
      <c r="M150" t="str">
        <f>IF(AND(AND(MOVIMIENTOS!$B149&lt;&gt;"",NOT(AND(MOVIMIENTOS!$B149="PROCESO",MOVIMIENTOS!$C149&lt;&gt;"Chancho")),NOT(AND(MOVIMIENTOS!$B149="SALDO INICIAL",MOVIMIENTOS!$C149="Chancho"))),OR(MOVIMIENTOS!$B149="SALDO INICIAL",MOVIMIENTOS!$B149="COMPRA",MOVIMIENTOS!$B149="REPROCESO",AND(MOVIMIENTOS!$B149="AJUSTE",MOVIMIENTOS!$C149&lt;&gt;"Chancho",N(MOVIMIENTOS!$F149)&gt;=0))),N(MOVIMIENTOS!$F149),"")</f>
        <v/>
      </c>
      <c r="N150" t="str">
        <f>IF(AND(AND(MOVIMIENTOS!$B149&lt;&gt;"",NOT(AND(MOVIMIENTOS!$B149="PROCESO",MOVIMIENTOS!$C149&lt;&gt;"Chancho")),NOT(AND(MOVIMIENTOS!$B149="SALDO INICIAL",MOVIMIENTOS!$C149="Chancho"))),OR(MOVIMIENTOS!$B149="ENVÍO A SUPESA",MOVIMIENTOS!$B149="MALOGRADO",MOVIMIENTOS!$B149="OTRA SALIDA",MOVIMIENTOS!$B149="TRASIEGO",AND(MOVIMIENTOS!$B149="PROCESO",MOVIMIENTOS!$C149="Chancho"),AND(MOVIMIENTOS!$B149="REGALO",MOVIMIENTOS!$C149&lt;&gt;"Chancho"),AND(MOVIMIENTOS!$B149="VENTA",MOVIMIENTOS!$C149&lt;&gt;"Chancho"),AND(MOVIMIENTOS!$B149="AJUSTE",MOVIMIENTOS!$C149&lt;&gt;"Chancho",N(MOVIMIENTOS!$F149)&lt;0))),IF(MOVIMIENTOS!$B149="AJUSTE",-N(MOVIMIENTOS!$F149),N(MOVIMIENTOS!$F149)),"")</f>
        <v/>
      </c>
      <c r="O150" t="str">
        <f>IF(AND(MOVIMIENTOS!$B149&lt;&gt;"",NOT(AND(MOVIMIENTOS!$B149="PROCESO",MOVIMIENTOS!$C149&lt;&gt;"Chancho")),NOT(AND(MOVIMIENTOS!$B149="SALDO INICIAL",MOVIMIENTOS!$C149="Chancho"))),TRIM(IF(MOVIMIENTOS!$G149&lt;&gt;"",IF(MOVIMIENTOS!$B149="ENVÍO A SUPESA","G-"&amp;MOVIMIENTOS!$G149,MOVIMIENTOS!$G149)&amp;"  ","")&amp;IF(N(MOVIMIENTOS!$E149)&gt;0,MOVIMIENTOS!$E149&amp;" "&amp;MOVIMIENTOS!$D149,"")),"")</f>
        <v/>
      </c>
      <c r="P150">
        <f t="shared" si="20"/>
        <v>10124.5</v>
      </c>
    </row>
    <row r="151" spans="1:16" x14ac:dyDescent="0.2">
      <c r="A151" s="7" t="str">
        <f t="shared" si="14"/>
        <v/>
      </c>
      <c r="B151" s="8" t="str">
        <f t="shared" si="15"/>
        <v/>
      </c>
      <c r="C151" s="9" t="str">
        <f t="shared" si="16"/>
        <v/>
      </c>
      <c r="D151" s="9" t="str">
        <f t="shared" si="17"/>
        <v/>
      </c>
      <c r="E151" s="8" t="str">
        <f t="shared" si="18"/>
        <v/>
      </c>
      <c r="F151" s="9" t="str">
        <f t="shared" si="19"/>
        <v/>
      </c>
      <c r="J151" t="str">
        <f>IF(AND(MOVIMIENTOS!$B150&lt;&gt;"",NOT(AND(MOVIMIENTOS!$B150="PROCESO",MOVIMIENTOS!$C150&lt;&gt;"Chancho")),NOT(AND(MOVIMIENTOS!$B150="SALDO INICIAL",MOVIMIENTOS!$C150="Chancho"))),COUNT(J$5:J150)+1,"")</f>
        <v/>
      </c>
      <c r="K151" t="str">
        <f>IF(AND(MOVIMIENTOS!$B150&lt;&gt;"",NOT(AND(MOVIMIENTOS!$B150="PROCESO",MOVIMIENTOS!$C150&lt;&gt;"Chancho")),NOT(AND(MOVIMIENTOS!$B150="SALDO INICIAL",MOVIMIENTOS!$C150="Chancho"))),MOVIMIENTOS!$A150,"")</f>
        <v/>
      </c>
      <c r="L151" t="str">
        <f>IF(AND(MOVIMIENTOS!$B150&lt;&gt;"",NOT(AND(MOVIMIENTOS!$B150="PROCESO",MOVIMIENTOS!$C150&lt;&gt;"Chancho")),NOT(AND(MOVIMIENTOS!$B150="SALDO INICIAL",MOVIMIENTOS!$C150="Chancho"))),IF(MOVIMIENTOS!$B150="SALDO INICIAL","APERTURA ("&amp;MOVIMIENTOS!$C150&amp;")",IF(MOVIMIENTOS!$B150="COMPRA","INGRESO (compra)",IF(MOVIMIENTOS!$B150="PROCESO","CHANCHO (proceso)",IF(MOVIMIENTOS!$B150="ENVÍO A SUPESA","ENVÍO SUPESA cal. "&amp;MOVIMIENTOS!$C150,IF(MOVIMIENTOS!$B150="VENTA CHANCHO","VENTA CHANCHO",IF(MOVIMIENTOS!$B150="DEVOLUCIÓN","DEVOLUCIÓN cal. "&amp;MOVIMIENTOS!$C150,IF(MOVIMIENTOS!$B150="TRASIEGO","TRASIEGO cal. "&amp;MOVIMIENTOS!$C150,IF(MOVIMIENTOS!$B150="REGALO","REGALO "&amp;MOVIMIENTOS!$C150,IF(MOVIMIENTOS!$B150="VENTA","VENTA "&amp;MOVIMIENTOS!$C150,IF(MOVIMIENTOS!$B150="AJUSTE","AJUSTE inventario ("&amp;MOVIMIENTOS!$C150&amp;")",MOVIMIENTOS!$B150)))))))))),"")</f>
        <v/>
      </c>
      <c r="M151" t="str">
        <f>IF(AND(AND(MOVIMIENTOS!$B150&lt;&gt;"",NOT(AND(MOVIMIENTOS!$B150="PROCESO",MOVIMIENTOS!$C150&lt;&gt;"Chancho")),NOT(AND(MOVIMIENTOS!$B150="SALDO INICIAL",MOVIMIENTOS!$C150="Chancho"))),OR(MOVIMIENTOS!$B150="SALDO INICIAL",MOVIMIENTOS!$B150="COMPRA",MOVIMIENTOS!$B150="REPROCESO",AND(MOVIMIENTOS!$B150="AJUSTE",MOVIMIENTOS!$C150&lt;&gt;"Chancho",N(MOVIMIENTOS!$F150)&gt;=0))),N(MOVIMIENTOS!$F150),"")</f>
        <v/>
      </c>
      <c r="N151" t="str">
        <f>IF(AND(AND(MOVIMIENTOS!$B150&lt;&gt;"",NOT(AND(MOVIMIENTOS!$B150="PROCESO",MOVIMIENTOS!$C150&lt;&gt;"Chancho")),NOT(AND(MOVIMIENTOS!$B150="SALDO INICIAL",MOVIMIENTOS!$C150="Chancho"))),OR(MOVIMIENTOS!$B150="ENVÍO A SUPESA",MOVIMIENTOS!$B150="MALOGRADO",MOVIMIENTOS!$B150="OTRA SALIDA",MOVIMIENTOS!$B150="TRASIEGO",AND(MOVIMIENTOS!$B150="PROCESO",MOVIMIENTOS!$C150="Chancho"),AND(MOVIMIENTOS!$B150="REGALO",MOVIMIENTOS!$C150&lt;&gt;"Chancho"),AND(MOVIMIENTOS!$B150="VENTA",MOVIMIENTOS!$C150&lt;&gt;"Chancho"),AND(MOVIMIENTOS!$B150="AJUSTE",MOVIMIENTOS!$C150&lt;&gt;"Chancho",N(MOVIMIENTOS!$F150)&lt;0))),IF(MOVIMIENTOS!$B150="AJUSTE",-N(MOVIMIENTOS!$F150),N(MOVIMIENTOS!$F150)),"")</f>
        <v/>
      </c>
      <c r="O151" t="str">
        <f>IF(AND(MOVIMIENTOS!$B150&lt;&gt;"",NOT(AND(MOVIMIENTOS!$B150="PROCESO",MOVIMIENTOS!$C150&lt;&gt;"Chancho")),NOT(AND(MOVIMIENTOS!$B150="SALDO INICIAL",MOVIMIENTOS!$C150="Chancho"))),TRIM(IF(MOVIMIENTOS!$G150&lt;&gt;"",IF(MOVIMIENTOS!$B150="ENVÍO A SUPESA","G-"&amp;MOVIMIENTOS!$G150,MOVIMIENTOS!$G150)&amp;"  ","")&amp;IF(N(MOVIMIENTOS!$E150)&gt;0,MOVIMIENTOS!$E150&amp;" "&amp;MOVIMIENTOS!$D150,"")),"")</f>
        <v/>
      </c>
      <c r="P151">
        <f t="shared" si="20"/>
        <v>10124.5</v>
      </c>
    </row>
    <row r="152" spans="1:16" x14ac:dyDescent="0.2">
      <c r="A152" s="7" t="str">
        <f t="shared" si="14"/>
        <v/>
      </c>
      <c r="B152" s="8" t="str">
        <f t="shared" si="15"/>
        <v/>
      </c>
      <c r="C152" s="9" t="str">
        <f t="shared" si="16"/>
        <v/>
      </c>
      <c r="D152" s="9" t="str">
        <f t="shared" si="17"/>
        <v/>
      </c>
      <c r="E152" s="8" t="str">
        <f t="shared" si="18"/>
        <v/>
      </c>
      <c r="F152" s="9" t="str">
        <f t="shared" si="19"/>
        <v/>
      </c>
      <c r="J152" t="str">
        <f>IF(AND(MOVIMIENTOS!$B151&lt;&gt;"",NOT(AND(MOVIMIENTOS!$B151="PROCESO",MOVIMIENTOS!$C151&lt;&gt;"Chancho")),NOT(AND(MOVIMIENTOS!$B151="SALDO INICIAL",MOVIMIENTOS!$C151="Chancho"))),COUNT(J$5:J151)+1,"")</f>
        <v/>
      </c>
      <c r="K152" t="str">
        <f>IF(AND(MOVIMIENTOS!$B151&lt;&gt;"",NOT(AND(MOVIMIENTOS!$B151="PROCESO",MOVIMIENTOS!$C151&lt;&gt;"Chancho")),NOT(AND(MOVIMIENTOS!$B151="SALDO INICIAL",MOVIMIENTOS!$C151="Chancho"))),MOVIMIENTOS!$A151,"")</f>
        <v/>
      </c>
      <c r="L152" t="str">
        <f>IF(AND(MOVIMIENTOS!$B151&lt;&gt;"",NOT(AND(MOVIMIENTOS!$B151="PROCESO",MOVIMIENTOS!$C151&lt;&gt;"Chancho")),NOT(AND(MOVIMIENTOS!$B151="SALDO INICIAL",MOVIMIENTOS!$C151="Chancho"))),IF(MOVIMIENTOS!$B151="SALDO INICIAL","APERTURA ("&amp;MOVIMIENTOS!$C151&amp;")",IF(MOVIMIENTOS!$B151="COMPRA","INGRESO (compra)",IF(MOVIMIENTOS!$B151="PROCESO","CHANCHO (proceso)",IF(MOVIMIENTOS!$B151="ENVÍO A SUPESA","ENVÍO SUPESA cal. "&amp;MOVIMIENTOS!$C151,IF(MOVIMIENTOS!$B151="VENTA CHANCHO","VENTA CHANCHO",IF(MOVIMIENTOS!$B151="DEVOLUCIÓN","DEVOLUCIÓN cal. "&amp;MOVIMIENTOS!$C151,IF(MOVIMIENTOS!$B151="TRASIEGO","TRASIEGO cal. "&amp;MOVIMIENTOS!$C151,IF(MOVIMIENTOS!$B151="REGALO","REGALO "&amp;MOVIMIENTOS!$C151,IF(MOVIMIENTOS!$B151="VENTA","VENTA "&amp;MOVIMIENTOS!$C151,IF(MOVIMIENTOS!$B151="AJUSTE","AJUSTE inventario ("&amp;MOVIMIENTOS!$C151&amp;")",MOVIMIENTOS!$B151)))))))))),"")</f>
        <v/>
      </c>
      <c r="M152" t="str">
        <f>IF(AND(AND(MOVIMIENTOS!$B151&lt;&gt;"",NOT(AND(MOVIMIENTOS!$B151="PROCESO",MOVIMIENTOS!$C151&lt;&gt;"Chancho")),NOT(AND(MOVIMIENTOS!$B151="SALDO INICIAL",MOVIMIENTOS!$C151="Chancho"))),OR(MOVIMIENTOS!$B151="SALDO INICIAL",MOVIMIENTOS!$B151="COMPRA",MOVIMIENTOS!$B151="REPROCESO",AND(MOVIMIENTOS!$B151="AJUSTE",MOVIMIENTOS!$C151&lt;&gt;"Chancho",N(MOVIMIENTOS!$F151)&gt;=0))),N(MOVIMIENTOS!$F151),"")</f>
        <v/>
      </c>
      <c r="N152" t="str">
        <f>IF(AND(AND(MOVIMIENTOS!$B151&lt;&gt;"",NOT(AND(MOVIMIENTOS!$B151="PROCESO",MOVIMIENTOS!$C151&lt;&gt;"Chancho")),NOT(AND(MOVIMIENTOS!$B151="SALDO INICIAL",MOVIMIENTOS!$C151="Chancho"))),OR(MOVIMIENTOS!$B151="ENVÍO A SUPESA",MOVIMIENTOS!$B151="MALOGRADO",MOVIMIENTOS!$B151="OTRA SALIDA",MOVIMIENTOS!$B151="TRASIEGO",AND(MOVIMIENTOS!$B151="PROCESO",MOVIMIENTOS!$C151="Chancho"),AND(MOVIMIENTOS!$B151="REGALO",MOVIMIENTOS!$C151&lt;&gt;"Chancho"),AND(MOVIMIENTOS!$B151="VENTA",MOVIMIENTOS!$C151&lt;&gt;"Chancho"),AND(MOVIMIENTOS!$B151="AJUSTE",MOVIMIENTOS!$C151&lt;&gt;"Chancho",N(MOVIMIENTOS!$F151)&lt;0))),IF(MOVIMIENTOS!$B151="AJUSTE",-N(MOVIMIENTOS!$F151),N(MOVIMIENTOS!$F151)),"")</f>
        <v/>
      </c>
      <c r="O152" t="str">
        <f>IF(AND(MOVIMIENTOS!$B151&lt;&gt;"",NOT(AND(MOVIMIENTOS!$B151="PROCESO",MOVIMIENTOS!$C151&lt;&gt;"Chancho")),NOT(AND(MOVIMIENTOS!$B151="SALDO INICIAL",MOVIMIENTOS!$C151="Chancho"))),TRIM(IF(MOVIMIENTOS!$G151&lt;&gt;"",IF(MOVIMIENTOS!$B151="ENVÍO A SUPESA","G-"&amp;MOVIMIENTOS!$G151,MOVIMIENTOS!$G151)&amp;"  ","")&amp;IF(N(MOVIMIENTOS!$E151)&gt;0,MOVIMIENTOS!$E151&amp;" "&amp;MOVIMIENTOS!$D151,"")),"")</f>
        <v/>
      </c>
      <c r="P152">
        <f t="shared" si="20"/>
        <v>10124.5</v>
      </c>
    </row>
    <row r="153" spans="1:16" x14ac:dyDescent="0.2">
      <c r="A153" s="7" t="str">
        <f t="shared" si="14"/>
        <v/>
      </c>
      <c r="B153" s="8" t="str">
        <f t="shared" si="15"/>
        <v/>
      </c>
      <c r="C153" s="9" t="str">
        <f t="shared" si="16"/>
        <v/>
      </c>
      <c r="D153" s="9" t="str">
        <f t="shared" si="17"/>
        <v/>
      </c>
      <c r="E153" s="8" t="str">
        <f t="shared" si="18"/>
        <v/>
      </c>
      <c r="F153" s="9" t="str">
        <f t="shared" si="19"/>
        <v/>
      </c>
      <c r="J153" t="str">
        <f>IF(AND(MOVIMIENTOS!$B152&lt;&gt;"",NOT(AND(MOVIMIENTOS!$B152="PROCESO",MOVIMIENTOS!$C152&lt;&gt;"Chancho")),NOT(AND(MOVIMIENTOS!$B152="SALDO INICIAL",MOVIMIENTOS!$C152="Chancho"))),COUNT(J$5:J152)+1,"")</f>
        <v/>
      </c>
      <c r="K153" t="str">
        <f>IF(AND(MOVIMIENTOS!$B152&lt;&gt;"",NOT(AND(MOVIMIENTOS!$B152="PROCESO",MOVIMIENTOS!$C152&lt;&gt;"Chancho")),NOT(AND(MOVIMIENTOS!$B152="SALDO INICIAL",MOVIMIENTOS!$C152="Chancho"))),MOVIMIENTOS!$A152,"")</f>
        <v/>
      </c>
      <c r="L153" t="str">
        <f>IF(AND(MOVIMIENTOS!$B152&lt;&gt;"",NOT(AND(MOVIMIENTOS!$B152="PROCESO",MOVIMIENTOS!$C152&lt;&gt;"Chancho")),NOT(AND(MOVIMIENTOS!$B152="SALDO INICIAL",MOVIMIENTOS!$C152="Chancho"))),IF(MOVIMIENTOS!$B152="SALDO INICIAL","APERTURA ("&amp;MOVIMIENTOS!$C152&amp;")",IF(MOVIMIENTOS!$B152="COMPRA","INGRESO (compra)",IF(MOVIMIENTOS!$B152="PROCESO","CHANCHO (proceso)",IF(MOVIMIENTOS!$B152="ENVÍO A SUPESA","ENVÍO SUPESA cal. "&amp;MOVIMIENTOS!$C152,IF(MOVIMIENTOS!$B152="VENTA CHANCHO","VENTA CHANCHO",IF(MOVIMIENTOS!$B152="DEVOLUCIÓN","DEVOLUCIÓN cal. "&amp;MOVIMIENTOS!$C152,IF(MOVIMIENTOS!$B152="TRASIEGO","TRASIEGO cal. "&amp;MOVIMIENTOS!$C152,IF(MOVIMIENTOS!$B152="REGALO","REGALO "&amp;MOVIMIENTOS!$C152,IF(MOVIMIENTOS!$B152="VENTA","VENTA "&amp;MOVIMIENTOS!$C152,IF(MOVIMIENTOS!$B152="AJUSTE","AJUSTE inventario ("&amp;MOVIMIENTOS!$C152&amp;")",MOVIMIENTOS!$B152)))))))))),"")</f>
        <v/>
      </c>
      <c r="M153" t="str">
        <f>IF(AND(AND(MOVIMIENTOS!$B152&lt;&gt;"",NOT(AND(MOVIMIENTOS!$B152="PROCESO",MOVIMIENTOS!$C152&lt;&gt;"Chancho")),NOT(AND(MOVIMIENTOS!$B152="SALDO INICIAL",MOVIMIENTOS!$C152="Chancho"))),OR(MOVIMIENTOS!$B152="SALDO INICIAL",MOVIMIENTOS!$B152="COMPRA",MOVIMIENTOS!$B152="REPROCESO",AND(MOVIMIENTOS!$B152="AJUSTE",MOVIMIENTOS!$C152&lt;&gt;"Chancho",N(MOVIMIENTOS!$F152)&gt;=0))),N(MOVIMIENTOS!$F152),"")</f>
        <v/>
      </c>
      <c r="N153" t="str">
        <f>IF(AND(AND(MOVIMIENTOS!$B152&lt;&gt;"",NOT(AND(MOVIMIENTOS!$B152="PROCESO",MOVIMIENTOS!$C152&lt;&gt;"Chancho")),NOT(AND(MOVIMIENTOS!$B152="SALDO INICIAL",MOVIMIENTOS!$C152="Chancho"))),OR(MOVIMIENTOS!$B152="ENVÍO A SUPESA",MOVIMIENTOS!$B152="MALOGRADO",MOVIMIENTOS!$B152="OTRA SALIDA",MOVIMIENTOS!$B152="TRASIEGO",AND(MOVIMIENTOS!$B152="PROCESO",MOVIMIENTOS!$C152="Chancho"),AND(MOVIMIENTOS!$B152="REGALO",MOVIMIENTOS!$C152&lt;&gt;"Chancho"),AND(MOVIMIENTOS!$B152="VENTA",MOVIMIENTOS!$C152&lt;&gt;"Chancho"),AND(MOVIMIENTOS!$B152="AJUSTE",MOVIMIENTOS!$C152&lt;&gt;"Chancho",N(MOVIMIENTOS!$F152)&lt;0))),IF(MOVIMIENTOS!$B152="AJUSTE",-N(MOVIMIENTOS!$F152),N(MOVIMIENTOS!$F152)),"")</f>
        <v/>
      </c>
      <c r="O153" t="str">
        <f>IF(AND(MOVIMIENTOS!$B152&lt;&gt;"",NOT(AND(MOVIMIENTOS!$B152="PROCESO",MOVIMIENTOS!$C152&lt;&gt;"Chancho")),NOT(AND(MOVIMIENTOS!$B152="SALDO INICIAL",MOVIMIENTOS!$C152="Chancho"))),TRIM(IF(MOVIMIENTOS!$G152&lt;&gt;"",IF(MOVIMIENTOS!$B152="ENVÍO A SUPESA","G-"&amp;MOVIMIENTOS!$G152,MOVIMIENTOS!$G152)&amp;"  ","")&amp;IF(N(MOVIMIENTOS!$E152)&gt;0,MOVIMIENTOS!$E152&amp;" "&amp;MOVIMIENTOS!$D152,"")),"")</f>
        <v/>
      </c>
      <c r="P153">
        <f t="shared" si="20"/>
        <v>10124.5</v>
      </c>
    </row>
    <row r="154" spans="1:16" x14ac:dyDescent="0.2">
      <c r="A154" s="7" t="str">
        <f t="shared" si="14"/>
        <v/>
      </c>
      <c r="B154" s="8" t="str">
        <f t="shared" si="15"/>
        <v/>
      </c>
      <c r="C154" s="9" t="str">
        <f t="shared" si="16"/>
        <v/>
      </c>
      <c r="D154" s="9" t="str">
        <f t="shared" si="17"/>
        <v/>
      </c>
      <c r="E154" s="8" t="str">
        <f t="shared" si="18"/>
        <v/>
      </c>
      <c r="F154" s="9" t="str">
        <f t="shared" si="19"/>
        <v/>
      </c>
      <c r="J154">
        <f>IF(AND(MOVIMIENTOS!$B153&lt;&gt;"",NOT(AND(MOVIMIENTOS!$B153="PROCESO",MOVIMIENTOS!$C153&lt;&gt;"Chancho")),NOT(AND(MOVIMIENTOS!$B153="SALDO INICIAL",MOVIMIENTOS!$C153="Chancho"))),COUNT(J$5:J153)+1,"")</f>
        <v>96</v>
      </c>
      <c r="K154" s="10">
        <f>IF(AND(MOVIMIENTOS!$B153&lt;&gt;"",NOT(AND(MOVIMIENTOS!$B153="PROCESO",MOVIMIENTOS!$C153&lt;&gt;"Chancho")),NOT(AND(MOVIMIENTOS!$B153="SALDO INICIAL",MOVIMIENTOS!$C153="Chancho"))),MOVIMIENTOS!$A153,"")</f>
        <v>46227</v>
      </c>
      <c r="L154" t="str">
        <f>IF(AND(MOVIMIENTOS!$B153&lt;&gt;"",NOT(AND(MOVIMIENTOS!$B153="PROCESO",MOVIMIENTOS!$C153&lt;&gt;"Chancho")),NOT(AND(MOVIMIENTOS!$B153="SALDO INICIAL",MOVIMIENTOS!$C153="Chancho"))),IF(MOVIMIENTOS!$B153="SALDO INICIAL","APERTURA ("&amp;MOVIMIENTOS!$C153&amp;")",IF(MOVIMIENTOS!$B153="COMPRA","INGRESO (compra)",IF(MOVIMIENTOS!$B153="PROCESO","CHANCHO (proceso)",IF(MOVIMIENTOS!$B153="ENVÍO A SUPESA","ENVÍO SUPESA cal. "&amp;MOVIMIENTOS!$C153,IF(MOVIMIENTOS!$B153="VENTA CHANCHO","VENTA CHANCHO",IF(MOVIMIENTOS!$B153="DEVOLUCIÓN","DEVOLUCIÓN cal. "&amp;MOVIMIENTOS!$C153,IF(MOVIMIENTOS!$B153="TRASIEGO","TRASIEGO cal. "&amp;MOVIMIENTOS!$C153,IF(MOVIMIENTOS!$B153="REGALO","REGALO "&amp;MOVIMIENTOS!$C153,IF(MOVIMIENTOS!$B153="VENTA","VENTA "&amp;MOVIMIENTOS!$C153,IF(MOVIMIENTOS!$B153="AJUSTE","AJUSTE inventario ("&amp;MOVIMIENTOS!$C153&amp;")",MOVIMIENTOS!$B153)))))))))),"")</f>
        <v>CHANCHO (proceso)</v>
      </c>
      <c r="M154" t="str">
        <f>IF(AND(AND(MOVIMIENTOS!$B153&lt;&gt;"",NOT(AND(MOVIMIENTOS!$B153="PROCESO",MOVIMIENTOS!$C153&lt;&gt;"Chancho")),NOT(AND(MOVIMIENTOS!$B153="SALDO INICIAL",MOVIMIENTOS!$C153="Chancho"))),OR(MOVIMIENTOS!$B153="SALDO INICIAL",MOVIMIENTOS!$B153="COMPRA",MOVIMIENTOS!$B153="REPROCESO",AND(MOVIMIENTOS!$B153="AJUSTE",MOVIMIENTOS!$C153&lt;&gt;"Chancho",N(MOVIMIENTOS!$F153)&gt;=0))),N(MOVIMIENTOS!$F153),"")</f>
        <v/>
      </c>
      <c r="N154">
        <f>IF(AND(AND(MOVIMIENTOS!$B153&lt;&gt;"",NOT(AND(MOVIMIENTOS!$B153="PROCESO",MOVIMIENTOS!$C153&lt;&gt;"Chancho")),NOT(AND(MOVIMIENTOS!$B153="SALDO INICIAL",MOVIMIENTOS!$C153="Chancho"))),OR(MOVIMIENTOS!$B153="ENVÍO A SUPESA",MOVIMIENTOS!$B153="MALOGRADO",MOVIMIENTOS!$B153="OTRA SALIDA",MOVIMIENTOS!$B153="TRASIEGO",AND(MOVIMIENTOS!$B153="PROCESO",MOVIMIENTOS!$C153="Chancho"),AND(MOVIMIENTOS!$B153="REGALO",MOVIMIENTOS!$C153&lt;&gt;"Chancho"),AND(MOVIMIENTOS!$B153="VENTA",MOVIMIENTOS!$C153&lt;&gt;"Chancho"),AND(MOVIMIENTOS!$B153="AJUSTE",MOVIMIENTOS!$C153&lt;&gt;"Chancho",N(MOVIMIENTOS!$F153)&lt;0))),IF(MOVIMIENTOS!$B153="AJUSTE",-N(MOVIMIENTOS!$F153),N(MOVIMIENTOS!$F153)),"")</f>
        <v>570</v>
      </c>
      <c r="O154" t="str">
        <f>IF(AND(MOVIMIENTOS!$B153&lt;&gt;"",NOT(AND(MOVIMIENTOS!$B153="PROCESO",MOVIMIENTOS!$C153&lt;&gt;"Chancho")),NOT(AND(MOVIMIENTOS!$B153="SALDO INICIAL",MOVIMIENTOS!$C153="Chancho"))),TRIM(IF(MOVIMIENTOS!$G153&lt;&gt;"",IF(MOVIMIENTOS!$B153="ENVÍO A SUPESA","G-"&amp;MOVIMIENTOS!$G153,MOVIMIENTOS!$G153)&amp;"  ","")&amp;IF(N(MOVIMIENTOS!$E153)&gt;0,MOVIMIENTOS!$E153&amp;" "&amp;MOVIMIENTOS!$D153,"")),"")</f>
        <v>6 sacos</v>
      </c>
      <c r="P154">
        <f t="shared" si="20"/>
        <v>9554.5</v>
      </c>
    </row>
    <row r="155" spans="1:16" x14ac:dyDescent="0.2">
      <c r="A155" s="7" t="str">
        <f t="shared" si="14"/>
        <v/>
      </c>
      <c r="B155" s="8" t="str">
        <f t="shared" si="15"/>
        <v/>
      </c>
      <c r="C155" s="9" t="str">
        <f t="shared" si="16"/>
        <v/>
      </c>
      <c r="D155" s="9" t="str">
        <f t="shared" si="17"/>
        <v/>
      </c>
      <c r="E155" s="8" t="str">
        <f t="shared" si="18"/>
        <v/>
      </c>
      <c r="F155" s="9" t="str">
        <f t="shared" si="19"/>
        <v/>
      </c>
      <c r="J155">
        <f>IF(AND(MOVIMIENTOS!$B154&lt;&gt;"",NOT(AND(MOVIMIENTOS!$B154="PROCESO",MOVIMIENTOS!$C154&lt;&gt;"Chancho")),NOT(AND(MOVIMIENTOS!$B154="SALDO INICIAL",MOVIMIENTOS!$C154="Chancho"))),COUNT(J$5:J154)+1,"")</f>
        <v>97</v>
      </c>
      <c r="K155" s="10">
        <f>IF(AND(MOVIMIENTOS!$B154&lt;&gt;"",NOT(AND(MOVIMIENTOS!$B154="PROCESO",MOVIMIENTOS!$C154&lt;&gt;"Chancho")),NOT(AND(MOVIMIENTOS!$B154="SALDO INICIAL",MOVIMIENTOS!$C154="Chancho"))),MOVIMIENTOS!$A154,"")</f>
        <v>46227</v>
      </c>
      <c r="L155" t="str">
        <f>IF(AND(MOVIMIENTOS!$B154&lt;&gt;"",NOT(AND(MOVIMIENTOS!$B154="PROCESO",MOVIMIENTOS!$C154&lt;&gt;"Chancho")),NOT(AND(MOVIMIENTOS!$B154="SALDO INICIAL",MOVIMIENTOS!$C154="Chancho"))),IF(MOVIMIENTOS!$B154="SALDO INICIAL","APERTURA ("&amp;MOVIMIENTOS!$C154&amp;")",IF(MOVIMIENTOS!$B154="COMPRA","INGRESO (compra)",IF(MOVIMIENTOS!$B154="PROCESO","CHANCHO (proceso)",IF(MOVIMIENTOS!$B154="ENVÍO A SUPESA","ENVÍO SUPESA cal. "&amp;MOVIMIENTOS!$C154,IF(MOVIMIENTOS!$B154="VENTA CHANCHO","VENTA CHANCHO",IF(MOVIMIENTOS!$B154="DEVOLUCIÓN","DEVOLUCIÓN cal. "&amp;MOVIMIENTOS!$C154,IF(MOVIMIENTOS!$B154="TRASIEGO","TRASIEGO cal. "&amp;MOVIMIENTOS!$C154,IF(MOVIMIENTOS!$B154="REGALO","REGALO "&amp;MOVIMIENTOS!$C154,IF(MOVIMIENTOS!$B154="VENTA","VENTA "&amp;MOVIMIENTOS!$C154,IF(MOVIMIENTOS!$B154="AJUSTE","AJUSTE inventario ("&amp;MOVIMIENTOS!$C154&amp;")",MOVIMIENTOS!$B154)))))))))),"")</f>
        <v>ENVÍO SUPESA cal. A</v>
      </c>
      <c r="M155" t="str">
        <f>IF(AND(AND(MOVIMIENTOS!$B154&lt;&gt;"",NOT(AND(MOVIMIENTOS!$B154="PROCESO",MOVIMIENTOS!$C154&lt;&gt;"Chancho")),NOT(AND(MOVIMIENTOS!$B154="SALDO INICIAL",MOVIMIENTOS!$C154="Chancho"))),OR(MOVIMIENTOS!$B154="SALDO INICIAL",MOVIMIENTOS!$B154="COMPRA",MOVIMIENTOS!$B154="REPROCESO",AND(MOVIMIENTOS!$B154="AJUSTE",MOVIMIENTOS!$C154&lt;&gt;"Chancho",N(MOVIMIENTOS!$F154)&gt;=0))),N(MOVIMIENTOS!$F154),"")</f>
        <v/>
      </c>
      <c r="N155">
        <f>IF(AND(AND(MOVIMIENTOS!$B154&lt;&gt;"",NOT(AND(MOVIMIENTOS!$B154="PROCESO",MOVIMIENTOS!$C154&lt;&gt;"Chancho")),NOT(AND(MOVIMIENTOS!$B154="SALDO INICIAL",MOVIMIENTOS!$C154="Chancho"))),OR(MOVIMIENTOS!$B154="ENVÍO A SUPESA",MOVIMIENTOS!$B154="MALOGRADO",MOVIMIENTOS!$B154="OTRA SALIDA",MOVIMIENTOS!$B154="TRASIEGO",AND(MOVIMIENTOS!$B154="PROCESO",MOVIMIENTOS!$C154="Chancho"),AND(MOVIMIENTOS!$B154="REGALO",MOVIMIENTOS!$C154&lt;&gt;"Chancho"),AND(MOVIMIENTOS!$B154="VENTA",MOVIMIENTOS!$C154&lt;&gt;"Chancho"),AND(MOVIMIENTOS!$B154="AJUSTE",MOVIMIENTOS!$C154&lt;&gt;"Chancho",N(MOVIMIENTOS!$F154)&lt;0))),IF(MOVIMIENTOS!$B154="AJUSTE",-N(MOVIMIENTOS!$F154),N(MOVIMIENTOS!$F154)),"")</f>
        <v>1005</v>
      </c>
      <c r="O155" t="str">
        <f>IF(AND(MOVIMIENTOS!$B154&lt;&gt;"",NOT(AND(MOVIMIENTOS!$B154="PROCESO",MOVIMIENTOS!$C154&lt;&gt;"Chancho")),NOT(AND(MOVIMIENTOS!$B154="SALDO INICIAL",MOVIMIENTOS!$C154="Chancho"))),TRIM(IF(MOVIMIENTOS!$G154&lt;&gt;"",IF(MOVIMIENTOS!$B154="ENVÍO A SUPESA","G-"&amp;MOVIMIENTOS!$G154,MOVIMIENTOS!$G154)&amp;"  ","")&amp;IF(N(MOVIMIENTOS!$E154)&gt;0,MOVIMIENTOS!$E154&amp;" "&amp;MOVIMIENTOS!$D154,"")),"")</f>
        <v>G-3011 67 jabas</v>
      </c>
      <c r="P155">
        <f t="shared" si="20"/>
        <v>8549.5</v>
      </c>
    </row>
    <row r="156" spans="1:16" x14ac:dyDescent="0.2">
      <c r="A156" s="7" t="str">
        <f t="shared" si="14"/>
        <v/>
      </c>
      <c r="B156" s="8" t="str">
        <f t="shared" si="15"/>
        <v/>
      </c>
      <c r="C156" s="9" t="str">
        <f t="shared" si="16"/>
        <v/>
      </c>
      <c r="D156" s="9" t="str">
        <f t="shared" si="17"/>
        <v/>
      </c>
      <c r="E156" s="8" t="str">
        <f t="shared" si="18"/>
        <v/>
      </c>
      <c r="F156" s="9" t="str">
        <f t="shared" si="19"/>
        <v/>
      </c>
      <c r="J156">
        <f>IF(AND(MOVIMIENTOS!$B155&lt;&gt;"",NOT(AND(MOVIMIENTOS!$B155="PROCESO",MOVIMIENTOS!$C155&lt;&gt;"Chancho")),NOT(AND(MOVIMIENTOS!$B155="SALDO INICIAL",MOVIMIENTOS!$C155="Chancho"))),COUNT(J$5:J155)+1,"")</f>
        <v>98</v>
      </c>
      <c r="K156" s="10">
        <f>IF(AND(MOVIMIENTOS!$B155&lt;&gt;"",NOT(AND(MOVIMIENTOS!$B155="PROCESO",MOVIMIENTOS!$C155&lt;&gt;"Chancho")),NOT(AND(MOVIMIENTOS!$B155="SALDO INICIAL",MOVIMIENTOS!$C155="Chancho"))),MOVIMIENTOS!$A155,"")</f>
        <v>46227</v>
      </c>
      <c r="L156" t="str">
        <f>IF(AND(MOVIMIENTOS!$B155&lt;&gt;"",NOT(AND(MOVIMIENTOS!$B155="PROCESO",MOVIMIENTOS!$C155&lt;&gt;"Chancho")),NOT(AND(MOVIMIENTOS!$B155="SALDO INICIAL",MOVIMIENTOS!$C155="Chancho"))),IF(MOVIMIENTOS!$B155="SALDO INICIAL","APERTURA ("&amp;MOVIMIENTOS!$C155&amp;")",IF(MOVIMIENTOS!$B155="COMPRA","INGRESO (compra)",IF(MOVIMIENTOS!$B155="PROCESO","CHANCHO (proceso)",IF(MOVIMIENTOS!$B155="ENVÍO A SUPESA","ENVÍO SUPESA cal. "&amp;MOVIMIENTOS!$C155,IF(MOVIMIENTOS!$B155="VENTA CHANCHO","VENTA CHANCHO",IF(MOVIMIENTOS!$B155="DEVOLUCIÓN","DEVOLUCIÓN cal. "&amp;MOVIMIENTOS!$C155,IF(MOVIMIENTOS!$B155="TRASIEGO","TRASIEGO cal. "&amp;MOVIMIENTOS!$C155,IF(MOVIMIENTOS!$B155="REGALO","REGALO "&amp;MOVIMIENTOS!$C155,IF(MOVIMIENTOS!$B155="VENTA","VENTA "&amp;MOVIMIENTOS!$C155,IF(MOVIMIENTOS!$B155="AJUSTE","AJUSTE inventario ("&amp;MOVIMIENTOS!$C155&amp;")",MOVIMIENTOS!$B155)))))))))),"")</f>
        <v>ENVÍO SUPESA cal. P</v>
      </c>
      <c r="M156" t="str">
        <f>IF(AND(AND(MOVIMIENTOS!$B155&lt;&gt;"",NOT(AND(MOVIMIENTOS!$B155="PROCESO",MOVIMIENTOS!$C155&lt;&gt;"Chancho")),NOT(AND(MOVIMIENTOS!$B155="SALDO INICIAL",MOVIMIENTOS!$C155="Chancho"))),OR(MOVIMIENTOS!$B155="SALDO INICIAL",MOVIMIENTOS!$B155="COMPRA",MOVIMIENTOS!$B155="REPROCESO",AND(MOVIMIENTOS!$B155="AJUSTE",MOVIMIENTOS!$C155&lt;&gt;"Chancho",N(MOVIMIENTOS!$F155)&gt;=0))),N(MOVIMIENTOS!$F155),"")</f>
        <v/>
      </c>
      <c r="N156">
        <f>IF(AND(AND(MOVIMIENTOS!$B155&lt;&gt;"",NOT(AND(MOVIMIENTOS!$B155="PROCESO",MOVIMIENTOS!$C155&lt;&gt;"Chancho")),NOT(AND(MOVIMIENTOS!$B155="SALDO INICIAL",MOVIMIENTOS!$C155="Chancho"))),OR(MOVIMIENTOS!$B155="ENVÍO A SUPESA",MOVIMIENTOS!$B155="MALOGRADO",MOVIMIENTOS!$B155="OTRA SALIDA",MOVIMIENTOS!$B155="TRASIEGO",AND(MOVIMIENTOS!$B155="PROCESO",MOVIMIENTOS!$C155="Chancho"),AND(MOVIMIENTOS!$B155="REGALO",MOVIMIENTOS!$C155&lt;&gt;"Chancho"),AND(MOVIMIENTOS!$B155="VENTA",MOVIMIENTOS!$C155&lt;&gt;"Chancho"),AND(MOVIMIENTOS!$B155="AJUSTE",MOVIMIENTOS!$C155&lt;&gt;"Chancho",N(MOVIMIENTOS!$F155)&lt;0))),IF(MOVIMIENTOS!$B155="AJUSTE",-N(MOVIMIENTOS!$F155),N(MOVIMIENTOS!$F155)),"")</f>
        <v>198</v>
      </c>
      <c r="O156" t="str">
        <f>IF(AND(MOVIMIENTOS!$B155&lt;&gt;"",NOT(AND(MOVIMIENTOS!$B155="PROCESO",MOVIMIENTOS!$C155&lt;&gt;"Chancho")),NOT(AND(MOVIMIENTOS!$B155="SALDO INICIAL",MOVIMIENTOS!$C155="Chancho"))),TRIM(IF(MOVIMIENTOS!$G155&lt;&gt;"",IF(MOVIMIENTOS!$B155="ENVÍO A SUPESA","G-"&amp;MOVIMIENTOS!$G155,MOVIMIENTOS!$G155)&amp;"  ","")&amp;IF(N(MOVIMIENTOS!$E155)&gt;0,MOVIMIENTOS!$E155&amp;" "&amp;MOVIMIENTOS!$D155,"")),"")</f>
        <v>G-3011 11 jabas</v>
      </c>
      <c r="P156">
        <f t="shared" si="20"/>
        <v>8351.5</v>
      </c>
    </row>
    <row r="157" spans="1:16" x14ac:dyDescent="0.2">
      <c r="A157" s="7" t="str">
        <f t="shared" si="14"/>
        <v/>
      </c>
      <c r="B157" s="8" t="str">
        <f t="shared" si="15"/>
        <v/>
      </c>
      <c r="C157" s="9" t="str">
        <f t="shared" si="16"/>
        <v/>
      </c>
      <c r="D157" s="9" t="str">
        <f t="shared" si="17"/>
        <v/>
      </c>
      <c r="E157" s="8" t="str">
        <f t="shared" si="18"/>
        <v/>
      </c>
      <c r="F157" s="9" t="str">
        <f t="shared" si="19"/>
        <v/>
      </c>
      <c r="J157">
        <f>IF(AND(MOVIMIENTOS!$B156&lt;&gt;"",NOT(AND(MOVIMIENTOS!$B156="PROCESO",MOVIMIENTOS!$C156&lt;&gt;"Chancho")),NOT(AND(MOVIMIENTOS!$B156="SALDO INICIAL",MOVIMIENTOS!$C156="Chancho"))),COUNT(J$5:J156)+1,"")</f>
        <v>99</v>
      </c>
      <c r="K157" s="10">
        <f>IF(AND(MOVIMIENTOS!$B156&lt;&gt;"",NOT(AND(MOVIMIENTOS!$B156="PROCESO",MOVIMIENTOS!$C156&lt;&gt;"Chancho")),NOT(AND(MOVIMIENTOS!$B156="SALDO INICIAL",MOVIMIENTOS!$C156="Chancho"))),MOVIMIENTOS!$A156,"")</f>
        <v>46227</v>
      </c>
      <c r="L157" t="str">
        <f>IF(AND(MOVIMIENTOS!$B156&lt;&gt;"",NOT(AND(MOVIMIENTOS!$B156="PROCESO",MOVIMIENTOS!$C156&lt;&gt;"Chancho")),NOT(AND(MOVIMIENTOS!$B156="SALDO INICIAL",MOVIMIENTOS!$C156="Chancho"))),IF(MOVIMIENTOS!$B156="SALDO INICIAL","APERTURA ("&amp;MOVIMIENTOS!$C156&amp;")",IF(MOVIMIENTOS!$B156="COMPRA","INGRESO (compra)",IF(MOVIMIENTOS!$B156="PROCESO","CHANCHO (proceso)",IF(MOVIMIENTOS!$B156="ENVÍO A SUPESA","ENVÍO SUPESA cal. "&amp;MOVIMIENTOS!$C156,IF(MOVIMIENTOS!$B156="VENTA CHANCHO","VENTA CHANCHO",IF(MOVIMIENTOS!$B156="DEVOLUCIÓN","DEVOLUCIÓN cal. "&amp;MOVIMIENTOS!$C156,IF(MOVIMIENTOS!$B156="TRASIEGO","TRASIEGO cal. "&amp;MOVIMIENTOS!$C156,IF(MOVIMIENTOS!$B156="REGALO","REGALO "&amp;MOVIMIENTOS!$C156,IF(MOVIMIENTOS!$B156="VENTA","VENTA "&amp;MOVIMIENTOS!$C156,IF(MOVIMIENTOS!$B156="AJUSTE","AJUSTE inventario ("&amp;MOVIMIENTOS!$C156&amp;")",MOVIMIENTOS!$B156)))))))))),"")</f>
        <v>ENVÍO SUPESA cal. C</v>
      </c>
      <c r="M157" t="str">
        <f>IF(AND(AND(MOVIMIENTOS!$B156&lt;&gt;"",NOT(AND(MOVIMIENTOS!$B156="PROCESO",MOVIMIENTOS!$C156&lt;&gt;"Chancho")),NOT(AND(MOVIMIENTOS!$B156="SALDO INICIAL",MOVIMIENTOS!$C156="Chancho"))),OR(MOVIMIENTOS!$B156="SALDO INICIAL",MOVIMIENTOS!$B156="COMPRA",MOVIMIENTOS!$B156="REPROCESO",AND(MOVIMIENTOS!$B156="AJUSTE",MOVIMIENTOS!$C156&lt;&gt;"Chancho",N(MOVIMIENTOS!$F156)&gt;=0))),N(MOVIMIENTOS!$F156),"")</f>
        <v/>
      </c>
      <c r="N157">
        <f>IF(AND(AND(MOVIMIENTOS!$B156&lt;&gt;"",NOT(AND(MOVIMIENTOS!$B156="PROCESO",MOVIMIENTOS!$C156&lt;&gt;"Chancho")),NOT(AND(MOVIMIENTOS!$B156="SALDO INICIAL",MOVIMIENTOS!$C156="Chancho"))),OR(MOVIMIENTOS!$B156="ENVÍO A SUPESA",MOVIMIENTOS!$B156="MALOGRADO",MOVIMIENTOS!$B156="OTRA SALIDA",MOVIMIENTOS!$B156="TRASIEGO",AND(MOVIMIENTOS!$B156="PROCESO",MOVIMIENTOS!$C156="Chancho"),AND(MOVIMIENTOS!$B156="REGALO",MOVIMIENTOS!$C156&lt;&gt;"Chancho"),AND(MOVIMIENTOS!$B156="VENTA",MOVIMIENTOS!$C156&lt;&gt;"Chancho"),AND(MOVIMIENTOS!$B156="AJUSTE",MOVIMIENTOS!$C156&lt;&gt;"Chancho",N(MOVIMIENTOS!$F156)&lt;0))),IF(MOVIMIENTOS!$B156="AJUSTE",-N(MOVIMIENTOS!$F156),N(MOVIMIENTOS!$F156)),"")</f>
        <v>204</v>
      </c>
      <c r="O157" t="str">
        <f>IF(AND(MOVIMIENTOS!$B156&lt;&gt;"",NOT(AND(MOVIMIENTOS!$B156="PROCESO",MOVIMIENTOS!$C156&lt;&gt;"Chancho")),NOT(AND(MOVIMIENTOS!$B156="SALDO INICIAL",MOVIMIENTOS!$C156="Chancho"))),TRIM(IF(MOVIMIENTOS!$G156&lt;&gt;"",IF(MOVIMIENTOS!$B156="ENVÍO A SUPESA","G-"&amp;MOVIMIENTOS!$G156,MOVIMIENTOS!$G156)&amp;"  ","")&amp;IF(N(MOVIMIENTOS!$E156)&gt;0,MOVIMIENTOS!$E156&amp;" "&amp;MOVIMIENTOS!$D156,"")),"")</f>
        <v>G-3011 12 jabas</v>
      </c>
      <c r="P157">
        <f t="shared" si="20"/>
        <v>8147.5</v>
      </c>
    </row>
    <row r="158" spans="1:16" x14ac:dyDescent="0.2">
      <c r="A158" s="7" t="str">
        <f t="shared" si="14"/>
        <v/>
      </c>
      <c r="B158" s="8" t="str">
        <f t="shared" si="15"/>
        <v/>
      </c>
      <c r="C158" s="9" t="str">
        <f t="shared" si="16"/>
        <v/>
      </c>
      <c r="D158" s="9" t="str">
        <f t="shared" si="17"/>
        <v/>
      </c>
      <c r="E158" s="8" t="str">
        <f t="shared" si="18"/>
        <v/>
      </c>
      <c r="F158" s="9" t="str">
        <f t="shared" si="19"/>
        <v/>
      </c>
      <c r="J158">
        <f>IF(AND(MOVIMIENTOS!$B157&lt;&gt;"",NOT(AND(MOVIMIENTOS!$B157="PROCESO",MOVIMIENTOS!$C157&lt;&gt;"Chancho")),NOT(AND(MOVIMIENTOS!$B157="SALDO INICIAL",MOVIMIENTOS!$C157="Chancho"))),COUNT(J$5:J157)+1,"")</f>
        <v>100</v>
      </c>
      <c r="K158" s="10">
        <f>IF(AND(MOVIMIENTOS!$B157&lt;&gt;"",NOT(AND(MOVIMIENTOS!$B157="PROCESO",MOVIMIENTOS!$C157&lt;&gt;"Chancho")),NOT(AND(MOVIMIENTOS!$B157="SALDO INICIAL",MOVIMIENTOS!$C157="Chancho"))),MOVIMIENTOS!$A157,"")</f>
        <v>46227</v>
      </c>
      <c r="L158" t="str">
        <f>IF(AND(MOVIMIENTOS!$B157&lt;&gt;"",NOT(AND(MOVIMIENTOS!$B157="PROCESO",MOVIMIENTOS!$C157&lt;&gt;"Chancho")),NOT(AND(MOVIMIENTOS!$B157="SALDO INICIAL",MOVIMIENTOS!$C157="Chancho"))),IF(MOVIMIENTOS!$B157="SALDO INICIAL","APERTURA ("&amp;MOVIMIENTOS!$C157&amp;")",IF(MOVIMIENTOS!$B157="COMPRA","INGRESO (compra)",IF(MOVIMIENTOS!$B157="PROCESO","CHANCHO (proceso)",IF(MOVIMIENTOS!$B157="ENVÍO A SUPESA","ENVÍO SUPESA cal. "&amp;MOVIMIENTOS!$C157,IF(MOVIMIENTOS!$B157="VENTA CHANCHO","VENTA CHANCHO",IF(MOVIMIENTOS!$B157="DEVOLUCIÓN","DEVOLUCIÓN cal. "&amp;MOVIMIENTOS!$C157,IF(MOVIMIENTOS!$B157="TRASIEGO","TRASIEGO cal. "&amp;MOVIMIENTOS!$C157,IF(MOVIMIENTOS!$B157="REGALO","REGALO "&amp;MOVIMIENTOS!$C157,IF(MOVIMIENTOS!$B157="VENTA","VENTA "&amp;MOVIMIENTOS!$C157,IF(MOVIMIENTOS!$B157="AJUSTE","AJUSTE inventario ("&amp;MOVIMIENTOS!$C157&amp;")",MOVIMIENTOS!$B157)))))))))),"")</f>
        <v>ENVÍO SUPESA cal. M</v>
      </c>
      <c r="M158" t="str">
        <f>IF(AND(AND(MOVIMIENTOS!$B157&lt;&gt;"",NOT(AND(MOVIMIENTOS!$B157="PROCESO",MOVIMIENTOS!$C157&lt;&gt;"Chancho")),NOT(AND(MOVIMIENTOS!$B157="SALDO INICIAL",MOVIMIENTOS!$C157="Chancho"))),OR(MOVIMIENTOS!$B157="SALDO INICIAL",MOVIMIENTOS!$B157="COMPRA",MOVIMIENTOS!$B157="REPROCESO",AND(MOVIMIENTOS!$B157="AJUSTE",MOVIMIENTOS!$C157&lt;&gt;"Chancho",N(MOVIMIENTOS!$F157)&gt;=0))),N(MOVIMIENTOS!$F157),"")</f>
        <v/>
      </c>
      <c r="N158">
        <f>IF(AND(AND(MOVIMIENTOS!$B157&lt;&gt;"",NOT(AND(MOVIMIENTOS!$B157="PROCESO",MOVIMIENTOS!$C157&lt;&gt;"Chancho")),NOT(AND(MOVIMIENTOS!$B157="SALDO INICIAL",MOVIMIENTOS!$C157="Chancho"))),OR(MOVIMIENTOS!$B157="ENVÍO A SUPESA",MOVIMIENTOS!$B157="MALOGRADO",MOVIMIENTOS!$B157="OTRA SALIDA",MOVIMIENTOS!$B157="TRASIEGO",AND(MOVIMIENTOS!$B157="PROCESO",MOVIMIENTOS!$C157="Chancho"),AND(MOVIMIENTOS!$B157="REGALO",MOVIMIENTOS!$C157&lt;&gt;"Chancho"),AND(MOVIMIENTOS!$B157="VENTA",MOVIMIENTOS!$C157&lt;&gt;"Chancho"),AND(MOVIMIENTOS!$B157="AJUSTE",MOVIMIENTOS!$C157&lt;&gt;"Chancho",N(MOVIMIENTOS!$F157)&lt;0))),IF(MOVIMIENTOS!$B157="AJUSTE",-N(MOVIMIENTOS!$F157),N(MOVIMIENTOS!$F157)),"")</f>
        <v>2006</v>
      </c>
      <c r="O158" t="str">
        <f>IF(AND(MOVIMIENTOS!$B157&lt;&gt;"",NOT(AND(MOVIMIENTOS!$B157="PROCESO",MOVIMIENTOS!$C157&lt;&gt;"Chancho")),NOT(AND(MOVIMIENTOS!$B157="SALDO INICIAL",MOVIMIENTOS!$C157="Chancho"))),TRIM(IF(MOVIMIENTOS!$G157&lt;&gt;"",IF(MOVIMIENTOS!$B157="ENVÍO A SUPESA","G-"&amp;MOVIMIENTOS!$G157,MOVIMIENTOS!$G157)&amp;"  ","")&amp;IF(N(MOVIMIENTOS!$E157)&gt;0,MOVIMIENTOS!$E157&amp;" "&amp;MOVIMIENTOS!$D157,"")),"")</f>
        <v>G-3011 118 jabas</v>
      </c>
      <c r="P158">
        <f t="shared" si="20"/>
        <v>6141.5</v>
      </c>
    </row>
    <row r="159" spans="1:16" x14ac:dyDescent="0.2">
      <c r="A159" s="7" t="str">
        <f t="shared" si="14"/>
        <v/>
      </c>
      <c r="B159" s="8" t="str">
        <f t="shared" si="15"/>
        <v/>
      </c>
      <c r="C159" s="9" t="str">
        <f t="shared" si="16"/>
        <v/>
      </c>
      <c r="D159" s="9" t="str">
        <f t="shared" si="17"/>
        <v/>
      </c>
      <c r="E159" s="8" t="str">
        <f t="shared" si="18"/>
        <v/>
      </c>
      <c r="F159" s="9" t="str">
        <f t="shared" si="19"/>
        <v/>
      </c>
      <c r="J159">
        <f>IF(AND(MOVIMIENTOS!$B158&lt;&gt;"",NOT(AND(MOVIMIENTOS!$B158="PROCESO",MOVIMIENTOS!$C158&lt;&gt;"Chancho")),NOT(AND(MOVIMIENTOS!$B158="SALDO INICIAL",MOVIMIENTOS!$C158="Chancho"))),COUNT(J$5:J158)+1,"")</f>
        <v>101</v>
      </c>
      <c r="K159" s="10">
        <f>IF(AND(MOVIMIENTOS!$B158&lt;&gt;"",NOT(AND(MOVIMIENTOS!$B158="PROCESO",MOVIMIENTOS!$C158&lt;&gt;"Chancho")),NOT(AND(MOVIMIENTOS!$B158="SALDO INICIAL",MOVIMIENTOS!$C158="Chancho"))),MOVIMIENTOS!$A158,"")</f>
        <v>46227</v>
      </c>
      <c r="L159" t="str">
        <f>IF(AND(MOVIMIENTOS!$B158&lt;&gt;"",NOT(AND(MOVIMIENTOS!$B158="PROCESO",MOVIMIENTOS!$C158&lt;&gt;"Chancho")),NOT(AND(MOVIMIENTOS!$B158="SALDO INICIAL",MOVIMIENTOS!$C158="Chancho"))),IF(MOVIMIENTOS!$B158="SALDO INICIAL","APERTURA ("&amp;MOVIMIENTOS!$C158&amp;")",IF(MOVIMIENTOS!$B158="COMPRA","INGRESO (compra)",IF(MOVIMIENTOS!$B158="PROCESO","CHANCHO (proceso)",IF(MOVIMIENTOS!$B158="ENVÍO A SUPESA","ENVÍO SUPESA cal. "&amp;MOVIMIENTOS!$C158,IF(MOVIMIENTOS!$B158="VENTA CHANCHO","VENTA CHANCHO",IF(MOVIMIENTOS!$B158="DEVOLUCIÓN","DEVOLUCIÓN cal. "&amp;MOVIMIENTOS!$C158,IF(MOVIMIENTOS!$B158="TRASIEGO","TRASIEGO cal. "&amp;MOVIMIENTOS!$C158,IF(MOVIMIENTOS!$B158="REGALO","REGALO "&amp;MOVIMIENTOS!$C158,IF(MOVIMIENTOS!$B158="VENTA","VENTA "&amp;MOVIMIENTOS!$C158,IF(MOVIMIENTOS!$B158="AJUSTE","AJUSTE inventario ("&amp;MOVIMIENTOS!$C158&amp;")",MOVIMIENTOS!$B158)))))))))),"")</f>
        <v>VENTA CHANCHO</v>
      </c>
      <c r="M159" t="str">
        <f>IF(AND(AND(MOVIMIENTOS!$B158&lt;&gt;"",NOT(AND(MOVIMIENTOS!$B158="PROCESO",MOVIMIENTOS!$C158&lt;&gt;"Chancho")),NOT(AND(MOVIMIENTOS!$B158="SALDO INICIAL",MOVIMIENTOS!$C158="Chancho"))),OR(MOVIMIENTOS!$B158="SALDO INICIAL",MOVIMIENTOS!$B158="COMPRA",MOVIMIENTOS!$B158="REPROCESO",AND(MOVIMIENTOS!$B158="AJUSTE",MOVIMIENTOS!$C158&lt;&gt;"Chancho",N(MOVIMIENTOS!$F158)&gt;=0))),N(MOVIMIENTOS!$F158),"")</f>
        <v/>
      </c>
      <c r="N159" t="str">
        <f>IF(AND(AND(MOVIMIENTOS!$B158&lt;&gt;"",NOT(AND(MOVIMIENTOS!$B158="PROCESO",MOVIMIENTOS!$C158&lt;&gt;"Chancho")),NOT(AND(MOVIMIENTOS!$B158="SALDO INICIAL",MOVIMIENTOS!$C158="Chancho"))),OR(MOVIMIENTOS!$B158="ENVÍO A SUPESA",MOVIMIENTOS!$B158="MALOGRADO",MOVIMIENTOS!$B158="OTRA SALIDA",MOVIMIENTOS!$B158="TRASIEGO",AND(MOVIMIENTOS!$B158="PROCESO",MOVIMIENTOS!$C158="Chancho"),AND(MOVIMIENTOS!$B158="REGALO",MOVIMIENTOS!$C158&lt;&gt;"Chancho"),AND(MOVIMIENTOS!$B158="VENTA",MOVIMIENTOS!$C158&lt;&gt;"Chancho"),AND(MOVIMIENTOS!$B158="AJUSTE",MOVIMIENTOS!$C158&lt;&gt;"Chancho",N(MOVIMIENTOS!$F158)&lt;0))),IF(MOVIMIENTOS!$B158="AJUSTE",-N(MOVIMIENTOS!$F158),N(MOVIMIENTOS!$F158)),"")</f>
        <v/>
      </c>
      <c r="O159" t="str">
        <f>IF(AND(MOVIMIENTOS!$B158&lt;&gt;"",NOT(AND(MOVIMIENTOS!$B158="PROCESO",MOVIMIENTOS!$C158&lt;&gt;"Chancho")),NOT(AND(MOVIMIENTOS!$B158="SALDO INICIAL",MOVIMIENTOS!$C158="Chancho"))),TRIM(IF(MOVIMIENTOS!$G158&lt;&gt;"",IF(MOVIMIENTOS!$B158="ENVÍO A SUPESA","G-"&amp;MOVIMIENTOS!$G158,MOVIMIENTOS!$G158)&amp;"  ","")&amp;IF(N(MOVIMIENTOS!$E158)&gt;0,MOVIMIENTOS!$E158&amp;" "&amp;MOVIMIENTOS!$D158,"")),"")</f>
        <v>TCK002-729 9 sacos</v>
      </c>
      <c r="P159">
        <f t="shared" si="20"/>
        <v>6141.5</v>
      </c>
    </row>
    <row r="160" spans="1:16" x14ac:dyDescent="0.2">
      <c r="A160" s="7" t="str">
        <f t="shared" si="14"/>
        <v/>
      </c>
      <c r="B160" s="8" t="str">
        <f t="shared" si="15"/>
        <v/>
      </c>
      <c r="C160" s="9" t="str">
        <f t="shared" si="16"/>
        <v/>
      </c>
      <c r="D160" s="9" t="str">
        <f t="shared" si="17"/>
        <v/>
      </c>
      <c r="E160" s="8" t="str">
        <f t="shared" si="18"/>
        <v/>
      </c>
      <c r="F160" s="9" t="str">
        <f t="shared" si="19"/>
        <v/>
      </c>
      <c r="J160">
        <f>IF(AND(MOVIMIENTOS!$B159&lt;&gt;"",NOT(AND(MOVIMIENTOS!$B159="PROCESO",MOVIMIENTOS!$C159&lt;&gt;"Chancho")),NOT(AND(MOVIMIENTOS!$B159="SALDO INICIAL",MOVIMIENTOS!$C159="Chancho"))),COUNT(J$5:J159)+1,"")</f>
        <v>102</v>
      </c>
      <c r="K160" s="10">
        <f>IF(AND(MOVIMIENTOS!$B159&lt;&gt;"",NOT(AND(MOVIMIENTOS!$B159="PROCESO",MOVIMIENTOS!$C159&lt;&gt;"Chancho")),NOT(AND(MOVIMIENTOS!$B159="SALDO INICIAL",MOVIMIENTOS!$C159="Chancho"))),MOVIMIENTOS!$A159,"")</f>
        <v>46227</v>
      </c>
      <c r="L160" t="str">
        <f>IF(AND(MOVIMIENTOS!$B159&lt;&gt;"",NOT(AND(MOVIMIENTOS!$B159="PROCESO",MOVIMIENTOS!$C159&lt;&gt;"Chancho")),NOT(AND(MOVIMIENTOS!$B159="SALDO INICIAL",MOVIMIENTOS!$C159="Chancho"))),IF(MOVIMIENTOS!$B159="SALDO INICIAL","APERTURA ("&amp;MOVIMIENTOS!$C159&amp;")",IF(MOVIMIENTOS!$B159="COMPRA","INGRESO (compra)",IF(MOVIMIENTOS!$B159="PROCESO","CHANCHO (proceso)",IF(MOVIMIENTOS!$B159="ENVÍO A SUPESA","ENVÍO SUPESA cal. "&amp;MOVIMIENTOS!$C159,IF(MOVIMIENTOS!$B159="VENTA CHANCHO","VENTA CHANCHO",IF(MOVIMIENTOS!$B159="DEVOLUCIÓN","DEVOLUCIÓN cal. "&amp;MOVIMIENTOS!$C159,IF(MOVIMIENTOS!$B159="TRASIEGO","TRASIEGO cal. "&amp;MOVIMIENTOS!$C159,IF(MOVIMIENTOS!$B159="REGALO","REGALO "&amp;MOVIMIENTOS!$C159,IF(MOVIMIENTOS!$B159="VENTA","VENTA "&amp;MOVIMIENTOS!$C159,IF(MOVIMIENTOS!$B159="AJUSTE","AJUSTE inventario ("&amp;MOVIMIENTOS!$C159&amp;")",MOVIMIENTOS!$B159)))))))))),"")</f>
        <v>AJUSTE inventario (A)</v>
      </c>
      <c r="M160">
        <f>IF(AND(AND(MOVIMIENTOS!$B159&lt;&gt;"",NOT(AND(MOVIMIENTOS!$B159="PROCESO",MOVIMIENTOS!$C159&lt;&gt;"Chancho")),NOT(AND(MOVIMIENTOS!$B159="SALDO INICIAL",MOVIMIENTOS!$C159="Chancho"))),OR(MOVIMIENTOS!$B159="SALDO INICIAL",MOVIMIENTOS!$B159="COMPRA",MOVIMIENTOS!$B159="REPROCESO",AND(MOVIMIENTOS!$B159="AJUSTE",MOVIMIENTOS!$C159&lt;&gt;"Chancho",N(MOVIMIENTOS!$F159)&gt;=0))),N(MOVIMIENTOS!$F159),"")</f>
        <v>45</v>
      </c>
      <c r="N160" t="str">
        <f>IF(AND(AND(MOVIMIENTOS!$B159&lt;&gt;"",NOT(AND(MOVIMIENTOS!$B159="PROCESO",MOVIMIENTOS!$C159&lt;&gt;"Chancho")),NOT(AND(MOVIMIENTOS!$B159="SALDO INICIAL",MOVIMIENTOS!$C159="Chancho"))),OR(MOVIMIENTOS!$B159="ENVÍO A SUPESA",MOVIMIENTOS!$B159="MALOGRADO",MOVIMIENTOS!$B159="OTRA SALIDA",MOVIMIENTOS!$B159="TRASIEGO",AND(MOVIMIENTOS!$B159="PROCESO",MOVIMIENTOS!$C159="Chancho"),AND(MOVIMIENTOS!$B159="REGALO",MOVIMIENTOS!$C159&lt;&gt;"Chancho"),AND(MOVIMIENTOS!$B159="VENTA",MOVIMIENTOS!$C159&lt;&gt;"Chancho"),AND(MOVIMIENTOS!$B159="AJUSTE",MOVIMIENTOS!$C159&lt;&gt;"Chancho",N(MOVIMIENTOS!$F159)&lt;0))),IF(MOVIMIENTOS!$B159="AJUSTE",-N(MOVIMIENTOS!$F159),N(MOVIMIENTOS!$F159)),"")</f>
        <v/>
      </c>
      <c r="O160" t="str">
        <f>IF(AND(MOVIMIENTOS!$B159&lt;&gt;"",NOT(AND(MOVIMIENTOS!$B159="PROCESO",MOVIMIENTOS!$C159&lt;&gt;"Chancho")),NOT(AND(MOVIMIENTOS!$B159="SALDO INICIAL",MOVIMIENTOS!$C159="Chancho"))),TRIM(IF(MOVIMIENTOS!$G159&lt;&gt;"",IF(MOVIMIENTOS!$B159="ENVÍO A SUPESA","G-"&amp;MOVIMIENTOS!$G159,MOVIMIENTOS!$G159)&amp;"  ","")&amp;IF(N(MOVIMIENTOS!$E159)&gt;0,MOVIMIENTOS!$E159&amp;" "&amp;MOVIMIENTOS!$D159,"")),"")</f>
        <v>3 jabas</v>
      </c>
      <c r="P160">
        <f t="shared" si="20"/>
        <v>6186.5</v>
      </c>
    </row>
    <row r="161" spans="1:16" x14ac:dyDescent="0.2">
      <c r="A161" s="7" t="str">
        <f t="shared" si="14"/>
        <v/>
      </c>
      <c r="B161" s="8" t="str">
        <f t="shared" si="15"/>
        <v/>
      </c>
      <c r="C161" s="9" t="str">
        <f t="shared" si="16"/>
        <v/>
      </c>
      <c r="D161" s="9" t="str">
        <f t="shared" si="17"/>
        <v/>
      </c>
      <c r="E161" s="8" t="str">
        <f t="shared" si="18"/>
        <v/>
      </c>
      <c r="F161" s="9" t="str">
        <f t="shared" si="19"/>
        <v/>
      </c>
      <c r="J161">
        <f>IF(AND(MOVIMIENTOS!$B160&lt;&gt;"",NOT(AND(MOVIMIENTOS!$B160="PROCESO",MOVIMIENTOS!$C160&lt;&gt;"Chancho")),NOT(AND(MOVIMIENTOS!$B160="SALDO INICIAL",MOVIMIENTOS!$C160="Chancho"))),COUNT(J$5:J160)+1,"")</f>
        <v>103</v>
      </c>
      <c r="K161" s="10">
        <f>IF(AND(MOVIMIENTOS!$B160&lt;&gt;"",NOT(AND(MOVIMIENTOS!$B160="PROCESO",MOVIMIENTOS!$C160&lt;&gt;"Chancho")),NOT(AND(MOVIMIENTOS!$B160="SALDO INICIAL",MOVIMIENTOS!$C160="Chancho"))),MOVIMIENTOS!$A160,"")</f>
        <v>46227</v>
      </c>
      <c r="L161" t="str">
        <f>IF(AND(MOVIMIENTOS!$B160&lt;&gt;"",NOT(AND(MOVIMIENTOS!$B160="PROCESO",MOVIMIENTOS!$C160&lt;&gt;"Chancho")),NOT(AND(MOVIMIENTOS!$B160="SALDO INICIAL",MOVIMIENTOS!$C160="Chancho"))),IF(MOVIMIENTOS!$B160="SALDO INICIAL","APERTURA ("&amp;MOVIMIENTOS!$C160&amp;")",IF(MOVIMIENTOS!$B160="COMPRA","INGRESO (compra)",IF(MOVIMIENTOS!$B160="PROCESO","CHANCHO (proceso)",IF(MOVIMIENTOS!$B160="ENVÍO A SUPESA","ENVÍO SUPESA cal. "&amp;MOVIMIENTOS!$C160,IF(MOVIMIENTOS!$B160="VENTA CHANCHO","VENTA CHANCHO",IF(MOVIMIENTOS!$B160="DEVOLUCIÓN","DEVOLUCIÓN cal. "&amp;MOVIMIENTOS!$C160,IF(MOVIMIENTOS!$B160="TRASIEGO","TRASIEGO cal. "&amp;MOVIMIENTOS!$C160,IF(MOVIMIENTOS!$B160="REGALO","REGALO "&amp;MOVIMIENTOS!$C160,IF(MOVIMIENTOS!$B160="VENTA","VENTA "&amp;MOVIMIENTOS!$C160,IF(MOVIMIENTOS!$B160="AJUSTE","AJUSTE inventario ("&amp;MOVIMIENTOS!$C160&amp;")",MOVIMIENTOS!$B160)))))))))),"")</f>
        <v>VENTA CHANCHO</v>
      </c>
      <c r="M161" t="str">
        <f>IF(AND(AND(MOVIMIENTOS!$B160&lt;&gt;"",NOT(AND(MOVIMIENTOS!$B160="PROCESO",MOVIMIENTOS!$C160&lt;&gt;"Chancho")),NOT(AND(MOVIMIENTOS!$B160="SALDO INICIAL",MOVIMIENTOS!$C160="Chancho"))),OR(MOVIMIENTOS!$B160="SALDO INICIAL",MOVIMIENTOS!$B160="COMPRA",MOVIMIENTOS!$B160="REPROCESO",AND(MOVIMIENTOS!$B160="AJUSTE",MOVIMIENTOS!$C160&lt;&gt;"Chancho",N(MOVIMIENTOS!$F160)&gt;=0))),N(MOVIMIENTOS!$F160),"")</f>
        <v/>
      </c>
      <c r="N161" t="str">
        <f>IF(AND(AND(MOVIMIENTOS!$B160&lt;&gt;"",NOT(AND(MOVIMIENTOS!$B160="PROCESO",MOVIMIENTOS!$C160&lt;&gt;"Chancho")),NOT(AND(MOVIMIENTOS!$B160="SALDO INICIAL",MOVIMIENTOS!$C160="Chancho"))),OR(MOVIMIENTOS!$B160="ENVÍO A SUPESA",MOVIMIENTOS!$B160="MALOGRADO",MOVIMIENTOS!$B160="OTRA SALIDA",MOVIMIENTOS!$B160="TRASIEGO",AND(MOVIMIENTOS!$B160="PROCESO",MOVIMIENTOS!$C160="Chancho"),AND(MOVIMIENTOS!$B160="REGALO",MOVIMIENTOS!$C160&lt;&gt;"Chancho"),AND(MOVIMIENTOS!$B160="VENTA",MOVIMIENTOS!$C160&lt;&gt;"Chancho"),AND(MOVIMIENTOS!$B160="AJUSTE",MOVIMIENTOS!$C160&lt;&gt;"Chancho",N(MOVIMIENTOS!$F160)&lt;0))),IF(MOVIMIENTOS!$B160="AJUSTE",-N(MOVIMIENTOS!$F160),N(MOVIMIENTOS!$F160)),"")</f>
        <v/>
      </c>
      <c r="O161" t="str">
        <f>IF(AND(MOVIMIENTOS!$B160&lt;&gt;"",NOT(AND(MOVIMIENTOS!$B160="PROCESO",MOVIMIENTOS!$C160&lt;&gt;"Chancho")),NOT(AND(MOVIMIENTOS!$B160="SALDO INICIAL",MOVIMIENTOS!$C160="Chancho"))),TRIM(IF(MOVIMIENTOS!$G160&lt;&gt;"",IF(MOVIMIENTOS!$B160="ENVÍO A SUPESA","G-"&amp;MOVIMIENTOS!$G160,MOVIMIENTOS!$G160)&amp;"  ","")&amp;IF(N(MOVIMIENTOS!$E160)&gt;0,MOVIMIENTOS!$E160&amp;" "&amp;MOVIMIENTOS!$D160,"")),"")</f>
        <v>1 sacos</v>
      </c>
      <c r="P161">
        <f t="shared" si="20"/>
        <v>6186.5</v>
      </c>
    </row>
    <row r="162" spans="1:16" x14ac:dyDescent="0.2">
      <c r="A162" s="7" t="str">
        <f t="shared" si="14"/>
        <v/>
      </c>
      <c r="B162" s="8" t="str">
        <f t="shared" si="15"/>
        <v/>
      </c>
      <c r="C162" s="9" t="str">
        <f t="shared" si="16"/>
        <v/>
      </c>
      <c r="D162" s="9" t="str">
        <f t="shared" si="17"/>
        <v/>
      </c>
      <c r="E162" s="8" t="str">
        <f t="shared" si="18"/>
        <v/>
      </c>
      <c r="F162" s="9" t="str">
        <f t="shared" si="19"/>
        <v/>
      </c>
      <c r="J162">
        <f>IF(AND(MOVIMIENTOS!$B161&lt;&gt;"",NOT(AND(MOVIMIENTOS!$B161="PROCESO",MOVIMIENTOS!$C161&lt;&gt;"Chancho")),NOT(AND(MOVIMIENTOS!$B161="SALDO INICIAL",MOVIMIENTOS!$C161="Chancho"))),COUNT(J$5:J161)+1,"")</f>
        <v>104</v>
      </c>
      <c r="K162">
        <f>IF(AND(MOVIMIENTOS!$B161&lt;&gt;"",NOT(AND(MOVIMIENTOS!$B161="PROCESO",MOVIMIENTOS!$C161&lt;&gt;"Chancho")),NOT(AND(MOVIMIENTOS!$B161="SALDO INICIAL",MOVIMIENTOS!$C161="Chancho"))),MOVIMIENTOS!$A161,"")</f>
        <v>46227</v>
      </c>
      <c r="L162" t="str">
        <f>IF(AND(MOVIMIENTOS!$B161&lt;&gt;"",NOT(AND(MOVIMIENTOS!$B161="PROCESO",MOVIMIENTOS!$C161&lt;&gt;"Chancho")),NOT(AND(MOVIMIENTOS!$B161="SALDO INICIAL",MOVIMIENTOS!$C161="Chancho"))),IF(MOVIMIENTOS!$B161="SALDO INICIAL","APERTURA ("&amp;MOVIMIENTOS!$C161&amp;")",IF(MOVIMIENTOS!$B161="COMPRA","INGRESO (compra)",IF(MOVIMIENTOS!$B161="PROCESO","CHANCHO (proceso)",IF(MOVIMIENTOS!$B161="ENVÍO A SUPESA","ENVÍO SUPESA cal. "&amp;MOVIMIENTOS!$C161,IF(MOVIMIENTOS!$B161="VENTA CHANCHO","VENTA CHANCHO",IF(MOVIMIENTOS!$B161="DEVOLUCIÓN","DEVOLUCIÓN cal. "&amp;MOVIMIENTOS!$C161,IF(MOVIMIENTOS!$B161="TRASIEGO","TRASIEGO cal. "&amp;MOVIMIENTOS!$C161,IF(MOVIMIENTOS!$B161="REGALO","REGALO "&amp;MOVIMIENTOS!$C161,IF(MOVIMIENTOS!$B161="VENTA","VENTA "&amp;MOVIMIENTOS!$C161,IF(MOVIMIENTOS!$B161="AJUSTE","AJUSTE inventario ("&amp;MOVIMIENTOS!$C161&amp;")",MOVIMIENTOS!$B161)))))))))),"")</f>
        <v>ENVÍO SUPESA cal. Primera</v>
      </c>
      <c r="M162" t="str">
        <f>IF(AND(AND(MOVIMIENTOS!$B161&lt;&gt;"",NOT(AND(MOVIMIENTOS!$B161="PROCESO",MOVIMIENTOS!$C161&lt;&gt;"Chancho")),NOT(AND(MOVIMIENTOS!$B161="SALDO INICIAL",MOVIMIENTOS!$C161="Chancho"))),OR(MOVIMIENTOS!$B161="SALDO INICIAL",MOVIMIENTOS!$B161="COMPRA",MOVIMIENTOS!$B161="REPROCESO",AND(MOVIMIENTOS!$B161="AJUSTE",MOVIMIENTOS!$C161&lt;&gt;"Chancho",N(MOVIMIENTOS!$F161)&gt;=0))),N(MOVIMIENTOS!$F161),"")</f>
        <v/>
      </c>
      <c r="N162">
        <f>IF(AND(AND(MOVIMIENTOS!$B161&lt;&gt;"",NOT(AND(MOVIMIENTOS!$B161="PROCESO",MOVIMIENTOS!$C161&lt;&gt;"Chancho")),NOT(AND(MOVIMIENTOS!$B161="SALDO INICIAL",MOVIMIENTOS!$C161="Chancho"))),OR(MOVIMIENTOS!$B161="ENVÍO A SUPESA",MOVIMIENTOS!$B161="MALOGRADO",MOVIMIENTOS!$B161="OTRA SALIDA",MOVIMIENTOS!$B161="TRASIEGO",AND(MOVIMIENTOS!$B161="PROCESO",MOVIMIENTOS!$C161="Chancho"),AND(MOVIMIENTOS!$B161="REGALO",MOVIMIENTOS!$C161&lt;&gt;"Chancho"),AND(MOVIMIENTOS!$B161="VENTA",MOVIMIENTOS!$C161&lt;&gt;"Chancho"),AND(MOVIMIENTOS!$B161="AJUSTE",MOVIMIENTOS!$C161&lt;&gt;"Chancho",N(MOVIMIENTOS!$F161)&lt;0))),IF(MOVIMIENTOS!$B161="AJUSTE",-N(MOVIMIENTOS!$F161),N(MOVIMIENTOS!$F161)),"")</f>
        <v>48</v>
      </c>
      <c r="O162" t="str">
        <f>IF(AND(MOVIMIENTOS!$B161&lt;&gt;"",NOT(AND(MOVIMIENTOS!$B161="PROCESO",MOVIMIENTOS!$C161&lt;&gt;"Chancho")),NOT(AND(MOVIMIENTOS!$B161="SALDO INICIAL",MOVIMIENTOS!$C161="Chancho"))),TRIM(IF(MOVIMIENTOS!$G161&lt;&gt;"",IF(MOVIMIENTOS!$B161="ENVÍO A SUPESA","G-"&amp;MOVIMIENTOS!$G161,MOVIMIENTOS!$G161)&amp;"  ","")&amp;IF(N(MOVIMIENTOS!$E161)&gt;0,MOVIMIENTOS!$E161&amp;" "&amp;MOVIMIENTOS!$D161,"")),"")</f>
        <v>48 kg</v>
      </c>
      <c r="P162">
        <f t="shared" si="20"/>
        <v>6138.5</v>
      </c>
    </row>
    <row r="163" spans="1:16" x14ac:dyDescent="0.2">
      <c r="A163" s="7" t="str">
        <f t="shared" si="14"/>
        <v/>
      </c>
      <c r="B163" s="8" t="str">
        <f t="shared" si="15"/>
        <v/>
      </c>
      <c r="C163" s="9" t="str">
        <f t="shared" si="16"/>
        <v/>
      </c>
      <c r="D163" s="9" t="str">
        <f t="shared" si="17"/>
        <v/>
      </c>
      <c r="E163" s="8" t="str">
        <f t="shared" si="18"/>
        <v/>
      </c>
      <c r="F163" s="9" t="str">
        <f t="shared" si="19"/>
        <v/>
      </c>
      <c r="J163" t="str">
        <f>IF(AND(MOVIMIENTOS!$B162&lt;&gt;"",NOT(AND(MOVIMIENTOS!$B162="PROCESO",MOVIMIENTOS!$C162&lt;&gt;"Chancho")),NOT(AND(MOVIMIENTOS!$B162="SALDO INICIAL",MOVIMIENTOS!$C162="Chancho"))),COUNT(J$5:J162)+1,"")</f>
        <v/>
      </c>
      <c r="K163" t="str">
        <f>IF(AND(MOVIMIENTOS!$B162&lt;&gt;"",NOT(AND(MOVIMIENTOS!$B162="PROCESO",MOVIMIENTOS!$C162&lt;&gt;"Chancho")),NOT(AND(MOVIMIENTOS!$B162="SALDO INICIAL",MOVIMIENTOS!$C162="Chancho"))),MOVIMIENTOS!$A162,"")</f>
        <v/>
      </c>
      <c r="L163" t="str">
        <f>IF(AND(MOVIMIENTOS!$B162&lt;&gt;"",NOT(AND(MOVIMIENTOS!$B162="PROCESO",MOVIMIENTOS!$C162&lt;&gt;"Chancho")),NOT(AND(MOVIMIENTOS!$B162="SALDO INICIAL",MOVIMIENTOS!$C162="Chancho"))),IF(MOVIMIENTOS!$B162="SALDO INICIAL","APERTURA ("&amp;MOVIMIENTOS!$C162&amp;")",IF(MOVIMIENTOS!$B162="COMPRA","INGRESO (compra)",IF(MOVIMIENTOS!$B162="PROCESO","CHANCHO (proceso)",IF(MOVIMIENTOS!$B162="ENVÍO A SUPESA","ENVÍO SUPESA cal. "&amp;MOVIMIENTOS!$C162,IF(MOVIMIENTOS!$B162="VENTA CHANCHO","VENTA CHANCHO",IF(MOVIMIENTOS!$B162="DEVOLUCIÓN","DEVOLUCIÓN cal. "&amp;MOVIMIENTOS!$C162,IF(MOVIMIENTOS!$B162="TRASIEGO","TRASIEGO cal. "&amp;MOVIMIENTOS!$C162,IF(MOVIMIENTOS!$B162="REGALO","REGALO "&amp;MOVIMIENTOS!$C162,IF(MOVIMIENTOS!$B162="VENTA","VENTA "&amp;MOVIMIENTOS!$C162,IF(MOVIMIENTOS!$B162="AJUSTE","AJUSTE inventario ("&amp;MOVIMIENTOS!$C162&amp;")",MOVIMIENTOS!$B162)))))))))),"")</f>
        <v/>
      </c>
      <c r="M163" t="str">
        <f>IF(AND(AND(MOVIMIENTOS!$B162&lt;&gt;"",NOT(AND(MOVIMIENTOS!$B162="PROCESO",MOVIMIENTOS!$C162&lt;&gt;"Chancho")),NOT(AND(MOVIMIENTOS!$B162="SALDO INICIAL",MOVIMIENTOS!$C162="Chancho"))),OR(MOVIMIENTOS!$B162="SALDO INICIAL",MOVIMIENTOS!$B162="COMPRA",MOVIMIENTOS!$B162="REPROCESO",AND(MOVIMIENTOS!$B162="AJUSTE",MOVIMIENTOS!$C162&lt;&gt;"Chancho",N(MOVIMIENTOS!$F162)&gt;=0))),N(MOVIMIENTOS!$F162),"")</f>
        <v/>
      </c>
      <c r="N163" t="str">
        <f>IF(AND(AND(MOVIMIENTOS!$B162&lt;&gt;"",NOT(AND(MOVIMIENTOS!$B162="PROCESO",MOVIMIENTOS!$C162&lt;&gt;"Chancho")),NOT(AND(MOVIMIENTOS!$B162="SALDO INICIAL",MOVIMIENTOS!$C162="Chancho"))),OR(MOVIMIENTOS!$B162="ENVÍO A SUPESA",MOVIMIENTOS!$B162="MALOGRADO",MOVIMIENTOS!$B162="OTRA SALIDA",MOVIMIENTOS!$B162="TRASIEGO",AND(MOVIMIENTOS!$B162="PROCESO",MOVIMIENTOS!$C162="Chancho"),AND(MOVIMIENTOS!$B162="REGALO",MOVIMIENTOS!$C162&lt;&gt;"Chancho"),AND(MOVIMIENTOS!$B162="VENTA",MOVIMIENTOS!$C162&lt;&gt;"Chancho"),AND(MOVIMIENTOS!$B162="AJUSTE",MOVIMIENTOS!$C162&lt;&gt;"Chancho",N(MOVIMIENTOS!$F162)&lt;0))),IF(MOVIMIENTOS!$B162="AJUSTE",-N(MOVIMIENTOS!$F162),N(MOVIMIENTOS!$F162)),"")</f>
        <v/>
      </c>
      <c r="O163" t="str">
        <f>IF(AND(MOVIMIENTOS!$B162&lt;&gt;"",NOT(AND(MOVIMIENTOS!$B162="PROCESO",MOVIMIENTOS!$C162&lt;&gt;"Chancho")),NOT(AND(MOVIMIENTOS!$B162="SALDO INICIAL",MOVIMIENTOS!$C162="Chancho"))),TRIM(IF(MOVIMIENTOS!$G162&lt;&gt;"",IF(MOVIMIENTOS!$B162="ENVÍO A SUPESA","G-"&amp;MOVIMIENTOS!$G162,MOVIMIENTOS!$G162)&amp;"  ","")&amp;IF(N(MOVIMIENTOS!$E162)&gt;0,MOVIMIENTOS!$E162&amp;" "&amp;MOVIMIENTOS!$D162,"")),"")</f>
        <v/>
      </c>
      <c r="P163">
        <f t="shared" si="20"/>
        <v>6138.5</v>
      </c>
    </row>
    <row r="164" spans="1:16" x14ac:dyDescent="0.2">
      <c r="A164" s="7" t="str">
        <f t="shared" si="14"/>
        <v/>
      </c>
      <c r="B164" s="8" t="str">
        <f t="shared" si="15"/>
        <v/>
      </c>
      <c r="C164" s="9" t="str">
        <f t="shared" si="16"/>
        <v/>
      </c>
      <c r="D164" s="9" t="str">
        <f t="shared" si="17"/>
        <v/>
      </c>
      <c r="E164" s="8" t="str">
        <f t="shared" si="18"/>
        <v/>
      </c>
      <c r="F164" s="9" t="str">
        <f t="shared" si="19"/>
        <v/>
      </c>
      <c r="J164" t="str">
        <f>IF(AND(MOVIMIENTOS!$B163&lt;&gt;"",NOT(AND(MOVIMIENTOS!$B163="PROCESO",MOVIMIENTOS!$C163&lt;&gt;"Chancho")),NOT(AND(MOVIMIENTOS!$B163="SALDO INICIAL",MOVIMIENTOS!$C163="Chancho"))),COUNT(J$5:J163)+1,"")</f>
        <v/>
      </c>
      <c r="K164" t="str">
        <f>IF(AND(MOVIMIENTOS!$B163&lt;&gt;"",NOT(AND(MOVIMIENTOS!$B163="PROCESO",MOVIMIENTOS!$C163&lt;&gt;"Chancho")),NOT(AND(MOVIMIENTOS!$B163="SALDO INICIAL",MOVIMIENTOS!$C163="Chancho"))),MOVIMIENTOS!$A163,"")</f>
        <v/>
      </c>
      <c r="L164" t="str">
        <f>IF(AND(MOVIMIENTOS!$B163&lt;&gt;"",NOT(AND(MOVIMIENTOS!$B163="PROCESO",MOVIMIENTOS!$C163&lt;&gt;"Chancho")),NOT(AND(MOVIMIENTOS!$B163="SALDO INICIAL",MOVIMIENTOS!$C163="Chancho"))),IF(MOVIMIENTOS!$B163="SALDO INICIAL","APERTURA ("&amp;MOVIMIENTOS!$C163&amp;")",IF(MOVIMIENTOS!$B163="COMPRA","INGRESO (compra)",IF(MOVIMIENTOS!$B163="PROCESO","CHANCHO (proceso)",IF(MOVIMIENTOS!$B163="ENVÍO A SUPESA","ENVÍO SUPESA cal. "&amp;MOVIMIENTOS!$C163,IF(MOVIMIENTOS!$B163="VENTA CHANCHO","VENTA CHANCHO",IF(MOVIMIENTOS!$B163="DEVOLUCIÓN","DEVOLUCIÓN cal. "&amp;MOVIMIENTOS!$C163,IF(MOVIMIENTOS!$B163="TRASIEGO","TRASIEGO cal. "&amp;MOVIMIENTOS!$C163,IF(MOVIMIENTOS!$B163="REGALO","REGALO "&amp;MOVIMIENTOS!$C163,IF(MOVIMIENTOS!$B163="VENTA","VENTA "&amp;MOVIMIENTOS!$C163,IF(MOVIMIENTOS!$B163="AJUSTE","AJUSTE inventario ("&amp;MOVIMIENTOS!$C163&amp;")",MOVIMIENTOS!$B163)))))))))),"")</f>
        <v/>
      </c>
      <c r="M164" t="str">
        <f>IF(AND(AND(MOVIMIENTOS!$B163&lt;&gt;"",NOT(AND(MOVIMIENTOS!$B163="PROCESO",MOVIMIENTOS!$C163&lt;&gt;"Chancho")),NOT(AND(MOVIMIENTOS!$B163="SALDO INICIAL",MOVIMIENTOS!$C163="Chancho"))),OR(MOVIMIENTOS!$B163="SALDO INICIAL",MOVIMIENTOS!$B163="COMPRA",MOVIMIENTOS!$B163="REPROCESO",AND(MOVIMIENTOS!$B163="AJUSTE",MOVIMIENTOS!$C163&lt;&gt;"Chancho",N(MOVIMIENTOS!$F163)&gt;=0))),N(MOVIMIENTOS!$F163),"")</f>
        <v/>
      </c>
      <c r="N164" t="str">
        <f>IF(AND(AND(MOVIMIENTOS!$B163&lt;&gt;"",NOT(AND(MOVIMIENTOS!$B163="PROCESO",MOVIMIENTOS!$C163&lt;&gt;"Chancho")),NOT(AND(MOVIMIENTOS!$B163="SALDO INICIAL",MOVIMIENTOS!$C163="Chancho"))),OR(MOVIMIENTOS!$B163="ENVÍO A SUPESA",MOVIMIENTOS!$B163="MALOGRADO",MOVIMIENTOS!$B163="OTRA SALIDA",MOVIMIENTOS!$B163="TRASIEGO",AND(MOVIMIENTOS!$B163="PROCESO",MOVIMIENTOS!$C163="Chancho"),AND(MOVIMIENTOS!$B163="REGALO",MOVIMIENTOS!$C163&lt;&gt;"Chancho"),AND(MOVIMIENTOS!$B163="VENTA",MOVIMIENTOS!$C163&lt;&gt;"Chancho"),AND(MOVIMIENTOS!$B163="AJUSTE",MOVIMIENTOS!$C163&lt;&gt;"Chancho",N(MOVIMIENTOS!$F163)&lt;0))),IF(MOVIMIENTOS!$B163="AJUSTE",-N(MOVIMIENTOS!$F163),N(MOVIMIENTOS!$F163)),"")</f>
        <v/>
      </c>
      <c r="O164" t="str">
        <f>IF(AND(MOVIMIENTOS!$B163&lt;&gt;"",NOT(AND(MOVIMIENTOS!$B163="PROCESO",MOVIMIENTOS!$C163&lt;&gt;"Chancho")),NOT(AND(MOVIMIENTOS!$B163="SALDO INICIAL",MOVIMIENTOS!$C163="Chancho"))),TRIM(IF(MOVIMIENTOS!$G163&lt;&gt;"",IF(MOVIMIENTOS!$B163="ENVÍO A SUPESA","G-"&amp;MOVIMIENTOS!$G163,MOVIMIENTOS!$G163)&amp;"  ","")&amp;IF(N(MOVIMIENTOS!$E163)&gt;0,MOVIMIENTOS!$E163&amp;" "&amp;MOVIMIENTOS!$D163,"")),"")</f>
        <v/>
      </c>
      <c r="P164">
        <f t="shared" si="20"/>
        <v>6138.5</v>
      </c>
    </row>
    <row r="165" spans="1:16" x14ac:dyDescent="0.2">
      <c r="A165" s="7" t="str">
        <f t="shared" si="14"/>
        <v/>
      </c>
      <c r="B165" s="8" t="str">
        <f t="shared" si="15"/>
        <v/>
      </c>
      <c r="C165" s="9" t="str">
        <f t="shared" si="16"/>
        <v/>
      </c>
      <c r="D165" s="9" t="str">
        <f t="shared" si="17"/>
        <v/>
      </c>
      <c r="E165" s="8" t="str">
        <f t="shared" si="18"/>
        <v/>
      </c>
      <c r="F165" s="9" t="str">
        <f t="shared" si="19"/>
        <v/>
      </c>
      <c r="J165" t="str">
        <f>IF(AND(MOVIMIENTOS!$B164&lt;&gt;"",NOT(AND(MOVIMIENTOS!$B164="PROCESO",MOVIMIENTOS!$C164&lt;&gt;"Chancho")),NOT(AND(MOVIMIENTOS!$B164="SALDO INICIAL",MOVIMIENTOS!$C164="Chancho"))),COUNT(J$5:J164)+1,"")</f>
        <v/>
      </c>
      <c r="K165" t="str">
        <f>IF(AND(MOVIMIENTOS!$B164&lt;&gt;"",NOT(AND(MOVIMIENTOS!$B164="PROCESO",MOVIMIENTOS!$C164&lt;&gt;"Chancho")),NOT(AND(MOVIMIENTOS!$B164="SALDO INICIAL",MOVIMIENTOS!$C164="Chancho"))),MOVIMIENTOS!$A164,"")</f>
        <v/>
      </c>
      <c r="L165" t="str">
        <f>IF(AND(MOVIMIENTOS!$B164&lt;&gt;"",NOT(AND(MOVIMIENTOS!$B164="PROCESO",MOVIMIENTOS!$C164&lt;&gt;"Chancho")),NOT(AND(MOVIMIENTOS!$B164="SALDO INICIAL",MOVIMIENTOS!$C164="Chancho"))),IF(MOVIMIENTOS!$B164="SALDO INICIAL","APERTURA ("&amp;MOVIMIENTOS!$C164&amp;")",IF(MOVIMIENTOS!$B164="COMPRA","INGRESO (compra)",IF(MOVIMIENTOS!$B164="PROCESO","CHANCHO (proceso)",IF(MOVIMIENTOS!$B164="ENVÍO A SUPESA","ENVÍO SUPESA cal. "&amp;MOVIMIENTOS!$C164,IF(MOVIMIENTOS!$B164="VENTA CHANCHO","VENTA CHANCHO",IF(MOVIMIENTOS!$B164="DEVOLUCIÓN","DEVOLUCIÓN cal. "&amp;MOVIMIENTOS!$C164,IF(MOVIMIENTOS!$B164="TRASIEGO","TRASIEGO cal. "&amp;MOVIMIENTOS!$C164,IF(MOVIMIENTOS!$B164="REGALO","REGALO "&amp;MOVIMIENTOS!$C164,IF(MOVIMIENTOS!$B164="VENTA","VENTA "&amp;MOVIMIENTOS!$C164,IF(MOVIMIENTOS!$B164="AJUSTE","AJUSTE inventario ("&amp;MOVIMIENTOS!$C164&amp;")",MOVIMIENTOS!$B164)))))))))),"")</f>
        <v/>
      </c>
      <c r="M165" t="str">
        <f>IF(AND(AND(MOVIMIENTOS!$B164&lt;&gt;"",NOT(AND(MOVIMIENTOS!$B164="PROCESO",MOVIMIENTOS!$C164&lt;&gt;"Chancho")),NOT(AND(MOVIMIENTOS!$B164="SALDO INICIAL",MOVIMIENTOS!$C164="Chancho"))),OR(MOVIMIENTOS!$B164="SALDO INICIAL",MOVIMIENTOS!$B164="COMPRA",MOVIMIENTOS!$B164="REPROCESO",AND(MOVIMIENTOS!$B164="AJUSTE",MOVIMIENTOS!$C164&lt;&gt;"Chancho",N(MOVIMIENTOS!$F164)&gt;=0))),N(MOVIMIENTOS!$F164),"")</f>
        <v/>
      </c>
      <c r="N165" t="str">
        <f>IF(AND(AND(MOVIMIENTOS!$B164&lt;&gt;"",NOT(AND(MOVIMIENTOS!$B164="PROCESO",MOVIMIENTOS!$C164&lt;&gt;"Chancho")),NOT(AND(MOVIMIENTOS!$B164="SALDO INICIAL",MOVIMIENTOS!$C164="Chancho"))),OR(MOVIMIENTOS!$B164="ENVÍO A SUPESA",MOVIMIENTOS!$B164="MALOGRADO",MOVIMIENTOS!$B164="OTRA SALIDA",MOVIMIENTOS!$B164="TRASIEGO",AND(MOVIMIENTOS!$B164="PROCESO",MOVIMIENTOS!$C164="Chancho"),AND(MOVIMIENTOS!$B164="REGALO",MOVIMIENTOS!$C164&lt;&gt;"Chancho"),AND(MOVIMIENTOS!$B164="VENTA",MOVIMIENTOS!$C164&lt;&gt;"Chancho"),AND(MOVIMIENTOS!$B164="AJUSTE",MOVIMIENTOS!$C164&lt;&gt;"Chancho",N(MOVIMIENTOS!$F164)&lt;0))),IF(MOVIMIENTOS!$B164="AJUSTE",-N(MOVIMIENTOS!$F164),N(MOVIMIENTOS!$F164)),"")</f>
        <v/>
      </c>
      <c r="O165" t="str">
        <f>IF(AND(MOVIMIENTOS!$B164&lt;&gt;"",NOT(AND(MOVIMIENTOS!$B164="PROCESO",MOVIMIENTOS!$C164&lt;&gt;"Chancho")),NOT(AND(MOVIMIENTOS!$B164="SALDO INICIAL",MOVIMIENTOS!$C164="Chancho"))),TRIM(IF(MOVIMIENTOS!$G164&lt;&gt;"",IF(MOVIMIENTOS!$B164="ENVÍO A SUPESA","G-"&amp;MOVIMIENTOS!$G164,MOVIMIENTOS!$G164)&amp;"  ","")&amp;IF(N(MOVIMIENTOS!$E164)&gt;0,MOVIMIENTOS!$E164&amp;" "&amp;MOVIMIENTOS!$D164,"")),"")</f>
        <v/>
      </c>
      <c r="P165">
        <f t="shared" si="20"/>
        <v>6138.5</v>
      </c>
    </row>
    <row r="166" spans="1:16" x14ac:dyDescent="0.2">
      <c r="A166" s="7" t="str">
        <f t="shared" si="14"/>
        <v/>
      </c>
      <c r="B166" s="8" t="str">
        <f t="shared" si="15"/>
        <v/>
      </c>
      <c r="C166" s="9" t="str">
        <f t="shared" si="16"/>
        <v/>
      </c>
      <c r="D166" s="9" t="str">
        <f t="shared" si="17"/>
        <v/>
      </c>
      <c r="E166" s="8" t="str">
        <f t="shared" si="18"/>
        <v/>
      </c>
      <c r="F166" s="9" t="str">
        <f t="shared" si="19"/>
        <v/>
      </c>
      <c r="J166" t="str">
        <f>IF(AND(MOVIMIENTOS!$B165&lt;&gt;"",NOT(AND(MOVIMIENTOS!$B165="PROCESO",MOVIMIENTOS!$C165&lt;&gt;"Chancho")),NOT(AND(MOVIMIENTOS!$B165="SALDO INICIAL",MOVIMIENTOS!$C165="Chancho"))),COUNT(J$5:J165)+1,"")</f>
        <v/>
      </c>
      <c r="K166" t="str">
        <f>IF(AND(MOVIMIENTOS!$B165&lt;&gt;"",NOT(AND(MOVIMIENTOS!$B165="PROCESO",MOVIMIENTOS!$C165&lt;&gt;"Chancho")),NOT(AND(MOVIMIENTOS!$B165="SALDO INICIAL",MOVIMIENTOS!$C165="Chancho"))),MOVIMIENTOS!$A165,"")</f>
        <v/>
      </c>
      <c r="L166" t="str">
        <f>IF(AND(MOVIMIENTOS!$B165&lt;&gt;"",NOT(AND(MOVIMIENTOS!$B165="PROCESO",MOVIMIENTOS!$C165&lt;&gt;"Chancho")),NOT(AND(MOVIMIENTOS!$B165="SALDO INICIAL",MOVIMIENTOS!$C165="Chancho"))),IF(MOVIMIENTOS!$B165="SALDO INICIAL","APERTURA ("&amp;MOVIMIENTOS!$C165&amp;")",IF(MOVIMIENTOS!$B165="COMPRA","INGRESO (compra)",IF(MOVIMIENTOS!$B165="PROCESO","CHANCHO (proceso)",IF(MOVIMIENTOS!$B165="ENVÍO A SUPESA","ENVÍO SUPESA cal. "&amp;MOVIMIENTOS!$C165,IF(MOVIMIENTOS!$B165="VENTA CHANCHO","VENTA CHANCHO",IF(MOVIMIENTOS!$B165="DEVOLUCIÓN","DEVOLUCIÓN cal. "&amp;MOVIMIENTOS!$C165,IF(MOVIMIENTOS!$B165="TRASIEGO","TRASIEGO cal. "&amp;MOVIMIENTOS!$C165,IF(MOVIMIENTOS!$B165="REGALO","REGALO "&amp;MOVIMIENTOS!$C165,IF(MOVIMIENTOS!$B165="VENTA","VENTA "&amp;MOVIMIENTOS!$C165,IF(MOVIMIENTOS!$B165="AJUSTE","AJUSTE inventario ("&amp;MOVIMIENTOS!$C165&amp;")",MOVIMIENTOS!$B165)))))))))),"")</f>
        <v/>
      </c>
      <c r="M166" t="str">
        <f>IF(AND(AND(MOVIMIENTOS!$B165&lt;&gt;"",NOT(AND(MOVIMIENTOS!$B165="PROCESO",MOVIMIENTOS!$C165&lt;&gt;"Chancho")),NOT(AND(MOVIMIENTOS!$B165="SALDO INICIAL",MOVIMIENTOS!$C165="Chancho"))),OR(MOVIMIENTOS!$B165="SALDO INICIAL",MOVIMIENTOS!$B165="COMPRA",MOVIMIENTOS!$B165="REPROCESO",AND(MOVIMIENTOS!$B165="AJUSTE",MOVIMIENTOS!$C165&lt;&gt;"Chancho",N(MOVIMIENTOS!$F165)&gt;=0))),N(MOVIMIENTOS!$F165),"")</f>
        <v/>
      </c>
      <c r="N166" t="str">
        <f>IF(AND(AND(MOVIMIENTOS!$B165&lt;&gt;"",NOT(AND(MOVIMIENTOS!$B165="PROCESO",MOVIMIENTOS!$C165&lt;&gt;"Chancho")),NOT(AND(MOVIMIENTOS!$B165="SALDO INICIAL",MOVIMIENTOS!$C165="Chancho"))),OR(MOVIMIENTOS!$B165="ENVÍO A SUPESA",MOVIMIENTOS!$B165="MALOGRADO",MOVIMIENTOS!$B165="OTRA SALIDA",MOVIMIENTOS!$B165="TRASIEGO",AND(MOVIMIENTOS!$B165="PROCESO",MOVIMIENTOS!$C165="Chancho"),AND(MOVIMIENTOS!$B165="REGALO",MOVIMIENTOS!$C165&lt;&gt;"Chancho"),AND(MOVIMIENTOS!$B165="VENTA",MOVIMIENTOS!$C165&lt;&gt;"Chancho"),AND(MOVIMIENTOS!$B165="AJUSTE",MOVIMIENTOS!$C165&lt;&gt;"Chancho",N(MOVIMIENTOS!$F165)&lt;0))),IF(MOVIMIENTOS!$B165="AJUSTE",-N(MOVIMIENTOS!$F165),N(MOVIMIENTOS!$F165)),"")</f>
        <v/>
      </c>
      <c r="O166" t="str">
        <f>IF(AND(MOVIMIENTOS!$B165&lt;&gt;"",NOT(AND(MOVIMIENTOS!$B165="PROCESO",MOVIMIENTOS!$C165&lt;&gt;"Chancho")),NOT(AND(MOVIMIENTOS!$B165="SALDO INICIAL",MOVIMIENTOS!$C165="Chancho"))),TRIM(IF(MOVIMIENTOS!$G165&lt;&gt;"",IF(MOVIMIENTOS!$B165="ENVÍO A SUPESA","G-"&amp;MOVIMIENTOS!$G165,MOVIMIENTOS!$G165)&amp;"  ","")&amp;IF(N(MOVIMIENTOS!$E165)&gt;0,MOVIMIENTOS!$E165&amp;" "&amp;MOVIMIENTOS!$D165,"")),"")</f>
        <v/>
      </c>
      <c r="P166">
        <f t="shared" si="20"/>
        <v>6138.5</v>
      </c>
    </row>
    <row r="167" spans="1:16" x14ac:dyDescent="0.2">
      <c r="A167" s="7" t="str">
        <f t="shared" si="14"/>
        <v/>
      </c>
      <c r="B167" s="8" t="str">
        <f t="shared" si="15"/>
        <v/>
      </c>
      <c r="C167" s="9" t="str">
        <f t="shared" si="16"/>
        <v/>
      </c>
      <c r="D167" s="9" t="str">
        <f t="shared" si="17"/>
        <v/>
      </c>
      <c r="E167" s="8" t="str">
        <f t="shared" si="18"/>
        <v/>
      </c>
      <c r="F167" s="9" t="str">
        <f t="shared" si="19"/>
        <v/>
      </c>
      <c r="J167" t="str">
        <f>IF(AND(MOVIMIENTOS!$B166&lt;&gt;"",NOT(AND(MOVIMIENTOS!$B166="PROCESO",MOVIMIENTOS!$C166&lt;&gt;"Chancho")),NOT(AND(MOVIMIENTOS!$B166="SALDO INICIAL",MOVIMIENTOS!$C166="Chancho"))),COUNT(J$5:J166)+1,"")</f>
        <v/>
      </c>
      <c r="K167" t="str">
        <f>IF(AND(MOVIMIENTOS!$B166&lt;&gt;"",NOT(AND(MOVIMIENTOS!$B166="PROCESO",MOVIMIENTOS!$C166&lt;&gt;"Chancho")),NOT(AND(MOVIMIENTOS!$B166="SALDO INICIAL",MOVIMIENTOS!$C166="Chancho"))),MOVIMIENTOS!$A166,"")</f>
        <v/>
      </c>
      <c r="L167" t="str">
        <f>IF(AND(MOVIMIENTOS!$B166&lt;&gt;"",NOT(AND(MOVIMIENTOS!$B166="PROCESO",MOVIMIENTOS!$C166&lt;&gt;"Chancho")),NOT(AND(MOVIMIENTOS!$B166="SALDO INICIAL",MOVIMIENTOS!$C166="Chancho"))),IF(MOVIMIENTOS!$B166="SALDO INICIAL","APERTURA ("&amp;MOVIMIENTOS!$C166&amp;")",IF(MOVIMIENTOS!$B166="COMPRA","INGRESO (compra)",IF(MOVIMIENTOS!$B166="PROCESO","CHANCHO (proceso)",IF(MOVIMIENTOS!$B166="ENVÍO A SUPESA","ENVÍO SUPESA cal. "&amp;MOVIMIENTOS!$C166,IF(MOVIMIENTOS!$B166="VENTA CHANCHO","VENTA CHANCHO",IF(MOVIMIENTOS!$B166="DEVOLUCIÓN","DEVOLUCIÓN cal. "&amp;MOVIMIENTOS!$C166,IF(MOVIMIENTOS!$B166="TRASIEGO","TRASIEGO cal. "&amp;MOVIMIENTOS!$C166,IF(MOVIMIENTOS!$B166="REGALO","REGALO "&amp;MOVIMIENTOS!$C166,IF(MOVIMIENTOS!$B166="VENTA","VENTA "&amp;MOVIMIENTOS!$C166,IF(MOVIMIENTOS!$B166="AJUSTE","AJUSTE inventario ("&amp;MOVIMIENTOS!$C166&amp;")",MOVIMIENTOS!$B166)))))))))),"")</f>
        <v/>
      </c>
      <c r="M167" t="str">
        <f>IF(AND(AND(MOVIMIENTOS!$B166&lt;&gt;"",NOT(AND(MOVIMIENTOS!$B166="PROCESO",MOVIMIENTOS!$C166&lt;&gt;"Chancho")),NOT(AND(MOVIMIENTOS!$B166="SALDO INICIAL",MOVIMIENTOS!$C166="Chancho"))),OR(MOVIMIENTOS!$B166="SALDO INICIAL",MOVIMIENTOS!$B166="COMPRA",MOVIMIENTOS!$B166="REPROCESO",AND(MOVIMIENTOS!$B166="AJUSTE",MOVIMIENTOS!$C166&lt;&gt;"Chancho",N(MOVIMIENTOS!$F166)&gt;=0))),N(MOVIMIENTOS!$F166),"")</f>
        <v/>
      </c>
      <c r="N167" t="str">
        <f>IF(AND(AND(MOVIMIENTOS!$B166&lt;&gt;"",NOT(AND(MOVIMIENTOS!$B166="PROCESO",MOVIMIENTOS!$C166&lt;&gt;"Chancho")),NOT(AND(MOVIMIENTOS!$B166="SALDO INICIAL",MOVIMIENTOS!$C166="Chancho"))),OR(MOVIMIENTOS!$B166="ENVÍO A SUPESA",MOVIMIENTOS!$B166="MALOGRADO",MOVIMIENTOS!$B166="OTRA SALIDA",MOVIMIENTOS!$B166="TRASIEGO",AND(MOVIMIENTOS!$B166="PROCESO",MOVIMIENTOS!$C166="Chancho"),AND(MOVIMIENTOS!$B166="REGALO",MOVIMIENTOS!$C166&lt;&gt;"Chancho"),AND(MOVIMIENTOS!$B166="VENTA",MOVIMIENTOS!$C166&lt;&gt;"Chancho"),AND(MOVIMIENTOS!$B166="AJUSTE",MOVIMIENTOS!$C166&lt;&gt;"Chancho",N(MOVIMIENTOS!$F166)&lt;0))),IF(MOVIMIENTOS!$B166="AJUSTE",-N(MOVIMIENTOS!$F166),N(MOVIMIENTOS!$F166)),"")</f>
        <v/>
      </c>
      <c r="O167" t="str">
        <f>IF(AND(MOVIMIENTOS!$B166&lt;&gt;"",NOT(AND(MOVIMIENTOS!$B166="PROCESO",MOVIMIENTOS!$C166&lt;&gt;"Chancho")),NOT(AND(MOVIMIENTOS!$B166="SALDO INICIAL",MOVIMIENTOS!$C166="Chancho"))),TRIM(IF(MOVIMIENTOS!$G166&lt;&gt;"",IF(MOVIMIENTOS!$B166="ENVÍO A SUPESA","G-"&amp;MOVIMIENTOS!$G166,MOVIMIENTOS!$G166)&amp;"  ","")&amp;IF(N(MOVIMIENTOS!$E166)&gt;0,MOVIMIENTOS!$E166&amp;" "&amp;MOVIMIENTOS!$D166,"")),"")</f>
        <v/>
      </c>
      <c r="P167">
        <f t="shared" si="20"/>
        <v>6138.5</v>
      </c>
    </row>
    <row r="168" spans="1:16" x14ac:dyDescent="0.2">
      <c r="A168" s="7" t="str">
        <f t="shared" si="14"/>
        <v/>
      </c>
      <c r="B168" s="8" t="str">
        <f t="shared" si="15"/>
        <v/>
      </c>
      <c r="C168" s="9" t="str">
        <f t="shared" si="16"/>
        <v/>
      </c>
      <c r="D168" s="9" t="str">
        <f t="shared" si="17"/>
        <v/>
      </c>
      <c r="E168" s="8" t="str">
        <f t="shared" si="18"/>
        <v/>
      </c>
      <c r="F168" s="9" t="str">
        <f t="shared" si="19"/>
        <v/>
      </c>
      <c r="J168" t="str">
        <f>IF(AND(MOVIMIENTOS!$B167&lt;&gt;"",NOT(AND(MOVIMIENTOS!$B167="PROCESO",MOVIMIENTOS!$C167&lt;&gt;"Chancho")),NOT(AND(MOVIMIENTOS!$B167="SALDO INICIAL",MOVIMIENTOS!$C167="Chancho"))),COUNT(J$5:J167)+1,"")</f>
        <v/>
      </c>
      <c r="K168" t="str">
        <f>IF(AND(MOVIMIENTOS!$B167&lt;&gt;"",NOT(AND(MOVIMIENTOS!$B167="PROCESO",MOVIMIENTOS!$C167&lt;&gt;"Chancho")),NOT(AND(MOVIMIENTOS!$B167="SALDO INICIAL",MOVIMIENTOS!$C167="Chancho"))),MOVIMIENTOS!$A167,"")</f>
        <v/>
      </c>
      <c r="L168" t="str">
        <f>IF(AND(MOVIMIENTOS!$B167&lt;&gt;"",NOT(AND(MOVIMIENTOS!$B167="PROCESO",MOVIMIENTOS!$C167&lt;&gt;"Chancho")),NOT(AND(MOVIMIENTOS!$B167="SALDO INICIAL",MOVIMIENTOS!$C167="Chancho"))),IF(MOVIMIENTOS!$B167="SALDO INICIAL","APERTURA ("&amp;MOVIMIENTOS!$C167&amp;")",IF(MOVIMIENTOS!$B167="COMPRA","INGRESO (compra)",IF(MOVIMIENTOS!$B167="PROCESO","CHANCHO (proceso)",IF(MOVIMIENTOS!$B167="ENVÍO A SUPESA","ENVÍO SUPESA cal. "&amp;MOVIMIENTOS!$C167,IF(MOVIMIENTOS!$B167="VENTA CHANCHO","VENTA CHANCHO",IF(MOVIMIENTOS!$B167="DEVOLUCIÓN","DEVOLUCIÓN cal. "&amp;MOVIMIENTOS!$C167,IF(MOVIMIENTOS!$B167="TRASIEGO","TRASIEGO cal. "&amp;MOVIMIENTOS!$C167,IF(MOVIMIENTOS!$B167="REGALO","REGALO "&amp;MOVIMIENTOS!$C167,IF(MOVIMIENTOS!$B167="VENTA","VENTA "&amp;MOVIMIENTOS!$C167,IF(MOVIMIENTOS!$B167="AJUSTE","AJUSTE inventario ("&amp;MOVIMIENTOS!$C167&amp;")",MOVIMIENTOS!$B167)))))))))),"")</f>
        <v/>
      </c>
      <c r="M168" t="str">
        <f>IF(AND(AND(MOVIMIENTOS!$B167&lt;&gt;"",NOT(AND(MOVIMIENTOS!$B167="PROCESO",MOVIMIENTOS!$C167&lt;&gt;"Chancho")),NOT(AND(MOVIMIENTOS!$B167="SALDO INICIAL",MOVIMIENTOS!$C167="Chancho"))),OR(MOVIMIENTOS!$B167="SALDO INICIAL",MOVIMIENTOS!$B167="COMPRA",MOVIMIENTOS!$B167="REPROCESO",AND(MOVIMIENTOS!$B167="AJUSTE",MOVIMIENTOS!$C167&lt;&gt;"Chancho",N(MOVIMIENTOS!$F167)&gt;=0))),N(MOVIMIENTOS!$F167),"")</f>
        <v/>
      </c>
      <c r="N168" t="str">
        <f>IF(AND(AND(MOVIMIENTOS!$B167&lt;&gt;"",NOT(AND(MOVIMIENTOS!$B167="PROCESO",MOVIMIENTOS!$C167&lt;&gt;"Chancho")),NOT(AND(MOVIMIENTOS!$B167="SALDO INICIAL",MOVIMIENTOS!$C167="Chancho"))),OR(MOVIMIENTOS!$B167="ENVÍO A SUPESA",MOVIMIENTOS!$B167="MALOGRADO",MOVIMIENTOS!$B167="OTRA SALIDA",MOVIMIENTOS!$B167="TRASIEGO",AND(MOVIMIENTOS!$B167="PROCESO",MOVIMIENTOS!$C167="Chancho"),AND(MOVIMIENTOS!$B167="REGALO",MOVIMIENTOS!$C167&lt;&gt;"Chancho"),AND(MOVIMIENTOS!$B167="VENTA",MOVIMIENTOS!$C167&lt;&gt;"Chancho"),AND(MOVIMIENTOS!$B167="AJUSTE",MOVIMIENTOS!$C167&lt;&gt;"Chancho",N(MOVIMIENTOS!$F167)&lt;0))),IF(MOVIMIENTOS!$B167="AJUSTE",-N(MOVIMIENTOS!$F167),N(MOVIMIENTOS!$F167)),"")</f>
        <v/>
      </c>
      <c r="O168" t="str">
        <f>IF(AND(MOVIMIENTOS!$B167&lt;&gt;"",NOT(AND(MOVIMIENTOS!$B167="PROCESO",MOVIMIENTOS!$C167&lt;&gt;"Chancho")),NOT(AND(MOVIMIENTOS!$B167="SALDO INICIAL",MOVIMIENTOS!$C167="Chancho"))),TRIM(IF(MOVIMIENTOS!$G167&lt;&gt;"",IF(MOVIMIENTOS!$B167="ENVÍO A SUPESA","G-"&amp;MOVIMIENTOS!$G167,MOVIMIENTOS!$G167)&amp;"  ","")&amp;IF(N(MOVIMIENTOS!$E167)&gt;0,MOVIMIENTOS!$E167&amp;" "&amp;MOVIMIENTOS!$D167,"")),"")</f>
        <v/>
      </c>
      <c r="P168">
        <f t="shared" si="20"/>
        <v>6138.5</v>
      </c>
    </row>
    <row r="169" spans="1:16" x14ac:dyDescent="0.2">
      <c r="A169" s="7" t="str">
        <f t="shared" si="14"/>
        <v/>
      </c>
      <c r="B169" s="8" t="str">
        <f t="shared" si="15"/>
        <v/>
      </c>
      <c r="C169" s="9" t="str">
        <f t="shared" si="16"/>
        <v/>
      </c>
      <c r="D169" s="9" t="str">
        <f t="shared" si="17"/>
        <v/>
      </c>
      <c r="E169" s="8" t="str">
        <f t="shared" si="18"/>
        <v/>
      </c>
      <c r="F169" s="9" t="str">
        <f t="shared" si="19"/>
        <v/>
      </c>
      <c r="J169" t="str">
        <f>IF(AND(MOVIMIENTOS!$B168&lt;&gt;"",NOT(AND(MOVIMIENTOS!$B168="PROCESO",MOVIMIENTOS!$C168&lt;&gt;"Chancho")),NOT(AND(MOVIMIENTOS!$B168="SALDO INICIAL",MOVIMIENTOS!$C168="Chancho"))),COUNT(J$5:J168)+1,"")</f>
        <v/>
      </c>
      <c r="K169" t="str">
        <f>IF(AND(MOVIMIENTOS!$B168&lt;&gt;"",NOT(AND(MOVIMIENTOS!$B168="PROCESO",MOVIMIENTOS!$C168&lt;&gt;"Chancho")),NOT(AND(MOVIMIENTOS!$B168="SALDO INICIAL",MOVIMIENTOS!$C168="Chancho"))),MOVIMIENTOS!$A168,"")</f>
        <v/>
      </c>
      <c r="L169" t="str">
        <f>IF(AND(MOVIMIENTOS!$B168&lt;&gt;"",NOT(AND(MOVIMIENTOS!$B168="PROCESO",MOVIMIENTOS!$C168&lt;&gt;"Chancho")),NOT(AND(MOVIMIENTOS!$B168="SALDO INICIAL",MOVIMIENTOS!$C168="Chancho"))),IF(MOVIMIENTOS!$B168="SALDO INICIAL","APERTURA ("&amp;MOVIMIENTOS!$C168&amp;")",IF(MOVIMIENTOS!$B168="COMPRA","INGRESO (compra)",IF(MOVIMIENTOS!$B168="PROCESO","CHANCHO (proceso)",IF(MOVIMIENTOS!$B168="ENVÍO A SUPESA","ENVÍO SUPESA cal. "&amp;MOVIMIENTOS!$C168,IF(MOVIMIENTOS!$B168="VENTA CHANCHO","VENTA CHANCHO",IF(MOVIMIENTOS!$B168="DEVOLUCIÓN","DEVOLUCIÓN cal. "&amp;MOVIMIENTOS!$C168,IF(MOVIMIENTOS!$B168="TRASIEGO","TRASIEGO cal. "&amp;MOVIMIENTOS!$C168,IF(MOVIMIENTOS!$B168="REGALO","REGALO "&amp;MOVIMIENTOS!$C168,IF(MOVIMIENTOS!$B168="VENTA","VENTA "&amp;MOVIMIENTOS!$C168,IF(MOVIMIENTOS!$B168="AJUSTE","AJUSTE inventario ("&amp;MOVIMIENTOS!$C168&amp;")",MOVIMIENTOS!$B168)))))))))),"")</f>
        <v/>
      </c>
      <c r="M169" t="str">
        <f>IF(AND(AND(MOVIMIENTOS!$B168&lt;&gt;"",NOT(AND(MOVIMIENTOS!$B168="PROCESO",MOVIMIENTOS!$C168&lt;&gt;"Chancho")),NOT(AND(MOVIMIENTOS!$B168="SALDO INICIAL",MOVIMIENTOS!$C168="Chancho"))),OR(MOVIMIENTOS!$B168="SALDO INICIAL",MOVIMIENTOS!$B168="COMPRA",MOVIMIENTOS!$B168="REPROCESO",AND(MOVIMIENTOS!$B168="AJUSTE",MOVIMIENTOS!$C168&lt;&gt;"Chancho",N(MOVIMIENTOS!$F168)&gt;=0))),N(MOVIMIENTOS!$F168),"")</f>
        <v/>
      </c>
      <c r="N169" t="str">
        <f>IF(AND(AND(MOVIMIENTOS!$B168&lt;&gt;"",NOT(AND(MOVIMIENTOS!$B168="PROCESO",MOVIMIENTOS!$C168&lt;&gt;"Chancho")),NOT(AND(MOVIMIENTOS!$B168="SALDO INICIAL",MOVIMIENTOS!$C168="Chancho"))),OR(MOVIMIENTOS!$B168="ENVÍO A SUPESA",MOVIMIENTOS!$B168="MALOGRADO",MOVIMIENTOS!$B168="OTRA SALIDA",MOVIMIENTOS!$B168="TRASIEGO",AND(MOVIMIENTOS!$B168="PROCESO",MOVIMIENTOS!$C168="Chancho"),AND(MOVIMIENTOS!$B168="REGALO",MOVIMIENTOS!$C168&lt;&gt;"Chancho"),AND(MOVIMIENTOS!$B168="VENTA",MOVIMIENTOS!$C168&lt;&gt;"Chancho"),AND(MOVIMIENTOS!$B168="AJUSTE",MOVIMIENTOS!$C168&lt;&gt;"Chancho",N(MOVIMIENTOS!$F168)&lt;0))),IF(MOVIMIENTOS!$B168="AJUSTE",-N(MOVIMIENTOS!$F168),N(MOVIMIENTOS!$F168)),"")</f>
        <v/>
      </c>
      <c r="O169" t="str">
        <f>IF(AND(MOVIMIENTOS!$B168&lt;&gt;"",NOT(AND(MOVIMIENTOS!$B168="PROCESO",MOVIMIENTOS!$C168&lt;&gt;"Chancho")),NOT(AND(MOVIMIENTOS!$B168="SALDO INICIAL",MOVIMIENTOS!$C168="Chancho"))),TRIM(IF(MOVIMIENTOS!$G168&lt;&gt;"",IF(MOVIMIENTOS!$B168="ENVÍO A SUPESA","G-"&amp;MOVIMIENTOS!$G168,MOVIMIENTOS!$G168)&amp;"  ","")&amp;IF(N(MOVIMIENTOS!$E168)&gt;0,MOVIMIENTOS!$E168&amp;" "&amp;MOVIMIENTOS!$D168,"")),"")</f>
        <v/>
      </c>
      <c r="P169">
        <f t="shared" si="20"/>
        <v>6138.5</v>
      </c>
    </row>
    <row r="170" spans="1:16" x14ac:dyDescent="0.2">
      <c r="A170" s="7" t="str">
        <f t="shared" si="14"/>
        <v/>
      </c>
      <c r="B170" s="8" t="str">
        <f t="shared" si="15"/>
        <v/>
      </c>
      <c r="C170" s="9" t="str">
        <f t="shared" si="16"/>
        <v/>
      </c>
      <c r="D170" s="9" t="str">
        <f t="shared" si="17"/>
        <v/>
      </c>
      <c r="E170" s="8" t="str">
        <f t="shared" si="18"/>
        <v/>
      </c>
      <c r="F170" s="9" t="str">
        <f t="shared" si="19"/>
        <v/>
      </c>
      <c r="J170" t="str">
        <f>IF(AND(MOVIMIENTOS!$B169&lt;&gt;"",NOT(AND(MOVIMIENTOS!$B169="PROCESO",MOVIMIENTOS!$C169&lt;&gt;"Chancho")),NOT(AND(MOVIMIENTOS!$B169="SALDO INICIAL",MOVIMIENTOS!$C169="Chancho"))),COUNT(J$5:J169)+1,"")</f>
        <v/>
      </c>
      <c r="K170" t="str">
        <f>IF(AND(MOVIMIENTOS!$B169&lt;&gt;"",NOT(AND(MOVIMIENTOS!$B169="PROCESO",MOVIMIENTOS!$C169&lt;&gt;"Chancho")),NOT(AND(MOVIMIENTOS!$B169="SALDO INICIAL",MOVIMIENTOS!$C169="Chancho"))),MOVIMIENTOS!$A169,"")</f>
        <v/>
      </c>
      <c r="L170" t="str">
        <f>IF(AND(MOVIMIENTOS!$B169&lt;&gt;"",NOT(AND(MOVIMIENTOS!$B169="PROCESO",MOVIMIENTOS!$C169&lt;&gt;"Chancho")),NOT(AND(MOVIMIENTOS!$B169="SALDO INICIAL",MOVIMIENTOS!$C169="Chancho"))),IF(MOVIMIENTOS!$B169="SALDO INICIAL","APERTURA ("&amp;MOVIMIENTOS!$C169&amp;")",IF(MOVIMIENTOS!$B169="COMPRA","INGRESO (compra)",IF(MOVIMIENTOS!$B169="PROCESO","CHANCHO (proceso)",IF(MOVIMIENTOS!$B169="ENVÍO A SUPESA","ENVÍO SUPESA cal. "&amp;MOVIMIENTOS!$C169,IF(MOVIMIENTOS!$B169="VENTA CHANCHO","VENTA CHANCHO",IF(MOVIMIENTOS!$B169="DEVOLUCIÓN","DEVOLUCIÓN cal. "&amp;MOVIMIENTOS!$C169,IF(MOVIMIENTOS!$B169="TRASIEGO","TRASIEGO cal. "&amp;MOVIMIENTOS!$C169,IF(MOVIMIENTOS!$B169="REGALO","REGALO "&amp;MOVIMIENTOS!$C169,IF(MOVIMIENTOS!$B169="VENTA","VENTA "&amp;MOVIMIENTOS!$C169,IF(MOVIMIENTOS!$B169="AJUSTE","AJUSTE inventario ("&amp;MOVIMIENTOS!$C169&amp;")",MOVIMIENTOS!$B169)))))))))),"")</f>
        <v/>
      </c>
      <c r="M170" t="str">
        <f>IF(AND(AND(MOVIMIENTOS!$B169&lt;&gt;"",NOT(AND(MOVIMIENTOS!$B169="PROCESO",MOVIMIENTOS!$C169&lt;&gt;"Chancho")),NOT(AND(MOVIMIENTOS!$B169="SALDO INICIAL",MOVIMIENTOS!$C169="Chancho"))),OR(MOVIMIENTOS!$B169="SALDO INICIAL",MOVIMIENTOS!$B169="COMPRA",MOVIMIENTOS!$B169="REPROCESO",AND(MOVIMIENTOS!$B169="AJUSTE",MOVIMIENTOS!$C169&lt;&gt;"Chancho",N(MOVIMIENTOS!$F169)&gt;=0))),N(MOVIMIENTOS!$F169),"")</f>
        <v/>
      </c>
      <c r="N170" t="str">
        <f>IF(AND(AND(MOVIMIENTOS!$B169&lt;&gt;"",NOT(AND(MOVIMIENTOS!$B169="PROCESO",MOVIMIENTOS!$C169&lt;&gt;"Chancho")),NOT(AND(MOVIMIENTOS!$B169="SALDO INICIAL",MOVIMIENTOS!$C169="Chancho"))),OR(MOVIMIENTOS!$B169="ENVÍO A SUPESA",MOVIMIENTOS!$B169="MALOGRADO",MOVIMIENTOS!$B169="OTRA SALIDA",MOVIMIENTOS!$B169="TRASIEGO",AND(MOVIMIENTOS!$B169="PROCESO",MOVIMIENTOS!$C169="Chancho"),AND(MOVIMIENTOS!$B169="REGALO",MOVIMIENTOS!$C169&lt;&gt;"Chancho"),AND(MOVIMIENTOS!$B169="VENTA",MOVIMIENTOS!$C169&lt;&gt;"Chancho"),AND(MOVIMIENTOS!$B169="AJUSTE",MOVIMIENTOS!$C169&lt;&gt;"Chancho",N(MOVIMIENTOS!$F169)&lt;0))),IF(MOVIMIENTOS!$B169="AJUSTE",-N(MOVIMIENTOS!$F169),N(MOVIMIENTOS!$F169)),"")</f>
        <v/>
      </c>
      <c r="O170" t="str">
        <f>IF(AND(MOVIMIENTOS!$B169&lt;&gt;"",NOT(AND(MOVIMIENTOS!$B169="PROCESO",MOVIMIENTOS!$C169&lt;&gt;"Chancho")),NOT(AND(MOVIMIENTOS!$B169="SALDO INICIAL",MOVIMIENTOS!$C169="Chancho"))),TRIM(IF(MOVIMIENTOS!$G169&lt;&gt;"",IF(MOVIMIENTOS!$B169="ENVÍO A SUPESA","G-"&amp;MOVIMIENTOS!$G169,MOVIMIENTOS!$G169)&amp;"  ","")&amp;IF(N(MOVIMIENTOS!$E169)&gt;0,MOVIMIENTOS!$E169&amp;" "&amp;MOVIMIENTOS!$D169,"")),"")</f>
        <v/>
      </c>
      <c r="P170">
        <f t="shared" si="20"/>
        <v>6138.5</v>
      </c>
    </row>
    <row r="171" spans="1:16" x14ac:dyDescent="0.2">
      <c r="A171" s="7" t="str">
        <f t="shared" si="14"/>
        <v/>
      </c>
      <c r="B171" s="8" t="str">
        <f t="shared" si="15"/>
        <v/>
      </c>
      <c r="C171" s="9" t="str">
        <f t="shared" si="16"/>
        <v/>
      </c>
      <c r="D171" s="9" t="str">
        <f t="shared" si="17"/>
        <v/>
      </c>
      <c r="E171" s="8" t="str">
        <f t="shared" si="18"/>
        <v/>
      </c>
      <c r="F171" s="9" t="str">
        <f t="shared" si="19"/>
        <v/>
      </c>
      <c r="J171" t="str">
        <f>IF(AND(MOVIMIENTOS!$B170&lt;&gt;"",NOT(AND(MOVIMIENTOS!$B170="PROCESO",MOVIMIENTOS!$C170&lt;&gt;"Chancho")),NOT(AND(MOVIMIENTOS!$B170="SALDO INICIAL",MOVIMIENTOS!$C170="Chancho"))),COUNT(J$5:J170)+1,"")</f>
        <v/>
      </c>
      <c r="K171" t="str">
        <f>IF(AND(MOVIMIENTOS!$B170&lt;&gt;"",NOT(AND(MOVIMIENTOS!$B170="PROCESO",MOVIMIENTOS!$C170&lt;&gt;"Chancho")),NOT(AND(MOVIMIENTOS!$B170="SALDO INICIAL",MOVIMIENTOS!$C170="Chancho"))),MOVIMIENTOS!$A170,"")</f>
        <v/>
      </c>
      <c r="L171" t="str">
        <f>IF(AND(MOVIMIENTOS!$B170&lt;&gt;"",NOT(AND(MOVIMIENTOS!$B170="PROCESO",MOVIMIENTOS!$C170&lt;&gt;"Chancho")),NOT(AND(MOVIMIENTOS!$B170="SALDO INICIAL",MOVIMIENTOS!$C170="Chancho"))),IF(MOVIMIENTOS!$B170="SALDO INICIAL","APERTURA ("&amp;MOVIMIENTOS!$C170&amp;")",IF(MOVIMIENTOS!$B170="COMPRA","INGRESO (compra)",IF(MOVIMIENTOS!$B170="PROCESO","CHANCHO (proceso)",IF(MOVIMIENTOS!$B170="ENVÍO A SUPESA","ENVÍO SUPESA cal. "&amp;MOVIMIENTOS!$C170,IF(MOVIMIENTOS!$B170="VENTA CHANCHO","VENTA CHANCHO",IF(MOVIMIENTOS!$B170="DEVOLUCIÓN","DEVOLUCIÓN cal. "&amp;MOVIMIENTOS!$C170,IF(MOVIMIENTOS!$B170="TRASIEGO","TRASIEGO cal. "&amp;MOVIMIENTOS!$C170,IF(MOVIMIENTOS!$B170="REGALO","REGALO "&amp;MOVIMIENTOS!$C170,IF(MOVIMIENTOS!$B170="VENTA","VENTA "&amp;MOVIMIENTOS!$C170,IF(MOVIMIENTOS!$B170="AJUSTE","AJUSTE inventario ("&amp;MOVIMIENTOS!$C170&amp;")",MOVIMIENTOS!$B170)))))))))),"")</f>
        <v/>
      </c>
      <c r="M171" t="str">
        <f>IF(AND(AND(MOVIMIENTOS!$B170&lt;&gt;"",NOT(AND(MOVIMIENTOS!$B170="PROCESO",MOVIMIENTOS!$C170&lt;&gt;"Chancho")),NOT(AND(MOVIMIENTOS!$B170="SALDO INICIAL",MOVIMIENTOS!$C170="Chancho"))),OR(MOVIMIENTOS!$B170="SALDO INICIAL",MOVIMIENTOS!$B170="COMPRA",MOVIMIENTOS!$B170="REPROCESO",AND(MOVIMIENTOS!$B170="AJUSTE",MOVIMIENTOS!$C170&lt;&gt;"Chancho",N(MOVIMIENTOS!$F170)&gt;=0))),N(MOVIMIENTOS!$F170),"")</f>
        <v/>
      </c>
      <c r="N171" t="str">
        <f>IF(AND(AND(MOVIMIENTOS!$B170&lt;&gt;"",NOT(AND(MOVIMIENTOS!$B170="PROCESO",MOVIMIENTOS!$C170&lt;&gt;"Chancho")),NOT(AND(MOVIMIENTOS!$B170="SALDO INICIAL",MOVIMIENTOS!$C170="Chancho"))),OR(MOVIMIENTOS!$B170="ENVÍO A SUPESA",MOVIMIENTOS!$B170="MALOGRADO",MOVIMIENTOS!$B170="OTRA SALIDA",MOVIMIENTOS!$B170="TRASIEGO",AND(MOVIMIENTOS!$B170="PROCESO",MOVIMIENTOS!$C170="Chancho"),AND(MOVIMIENTOS!$B170="REGALO",MOVIMIENTOS!$C170&lt;&gt;"Chancho"),AND(MOVIMIENTOS!$B170="VENTA",MOVIMIENTOS!$C170&lt;&gt;"Chancho"),AND(MOVIMIENTOS!$B170="AJUSTE",MOVIMIENTOS!$C170&lt;&gt;"Chancho",N(MOVIMIENTOS!$F170)&lt;0))),IF(MOVIMIENTOS!$B170="AJUSTE",-N(MOVIMIENTOS!$F170),N(MOVIMIENTOS!$F170)),"")</f>
        <v/>
      </c>
      <c r="O171" t="str">
        <f>IF(AND(MOVIMIENTOS!$B170&lt;&gt;"",NOT(AND(MOVIMIENTOS!$B170="PROCESO",MOVIMIENTOS!$C170&lt;&gt;"Chancho")),NOT(AND(MOVIMIENTOS!$B170="SALDO INICIAL",MOVIMIENTOS!$C170="Chancho"))),TRIM(IF(MOVIMIENTOS!$G170&lt;&gt;"",IF(MOVIMIENTOS!$B170="ENVÍO A SUPESA","G-"&amp;MOVIMIENTOS!$G170,MOVIMIENTOS!$G170)&amp;"  ","")&amp;IF(N(MOVIMIENTOS!$E170)&gt;0,MOVIMIENTOS!$E170&amp;" "&amp;MOVIMIENTOS!$D170,"")),"")</f>
        <v/>
      </c>
      <c r="P171">
        <f t="shared" si="20"/>
        <v>6138.5</v>
      </c>
    </row>
    <row r="172" spans="1:16" x14ac:dyDescent="0.2">
      <c r="A172" s="7" t="str">
        <f t="shared" si="14"/>
        <v/>
      </c>
      <c r="B172" s="8" t="str">
        <f t="shared" si="15"/>
        <v/>
      </c>
      <c r="C172" s="9" t="str">
        <f t="shared" si="16"/>
        <v/>
      </c>
      <c r="D172" s="9" t="str">
        <f t="shared" si="17"/>
        <v/>
      </c>
      <c r="E172" s="8" t="str">
        <f t="shared" si="18"/>
        <v/>
      </c>
      <c r="F172" s="9" t="str">
        <f t="shared" si="19"/>
        <v/>
      </c>
      <c r="J172" t="str">
        <f>IF(AND(MOVIMIENTOS!$B171&lt;&gt;"",NOT(AND(MOVIMIENTOS!$B171="PROCESO",MOVIMIENTOS!$C171&lt;&gt;"Chancho")),NOT(AND(MOVIMIENTOS!$B171="SALDO INICIAL",MOVIMIENTOS!$C171="Chancho"))),COUNT(J$5:J171)+1,"")</f>
        <v/>
      </c>
      <c r="K172" t="str">
        <f>IF(AND(MOVIMIENTOS!$B171&lt;&gt;"",NOT(AND(MOVIMIENTOS!$B171="PROCESO",MOVIMIENTOS!$C171&lt;&gt;"Chancho")),NOT(AND(MOVIMIENTOS!$B171="SALDO INICIAL",MOVIMIENTOS!$C171="Chancho"))),MOVIMIENTOS!$A171,"")</f>
        <v/>
      </c>
      <c r="L172" t="str">
        <f>IF(AND(MOVIMIENTOS!$B171&lt;&gt;"",NOT(AND(MOVIMIENTOS!$B171="PROCESO",MOVIMIENTOS!$C171&lt;&gt;"Chancho")),NOT(AND(MOVIMIENTOS!$B171="SALDO INICIAL",MOVIMIENTOS!$C171="Chancho"))),IF(MOVIMIENTOS!$B171="SALDO INICIAL","APERTURA ("&amp;MOVIMIENTOS!$C171&amp;")",IF(MOVIMIENTOS!$B171="COMPRA","INGRESO (compra)",IF(MOVIMIENTOS!$B171="PROCESO","CHANCHO (proceso)",IF(MOVIMIENTOS!$B171="ENVÍO A SUPESA","ENVÍO SUPESA cal. "&amp;MOVIMIENTOS!$C171,IF(MOVIMIENTOS!$B171="VENTA CHANCHO","VENTA CHANCHO",IF(MOVIMIENTOS!$B171="DEVOLUCIÓN","DEVOLUCIÓN cal. "&amp;MOVIMIENTOS!$C171,IF(MOVIMIENTOS!$B171="TRASIEGO","TRASIEGO cal. "&amp;MOVIMIENTOS!$C171,IF(MOVIMIENTOS!$B171="REGALO","REGALO "&amp;MOVIMIENTOS!$C171,IF(MOVIMIENTOS!$B171="VENTA","VENTA "&amp;MOVIMIENTOS!$C171,IF(MOVIMIENTOS!$B171="AJUSTE","AJUSTE inventario ("&amp;MOVIMIENTOS!$C171&amp;")",MOVIMIENTOS!$B171)))))))))),"")</f>
        <v/>
      </c>
      <c r="M172" t="str">
        <f>IF(AND(AND(MOVIMIENTOS!$B171&lt;&gt;"",NOT(AND(MOVIMIENTOS!$B171="PROCESO",MOVIMIENTOS!$C171&lt;&gt;"Chancho")),NOT(AND(MOVIMIENTOS!$B171="SALDO INICIAL",MOVIMIENTOS!$C171="Chancho"))),OR(MOVIMIENTOS!$B171="SALDO INICIAL",MOVIMIENTOS!$B171="COMPRA",MOVIMIENTOS!$B171="REPROCESO",AND(MOVIMIENTOS!$B171="AJUSTE",MOVIMIENTOS!$C171&lt;&gt;"Chancho",N(MOVIMIENTOS!$F171)&gt;=0))),N(MOVIMIENTOS!$F171),"")</f>
        <v/>
      </c>
      <c r="N172" t="str">
        <f>IF(AND(AND(MOVIMIENTOS!$B171&lt;&gt;"",NOT(AND(MOVIMIENTOS!$B171="PROCESO",MOVIMIENTOS!$C171&lt;&gt;"Chancho")),NOT(AND(MOVIMIENTOS!$B171="SALDO INICIAL",MOVIMIENTOS!$C171="Chancho"))),OR(MOVIMIENTOS!$B171="ENVÍO A SUPESA",MOVIMIENTOS!$B171="MALOGRADO",MOVIMIENTOS!$B171="OTRA SALIDA",MOVIMIENTOS!$B171="TRASIEGO",AND(MOVIMIENTOS!$B171="PROCESO",MOVIMIENTOS!$C171="Chancho"),AND(MOVIMIENTOS!$B171="REGALO",MOVIMIENTOS!$C171&lt;&gt;"Chancho"),AND(MOVIMIENTOS!$B171="VENTA",MOVIMIENTOS!$C171&lt;&gt;"Chancho"),AND(MOVIMIENTOS!$B171="AJUSTE",MOVIMIENTOS!$C171&lt;&gt;"Chancho",N(MOVIMIENTOS!$F171)&lt;0))),IF(MOVIMIENTOS!$B171="AJUSTE",-N(MOVIMIENTOS!$F171),N(MOVIMIENTOS!$F171)),"")</f>
        <v/>
      </c>
      <c r="O172" t="str">
        <f>IF(AND(MOVIMIENTOS!$B171&lt;&gt;"",NOT(AND(MOVIMIENTOS!$B171="PROCESO",MOVIMIENTOS!$C171&lt;&gt;"Chancho")),NOT(AND(MOVIMIENTOS!$B171="SALDO INICIAL",MOVIMIENTOS!$C171="Chancho"))),TRIM(IF(MOVIMIENTOS!$G171&lt;&gt;"",IF(MOVIMIENTOS!$B171="ENVÍO A SUPESA","G-"&amp;MOVIMIENTOS!$G171,MOVIMIENTOS!$G171)&amp;"  ","")&amp;IF(N(MOVIMIENTOS!$E171)&gt;0,MOVIMIENTOS!$E171&amp;" "&amp;MOVIMIENTOS!$D171,"")),"")</f>
        <v/>
      </c>
      <c r="P172">
        <f t="shared" si="20"/>
        <v>6138.5</v>
      </c>
    </row>
    <row r="173" spans="1:16" x14ac:dyDescent="0.2">
      <c r="A173" s="7" t="str">
        <f t="shared" si="14"/>
        <v/>
      </c>
      <c r="B173" s="8" t="str">
        <f t="shared" si="15"/>
        <v/>
      </c>
      <c r="C173" s="9" t="str">
        <f t="shared" si="16"/>
        <v/>
      </c>
      <c r="D173" s="9" t="str">
        <f t="shared" si="17"/>
        <v/>
      </c>
      <c r="E173" s="8" t="str">
        <f t="shared" si="18"/>
        <v/>
      </c>
      <c r="F173" s="9" t="str">
        <f t="shared" si="19"/>
        <v/>
      </c>
      <c r="J173" t="str">
        <f>IF(AND(MOVIMIENTOS!$B172&lt;&gt;"",NOT(AND(MOVIMIENTOS!$B172="PROCESO",MOVIMIENTOS!$C172&lt;&gt;"Chancho")),NOT(AND(MOVIMIENTOS!$B172="SALDO INICIAL",MOVIMIENTOS!$C172="Chancho"))),COUNT(J$5:J172)+1,"")</f>
        <v/>
      </c>
      <c r="K173" t="str">
        <f>IF(AND(MOVIMIENTOS!$B172&lt;&gt;"",NOT(AND(MOVIMIENTOS!$B172="PROCESO",MOVIMIENTOS!$C172&lt;&gt;"Chancho")),NOT(AND(MOVIMIENTOS!$B172="SALDO INICIAL",MOVIMIENTOS!$C172="Chancho"))),MOVIMIENTOS!$A172,"")</f>
        <v/>
      </c>
      <c r="L173" t="str">
        <f>IF(AND(MOVIMIENTOS!$B172&lt;&gt;"",NOT(AND(MOVIMIENTOS!$B172="PROCESO",MOVIMIENTOS!$C172&lt;&gt;"Chancho")),NOT(AND(MOVIMIENTOS!$B172="SALDO INICIAL",MOVIMIENTOS!$C172="Chancho"))),IF(MOVIMIENTOS!$B172="SALDO INICIAL","APERTURA ("&amp;MOVIMIENTOS!$C172&amp;")",IF(MOVIMIENTOS!$B172="COMPRA","INGRESO (compra)",IF(MOVIMIENTOS!$B172="PROCESO","CHANCHO (proceso)",IF(MOVIMIENTOS!$B172="ENVÍO A SUPESA","ENVÍO SUPESA cal. "&amp;MOVIMIENTOS!$C172,IF(MOVIMIENTOS!$B172="VENTA CHANCHO","VENTA CHANCHO",IF(MOVIMIENTOS!$B172="DEVOLUCIÓN","DEVOLUCIÓN cal. "&amp;MOVIMIENTOS!$C172,IF(MOVIMIENTOS!$B172="TRASIEGO","TRASIEGO cal. "&amp;MOVIMIENTOS!$C172,IF(MOVIMIENTOS!$B172="REGALO","REGALO "&amp;MOVIMIENTOS!$C172,IF(MOVIMIENTOS!$B172="VENTA","VENTA "&amp;MOVIMIENTOS!$C172,IF(MOVIMIENTOS!$B172="AJUSTE","AJUSTE inventario ("&amp;MOVIMIENTOS!$C172&amp;")",MOVIMIENTOS!$B172)))))))))),"")</f>
        <v/>
      </c>
      <c r="M173" t="str">
        <f>IF(AND(AND(MOVIMIENTOS!$B172&lt;&gt;"",NOT(AND(MOVIMIENTOS!$B172="PROCESO",MOVIMIENTOS!$C172&lt;&gt;"Chancho")),NOT(AND(MOVIMIENTOS!$B172="SALDO INICIAL",MOVIMIENTOS!$C172="Chancho"))),OR(MOVIMIENTOS!$B172="SALDO INICIAL",MOVIMIENTOS!$B172="COMPRA",MOVIMIENTOS!$B172="REPROCESO",AND(MOVIMIENTOS!$B172="AJUSTE",MOVIMIENTOS!$C172&lt;&gt;"Chancho",N(MOVIMIENTOS!$F172)&gt;=0))),N(MOVIMIENTOS!$F172),"")</f>
        <v/>
      </c>
      <c r="N173" t="str">
        <f>IF(AND(AND(MOVIMIENTOS!$B172&lt;&gt;"",NOT(AND(MOVIMIENTOS!$B172="PROCESO",MOVIMIENTOS!$C172&lt;&gt;"Chancho")),NOT(AND(MOVIMIENTOS!$B172="SALDO INICIAL",MOVIMIENTOS!$C172="Chancho"))),OR(MOVIMIENTOS!$B172="ENVÍO A SUPESA",MOVIMIENTOS!$B172="MALOGRADO",MOVIMIENTOS!$B172="OTRA SALIDA",MOVIMIENTOS!$B172="TRASIEGO",AND(MOVIMIENTOS!$B172="PROCESO",MOVIMIENTOS!$C172="Chancho"),AND(MOVIMIENTOS!$B172="REGALO",MOVIMIENTOS!$C172&lt;&gt;"Chancho"),AND(MOVIMIENTOS!$B172="VENTA",MOVIMIENTOS!$C172&lt;&gt;"Chancho"),AND(MOVIMIENTOS!$B172="AJUSTE",MOVIMIENTOS!$C172&lt;&gt;"Chancho",N(MOVIMIENTOS!$F172)&lt;0))),IF(MOVIMIENTOS!$B172="AJUSTE",-N(MOVIMIENTOS!$F172),N(MOVIMIENTOS!$F172)),"")</f>
        <v/>
      </c>
      <c r="O173" t="str">
        <f>IF(AND(MOVIMIENTOS!$B172&lt;&gt;"",NOT(AND(MOVIMIENTOS!$B172="PROCESO",MOVIMIENTOS!$C172&lt;&gt;"Chancho")),NOT(AND(MOVIMIENTOS!$B172="SALDO INICIAL",MOVIMIENTOS!$C172="Chancho"))),TRIM(IF(MOVIMIENTOS!$G172&lt;&gt;"",IF(MOVIMIENTOS!$B172="ENVÍO A SUPESA","G-"&amp;MOVIMIENTOS!$G172,MOVIMIENTOS!$G172)&amp;"  ","")&amp;IF(N(MOVIMIENTOS!$E172)&gt;0,MOVIMIENTOS!$E172&amp;" "&amp;MOVIMIENTOS!$D172,"")),"")</f>
        <v/>
      </c>
      <c r="P173">
        <f t="shared" si="20"/>
        <v>6138.5</v>
      </c>
    </row>
    <row r="174" spans="1:16" x14ac:dyDescent="0.2">
      <c r="A174" s="7" t="str">
        <f t="shared" si="14"/>
        <v/>
      </c>
      <c r="B174" s="8" t="str">
        <f t="shared" si="15"/>
        <v/>
      </c>
      <c r="C174" s="9" t="str">
        <f t="shared" si="16"/>
        <v/>
      </c>
      <c r="D174" s="9" t="str">
        <f t="shared" si="17"/>
        <v/>
      </c>
      <c r="E174" s="8" t="str">
        <f t="shared" si="18"/>
        <v/>
      </c>
      <c r="F174" s="9" t="str">
        <f t="shared" si="19"/>
        <v/>
      </c>
      <c r="J174" t="str">
        <f>IF(AND(MOVIMIENTOS!$B173&lt;&gt;"",NOT(AND(MOVIMIENTOS!$B173="PROCESO",MOVIMIENTOS!$C173&lt;&gt;"Chancho")),NOT(AND(MOVIMIENTOS!$B173="SALDO INICIAL",MOVIMIENTOS!$C173="Chancho"))),COUNT(J$5:J173)+1,"")</f>
        <v/>
      </c>
      <c r="K174" t="str">
        <f>IF(AND(MOVIMIENTOS!$B173&lt;&gt;"",NOT(AND(MOVIMIENTOS!$B173="PROCESO",MOVIMIENTOS!$C173&lt;&gt;"Chancho")),NOT(AND(MOVIMIENTOS!$B173="SALDO INICIAL",MOVIMIENTOS!$C173="Chancho"))),MOVIMIENTOS!$A173,"")</f>
        <v/>
      </c>
      <c r="L174" t="str">
        <f>IF(AND(MOVIMIENTOS!$B173&lt;&gt;"",NOT(AND(MOVIMIENTOS!$B173="PROCESO",MOVIMIENTOS!$C173&lt;&gt;"Chancho")),NOT(AND(MOVIMIENTOS!$B173="SALDO INICIAL",MOVIMIENTOS!$C173="Chancho"))),IF(MOVIMIENTOS!$B173="SALDO INICIAL","APERTURA ("&amp;MOVIMIENTOS!$C173&amp;")",IF(MOVIMIENTOS!$B173="COMPRA","INGRESO (compra)",IF(MOVIMIENTOS!$B173="PROCESO","CHANCHO (proceso)",IF(MOVIMIENTOS!$B173="ENVÍO A SUPESA","ENVÍO SUPESA cal. "&amp;MOVIMIENTOS!$C173,IF(MOVIMIENTOS!$B173="VENTA CHANCHO","VENTA CHANCHO",IF(MOVIMIENTOS!$B173="DEVOLUCIÓN","DEVOLUCIÓN cal. "&amp;MOVIMIENTOS!$C173,IF(MOVIMIENTOS!$B173="TRASIEGO","TRASIEGO cal. "&amp;MOVIMIENTOS!$C173,IF(MOVIMIENTOS!$B173="REGALO","REGALO "&amp;MOVIMIENTOS!$C173,IF(MOVIMIENTOS!$B173="VENTA","VENTA "&amp;MOVIMIENTOS!$C173,IF(MOVIMIENTOS!$B173="AJUSTE","AJUSTE inventario ("&amp;MOVIMIENTOS!$C173&amp;")",MOVIMIENTOS!$B173)))))))))),"")</f>
        <v/>
      </c>
      <c r="M174" t="str">
        <f>IF(AND(AND(MOVIMIENTOS!$B173&lt;&gt;"",NOT(AND(MOVIMIENTOS!$B173="PROCESO",MOVIMIENTOS!$C173&lt;&gt;"Chancho")),NOT(AND(MOVIMIENTOS!$B173="SALDO INICIAL",MOVIMIENTOS!$C173="Chancho"))),OR(MOVIMIENTOS!$B173="SALDO INICIAL",MOVIMIENTOS!$B173="COMPRA",MOVIMIENTOS!$B173="REPROCESO",AND(MOVIMIENTOS!$B173="AJUSTE",MOVIMIENTOS!$C173&lt;&gt;"Chancho",N(MOVIMIENTOS!$F173)&gt;=0))),N(MOVIMIENTOS!$F173),"")</f>
        <v/>
      </c>
      <c r="N174" t="str">
        <f>IF(AND(AND(MOVIMIENTOS!$B173&lt;&gt;"",NOT(AND(MOVIMIENTOS!$B173="PROCESO",MOVIMIENTOS!$C173&lt;&gt;"Chancho")),NOT(AND(MOVIMIENTOS!$B173="SALDO INICIAL",MOVIMIENTOS!$C173="Chancho"))),OR(MOVIMIENTOS!$B173="ENVÍO A SUPESA",MOVIMIENTOS!$B173="MALOGRADO",MOVIMIENTOS!$B173="OTRA SALIDA",MOVIMIENTOS!$B173="TRASIEGO",AND(MOVIMIENTOS!$B173="PROCESO",MOVIMIENTOS!$C173="Chancho"),AND(MOVIMIENTOS!$B173="REGALO",MOVIMIENTOS!$C173&lt;&gt;"Chancho"),AND(MOVIMIENTOS!$B173="VENTA",MOVIMIENTOS!$C173&lt;&gt;"Chancho"),AND(MOVIMIENTOS!$B173="AJUSTE",MOVIMIENTOS!$C173&lt;&gt;"Chancho",N(MOVIMIENTOS!$F173)&lt;0))),IF(MOVIMIENTOS!$B173="AJUSTE",-N(MOVIMIENTOS!$F173),N(MOVIMIENTOS!$F173)),"")</f>
        <v/>
      </c>
      <c r="O174" t="str">
        <f>IF(AND(MOVIMIENTOS!$B173&lt;&gt;"",NOT(AND(MOVIMIENTOS!$B173="PROCESO",MOVIMIENTOS!$C173&lt;&gt;"Chancho")),NOT(AND(MOVIMIENTOS!$B173="SALDO INICIAL",MOVIMIENTOS!$C173="Chancho"))),TRIM(IF(MOVIMIENTOS!$G173&lt;&gt;"",IF(MOVIMIENTOS!$B173="ENVÍO A SUPESA","G-"&amp;MOVIMIENTOS!$G173,MOVIMIENTOS!$G173)&amp;"  ","")&amp;IF(N(MOVIMIENTOS!$E173)&gt;0,MOVIMIENTOS!$E173&amp;" "&amp;MOVIMIENTOS!$D173,"")),"")</f>
        <v/>
      </c>
      <c r="P174">
        <f t="shared" si="20"/>
        <v>6138.5</v>
      </c>
    </row>
    <row r="175" spans="1:16" x14ac:dyDescent="0.2">
      <c r="A175" s="7" t="str">
        <f t="shared" si="14"/>
        <v/>
      </c>
      <c r="B175" s="8" t="str">
        <f t="shared" si="15"/>
        <v/>
      </c>
      <c r="C175" s="9" t="str">
        <f t="shared" si="16"/>
        <v/>
      </c>
      <c r="D175" s="9" t="str">
        <f t="shared" si="17"/>
        <v/>
      </c>
      <c r="E175" s="8" t="str">
        <f t="shared" si="18"/>
        <v/>
      </c>
      <c r="F175" s="9" t="str">
        <f t="shared" si="19"/>
        <v/>
      </c>
      <c r="J175" t="str">
        <f>IF(AND(MOVIMIENTOS!$B174&lt;&gt;"",NOT(AND(MOVIMIENTOS!$B174="PROCESO",MOVIMIENTOS!$C174&lt;&gt;"Chancho")),NOT(AND(MOVIMIENTOS!$B174="SALDO INICIAL",MOVIMIENTOS!$C174="Chancho"))),COUNT(J$5:J174)+1,"")</f>
        <v/>
      </c>
      <c r="K175" t="str">
        <f>IF(AND(MOVIMIENTOS!$B174&lt;&gt;"",NOT(AND(MOVIMIENTOS!$B174="PROCESO",MOVIMIENTOS!$C174&lt;&gt;"Chancho")),NOT(AND(MOVIMIENTOS!$B174="SALDO INICIAL",MOVIMIENTOS!$C174="Chancho"))),MOVIMIENTOS!$A174,"")</f>
        <v/>
      </c>
      <c r="L175" t="str">
        <f>IF(AND(MOVIMIENTOS!$B174&lt;&gt;"",NOT(AND(MOVIMIENTOS!$B174="PROCESO",MOVIMIENTOS!$C174&lt;&gt;"Chancho")),NOT(AND(MOVIMIENTOS!$B174="SALDO INICIAL",MOVIMIENTOS!$C174="Chancho"))),IF(MOVIMIENTOS!$B174="SALDO INICIAL","APERTURA ("&amp;MOVIMIENTOS!$C174&amp;")",IF(MOVIMIENTOS!$B174="COMPRA","INGRESO (compra)",IF(MOVIMIENTOS!$B174="PROCESO","CHANCHO (proceso)",IF(MOVIMIENTOS!$B174="ENVÍO A SUPESA","ENVÍO SUPESA cal. "&amp;MOVIMIENTOS!$C174,IF(MOVIMIENTOS!$B174="VENTA CHANCHO","VENTA CHANCHO",IF(MOVIMIENTOS!$B174="DEVOLUCIÓN","DEVOLUCIÓN cal. "&amp;MOVIMIENTOS!$C174,IF(MOVIMIENTOS!$B174="TRASIEGO","TRASIEGO cal. "&amp;MOVIMIENTOS!$C174,IF(MOVIMIENTOS!$B174="REGALO","REGALO "&amp;MOVIMIENTOS!$C174,IF(MOVIMIENTOS!$B174="VENTA","VENTA "&amp;MOVIMIENTOS!$C174,IF(MOVIMIENTOS!$B174="AJUSTE","AJUSTE inventario ("&amp;MOVIMIENTOS!$C174&amp;")",MOVIMIENTOS!$B174)))))))))),"")</f>
        <v/>
      </c>
      <c r="M175" t="str">
        <f>IF(AND(AND(MOVIMIENTOS!$B174&lt;&gt;"",NOT(AND(MOVIMIENTOS!$B174="PROCESO",MOVIMIENTOS!$C174&lt;&gt;"Chancho")),NOT(AND(MOVIMIENTOS!$B174="SALDO INICIAL",MOVIMIENTOS!$C174="Chancho"))),OR(MOVIMIENTOS!$B174="SALDO INICIAL",MOVIMIENTOS!$B174="COMPRA",MOVIMIENTOS!$B174="REPROCESO",AND(MOVIMIENTOS!$B174="AJUSTE",MOVIMIENTOS!$C174&lt;&gt;"Chancho",N(MOVIMIENTOS!$F174)&gt;=0))),N(MOVIMIENTOS!$F174),"")</f>
        <v/>
      </c>
      <c r="N175" t="str">
        <f>IF(AND(AND(MOVIMIENTOS!$B174&lt;&gt;"",NOT(AND(MOVIMIENTOS!$B174="PROCESO",MOVIMIENTOS!$C174&lt;&gt;"Chancho")),NOT(AND(MOVIMIENTOS!$B174="SALDO INICIAL",MOVIMIENTOS!$C174="Chancho"))),OR(MOVIMIENTOS!$B174="ENVÍO A SUPESA",MOVIMIENTOS!$B174="MALOGRADO",MOVIMIENTOS!$B174="OTRA SALIDA",MOVIMIENTOS!$B174="TRASIEGO",AND(MOVIMIENTOS!$B174="PROCESO",MOVIMIENTOS!$C174="Chancho"),AND(MOVIMIENTOS!$B174="REGALO",MOVIMIENTOS!$C174&lt;&gt;"Chancho"),AND(MOVIMIENTOS!$B174="VENTA",MOVIMIENTOS!$C174&lt;&gt;"Chancho"),AND(MOVIMIENTOS!$B174="AJUSTE",MOVIMIENTOS!$C174&lt;&gt;"Chancho",N(MOVIMIENTOS!$F174)&lt;0))),IF(MOVIMIENTOS!$B174="AJUSTE",-N(MOVIMIENTOS!$F174),N(MOVIMIENTOS!$F174)),"")</f>
        <v/>
      </c>
      <c r="O175" t="str">
        <f>IF(AND(MOVIMIENTOS!$B174&lt;&gt;"",NOT(AND(MOVIMIENTOS!$B174="PROCESO",MOVIMIENTOS!$C174&lt;&gt;"Chancho")),NOT(AND(MOVIMIENTOS!$B174="SALDO INICIAL",MOVIMIENTOS!$C174="Chancho"))),TRIM(IF(MOVIMIENTOS!$G174&lt;&gt;"",IF(MOVIMIENTOS!$B174="ENVÍO A SUPESA","G-"&amp;MOVIMIENTOS!$G174,MOVIMIENTOS!$G174)&amp;"  ","")&amp;IF(N(MOVIMIENTOS!$E174)&gt;0,MOVIMIENTOS!$E174&amp;" "&amp;MOVIMIENTOS!$D174,"")),"")</f>
        <v/>
      </c>
      <c r="P175">
        <f t="shared" si="20"/>
        <v>6138.5</v>
      </c>
    </row>
    <row r="176" spans="1:16" x14ac:dyDescent="0.2">
      <c r="A176" s="7" t="str">
        <f t="shared" si="14"/>
        <v/>
      </c>
      <c r="B176" s="8" t="str">
        <f t="shared" si="15"/>
        <v/>
      </c>
      <c r="C176" s="9" t="str">
        <f t="shared" si="16"/>
        <v/>
      </c>
      <c r="D176" s="9" t="str">
        <f t="shared" si="17"/>
        <v/>
      </c>
      <c r="E176" s="8" t="str">
        <f t="shared" si="18"/>
        <v/>
      </c>
      <c r="F176" s="9" t="str">
        <f t="shared" si="19"/>
        <v/>
      </c>
      <c r="J176" t="str">
        <f>IF(AND(MOVIMIENTOS!$B175&lt;&gt;"",NOT(AND(MOVIMIENTOS!$B175="PROCESO",MOVIMIENTOS!$C175&lt;&gt;"Chancho")),NOT(AND(MOVIMIENTOS!$B175="SALDO INICIAL",MOVIMIENTOS!$C175="Chancho"))),COUNT(J$5:J175)+1,"")</f>
        <v/>
      </c>
      <c r="K176" t="str">
        <f>IF(AND(MOVIMIENTOS!$B175&lt;&gt;"",NOT(AND(MOVIMIENTOS!$B175="PROCESO",MOVIMIENTOS!$C175&lt;&gt;"Chancho")),NOT(AND(MOVIMIENTOS!$B175="SALDO INICIAL",MOVIMIENTOS!$C175="Chancho"))),MOVIMIENTOS!$A175,"")</f>
        <v/>
      </c>
      <c r="L176" t="str">
        <f>IF(AND(MOVIMIENTOS!$B175&lt;&gt;"",NOT(AND(MOVIMIENTOS!$B175="PROCESO",MOVIMIENTOS!$C175&lt;&gt;"Chancho")),NOT(AND(MOVIMIENTOS!$B175="SALDO INICIAL",MOVIMIENTOS!$C175="Chancho"))),IF(MOVIMIENTOS!$B175="SALDO INICIAL","APERTURA ("&amp;MOVIMIENTOS!$C175&amp;")",IF(MOVIMIENTOS!$B175="COMPRA","INGRESO (compra)",IF(MOVIMIENTOS!$B175="PROCESO","CHANCHO (proceso)",IF(MOVIMIENTOS!$B175="ENVÍO A SUPESA","ENVÍO SUPESA cal. "&amp;MOVIMIENTOS!$C175,IF(MOVIMIENTOS!$B175="VENTA CHANCHO","VENTA CHANCHO",IF(MOVIMIENTOS!$B175="DEVOLUCIÓN","DEVOLUCIÓN cal. "&amp;MOVIMIENTOS!$C175,IF(MOVIMIENTOS!$B175="TRASIEGO","TRASIEGO cal. "&amp;MOVIMIENTOS!$C175,IF(MOVIMIENTOS!$B175="REGALO","REGALO "&amp;MOVIMIENTOS!$C175,IF(MOVIMIENTOS!$B175="VENTA","VENTA "&amp;MOVIMIENTOS!$C175,IF(MOVIMIENTOS!$B175="AJUSTE","AJUSTE inventario ("&amp;MOVIMIENTOS!$C175&amp;")",MOVIMIENTOS!$B175)))))))))),"")</f>
        <v/>
      </c>
      <c r="M176" t="str">
        <f>IF(AND(AND(MOVIMIENTOS!$B175&lt;&gt;"",NOT(AND(MOVIMIENTOS!$B175="PROCESO",MOVIMIENTOS!$C175&lt;&gt;"Chancho")),NOT(AND(MOVIMIENTOS!$B175="SALDO INICIAL",MOVIMIENTOS!$C175="Chancho"))),OR(MOVIMIENTOS!$B175="SALDO INICIAL",MOVIMIENTOS!$B175="COMPRA",MOVIMIENTOS!$B175="REPROCESO",AND(MOVIMIENTOS!$B175="AJUSTE",MOVIMIENTOS!$C175&lt;&gt;"Chancho",N(MOVIMIENTOS!$F175)&gt;=0))),N(MOVIMIENTOS!$F175),"")</f>
        <v/>
      </c>
      <c r="N176" t="str">
        <f>IF(AND(AND(MOVIMIENTOS!$B175&lt;&gt;"",NOT(AND(MOVIMIENTOS!$B175="PROCESO",MOVIMIENTOS!$C175&lt;&gt;"Chancho")),NOT(AND(MOVIMIENTOS!$B175="SALDO INICIAL",MOVIMIENTOS!$C175="Chancho"))),OR(MOVIMIENTOS!$B175="ENVÍO A SUPESA",MOVIMIENTOS!$B175="MALOGRADO",MOVIMIENTOS!$B175="OTRA SALIDA",MOVIMIENTOS!$B175="TRASIEGO",AND(MOVIMIENTOS!$B175="PROCESO",MOVIMIENTOS!$C175="Chancho"),AND(MOVIMIENTOS!$B175="REGALO",MOVIMIENTOS!$C175&lt;&gt;"Chancho"),AND(MOVIMIENTOS!$B175="VENTA",MOVIMIENTOS!$C175&lt;&gt;"Chancho"),AND(MOVIMIENTOS!$B175="AJUSTE",MOVIMIENTOS!$C175&lt;&gt;"Chancho",N(MOVIMIENTOS!$F175)&lt;0))),IF(MOVIMIENTOS!$B175="AJUSTE",-N(MOVIMIENTOS!$F175),N(MOVIMIENTOS!$F175)),"")</f>
        <v/>
      </c>
      <c r="O176" t="str">
        <f>IF(AND(MOVIMIENTOS!$B175&lt;&gt;"",NOT(AND(MOVIMIENTOS!$B175="PROCESO",MOVIMIENTOS!$C175&lt;&gt;"Chancho")),NOT(AND(MOVIMIENTOS!$B175="SALDO INICIAL",MOVIMIENTOS!$C175="Chancho"))),TRIM(IF(MOVIMIENTOS!$G175&lt;&gt;"",IF(MOVIMIENTOS!$B175="ENVÍO A SUPESA","G-"&amp;MOVIMIENTOS!$G175,MOVIMIENTOS!$G175)&amp;"  ","")&amp;IF(N(MOVIMIENTOS!$E175)&gt;0,MOVIMIENTOS!$E175&amp;" "&amp;MOVIMIENTOS!$D175,"")),"")</f>
        <v/>
      </c>
      <c r="P176">
        <f t="shared" si="20"/>
        <v>6138.5</v>
      </c>
    </row>
    <row r="177" spans="1:16" x14ac:dyDescent="0.2">
      <c r="A177" s="7" t="str">
        <f t="shared" si="14"/>
        <v/>
      </c>
      <c r="B177" s="8" t="str">
        <f t="shared" si="15"/>
        <v/>
      </c>
      <c r="C177" s="9" t="str">
        <f t="shared" si="16"/>
        <v/>
      </c>
      <c r="D177" s="9" t="str">
        <f t="shared" si="17"/>
        <v/>
      </c>
      <c r="E177" s="8" t="str">
        <f t="shared" si="18"/>
        <v/>
      </c>
      <c r="F177" s="9" t="str">
        <f t="shared" si="19"/>
        <v/>
      </c>
      <c r="J177" t="str">
        <f>IF(AND(MOVIMIENTOS!$B176&lt;&gt;"",NOT(AND(MOVIMIENTOS!$B176="PROCESO",MOVIMIENTOS!$C176&lt;&gt;"Chancho")),NOT(AND(MOVIMIENTOS!$B176="SALDO INICIAL",MOVIMIENTOS!$C176="Chancho"))),COUNT(J$5:J176)+1,"")</f>
        <v/>
      </c>
      <c r="K177" t="str">
        <f>IF(AND(MOVIMIENTOS!$B176&lt;&gt;"",NOT(AND(MOVIMIENTOS!$B176="PROCESO",MOVIMIENTOS!$C176&lt;&gt;"Chancho")),NOT(AND(MOVIMIENTOS!$B176="SALDO INICIAL",MOVIMIENTOS!$C176="Chancho"))),MOVIMIENTOS!$A176,"")</f>
        <v/>
      </c>
      <c r="L177" t="str">
        <f>IF(AND(MOVIMIENTOS!$B176&lt;&gt;"",NOT(AND(MOVIMIENTOS!$B176="PROCESO",MOVIMIENTOS!$C176&lt;&gt;"Chancho")),NOT(AND(MOVIMIENTOS!$B176="SALDO INICIAL",MOVIMIENTOS!$C176="Chancho"))),IF(MOVIMIENTOS!$B176="SALDO INICIAL","APERTURA ("&amp;MOVIMIENTOS!$C176&amp;")",IF(MOVIMIENTOS!$B176="COMPRA","INGRESO (compra)",IF(MOVIMIENTOS!$B176="PROCESO","CHANCHO (proceso)",IF(MOVIMIENTOS!$B176="ENVÍO A SUPESA","ENVÍO SUPESA cal. "&amp;MOVIMIENTOS!$C176,IF(MOVIMIENTOS!$B176="VENTA CHANCHO","VENTA CHANCHO",IF(MOVIMIENTOS!$B176="DEVOLUCIÓN","DEVOLUCIÓN cal. "&amp;MOVIMIENTOS!$C176,IF(MOVIMIENTOS!$B176="TRASIEGO","TRASIEGO cal. "&amp;MOVIMIENTOS!$C176,IF(MOVIMIENTOS!$B176="REGALO","REGALO "&amp;MOVIMIENTOS!$C176,IF(MOVIMIENTOS!$B176="VENTA","VENTA "&amp;MOVIMIENTOS!$C176,IF(MOVIMIENTOS!$B176="AJUSTE","AJUSTE inventario ("&amp;MOVIMIENTOS!$C176&amp;")",MOVIMIENTOS!$B176)))))))))),"")</f>
        <v/>
      </c>
      <c r="M177" t="str">
        <f>IF(AND(AND(MOVIMIENTOS!$B176&lt;&gt;"",NOT(AND(MOVIMIENTOS!$B176="PROCESO",MOVIMIENTOS!$C176&lt;&gt;"Chancho")),NOT(AND(MOVIMIENTOS!$B176="SALDO INICIAL",MOVIMIENTOS!$C176="Chancho"))),OR(MOVIMIENTOS!$B176="SALDO INICIAL",MOVIMIENTOS!$B176="COMPRA",MOVIMIENTOS!$B176="REPROCESO",AND(MOVIMIENTOS!$B176="AJUSTE",MOVIMIENTOS!$C176&lt;&gt;"Chancho",N(MOVIMIENTOS!$F176)&gt;=0))),N(MOVIMIENTOS!$F176),"")</f>
        <v/>
      </c>
      <c r="N177" t="str">
        <f>IF(AND(AND(MOVIMIENTOS!$B176&lt;&gt;"",NOT(AND(MOVIMIENTOS!$B176="PROCESO",MOVIMIENTOS!$C176&lt;&gt;"Chancho")),NOT(AND(MOVIMIENTOS!$B176="SALDO INICIAL",MOVIMIENTOS!$C176="Chancho"))),OR(MOVIMIENTOS!$B176="ENVÍO A SUPESA",MOVIMIENTOS!$B176="MALOGRADO",MOVIMIENTOS!$B176="OTRA SALIDA",MOVIMIENTOS!$B176="TRASIEGO",AND(MOVIMIENTOS!$B176="PROCESO",MOVIMIENTOS!$C176="Chancho"),AND(MOVIMIENTOS!$B176="REGALO",MOVIMIENTOS!$C176&lt;&gt;"Chancho"),AND(MOVIMIENTOS!$B176="VENTA",MOVIMIENTOS!$C176&lt;&gt;"Chancho"),AND(MOVIMIENTOS!$B176="AJUSTE",MOVIMIENTOS!$C176&lt;&gt;"Chancho",N(MOVIMIENTOS!$F176)&lt;0))),IF(MOVIMIENTOS!$B176="AJUSTE",-N(MOVIMIENTOS!$F176),N(MOVIMIENTOS!$F176)),"")</f>
        <v/>
      </c>
      <c r="O177" t="str">
        <f>IF(AND(MOVIMIENTOS!$B176&lt;&gt;"",NOT(AND(MOVIMIENTOS!$B176="PROCESO",MOVIMIENTOS!$C176&lt;&gt;"Chancho")),NOT(AND(MOVIMIENTOS!$B176="SALDO INICIAL",MOVIMIENTOS!$C176="Chancho"))),TRIM(IF(MOVIMIENTOS!$G176&lt;&gt;"",IF(MOVIMIENTOS!$B176="ENVÍO A SUPESA","G-"&amp;MOVIMIENTOS!$G176,MOVIMIENTOS!$G176)&amp;"  ","")&amp;IF(N(MOVIMIENTOS!$E176)&gt;0,MOVIMIENTOS!$E176&amp;" "&amp;MOVIMIENTOS!$D176,"")),"")</f>
        <v/>
      </c>
      <c r="P177">
        <f t="shared" si="20"/>
        <v>6138.5</v>
      </c>
    </row>
    <row r="178" spans="1:16" x14ac:dyDescent="0.2">
      <c r="A178" s="7" t="str">
        <f t="shared" si="14"/>
        <v/>
      </c>
      <c r="B178" s="8" t="str">
        <f t="shared" si="15"/>
        <v/>
      </c>
      <c r="C178" s="9" t="str">
        <f t="shared" si="16"/>
        <v/>
      </c>
      <c r="D178" s="9" t="str">
        <f t="shared" si="17"/>
        <v/>
      </c>
      <c r="E178" s="8" t="str">
        <f t="shared" si="18"/>
        <v/>
      </c>
      <c r="F178" s="9" t="str">
        <f t="shared" si="19"/>
        <v/>
      </c>
      <c r="J178" t="str">
        <f>IF(AND(MOVIMIENTOS!$B177&lt;&gt;"",NOT(AND(MOVIMIENTOS!$B177="PROCESO",MOVIMIENTOS!$C177&lt;&gt;"Chancho")),NOT(AND(MOVIMIENTOS!$B177="SALDO INICIAL",MOVIMIENTOS!$C177="Chancho"))),COUNT(J$5:J177)+1,"")</f>
        <v/>
      </c>
      <c r="K178" t="str">
        <f>IF(AND(MOVIMIENTOS!$B177&lt;&gt;"",NOT(AND(MOVIMIENTOS!$B177="PROCESO",MOVIMIENTOS!$C177&lt;&gt;"Chancho")),NOT(AND(MOVIMIENTOS!$B177="SALDO INICIAL",MOVIMIENTOS!$C177="Chancho"))),MOVIMIENTOS!$A177,"")</f>
        <v/>
      </c>
      <c r="L178" t="str">
        <f>IF(AND(MOVIMIENTOS!$B177&lt;&gt;"",NOT(AND(MOVIMIENTOS!$B177="PROCESO",MOVIMIENTOS!$C177&lt;&gt;"Chancho")),NOT(AND(MOVIMIENTOS!$B177="SALDO INICIAL",MOVIMIENTOS!$C177="Chancho"))),IF(MOVIMIENTOS!$B177="SALDO INICIAL","APERTURA ("&amp;MOVIMIENTOS!$C177&amp;")",IF(MOVIMIENTOS!$B177="COMPRA","INGRESO (compra)",IF(MOVIMIENTOS!$B177="PROCESO","CHANCHO (proceso)",IF(MOVIMIENTOS!$B177="ENVÍO A SUPESA","ENVÍO SUPESA cal. "&amp;MOVIMIENTOS!$C177,IF(MOVIMIENTOS!$B177="VENTA CHANCHO","VENTA CHANCHO",IF(MOVIMIENTOS!$B177="DEVOLUCIÓN","DEVOLUCIÓN cal. "&amp;MOVIMIENTOS!$C177,IF(MOVIMIENTOS!$B177="TRASIEGO","TRASIEGO cal. "&amp;MOVIMIENTOS!$C177,IF(MOVIMIENTOS!$B177="REGALO","REGALO "&amp;MOVIMIENTOS!$C177,IF(MOVIMIENTOS!$B177="VENTA","VENTA "&amp;MOVIMIENTOS!$C177,IF(MOVIMIENTOS!$B177="AJUSTE","AJUSTE inventario ("&amp;MOVIMIENTOS!$C177&amp;")",MOVIMIENTOS!$B177)))))))))),"")</f>
        <v/>
      </c>
      <c r="M178" t="str">
        <f>IF(AND(AND(MOVIMIENTOS!$B177&lt;&gt;"",NOT(AND(MOVIMIENTOS!$B177="PROCESO",MOVIMIENTOS!$C177&lt;&gt;"Chancho")),NOT(AND(MOVIMIENTOS!$B177="SALDO INICIAL",MOVIMIENTOS!$C177="Chancho"))),OR(MOVIMIENTOS!$B177="SALDO INICIAL",MOVIMIENTOS!$B177="COMPRA",MOVIMIENTOS!$B177="REPROCESO",AND(MOVIMIENTOS!$B177="AJUSTE",MOVIMIENTOS!$C177&lt;&gt;"Chancho",N(MOVIMIENTOS!$F177)&gt;=0))),N(MOVIMIENTOS!$F177),"")</f>
        <v/>
      </c>
      <c r="N178" t="str">
        <f>IF(AND(AND(MOVIMIENTOS!$B177&lt;&gt;"",NOT(AND(MOVIMIENTOS!$B177="PROCESO",MOVIMIENTOS!$C177&lt;&gt;"Chancho")),NOT(AND(MOVIMIENTOS!$B177="SALDO INICIAL",MOVIMIENTOS!$C177="Chancho"))),OR(MOVIMIENTOS!$B177="ENVÍO A SUPESA",MOVIMIENTOS!$B177="MALOGRADO",MOVIMIENTOS!$B177="OTRA SALIDA",MOVIMIENTOS!$B177="TRASIEGO",AND(MOVIMIENTOS!$B177="PROCESO",MOVIMIENTOS!$C177="Chancho"),AND(MOVIMIENTOS!$B177="REGALO",MOVIMIENTOS!$C177&lt;&gt;"Chancho"),AND(MOVIMIENTOS!$B177="VENTA",MOVIMIENTOS!$C177&lt;&gt;"Chancho"),AND(MOVIMIENTOS!$B177="AJUSTE",MOVIMIENTOS!$C177&lt;&gt;"Chancho",N(MOVIMIENTOS!$F177)&lt;0))),IF(MOVIMIENTOS!$B177="AJUSTE",-N(MOVIMIENTOS!$F177),N(MOVIMIENTOS!$F177)),"")</f>
        <v/>
      </c>
      <c r="O178" t="str">
        <f>IF(AND(MOVIMIENTOS!$B177&lt;&gt;"",NOT(AND(MOVIMIENTOS!$B177="PROCESO",MOVIMIENTOS!$C177&lt;&gt;"Chancho")),NOT(AND(MOVIMIENTOS!$B177="SALDO INICIAL",MOVIMIENTOS!$C177="Chancho"))),TRIM(IF(MOVIMIENTOS!$G177&lt;&gt;"",IF(MOVIMIENTOS!$B177="ENVÍO A SUPESA","G-"&amp;MOVIMIENTOS!$G177,MOVIMIENTOS!$G177)&amp;"  ","")&amp;IF(N(MOVIMIENTOS!$E177)&gt;0,MOVIMIENTOS!$E177&amp;" "&amp;MOVIMIENTOS!$D177,"")),"")</f>
        <v/>
      </c>
      <c r="P178">
        <f t="shared" si="20"/>
        <v>6138.5</v>
      </c>
    </row>
    <row r="179" spans="1:16" x14ac:dyDescent="0.2">
      <c r="A179" s="7" t="str">
        <f t="shared" si="14"/>
        <v/>
      </c>
      <c r="B179" s="8" t="str">
        <f t="shared" si="15"/>
        <v/>
      </c>
      <c r="C179" s="9" t="str">
        <f t="shared" si="16"/>
        <v/>
      </c>
      <c r="D179" s="9" t="str">
        <f t="shared" si="17"/>
        <v/>
      </c>
      <c r="E179" s="8" t="str">
        <f t="shared" si="18"/>
        <v/>
      </c>
      <c r="F179" s="9" t="str">
        <f t="shared" si="19"/>
        <v/>
      </c>
      <c r="J179" t="str">
        <f>IF(AND(MOVIMIENTOS!$B178&lt;&gt;"",NOT(AND(MOVIMIENTOS!$B178="PROCESO",MOVIMIENTOS!$C178&lt;&gt;"Chancho")),NOT(AND(MOVIMIENTOS!$B178="SALDO INICIAL",MOVIMIENTOS!$C178="Chancho"))),COUNT(J$5:J178)+1,"")</f>
        <v/>
      </c>
      <c r="K179" t="str">
        <f>IF(AND(MOVIMIENTOS!$B178&lt;&gt;"",NOT(AND(MOVIMIENTOS!$B178="PROCESO",MOVIMIENTOS!$C178&lt;&gt;"Chancho")),NOT(AND(MOVIMIENTOS!$B178="SALDO INICIAL",MOVIMIENTOS!$C178="Chancho"))),MOVIMIENTOS!$A178,"")</f>
        <v/>
      </c>
      <c r="L179" t="str">
        <f>IF(AND(MOVIMIENTOS!$B178&lt;&gt;"",NOT(AND(MOVIMIENTOS!$B178="PROCESO",MOVIMIENTOS!$C178&lt;&gt;"Chancho")),NOT(AND(MOVIMIENTOS!$B178="SALDO INICIAL",MOVIMIENTOS!$C178="Chancho"))),IF(MOVIMIENTOS!$B178="SALDO INICIAL","APERTURA ("&amp;MOVIMIENTOS!$C178&amp;")",IF(MOVIMIENTOS!$B178="COMPRA","INGRESO (compra)",IF(MOVIMIENTOS!$B178="PROCESO","CHANCHO (proceso)",IF(MOVIMIENTOS!$B178="ENVÍO A SUPESA","ENVÍO SUPESA cal. "&amp;MOVIMIENTOS!$C178,IF(MOVIMIENTOS!$B178="VENTA CHANCHO","VENTA CHANCHO",IF(MOVIMIENTOS!$B178="DEVOLUCIÓN","DEVOLUCIÓN cal. "&amp;MOVIMIENTOS!$C178,IF(MOVIMIENTOS!$B178="TRASIEGO","TRASIEGO cal. "&amp;MOVIMIENTOS!$C178,IF(MOVIMIENTOS!$B178="REGALO","REGALO "&amp;MOVIMIENTOS!$C178,IF(MOVIMIENTOS!$B178="VENTA","VENTA "&amp;MOVIMIENTOS!$C178,IF(MOVIMIENTOS!$B178="AJUSTE","AJUSTE inventario ("&amp;MOVIMIENTOS!$C178&amp;")",MOVIMIENTOS!$B178)))))))))),"")</f>
        <v/>
      </c>
      <c r="M179" t="str">
        <f>IF(AND(AND(MOVIMIENTOS!$B178&lt;&gt;"",NOT(AND(MOVIMIENTOS!$B178="PROCESO",MOVIMIENTOS!$C178&lt;&gt;"Chancho")),NOT(AND(MOVIMIENTOS!$B178="SALDO INICIAL",MOVIMIENTOS!$C178="Chancho"))),OR(MOVIMIENTOS!$B178="SALDO INICIAL",MOVIMIENTOS!$B178="COMPRA",MOVIMIENTOS!$B178="REPROCESO",AND(MOVIMIENTOS!$B178="AJUSTE",MOVIMIENTOS!$C178&lt;&gt;"Chancho",N(MOVIMIENTOS!$F178)&gt;=0))),N(MOVIMIENTOS!$F178),"")</f>
        <v/>
      </c>
      <c r="N179" t="str">
        <f>IF(AND(AND(MOVIMIENTOS!$B178&lt;&gt;"",NOT(AND(MOVIMIENTOS!$B178="PROCESO",MOVIMIENTOS!$C178&lt;&gt;"Chancho")),NOT(AND(MOVIMIENTOS!$B178="SALDO INICIAL",MOVIMIENTOS!$C178="Chancho"))),OR(MOVIMIENTOS!$B178="ENVÍO A SUPESA",MOVIMIENTOS!$B178="MALOGRADO",MOVIMIENTOS!$B178="OTRA SALIDA",MOVIMIENTOS!$B178="TRASIEGO",AND(MOVIMIENTOS!$B178="PROCESO",MOVIMIENTOS!$C178="Chancho"),AND(MOVIMIENTOS!$B178="REGALO",MOVIMIENTOS!$C178&lt;&gt;"Chancho"),AND(MOVIMIENTOS!$B178="VENTA",MOVIMIENTOS!$C178&lt;&gt;"Chancho"),AND(MOVIMIENTOS!$B178="AJUSTE",MOVIMIENTOS!$C178&lt;&gt;"Chancho",N(MOVIMIENTOS!$F178)&lt;0))),IF(MOVIMIENTOS!$B178="AJUSTE",-N(MOVIMIENTOS!$F178),N(MOVIMIENTOS!$F178)),"")</f>
        <v/>
      </c>
      <c r="O179" t="str">
        <f>IF(AND(MOVIMIENTOS!$B178&lt;&gt;"",NOT(AND(MOVIMIENTOS!$B178="PROCESO",MOVIMIENTOS!$C178&lt;&gt;"Chancho")),NOT(AND(MOVIMIENTOS!$B178="SALDO INICIAL",MOVIMIENTOS!$C178="Chancho"))),TRIM(IF(MOVIMIENTOS!$G178&lt;&gt;"",IF(MOVIMIENTOS!$B178="ENVÍO A SUPESA","G-"&amp;MOVIMIENTOS!$G178,MOVIMIENTOS!$G178)&amp;"  ","")&amp;IF(N(MOVIMIENTOS!$E178)&gt;0,MOVIMIENTOS!$E178&amp;" "&amp;MOVIMIENTOS!$D178,"")),"")</f>
        <v/>
      </c>
      <c r="P179">
        <f t="shared" si="20"/>
        <v>6138.5</v>
      </c>
    </row>
    <row r="180" spans="1:16" x14ac:dyDescent="0.2">
      <c r="A180" s="7" t="str">
        <f t="shared" si="14"/>
        <v/>
      </c>
      <c r="B180" s="8" t="str">
        <f t="shared" si="15"/>
        <v/>
      </c>
      <c r="C180" s="9" t="str">
        <f t="shared" si="16"/>
        <v/>
      </c>
      <c r="D180" s="9" t="str">
        <f t="shared" si="17"/>
        <v/>
      </c>
      <c r="E180" s="8" t="str">
        <f t="shared" si="18"/>
        <v/>
      </c>
      <c r="F180" s="9" t="str">
        <f t="shared" si="19"/>
        <v/>
      </c>
      <c r="J180" t="str">
        <f>IF(AND(MOVIMIENTOS!$B179&lt;&gt;"",NOT(AND(MOVIMIENTOS!$B179="PROCESO",MOVIMIENTOS!$C179&lt;&gt;"Chancho")),NOT(AND(MOVIMIENTOS!$B179="SALDO INICIAL",MOVIMIENTOS!$C179="Chancho"))),COUNT(J$5:J179)+1,"")</f>
        <v/>
      </c>
      <c r="K180" t="str">
        <f>IF(AND(MOVIMIENTOS!$B179&lt;&gt;"",NOT(AND(MOVIMIENTOS!$B179="PROCESO",MOVIMIENTOS!$C179&lt;&gt;"Chancho")),NOT(AND(MOVIMIENTOS!$B179="SALDO INICIAL",MOVIMIENTOS!$C179="Chancho"))),MOVIMIENTOS!$A179,"")</f>
        <v/>
      </c>
      <c r="L180" t="str">
        <f>IF(AND(MOVIMIENTOS!$B179&lt;&gt;"",NOT(AND(MOVIMIENTOS!$B179="PROCESO",MOVIMIENTOS!$C179&lt;&gt;"Chancho")),NOT(AND(MOVIMIENTOS!$B179="SALDO INICIAL",MOVIMIENTOS!$C179="Chancho"))),IF(MOVIMIENTOS!$B179="SALDO INICIAL","APERTURA ("&amp;MOVIMIENTOS!$C179&amp;")",IF(MOVIMIENTOS!$B179="COMPRA","INGRESO (compra)",IF(MOVIMIENTOS!$B179="PROCESO","CHANCHO (proceso)",IF(MOVIMIENTOS!$B179="ENVÍO A SUPESA","ENVÍO SUPESA cal. "&amp;MOVIMIENTOS!$C179,IF(MOVIMIENTOS!$B179="VENTA CHANCHO","VENTA CHANCHO",IF(MOVIMIENTOS!$B179="DEVOLUCIÓN","DEVOLUCIÓN cal. "&amp;MOVIMIENTOS!$C179,IF(MOVIMIENTOS!$B179="TRASIEGO","TRASIEGO cal. "&amp;MOVIMIENTOS!$C179,IF(MOVIMIENTOS!$B179="REGALO","REGALO "&amp;MOVIMIENTOS!$C179,IF(MOVIMIENTOS!$B179="VENTA","VENTA "&amp;MOVIMIENTOS!$C179,IF(MOVIMIENTOS!$B179="AJUSTE","AJUSTE inventario ("&amp;MOVIMIENTOS!$C179&amp;")",MOVIMIENTOS!$B179)))))))))),"")</f>
        <v/>
      </c>
      <c r="M180" t="str">
        <f>IF(AND(AND(MOVIMIENTOS!$B179&lt;&gt;"",NOT(AND(MOVIMIENTOS!$B179="PROCESO",MOVIMIENTOS!$C179&lt;&gt;"Chancho")),NOT(AND(MOVIMIENTOS!$B179="SALDO INICIAL",MOVIMIENTOS!$C179="Chancho"))),OR(MOVIMIENTOS!$B179="SALDO INICIAL",MOVIMIENTOS!$B179="COMPRA",MOVIMIENTOS!$B179="REPROCESO",AND(MOVIMIENTOS!$B179="AJUSTE",MOVIMIENTOS!$C179&lt;&gt;"Chancho",N(MOVIMIENTOS!$F179)&gt;=0))),N(MOVIMIENTOS!$F179),"")</f>
        <v/>
      </c>
      <c r="N180" t="str">
        <f>IF(AND(AND(MOVIMIENTOS!$B179&lt;&gt;"",NOT(AND(MOVIMIENTOS!$B179="PROCESO",MOVIMIENTOS!$C179&lt;&gt;"Chancho")),NOT(AND(MOVIMIENTOS!$B179="SALDO INICIAL",MOVIMIENTOS!$C179="Chancho"))),OR(MOVIMIENTOS!$B179="ENVÍO A SUPESA",MOVIMIENTOS!$B179="MALOGRADO",MOVIMIENTOS!$B179="OTRA SALIDA",MOVIMIENTOS!$B179="TRASIEGO",AND(MOVIMIENTOS!$B179="PROCESO",MOVIMIENTOS!$C179="Chancho"),AND(MOVIMIENTOS!$B179="REGALO",MOVIMIENTOS!$C179&lt;&gt;"Chancho"),AND(MOVIMIENTOS!$B179="VENTA",MOVIMIENTOS!$C179&lt;&gt;"Chancho"),AND(MOVIMIENTOS!$B179="AJUSTE",MOVIMIENTOS!$C179&lt;&gt;"Chancho",N(MOVIMIENTOS!$F179)&lt;0))),IF(MOVIMIENTOS!$B179="AJUSTE",-N(MOVIMIENTOS!$F179),N(MOVIMIENTOS!$F179)),"")</f>
        <v/>
      </c>
      <c r="O180" t="str">
        <f>IF(AND(MOVIMIENTOS!$B179&lt;&gt;"",NOT(AND(MOVIMIENTOS!$B179="PROCESO",MOVIMIENTOS!$C179&lt;&gt;"Chancho")),NOT(AND(MOVIMIENTOS!$B179="SALDO INICIAL",MOVIMIENTOS!$C179="Chancho"))),TRIM(IF(MOVIMIENTOS!$G179&lt;&gt;"",IF(MOVIMIENTOS!$B179="ENVÍO A SUPESA","G-"&amp;MOVIMIENTOS!$G179,MOVIMIENTOS!$G179)&amp;"  ","")&amp;IF(N(MOVIMIENTOS!$E179)&gt;0,MOVIMIENTOS!$E179&amp;" "&amp;MOVIMIENTOS!$D179,"")),"")</f>
        <v/>
      </c>
      <c r="P180">
        <f t="shared" si="20"/>
        <v>6138.5</v>
      </c>
    </row>
    <row r="181" spans="1:16" x14ac:dyDescent="0.2">
      <c r="A181" s="7" t="str">
        <f t="shared" si="14"/>
        <v/>
      </c>
      <c r="B181" s="8" t="str">
        <f t="shared" si="15"/>
        <v/>
      </c>
      <c r="C181" s="9" t="str">
        <f t="shared" si="16"/>
        <v/>
      </c>
      <c r="D181" s="9" t="str">
        <f t="shared" si="17"/>
        <v/>
      </c>
      <c r="E181" s="8" t="str">
        <f t="shared" si="18"/>
        <v/>
      </c>
      <c r="F181" s="9" t="str">
        <f t="shared" si="19"/>
        <v/>
      </c>
      <c r="J181" t="str">
        <f>IF(AND(MOVIMIENTOS!$B180&lt;&gt;"",NOT(AND(MOVIMIENTOS!$B180="PROCESO",MOVIMIENTOS!$C180&lt;&gt;"Chancho")),NOT(AND(MOVIMIENTOS!$B180="SALDO INICIAL",MOVIMIENTOS!$C180="Chancho"))),COUNT(J$5:J180)+1,"")</f>
        <v/>
      </c>
      <c r="K181" t="str">
        <f>IF(AND(MOVIMIENTOS!$B180&lt;&gt;"",NOT(AND(MOVIMIENTOS!$B180="PROCESO",MOVIMIENTOS!$C180&lt;&gt;"Chancho")),NOT(AND(MOVIMIENTOS!$B180="SALDO INICIAL",MOVIMIENTOS!$C180="Chancho"))),MOVIMIENTOS!$A180,"")</f>
        <v/>
      </c>
      <c r="L181" t="str">
        <f>IF(AND(MOVIMIENTOS!$B180&lt;&gt;"",NOT(AND(MOVIMIENTOS!$B180="PROCESO",MOVIMIENTOS!$C180&lt;&gt;"Chancho")),NOT(AND(MOVIMIENTOS!$B180="SALDO INICIAL",MOVIMIENTOS!$C180="Chancho"))),IF(MOVIMIENTOS!$B180="SALDO INICIAL","APERTURA ("&amp;MOVIMIENTOS!$C180&amp;")",IF(MOVIMIENTOS!$B180="COMPRA","INGRESO (compra)",IF(MOVIMIENTOS!$B180="PROCESO","CHANCHO (proceso)",IF(MOVIMIENTOS!$B180="ENVÍO A SUPESA","ENVÍO SUPESA cal. "&amp;MOVIMIENTOS!$C180,IF(MOVIMIENTOS!$B180="VENTA CHANCHO","VENTA CHANCHO",IF(MOVIMIENTOS!$B180="DEVOLUCIÓN","DEVOLUCIÓN cal. "&amp;MOVIMIENTOS!$C180,IF(MOVIMIENTOS!$B180="TRASIEGO","TRASIEGO cal. "&amp;MOVIMIENTOS!$C180,IF(MOVIMIENTOS!$B180="REGALO","REGALO "&amp;MOVIMIENTOS!$C180,IF(MOVIMIENTOS!$B180="VENTA","VENTA "&amp;MOVIMIENTOS!$C180,IF(MOVIMIENTOS!$B180="AJUSTE","AJUSTE inventario ("&amp;MOVIMIENTOS!$C180&amp;")",MOVIMIENTOS!$B180)))))))))),"")</f>
        <v/>
      </c>
      <c r="M181" t="str">
        <f>IF(AND(AND(MOVIMIENTOS!$B180&lt;&gt;"",NOT(AND(MOVIMIENTOS!$B180="PROCESO",MOVIMIENTOS!$C180&lt;&gt;"Chancho")),NOT(AND(MOVIMIENTOS!$B180="SALDO INICIAL",MOVIMIENTOS!$C180="Chancho"))),OR(MOVIMIENTOS!$B180="SALDO INICIAL",MOVIMIENTOS!$B180="COMPRA",MOVIMIENTOS!$B180="REPROCESO",AND(MOVIMIENTOS!$B180="AJUSTE",MOVIMIENTOS!$C180&lt;&gt;"Chancho",N(MOVIMIENTOS!$F180)&gt;=0))),N(MOVIMIENTOS!$F180),"")</f>
        <v/>
      </c>
      <c r="N181" t="str">
        <f>IF(AND(AND(MOVIMIENTOS!$B180&lt;&gt;"",NOT(AND(MOVIMIENTOS!$B180="PROCESO",MOVIMIENTOS!$C180&lt;&gt;"Chancho")),NOT(AND(MOVIMIENTOS!$B180="SALDO INICIAL",MOVIMIENTOS!$C180="Chancho"))),OR(MOVIMIENTOS!$B180="ENVÍO A SUPESA",MOVIMIENTOS!$B180="MALOGRADO",MOVIMIENTOS!$B180="OTRA SALIDA",MOVIMIENTOS!$B180="TRASIEGO",AND(MOVIMIENTOS!$B180="PROCESO",MOVIMIENTOS!$C180="Chancho"),AND(MOVIMIENTOS!$B180="REGALO",MOVIMIENTOS!$C180&lt;&gt;"Chancho"),AND(MOVIMIENTOS!$B180="VENTA",MOVIMIENTOS!$C180&lt;&gt;"Chancho"),AND(MOVIMIENTOS!$B180="AJUSTE",MOVIMIENTOS!$C180&lt;&gt;"Chancho",N(MOVIMIENTOS!$F180)&lt;0))),IF(MOVIMIENTOS!$B180="AJUSTE",-N(MOVIMIENTOS!$F180),N(MOVIMIENTOS!$F180)),"")</f>
        <v/>
      </c>
      <c r="O181" t="str">
        <f>IF(AND(MOVIMIENTOS!$B180&lt;&gt;"",NOT(AND(MOVIMIENTOS!$B180="PROCESO",MOVIMIENTOS!$C180&lt;&gt;"Chancho")),NOT(AND(MOVIMIENTOS!$B180="SALDO INICIAL",MOVIMIENTOS!$C180="Chancho"))),TRIM(IF(MOVIMIENTOS!$G180&lt;&gt;"",IF(MOVIMIENTOS!$B180="ENVÍO A SUPESA","G-"&amp;MOVIMIENTOS!$G180,MOVIMIENTOS!$G180)&amp;"  ","")&amp;IF(N(MOVIMIENTOS!$E180)&gt;0,MOVIMIENTOS!$E180&amp;" "&amp;MOVIMIENTOS!$D180,"")),"")</f>
        <v/>
      </c>
      <c r="P181">
        <f t="shared" si="20"/>
        <v>6138.5</v>
      </c>
    </row>
    <row r="182" spans="1:16" x14ac:dyDescent="0.2">
      <c r="A182" s="7" t="str">
        <f t="shared" si="14"/>
        <v/>
      </c>
      <c r="B182" s="8" t="str">
        <f t="shared" si="15"/>
        <v/>
      </c>
      <c r="C182" s="9" t="str">
        <f t="shared" si="16"/>
        <v/>
      </c>
      <c r="D182" s="9" t="str">
        <f t="shared" si="17"/>
        <v/>
      </c>
      <c r="E182" s="8" t="str">
        <f t="shared" si="18"/>
        <v/>
      </c>
      <c r="F182" s="9" t="str">
        <f t="shared" si="19"/>
        <v/>
      </c>
      <c r="J182" t="str">
        <f>IF(AND(MOVIMIENTOS!$B181&lt;&gt;"",NOT(AND(MOVIMIENTOS!$B181="PROCESO",MOVIMIENTOS!$C181&lt;&gt;"Chancho")),NOT(AND(MOVIMIENTOS!$B181="SALDO INICIAL",MOVIMIENTOS!$C181="Chancho"))),COUNT(J$5:J181)+1,"")</f>
        <v/>
      </c>
      <c r="K182" t="str">
        <f>IF(AND(MOVIMIENTOS!$B181&lt;&gt;"",NOT(AND(MOVIMIENTOS!$B181="PROCESO",MOVIMIENTOS!$C181&lt;&gt;"Chancho")),NOT(AND(MOVIMIENTOS!$B181="SALDO INICIAL",MOVIMIENTOS!$C181="Chancho"))),MOVIMIENTOS!$A181,"")</f>
        <v/>
      </c>
      <c r="L182" t="str">
        <f>IF(AND(MOVIMIENTOS!$B181&lt;&gt;"",NOT(AND(MOVIMIENTOS!$B181="PROCESO",MOVIMIENTOS!$C181&lt;&gt;"Chancho")),NOT(AND(MOVIMIENTOS!$B181="SALDO INICIAL",MOVIMIENTOS!$C181="Chancho"))),IF(MOVIMIENTOS!$B181="SALDO INICIAL","APERTURA ("&amp;MOVIMIENTOS!$C181&amp;")",IF(MOVIMIENTOS!$B181="COMPRA","INGRESO (compra)",IF(MOVIMIENTOS!$B181="PROCESO","CHANCHO (proceso)",IF(MOVIMIENTOS!$B181="ENVÍO A SUPESA","ENVÍO SUPESA cal. "&amp;MOVIMIENTOS!$C181,IF(MOVIMIENTOS!$B181="VENTA CHANCHO","VENTA CHANCHO",IF(MOVIMIENTOS!$B181="DEVOLUCIÓN","DEVOLUCIÓN cal. "&amp;MOVIMIENTOS!$C181,IF(MOVIMIENTOS!$B181="TRASIEGO","TRASIEGO cal. "&amp;MOVIMIENTOS!$C181,IF(MOVIMIENTOS!$B181="REGALO","REGALO "&amp;MOVIMIENTOS!$C181,IF(MOVIMIENTOS!$B181="VENTA","VENTA "&amp;MOVIMIENTOS!$C181,IF(MOVIMIENTOS!$B181="AJUSTE","AJUSTE inventario ("&amp;MOVIMIENTOS!$C181&amp;")",MOVIMIENTOS!$B181)))))))))),"")</f>
        <v/>
      </c>
      <c r="M182" t="str">
        <f>IF(AND(AND(MOVIMIENTOS!$B181&lt;&gt;"",NOT(AND(MOVIMIENTOS!$B181="PROCESO",MOVIMIENTOS!$C181&lt;&gt;"Chancho")),NOT(AND(MOVIMIENTOS!$B181="SALDO INICIAL",MOVIMIENTOS!$C181="Chancho"))),OR(MOVIMIENTOS!$B181="SALDO INICIAL",MOVIMIENTOS!$B181="COMPRA",MOVIMIENTOS!$B181="REPROCESO",AND(MOVIMIENTOS!$B181="AJUSTE",MOVIMIENTOS!$C181&lt;&gt;"Chancho",N(MOVIMIENTOS!$F181)&gt;=0))),N(MOVIMIENTOS!$F181),"")</f>
        <v/>
      </c>
      <c r="N182" t="str">
        <f>IF(AND(AND(MOVIMIENTOS!$B181&lt;&gt;"",NOT(AND(MOVIMIENTOS!$B181="PROCESO",MOVIMIENTOS!$C181&lt;&gt;"Chancho")),NOT(AND(MOVIMIENTOS!$B181="SALDO INICIAL",MOVIMIENTOS!$C181="Chancho"))),OR(MOVIMIENTOS!$B181="ENVÍO A SUPESA",MOVIMIENTOS!$B181="MALOGRADO",MOVIMIENTOS!$B181="OTRA SALIDA",MOVIMIENTOS!$B181="TRASIEGO",AND(MOVIMIENTOS!$B181="PROCESO",MOVIMIENTOS!$C181="Chancho"),AND(MOVIMIENTOS!$B181="REGALO",MOVIMIENTOS!$C181&lt;&gt;"Chancho"),AND(MOVIMIENTOS!$B181="VENTA",MOVIMIENTOS!$C181&lt;&gt;"Chancho"),AND(MOVIMIENTOS!$B181="AJUSTE",MOVIMIENTOS!$C181&lt;&gt;"Chancho",N(MOVIMIENTOS!$F181)&lt;0))),IF(MOVIMIENTOS!$B181="AJUSTE",-N(MOVIMIENTOS!$F181),N(MOVIMIENTOS!$F181)),"")</f>
        <v/>
      </c>
      <c r="O182" t="str">
        <f>IF(AND(MOVIMIENTOS!$B181&lt;&gt;"",NOT(AND(MOVIMIENTOS!$B181="PROCESO",MOVIMIENTOS!$C181&lt;&gt;"Chancho")),NOT(AND(MOVIMIENTOS!$B181="SALDO INICIAL",MOVIMIENTOS!$C181="Chancho"))),TRIM(IF(MOVIMIENTOS!$G181&lt;&gt;"",IF(MOVIMIENTOS!$B181="ENVÍO A SUPESA","G-"&amp;MOVIMIENTOS!$G181,MOVIMIENTOS!$G181)&amp;"  ","")&amp;IF(N(MOVIMIENTOS!$E181)&gt;0,MOVIMIENTOS!$E181&amp;" "&amp;MOVIMIENTOS!$D181,"")),"")</f>
        <v/>
      </c>
      <c r="P182">
        <f t="shared" si="20"/>
        <v>6138.5</v>
      </c>
    </row>
    <row r="183" spans="1:16" x14ac:dyDescent="0.2">
      <c r="A183" s="7" t="str">
        <f t="shared" si="14"/>
        <v/>
      </c>
      <c r="B183" s="8" t="str">
        <f t="shared" si="15"/>
        <v/>
      </c>
      <c r="C183" s="9" t="str">
        <f t="shared" si="16"/>
        <v/>
      </c>
      <c r="D183" s="9" t="str">
        <f t="shared" si="17"/>
        <v/>
      </c>
      <c r="E183" s="8" t="str">
        <f t="shared" si="18"/>
        <v/>
      </c>
      <c r="F183" s="9" t="str">
        <f t="shared" si="19"/>
        <v/>
      </c>
      <c r="J183" t="str">
        <f>IF(AND(MOVIMIENTOS!$B182&lt;&gt;"",NOT(AND(MOVIMIENTOS!$B182="PROCESO",MOVIMIENTOS!$C182&lt;&gt;"Chancho")),NOT(AND(MOVIMIENTOS!$B182="SALDO INICIAL",MOVIMIENTOS!$C182="Chancho"))),COUNT(J$5:J182)+1,"")</f>
        <v/>
      </c>
      <c r="K183" t="str">
        <f>IF(AND(MOVIMIENTOS!$B182&lt;&gt;"",NOT(AND(MOVIMIENTOS!$B182="PROCESO",MOVIMIENTOS!$C182&lt;&gt;"Chancho")),NOT(AND(MOVIMIENTOS!$B182="SALDO INICIAL",MOVIMIENTOS!$C182="Chancho"))),MOVIMIENTOS!$A182,"")</f>
        <v/>
      </c>
      <c r="L183" t="str">
        <f>IF(AND(MOVIMIENTOS!$B182&lt;&gt;"",NOT(AND(MOVIMIENTOS!$B182="PROCESO",MOVIMIENTOS!$C182&lt;&gt;"Chancho")),NOT(AND(MOVIMIENTOS!$B182="SALDO INICIAL",MOVIMIENTOS!$C182="Chancho"))),IF(MOVIMIENTOS!$B182="SALDO INICIAL","APERTURA ("&amp;MOVIMIENTOS!$C182&amp;")",IF(MOVIMIENTOS!$B182="COMPRA","INGRESO (compra)",IF(MOVIMIENTOS!$B182="PROCESO","CHANCHO (proceso)",IF(MOVIMIENTOS!$B182="ENVÍO A SUPESA","ENVÍO SUPESA cal. "&amp;MOVIMIENTOS!$C182,IF(MOVIMIENTOS!$B182="VENTA CHANCHO","VENTA CHANCHO",IF(MOVIMIENTOS!$B182="DEVOLUCIÓN","DEVOLUCIÓN cal. "&amp;MOVIMIENTOS!$C182,IF(MOVIMIENTOS!$B182="TRASIEGO","TRASIEGO cal. "&amp;MOVIMIENTOS!$C182,IF(MOVIMIENTOS!$B182="REGALO","REGALO "&amp;MOVIMIENTOS!$C182,IF(MOVIMIENTOS!$B182="VENTA","VENTA "&amp;MOVIMIENTOS!$C182,IF(MOVIMIENTOS!$B182="AJUSTE","AJUSTE inventario ("&amp;MOVIMIENTOS!$C182&amp;")",MOVIMIENTOS!$B182)))))))))),"")</f>
        <v/>
      </c>
      <c r="M183" t="str">
        <f>IF(AND(AND(MOVIMIENTOS!$B182&lt;&gt;"",NOT(AND(MOVIMIENTOS!$B182="PROCESO",MOVIMIENTOS!$C182&lt;&gt;"Chancho")),NOT(AND(MOVIMIENTOS!$B182="SALDO INICIAL",MOVIMIENTOS!$C182="Chancho"))),OR(MOVIMIENTOS!$B182="SALDO INICIAL",MOVIMIENTOS!$B182="COMPRA",MOVIMIENTOS!$B182="REPROCESO",AND(MOVIMIENTOS!$B182="AJUSTE",MOVIMIENTOS!$C182&lt;&gt;"Chancho",N(MOVIMIENTOS!$F182)&gt;=0))),N(MOVIMIENTOS!$F182),"")</f>
        <v/>
      </c>
      <c r="N183" t="str">
        <f>IF(AND(AND(MOVIMIENTOS!$B182&lt;&gt;"",NOT(AND(MOVIMIENTOS!$B182="PROCESO",MOVIMIENTOS!$C182&lt;&gt;"Chancho")),NOT(AND(MOVIMIENTOS!$B182="SALDO INICIAL",MOVIMIENTOS!$C182="Chancho"))),OR(MOVIMIENTOS!$B182="ENVÍO A SUPESA",MOVIMIENTOS!$B182="MALOGRADO",MOVIMIENTOS!$B182="OTRA SALIDA",MOVIMIENTOS!$B182="TRASIEGO",AND(MOVIMIENTOS!$B182="PROCESO",MOVIMIENTOS!$C182="Chancho"),AND(MOVIMIENTOS!$B182="REGALO",MOVIMIENTOS!$C182&lt;&gt;"Chancho"),AND(MOVIMIENTOS!$B182="VENTA",MOVIMIENTOS!$C182&lt;&gt;"Chancho"),AND(MOVIMIENTOS!$B182="AJUSTE",MOVIMIENTOS!$C182&lt;&gt;"Chancho",N(MOVIMIENTOS!$F182)&lt;0))),IF(MOVIMIENTOS!$B182="AJUSTE",-N(MOVIMIENTOS!$F182),N(MOVIMIENTOS!$F182)),"")</f>
        <v/>
      </c>
      <c r="O183" t="str">
        <f>IF(AND(MOVIMIENTOS!$B182&lt;&gt;"",NOT(AND(MOVIMIENTOS!$B182="PROCESO",MOVIMIENTOS!$C182&lt;&gt;"Chancho")),NOT(AND(MOVIMIENTOS!$B182="SALDO INICIAL",MOVIMIENTOS!$C182="Chancho"))),TRIM(IF(MOVIMIENTOS!$G182&lt;&gt;"",IF(MOVIMIENTOS!$B182="ENVÍO A SUPESA","G-"&amp;MOVIMIENTOS!$G182,MOVIMIENTOS!$G182)&amp;"  ","")&amp;IF(N(MOVIMIENTOS!$E182)&gt;0,MOVIMIENTOS!$E182&amp;" "&amp;MOVIMIENTOS!$D182,"")),"")</f>
        <v/>
      </c>
      <c r="P183">
        <f t="shared" si="20"/>
        <v>6138.5</v>
      </c>
    </row>
    <row r="184" spans="1:16" x14ac:dyDescent="0.2">
      <c r="A184" s="7" t="str">
        <f t="shared" si="14"/>
        <v/>
      </c>
      <c r="B184" s="8" t="str">
        <f t="shared" si="15"/>
        <v/>
      </c>
      <c r="C184" s="9" t="str">
        <f t="shared" si="16"/>
        <v/>
      </c>
      <c r="D184" s="9" t="str">
        <f t="shared" si="17"/>
        <v/>
      </c>
      <c r="E184" s="8" t="str">
        <f t="shared" si="18"/>
        <v/>
      </c>
      <c r="F184" s="9" t="str">
        <f t="shared" si="19"/>
        <v/>
      </c>
      <c r="J184" t="str">
        <f>IF(AND(MOVIMIENTOS!$B183&lt;&gt;"",NOT(AND(MOVIMIENTOS!$B183="PROCESO",MOVIMIENTOS!$C183&lt;&gt;"Chancho")),NOT(AND(MOVIMIENTOS!$B183="SALDO INICIAL",MOVIMIENTOS!$C183="Chancho"))),COUNT(J$5:J183)+1,"")</f>
        <v/>
      </c>
      <c r="K184" t="str">
        <f>IF(AND(MOVIMIENTOS!$B183&lt;&gt;"",NOT(AND(MOVIMIENTOS!$B183="PROCESO",MOVIMIENTOS!$C183&lt;&gt;"Chancho")),NOT(AND(MOVIMIENTOS!$B183="SALDO INICIAL",MOVIMIENTOS!$C183="Chancho"))),MOVIMIENTOS!$A183,"")</f>
        <v/>
      </c>
      <c r="L184" t="str">
        <f>IF(AND(MOVIMIENTOS!$B183&lt;&gt;"",NOT(AND(MOVIMIENTOS!$B183="PROCESO",MOVIMIENTOS!$C183&lt;&gt;"Chancho")),NOT(AND(MOVIMIENTOS!$B183="SALDO INICIAL",MOVIMIENTOS!$C183="Chancho"))),IF(MOVIMIENTOS!$B183="SALDO INICIAL","APERTURA ("&amp;MOVIMIENTOS!$C183&amp;")",IF(MOVIMIENTOS!$B183="COMPRA","INGRESO (compra)",IF(MOVIMIENTOS!$B183="PROCESO","CHANCHO (proceso)",IF(MOVIMIENTOS!$B183="ENVÍO A SUPESA","ENVÍO SUPESA cal. "&amp;MOVIMIENTOS!$C183,IF(MOVIMIENTOS!$B183="VENTA CHANCHO","VENTA CHANCHO",IF(MOVIMIENTOS!$B183="DEVOLUCIÓN","DEVOLUCIÓN cal. "&amp;MOVIMIENTOS!$C183,IF(MOVIMIENTOS!$B183="TRASIEGO","TRASIEGO cal. "&amp;MOVIMIENTOS!$C183,IF(MOVIMIENTOS!$B183="REGALO","REGALO "&amp;MOVIMIENTOS!$C183,IF(MOVIMIENTOS!$B183="VENTA","VENTA "&amp;MOVIMIENTOS!$C183,IF(MOVIMIENTOS!$B183="AJUSTE","AJUSTE inventario ("&amp;MOVIMIENTOS!$C183&amp;")",MOVIMIENTOS!$B183)))))))))),"")</f>
        <v/>
      </c>
      <c r="M184" t="str">
        <f>IF(AND(AND(MOVIMIENTOS!$B183&lt;&gt;"",NOT(AND(MOVIMIENTOS!$B183="PROCESO",MOVIMIENTOS!$C183&lt;&gt;"Chancho")),NOT(AND(MOVIMIENTOS!$B183="SALDO INICIAL",MOVIMIENTOS!$C183="Chancho"))),OR(MOVIMIENTOS!$B183="SALDO INICIAL",MOVIMIENTOS!$B183="COMPRA",MOVIMIENTOS!$B183="REPROCESO",AND(MOVIMIENTOS!$B183="AJUSTE",MOVIMIENTOS!$C183&lt;&gt;"Chancho",N(MOVIMIENTOS!$F183)&gt;=0))),N(MOVIMIENTOS!$F183),"")</f>
        <v/>
      </c>
      <c r="N184" t="str">
        <f>IF(AND(AND(MOVIMIENTOS!$B183&lt;&gt;"",NOT(AND(MOVIMIENTOS!$B183="PROCESO",MOVIMIENTOS!$C183&lt;&gt;"Chancho")),NOT(AND(MOVIMIENTOS!$B183="SALDO INICIAL",MOVIMIENTOS!$C183="Chancho"))),OR(MOVIMIENTOS!$B183="ENVÍO A SUPESA",MOVIMIENTOS!$B183="MALOGRADO",MOVIMIENTOS!$B183="OTRA SALIDA",MOVIMIENTOS!$B183="TRASIEGO",AND(MOVIMIENTOS!$B183="PROCESO",MOVIMIENTOS!$C183="Chancho"),AND(MOVIMIENTOS!$B183="REGALO",MOVIMIENTOS!$C183&lt;&gt;"Chancho"),AND(MOVIMIENTOS!$B183="VENTA",MOVIMIENTOS!$C183&lt;&gt;"Chancho"),AND(MOVIMIENTOS!$B183="AJUSTE",MOVIMIENTOS!$C183&lt;&gt;"Chancho",N(MOVIMIENTOS!$F183)&lt;0))),IF(MOVIMIENTOS!$B183="AJUSTE",-N(MOVIMIENTOS!$F183),N(MOVIMIENTOS!$F183)),"")</f>
        <v/>
      </c>
      <c r="O184" t="str">
        <f>IF(AND(MOVIMIENTOS!$B183&lt;&gt;"",NOT(AND(MOVIMIENTOS!$B183="PROCESO",MOVIMIENTOS!$C183&lt;&gt;"Chancho")),NOT(AND(MOVIMIENTOS!$B183="SALDO INICIAL",MOVIMIENTOS!$C183="Chancho"))),TRIM(IF(MOVIMIENTOS!$G183&lt;&gt;"",IF(MOVIMIENTOS!$B183="ENVÍO A SUPESA","G-"&amp;MOVIMIENTOS!$G183,MOVIMIENTOS!$G183)&amp;"  ","")&amp;IF(N(MOVIMIENTOS!$E183)&gt;0,MOVIMIENTOS!$E183&amp;" "&amp;MOVIMIENTOS!$D183,"")),"")</f>
        <v/>
      </c>
      <c r="P184">
        <f t="shared" si="20"/>
        <v>6138.5</v>
      </c>
    </row>
    <row r="185" spans="1:16" x14ac:dyDescent="0.2">
      <c r="A185" s="7" t="str">
        <f t="shared" si="14"/>
        <v/>
      </c>
      <c r="B185" s="8" t="str">
        <f t="shared" si="15"/>
        <v/>
      </c>
      <c r="C185" s="9" t="str">
        <f t="shared" si="16"/>
        <v/>
      </c>
      <c r="D185" s="9" t="str">
        <f t="shared" si="17"/>
        <v/>
      </c>
      <c r="E185" s="8" t="str">
        <f t="shared" si="18"/>
        <v/>
      </c>
      <c r="F185" s="9" t="str">
        <f t="shared" si="19"/>
        <v/>
      </c>
      <c r="J185" t="str">
        <f>IF(AND(MOVIMIENTOS!$B184&lt;&gt;"",NOT(AND(MOVIMIENTOS!$B184="PROCESO",MOVIMIENTOS!$C184&lt;&gt;"Chancho")),NOT(AND(MOVIMIENTOS!$B184="SALDO INICIAL",MOVIMIENTOS!$C184="Chancho"))),COUNT(J$5:J184)+1,"")</f>
        <v/>
      </c>
      <c r="K185" t="str">
        <f>IF(AND(MOVIMIENTOS!$B184&lt;&gt;"",NOT(AND(MOVIMIENTOS!$B184="PROCESO",MOVIMIENTOS!$C184&lt;&gt;"Chancho")),NOT(AND(MOVIMIENTOS!$B184="SALDO INICIAL",MOVIMIENTOS!$C184="Chancho"))),MOVIMIENTOS!$A184,"")</f>
        <v/>
      </c>
      <c r="L185" t="str">
        <f>IF(AND(MOVIMIENTOS!$B184&lt;&gt;"",NOT(AND(MOVIMIENTOS!$B184="PROCESO",MOVIMIENTOS!$C184&lt;&gt;"Chancho")),NOT(AND(MOVIMIENTOS!$B184="SALDO INICIAL",MOVIMIENTOS!$C184="Chancho"))),IF(MOVIMIENTOS!$B184="SALDO INICIAL","APERTURA ("&amp;MOVIMIENTOS!$C184&amp;")",IF(MOVIMIENTOS!$B184="COMPRA","INGRESO (compra)",IF(MOVIMIENTOS!$B184="PROCESO","CHANCHO (proceso)",IF(MOVIMIENTOS!$B184="ENVÍO A SUPESA","ENVÍO SUPESA cal. "&amp;MOVIMIENTOS!$C184,IF(MOVIMIENTOS!$B184="VENTA CHANCHO","VENTA CHANCHO",IF(MOVIMIENTOS!$B184="DEVOLUCIÓN","DEVOLUCIÓN cal. "&amp;MOVIMIENTOS!$C184,IF(MOVIMIENTOS!$B184="TRASIEGO","TRASIEGO cal. "&amp;MOVIMIENTOS!$C184,IF(MOVIMIENTOS!$B184="REGALO","REGALO "&amp;MOVIMIENTOS!$C184,IF(MOVIMIENTOS!$B184="VENTA","VENTA "&amp;MOVIMIENTOS!$C184,IF(MOVIMIENTOS!$B184="AJUSTE","AJUSTE inventario ("&amp;MOVIMIENTOS!$C184&amp;")",MOVIMIENTOS!$B184)))))))))),"")</f>
        <v/>
      </c>
      <c r="M185" t="str">
        <f>IF(AND(AND(MOVIMIENTOS!$B184&lt;&gt;"",NOT(AND(MOVIMIENTOS!$B184="PROCESO",MOVIMIENTOS!$C184&lt;&gt;"Chancho")),NOT(AND(MOVIMIENTOS!$B184="SALDO INICIAL",MOVIMIENTOS!$C184="Chancho"))),OR(MOVIMIENTOS!$B184="SALDO INICIAL",MOVIMIENTOS!$B184="COMPRA",MOVIMIENTOS!$B184="REPROCESO",AND(MOVIMIENTOS!$B184="AJUSTE",MOVIMIENTOS!$C184&lt;&gt;"Chancho",N(MOVIMIENTOS!$F184)&gt;=0))),N(MOVIMIENTOS!$F184),"")</f>
        <v/>
      </c>
      <c r="N185" t="str">
        <f>IF(AND(AND(MOVIMIENTOS!$B184&lt;&gt;"",NOT(AND(MOVIMIENTOS!$B184="PROCESO",MOVIMIENTOS!$C184&lt;&gt;"Chancho")),NOT(AND(MOVIMIENTOS!$B184="SALDO INICIAL",MOVIMIENTOS!$C184="Chancho"))),OR(MOVIMIENTOS!$B184="ENVÍO A SUPESA",MOVIMIENTOS!$B184="MALOGRADO",MOVIMIENTOS!$B184="OTRA SALIDA",MOVIMIENTOS!$B184="TRASIEGO",AND(MOVIMIENTOS!$B184="PROCESO",MOVIMIENTOS!$C184="Chancho"),AND(MOVIMIENTOS!$B184="REGALO",MOVIMIENTOS!$C184&lt;&gt;"Chancho"),AND(MOVIMIENTOS!$B184="VENTA",MOVIMIENTOS!$C184&lt;&gt;"Chancho"),AND(MOVIMIENTOS!$B184="AJUSTE",MOVIMIENTOS!$C184&lt;&gt;"Chancho",N(MOVIMIENTOS!$F184)&lt;0))),IF(MOVIMIENTOS!$B184="AJUSTE",-N(MOVIMIENTOS!$F184),N(MOVIMIENTOS!$F184)),"")</f>
        <v/>
      </c>
      <c r="O185" t="str">
        <f>IF(AND(MOVIMIENTOS!$B184&lt;&gt;"",NOT(AND(MOVIMIENTOS!$B184="PROCESO",MOVIMIENTOS!$C184&lt;&gt;"Chancho")),NOT(AND(MOVIMIENTOS!$B184="SALDO INICIAL",MOVIMIENTOS!$C184="Chancho"))),TRIM(IF(MOVIMIENTOS!$G184&lt;&gt;"",IF(MOVIMIENTOS!$B184="ENVÍO A SUPESA","G-"&amp;MOVIMIENTOS!$G184,MOVIMIENTOS!$G184)&amp;"  ","")&amp;IF(N(MOVIMIENTOS!$E184)&gt;0,MOVIMIENTOS!$E184&amp;" "&amp;MOVIMIENTOS!$D184,"")),"")</f>
        <v/>
      </c>
      <c r="P185">
        <f t="shared" si="20"/>
        <v>6138.5</v>
      </c>
    </row>
    <row r="186" spans="1:16" x14ac:dyDescent="0.2">
      <c r="A186" s="7" t="str">
        <f t="shared" si="14"/>
        <v/>
      </c>
      <c r="B186" s="8" t="str">
        <f t="shared" si="15"/>
        <v/>
      </c>
      <c r="C186" s="9" t="str">
        <f t="shared" si="16"/>
        <v/>
      </c>
      <c r="D186" s="9" t="str">
        <f t="shared" si="17"/>
        <v/>
      </c>
      <c r="E186" s="8" t="str">
        <f t="shared" si="18"/>
        <v/>
      </c>
      <c r="F186" s="9" t="str">
        <f t="shared" si="19"/>
        <v/>
      </c>
      <c r="J186" t="str">
        <f>IF(AND(MOVIMIENTOS!$B185&lt;&gt;"",NOT(AND(MOVIMIENTOS!$B185="PROCESO",MOVIMIENTOS!$C185&lt;&gt;"Chancho")),NOT(AND(MOVIMIENTOS!$B185="SALDO INICIAL",MOVIMIENTOS!$C185="Chancho"))),COUNT(J$5:J185)+1,"")</f>
        <v/>
      </c>
      <c r="K186" t="str">
        <f>IF(AND(MOVIMIENTOS!$B185&lt;&gt;"",NOT(AND(MOVIMIENTOS!$B185="PROCESO",MOVIMIENTOS!$C185&lt;&gt;"Chancho")),NOT(AND(MOVIMIENTOS!$B185="SALDO INICIAL",MOVIMIENTOS!$C185="Chancho"))),MOVIMIENTOS!$A185,"")</f>
        <v/>
      </c>
      <c r="L186" t="str">
        <f>IF(AND(MOVIMIENTOS!$B185&lt;&gt;"",NOT(AND(MOVIMIENTOS!$B185="PROCESO",MOVIMIENTOS!$C185&lt;&gt;"Chancho")),NOT(AND(MOVIMIENTOS!$B185="SALDO INICIAL",MOVIMIENTOS!$C185="Chancho"))),IF(MOVIMIENTOS!$B185="SALDO INICIAL","APERTURA ("&amp;MOVIMIENTOS!$C185&amp;")",IF(MOVIMIENTOS!$B185="COMPRA","INGRESO (compra)",IF(MOVIMIENTOS!$B185="PROCESO","CHANCHO (proceso)",IF(MOVIMIENTOS!$B185="ENVÍO A SUPESA","ENVÍO SUPESA cal. "&amp;MOVIMIENTOS!$C185,IF(MOVIMIENTOS!$B185="VENTA CHANCHO","VENTA CHANCHO",IF(MOVIMIENTOS!$B185="DEVOLUCIÓN","DEVOLUCIÓN cal. "&amp;MOVIMIENTOS!$C185,IF(MOVIMIENTOS!$B185="TRASIEGO","TRASIEGO cal. "&amp;MOVIMIENTOS!$C185,IF(MOVIMIENTOS!$B185="REGALO","REGALO "&amp;MOVIMIENTOS!$C185,IF(MOVIMIENTOS!$B185="VENTA","VENTA "&amp;MOVIMIENTOS!$C185,IF(MOVIMIENTOS!$B185="AJUSTE","AJUSTE inventario ("&amp;MOVIMIENTOS!$C185&amp;")",MOVIMIENTOS!$B185)))))))))),"")</f>
        <v/>
      </c>
      <c r="M186" t="str">
        <f>IF(AND(AND(MOVIMIENTOS!$B185&lt;&gt;"",NOT(AND(MOVIMIENTOS!$B185="PROCESO",MOVIMIENTOS!$C185&lt;&gt;"Chancho")),NOT(AND(MOVIMIENTOS!$B185="SALDO INICIAL",MOVIMIENTOS!$C185="Chancho"))),OR(MOVIMIENTOS!$B185="SALDO INICIAL",MOVIMIENTOS!$B185="COMPRA",MOVIMIENTOS!$B185="REPROCESO",AND(MOVIMIENTOS!$B185="AJUSTE",MOVIMIENTOS!$C185&lt;&gt;"Chancho",N(MOVIMIENTOS!$F185)&gt;=0))),N(MOVIMIENTOS!$F185),"")</f>
        <v/>
      </c>
      <c r="N186" t="str">
        <f>IF(AND(AND(MOVIMIENTOS!$B185&lt;&gt;"",NOT(AND(MOVIMIENTOS!$B185="PROCESO",MOVIMIENTOS!$C185&lt;&gt;"Chancho")),NOT(AND(MOVIMIENTOS!$B185="SALDO INICIAL",MOVIMIENTOS!$C185="Chancho"))),OR(MOVIMIENTOS!$B185="ENVÍO A SUPESA",MOVIMIENTOS!$B185="MALOGRADO",MOVIMIENTOS!$B185="OTRA SALIDA",MOVIMIENTOS!$B185="TRASIEGO",AND(MOVIMIENTOS!$B185="PROCESO",MOVIMIENTOS!$C185="Chancho"),AND(MOVIMIENTOS!$B185="REGALO",MOVIMIENTOS!$C185&lt;&gt;"Chancho"),AND(MOVIMIENTOS!$B185="VENTA",MOVIMIENTOS!$C185&lt;&gt;"Chancho"),AND(MOVIMIENTOS!$B185="AJUSTE",MOVIMIENTOS!$C185&lt;&gt;"Chancho",N(MOVIMIENTOS!$F185)&lt;0))),IF(MOVIMIENTOS!$B185="AJUSTE",-N(MOVIMIENTOS!$F185),N(MOVIMIENTOS!$F185)),"")</f>
        <v/>
      </c>
      <c r="O186" t="str">
        <f>IF(AND(MOVIMIENTOS!$B185&lt;&gt;"",NOT(AND(MOVIMIENTOS!$B185="PROCESO",MOVIMIENTOS!$C185&lt;&gt;"Chancho")),NOT(AND(MOVIMIENTOS!$B185="SALDO INICIAL",MOVIMIENTOS!$C185="Chancho"))),TRIM(IF(MOVIMIENTOS!$G185&lt;&gt;"",IF(MOVIMIENTOS!$B185="ENVÍO A SUPESA","G-"&amp;MOVIMIENTOS!$G185,MOVIMIENTOS!$G185)&amp;"  ","")&amp;IF(N(MOVIMIENTOS!$E185)&gt;0,MOVIMIENTOS!$E185&amp;" "&amp;MOVIMIENTOS!$D185,"")),"")</f>
        <v/>
      </c>
      <c r="P186">
        <f t="shared" si="20"/>
        <v>6138.5</v>
      </c>
    </row>
    <row r="187" spans="1:16" x14ac:dyDescent="0.2">
      <c r="A187" s="7" t="str">
        <f t="shared" si="14"/>
        <v/>
      </c>
      <c r="B187" s="8" t="str">
        <f t="shared" si="15"/>
        <v/>
      </c>
      <c r="C187" s="9" t="str">
        <f t="shared" si="16"/>
        <v/>
      </c>
      <c r="D187" s="9" t="str">
        <f t="shared" si="17"/>
        <v/>
      </c>
      <c r="E187" s="8" t="str">
        <f t="shared" si="18"/>
        <v/>
      </c>
      <c r="F187" s="9" t="str">
        <f t="shared" si="19"/>
        <v/>
      </c>
      <c r="J187" t="str">
        <f>IF(AND(MOVIMIENTOS!$B186&lt;&gt;"",NOT(AND(MOVIMIENTOS!$B186="PROCESO",MOVIMIENTOS!$C186&lt;&gt;"Chancho")),NOT(AND(MOVIMIENTOS!$B186="SALDO INICIAL",MOVIMIENTOS!$C186="Chancho"))),COUNT(J$5:J186)+1,"")</f>
        <v/>
      </c>
      <c r="K187" t="str">
        <f>IF(AND(MOVIMIENTOS!$B186&lt;&gt;"",NOT(AND(MOVIMIENTOS!$B186="PROCESO",MOVIMIENTOS!$C186&lt;&gt;"Chancho")),NOT(AND(MOVIMIENTOS!$B186="SALDO INICIAL",MOVIMIENTOS!$C186="Chancho"))),MOVIMIENTOS!$A186,"")</f>
        <v/>
      </c>
      <c r="L187" t="str">
        <f>IF(AND(MOVIMIENTOS!$B186&lt;&gt;"",NOT(AND(MOVIMIENTOS!$B186="PROCESO",MOVIMIENTOS!$C186&lt;&gt;"Chancho")),NOT(AND(MOVIMIENTOS!$B186="SALDO INICIAL",MOVIMIENTOS!$C186="Chancho"))),IF(MOVIMIENTOS!$B186="SALDO INICIAL","APERTURA ("&amp;MOVIMIENTOS!$C186&amp;")",IF(MOVIMIENTOS!$B186="COMPRA","INGRESO (compra)",IF(MOVIMIENTOS!$B186="PROCESO","CHANCHO (proceso)",IF(MOVIMIENTOS!$B186="ENVÍO A SUPESA","ENVÍO SUPESA cal. "&amp;MOVIMIENTOS!$C186,IF(MOVIMIENTOS!$B186="VENTA CHANCHO","VENTA CHANCHO",IF(MOVIMIENTOS!$B186="DEVOLUCIÓN","DEVOLUCIÓN cal. "&amp;MOVIMIENTOS!$C186,IF(MOVIMIENTOS!$B186="TRASIEGO","TRASIEGO cal. "&amp;MOVIMIENTOS!$C186,IF(MOVIMIENTOS!$B186="REGALO","REGALO "&amp;MOVIMIENTOS!$C186,IF(MOVIMIENTOS!$B186="VENTA","VENTA "&amp;MOVIMIENTOS!$C186,IF(MOVIMIENTOS!$B186="AJUSTE","AJUSTE inventario ("&amp;MOVIMIENTOS!$C186&amp;")",MOVIMIENTOS!$B186)))))))))),"")</f>
        <v/>
      </c>
      <c r="M187" t="str">
        <f>IF(AND(AND(MOVIMIENTOS!$B186&lt;&gt;"",NOT(AND(MOVIMIENTOS!$B186="PROCESO",MOVIMIENTOS!$C186&lt;&gt;"Chancho")),NOT(AND(MOVIMIENTOS!$B186="SALDO INICIAL",MOVIMIENTOS!$C186="Chancho"))),OR(MOVIMIENTOS!$B186="SALDO INICIAL",MOVIMIENTOS!$B186="COMPRA",MOVIMIENTOS!$B186="REPROCESO",AND(MOVIMIENTOS!$B186="AJUSTE",MOVIMIENTOS!$C186&lt;&gt;"Chancho",N(MOVIMIENTOS!$F186)&gt;=0))),N(MOVIMIENTOS!$F186),"")</f>
        <v/>
      </c>
      <c r="N187" t="str">
        <f>IF(AND(AND(MOVIMIENTOS!$B186&lt;&gt;"",NOT(AND(MOVIMIENTOS!$B186="PROCESO",MOVIMIENTOS!$C186&lt;&gt;"Chancho")),NOT(AND(MOVIMIENTOS!$B186="SALDO INICIAL",MOVIMIENTOS!$C186="Chancho"))),OR(MOVIMIENTOS!$B186="ENVÍO A SUPESA",MOVIMIENTOS!$B186="MALOGRADO",MOVIMIENTOS!$B186="OTRA SALIDA",MOVIMIENTOS!$B186="TRASIEGO",AND(MOVIMIENTOS!$B186="PROCESO",MOVIMIENTOS!$C186="Chancho"),AND(MOVIMIENTOS!$B186="REGALO",MOVIMIENTOS!$C186&lt;&gt;"Chancho"),AND(MOVIMIENTOS!$B186="VENTA",MOVIMIENTOS!$C186&lt;&gt;"Chancho"),AND(MOVIMIENTOS!$B186="AJUSTE",MOVIMIENTOS!$C186&lt;&gt;"Chancho",N(MOVIMIENTOS!$F186)&lt;0))),IF(MOVIMIENTOS!$B186="AJUSTE",-N(MOVIMIENTOS!$F186),N(MOVIMIENTOS!$F186)),"")</f>
        <v/>
      </c>
      <c r="O187" t="str">
        <f>IF(AND(MOVIMIENTOS!$B186&lt;&gt;"",NOT(AND(MOVIMIENTOS!$B186="PROCESO",MOVIMIENTOS!$C186&lt;&gt;"Chancho")),NOT(AND(MOVIMIENTOS!$B186="SALDO INICIAL",MOVIMIENTOS!$C186="Chancho"))),TRIM(IF(MOVIMIENTOS!$G186&lt;&gt;"",IF(MOVIMIENTOS!$B186="ENVÍO A SUPESA","G-"&amp;MOVIMIENTOS!$G186,MOVIMIENTOS!$G186)&amp;"  ","")&amp;IF(N(MOVIMIENTOS!$E186)&gt;0,MOVIMIENTOS!$E186&amp;" "&amp;MOVIMIENTOS!$D186,"")),"")</f>
        <v/>
      </c>
      <c r="P187">
        <f t="shared" si="20"/>
        <v>6138.5</v>
      </c>
    </row>
    <row r="188" spans="1:16" x14ac:dyDescent="0.2">
      <c r="A188" s="7" t="str">
        <f t="shared" si="14"/>
        <v/>
      </c>
      <c r="B188" s="8" t="str">
        <f t="shared" si="15"/>
        <v/>
      </c>
      <c r="C188" s="9" t="str">
        <f t="shared" si="16"/>
        <v/>
      </c>
      <c r="D188" s="9" t="str">
        <f t="shared" si="17"/>
        <v/>
      </c>
      <c r="E188" s="8" t="str">
        <f t="shared" si="18"/>
        <v/>
      </c>
      <c r="F188" s="9" t="str">
        <f t="shared" si="19"/>
        <v/>
      </c>
      <c r="J188" t="str">
        <f>IF(AND(MOVIMIENTOS!$B187&lt;&gt;"",NOT(AND(MOVIMIENTOS!$B187="PROCESO",MOVIMIENTOS!$C187&lt;&gt;"Chancho")),NOT(AND(MOVIMIENTOS!$B187="SALDO INICIAL",MOVIMIENTOS!$C187="Chancho"))),COUNT(J$5:J187)+1,"")</f>
        <v/>
      </c>
      <c r="K188" t="str">
        <f>IF(AND(MOVIMIENTOS!$B187&lt;&gt;"",NOT(AND(MOVIMIENTOS!$B187="PROCESO",MOVIMIENTOS!$C187&lt;&gt;"Chancho")),NOT(AND(MOVIMIENTOS!$B187="SALDO INICIAL",MOVIMIENTOS!$C187="Chancho"))),MOVIMIENTOS!$A187,"")</f>
        <v/>
      </c>
      <c r="L188" t="str">
        <f>IF(AND(MOVIMIENTOS!$B187&lt;&gt;"",NOT(AND(MOVIMIENTOS!$B187="PROCESO",MOVIMIENTOS!$C187&lt;&gt;"Chancho")),NOT(AND(MOVIMIENTOS!$B187="SALDO INICIAL",MOVIMIENTOS!$C187="Chancho"))),IF(MOVIMIENTOS!$B187="SALDO INICIAL","APERTURA ("&amp;MOVIMIENTOS!$C187&amp;")",IF(MOVIMIENTOS!$B187="COMPRA","INGRESO (compra)",IF(MOVIMIENTOS!$B187="PROCESO","CHANCHO (proceso)",IF(MOVIMIENTOS!$B187="ENVÍO A SUPESA","ENVÍO SUPESA cal. "&amp;MOVIMIENTOS!$C187,IF(MOVIMIENTOS!$B187="VENTA CHANCHO","VENTA CHANCHO",IF(MOVIMIENTOS!$B187="DEVOLUCIÓN","DEVOLUCIÓN cal. "&amp;MOVIMIENTOS!$C187,IF(MOVIMIENTOS!$B187="TRASIEGO","TRASIEGO cal. "&amp;MOVIMIENTOS!$C187,IF(MOVIMIENTOS!$B187="REGALO","REGALO "&amp;MOVIMIENTOS!$C187,IF(MOVIMIENTOS!$B187="VENTA","VENTA "&amp;MOVIMIENTOS!$C187,IF(MOVIMIENTOS!$B187="AJUSTE","AJUSTE inventario ("&amp;MOVIMIENTOS!$C187&amp;")",MOVIMIENTOS!$B187)))))))))),"")</f>
        <v/>
      </c>
      <c r="M188" t="str">
        <f>IF(AND(AND(MOVIMIENTOS!$B187&lt;&gt;"",NOT(AND(MOVIMIENTOS!$B187="PROCESO",MOVIMIENTOS!$C187&lt;&gt;"Chancho")),NOT(AND(MOVIMIENTOS!$B187="SALDO INICIAL",MOVIMIENTOS!$C187="Chancho"))),OR(MOVIMIENTOS!$B187="SALDO INICIAL",MOVIMIENTOS!$B187="COMPRA",MOVIMIENTOS!$B187="REPROCESO",AND(MOVIMIENTOS!$B187="AJUSTE",MOVIMIENTOS!$C187&lt;&gt;"Chancho",N(MOVIMIENTOS!$F187)&gt;=0))),N(MOVIMIENTOS!$F187),"")</f>
        <v/>
      </c>
      <c r="N188" t="str">
        <f>IF(AND(AND(MOVIMIENTOS!$B187&lt;&gt;"",NOT(AND(MOVIMIENTOS!$B187="PROCESO",MOVIMIENTOS!$C187&lt;&gt;"Chancho")),NOT(AND(MOVIMIENTOS!$B187="SALDO INICIAL",MOVIMIENTOS!$C187="Chancho"))),OR(MOVIMIENTOS!$B187="ENVÍO A SUPESA",MOVIMIENTOS!$B187="MALOGRADO",MOVIMIENTOS!$B187="OTRA SALIDA",MOVIMIENTOS!$B187="TRASIEGO",AND(MOVIMIENTOS!$B187="PROCESO",MOVIMIENTOS!$C187="Chancho"),AND(MOVIMIENTOS!$B187="REGALO",MOVIMIENTOS!$C187&lt;&gt;"Chancho"),AND(MOVIMIENTOS!$B187="VENTA",MOVIMIENTOS!$C187&lt;&gt;"Chancho"),AND(MOVIMIENTOS!$B187="AJUSTE",MOVIMIENTOS!$C187&lt;&gt;"Chancho",N(MOVIMIENTOS!$F187)&lt;0))),IF(MOVIMIENTOS!$B187="AJUSTE",-N(MOVIMIENTOS!$F187),N(MOVIMIENTOS!$F187)),"")</f>
        <v/>
      </c>
      <c r="O188" t="str">
        <f>IF(AND(MOVIMIENTOS!$B187&lt;&gt;"",NOT(AND(MOVIMIENTOS!$B187="PROCESO",MOVIMIENTOS!$C187&lt;&gt;"Chancho")),NOT(AND(MOVIMIENTOS!$B187="SALDO INICIAL",MOVIMIENTOS!$C187="Chancho"))),TRIM(IF(MOVIMIENTOS!$G187&lt;&gt;"",IF(MOVIMIENTOS!$B187="ENVÍO A SUPESA","G-"&amp;MOVIMIENTOS!$G187,MOVIMIENTOS!$G187)&amp;"  ","")&amp;IF(N(MOVIMIENTOS!$E187)&gt;0,MOVIMIENTOS!$E187&amp;" "&amp;MOVIMIENTOS!$D187,"")),"")</f>
        <v/>
      </c>
      <c r="P188">
        <f t="shared" si="20"/>
        <v>6138.5</v>
      </c>
    </row>
    <row r="189" spans="1:16" x14ac:dyDescent="0.2">
      <c r="A189" s="7" t="str">
        <f t="shared" si="14"/>
        <v/>
      </c>
      <c r="B189" s="8" t="str">
        <f t="shared" si="15"/>
        <v/>
      </c>
      <c r="C189" s="9" t="str">
        <f t="shared" si="16"/>
        <v/>
      </c>
      <c r="D189" s="9" t="str">
        <f t="shared" si="17"/>
        <v/>
      </c>
      <c r="E189" s="8" t="str">
        <f t="shared" si="18"/>
        <v/>
      </c>
      <c r="F189" s="9" t="str">
        <f t="shared" si="19"/>
        <v/>
      </c>
      <c r="J189" t="str">
        <f>IF(AND(MOVIMIENTOS!$B188&lt;&gt;"",NOT(AND(MOVIMIENTOS!$B188="PROCESO",MOVIMIENTOS!$C188&lt;&gt;"Chancho")),NOT(AND(MOVIMIENTOS!$B188="SALDO INICIAL",MOVIMIENTOS!$C188="Chancho"))),COUNT(J$5:J188)+1,"")</f>
        <v/>
      </c>
      <c r="K189" t="str">
        <f>IF(AND(MOVIMIENTOS!$B188&lt;&gt;"",NOT(AND(MOVIMIENTOS!$B188="PROCESO",MOVIMIENTOS!$C188&lt;&gt;"Chancho")),NOT(AND(MOVIMIENTOS!$B188="SALDO INICIAL",MOVIMIENTOS!$C188="Chancho"))),MOVIMIENTOS!$A188,"")</f>
        <v/>
      </c>
      <c r="L189" t="str">
        <f>IF(AND(MOVIMIENTOS!$B188&lt;&gt;"",NOT(AND(MOVIMIENTOS!$B188="PROCESO",MOVIMIENTOS!$C188&lt;&gt;"Chancho")),NOT(AND(MOVIMIENTOS!$B188="SALDO INICIAL",MOVIMIENTOS!$C188="Chancho"))),IF(MOVIMIENTOS!$B188="SALDO INICIAL","APERTURA ("&amp;MOVIMIENTOS!$C188&amp;")",IF(MOVIMIENTOS!$B188="COMPRA","INGRESO (compra)",IF(MOVIMIENTOS!$B188="PROCESO","CHANCHO (proceso)",IF(MOVIMIENTOS!$B188="ENVÍO A SUPESA","ENVÍO SUPESA cal. "&amp;MOVIMIENTOS!$C188,IF(MOVIMIENTOS!$B188="VENTA CHANCHO","VENTA CHANCHO",IF(MOVIMIENTOS!$B188="DEVOLUCIÓN","DEVOLUCIÓN cal. "&amp;MOVIMIENTOS!$C188,IF(MOVIMIENTOS!$B188="TRASIEGO","TRASIEGO cal. "&amp;MOVIMIENTOS!$C188,IF(MOVIMIENTOS!$B188="REGALO","REGALO "&amp;MOVIMIENTOS!$C188,IF(MOVIMIENTOS!$B188="VENTA","VENTA "&amp;MOVIMIENTOS!$C188,IF(MOVIMIENTOS!$B188="AJUSTE","AJUSTE inventario ("&amp;MOVIMIENTOS!$C188&amp;")",MOVIMIENTOS!$B188)))))))))),"")</f>
        <v/>
      </c>
      <c r="M189" t="str">
        <f>IF(AND(AND(MOVIMIENTOS!$B188&lt;&gt;"",NOT(AND(MOVIMIENTOS!$B188="PROCESO",MOVIMIENTOS!$C188&lt;&gt;"Chancho")),NOT(AND(MOVIMIENTOS!$B188="SALDO INICIAL",MOVIMIENTOS!$C188="Chancho"))),OR(MOVIMIENTOS!$B188="SALDO INICIAL",MOVIMIENTOS!$B188="COMPRA",MOVIMIENTOS!$B188="REPROCESO",AND(MOVIMIENTOS!$B188="AJUSTE",MOVIMIENTOS!$C188&lt;&gt;"Chancho",N(MOVIMIENTOS!$F188)&gt;=0))),N(MOVIMIENTOS!$F188),"")</f>
        <v/>
      </c>
      <c r="N189" t="str">
        <f>IF(AND(AND(MOVIMIENTOS!$B188&lt;&gt;"",NOT(AND(MOVIMIENTOS!$B188="PROCESO",MOVIMIENTOS!$C188&lt;&gt;"Chancho")),NOT(AND(MOVIMIENTOS!$B188="SALDO INICIAL",MOVIMIENTOS!$C188="Chancho"))),OR(MOVIMIENTOS!$B188="ENVÍO A SUPESA",MOVIMIENTOS!$B188="MALOGRADO",MOVIMIENTOS!$B188="OTRA SALIDA",MOVIMIENTOS!$B188="TRASIEGO",AND(MOVIMIENTOS!$B188="PROCESO",MOVIMIENTOS!$C188="Chancho"),AND(MOVIMIENTOS!$B188="REGALO",MOVIMIENTOS!$C188&lt;&gt;"Chancho"),AND(MOVIMIENTOS!$B188="VENTA",MOVIMIENTOS!$C188&lt;&gt;"Chancho"),AND(MOVIMIENTOS!$B188="AJUSTE",MOVIMIENTOS!$C188&lt;&gt;"Chancho",N(MOVIMIENTOS!$F188)&lt;0))),IF(MOVIMIENTOS!$B188="AJUSTE",-N(MOVIMIENTOS!$F188),N(MOVIMIENTOS!$F188)),"")</f>
        <v/>
      </c>
      <c r="O189" t="str">
        <f>IF(AND(MOVIMIENTOS!$B188&lt;&gt;"",NOT(AND(MOVIMIENTOS!$B188="PROCESO",MOVIMIENTOS!$C188&lt;&gt;"Chancho")),NOT(AND(MOVIMIENTOS!$B188="SALDO INICIAL",MOVIMIENTOS!$C188="Chancho"))),TRIM(IF(MOVIMIENTOS!$G188&lt;&gt;"",IF(MOVIMIENTOS!$B188="ENVÍO A SUPESA","G-"&amp;MOVIMIENTOS!$G188,MOVIMIENTOS!$G188)&amp;"  ","")&amp;IF(N(MOVIMIENTOS!$E188)&gt;0,MOVIMIENTOS!$E188&amp;" "&amp;MOVIMIENTOS!$D188,"")),"")</f>
        <v/>
      </c>
      <c r="P189">
        <f t="shared" si="20"/>
        <v>6138.5</v>
      </c>
    </row>
    <row r="190" spans="1:16" x14ac:dyDescent="0.2">
      <c r="A190" s="7" t="str">
        <f t="shared" si="14"/>
        <v/>
      </c>
      <c r="B190" s="8" t="str">
        <f t="shared" si="15"/>
        <v/>
      </c>
      <c r="C190" s="9" t="str">
        <f t="shared" si="16"/>
        <v/>
      </c>
      <c r="D190" s="9" t="str">
        <f t="shared" si="17"/>
        <v/>
      </c>
      <c r="E190" s="8" t="str">
        <f t="shared" si="18"/>
        <v/>
      </c>
      <c r="F190" s="9" t="str">
        <f t="shared" si="19"/>
        <v/>
      </c>
      <c r="J190" t="str">
        <f>IF(AND(MOVIMIENTOS!$B189&lt;&gt;"",NOT(AND(MOVIMIENTOS!$B189="PROCESO",MOVIMIENTOS!$C189&lt;&gt;"Chancho")),NOT(AND(MOVIMIENTOS!$B189="SALDO INICIAL",MOVIMIENTOS!$C189="Chancho"))),COUNT(J$5:J189)+1,"")</f>
        <v/>
      </c>
      <c r="K190" t="str">
        <f>IF(AND(MOVIMIENTOS!$B189&lt;&gt;"",NOT(AND(MOVIMIENTOS!$B189="PROCESO",MOVIMIENTOS!$C189&lt;&gt;"Chancho")),NOT(AND(MOVIMIENTOS!$B189="SALDO INICIAL",MOVIMIENTOS!$C189="Chancho"))),MOVIMIENTOS!$A189,"")</f>
        <v/>
      </c>
      <c r="L190" t="str">
        <f>IF(AND(MOVIMIENTOS!$B189&lt;&gt;"",NOT(AND(MOVIMIENTOS!$B189="PROCESO",MOVIMIENTOS!$C189&lt;&gt;"Chancho")),NOT(AND(MOVIMIENTOS!$B189="SALDO INICIAL",MOVIMIENTOS!$C189="Chancho"))),IF(MOVIMIENTOS!$B189="SALDO INICIAL","APERTURA ("&amp;MOVIMIENTOS!$C189&amp;")",IF(MOVIMIENTOS!$B189="COMPRA","INGRESO (compra)",IF(MOVIMIENTOS!$B189="PROCESO","CHANCHO (proceso)",IF(MOVIMIENTOS!$B189="ENVÍO A SUPESA","ENVÍO SUPESA cal. "&amp;MOVIMIENTOS!$C189,IF(MOVIMIENTOS!$B189="VENTA CHANCHO","VENTA CHANCHO",IF(MOVIMIENTOS!$B189="DEVOLUCIÓN","DEVOLUCIÓN cal. "&amp;MOVIMIENTOS!$C189,IF(MOVIMIENTOS!$B189="TRASIEGO","TRASIEGO cal. "&amp;MOVIMIENTOS!$C189,IF(MOVIMIENTOS!$B189="REGALO","REGALO "&amp;MOVIMIENTOS!$C189,IF(MOVIMIENTOS!$B189="VENTA","VENTA "&amp;MOVIMIENTOS!$C189,IF(MOVIMIENTOS!$B189="AJUSTE","AJUSTE inventario ("&amp;MOVIMIENTOS!$C189&amp;")",MOVIMIENTOS!$B189)))))))))),"")</f>
        <v/>
      </c>
      <c r="M190" t="str">
        <f>IF(AND(AND(MOVIMIENTOS!$B189&lt;&gt;"",NOT(AND(MOVIMIENTOS!$B189="PROCESO",MOVIMIENTOS!$C189&lt;&gt;"Chancho")),NOT(AND(MOVIMIENTOS!$B189="SALDO INICIAL",MOVIMIENTOS!$C189="Chancho"))),OR(MOVIMIENTOS!$B189="SALDO INICIAL",MOVIMIENTOS!$B189="COMPRA",MOVIMIENTOS!$B189="REPROCESO",AND(MOVIMIENTOS!$B189="AJUSTE",MOVIMIENTOS!$C189&lt;&gt;"Chancho",N(MOVIMIENTOS!$F189)&gt;=0))),N(MOVIMIENTOS!$F189),"")</f>
        <v/>
      </c>
      <c r="N190" t="str">
        <f>IF(AND(AND(MOVIMIENTOS!$B189&lt;&gt;"",NOT(AND(MOVIMIENTOS!$B189="PROCESO",MOVIMIENTOS!$C189&lt;&gt;"Chancho")),NOT(AND(MOVIMIENTOS!$B189="SALDO INICIAL",MOVIMIENTOS!$C189="Chancho"))),OR(MOVIMIENTOS!$B189="ENVÍO A SUPESA",MOVIMIENTOS!$B189="MALOGRADO",MOVIMIENTOS!$B189="OTRA SALIDA",MOVIMIENTOS!$B189="TRASIEGO",AND(MOVIMIENTOS!$B189="PROCESO",MOVIMIENTOS!$C189="Chancho"),AND(MOVIMIENTOS!$B189="REGALO",MOVIMIENTOS!$C189&lt;&gt;"Chancho"),AND(MOVIMIENTOS!$B189="VENTA",MOVIMIENTOS!$C189&lt;&gt;"Chancho"),AND(MOVIMIENTOS!$B189="AJUSTE",MOVIMIENTOS!$C189&lt;&gt;"Chancho",N(MOVIMIENTOS!$F189)&lt;0))),IF(MOVIMIENTOS!$B189="AJUSTE",-N(MOVIMIENTOS!$F189),N(MOVIMIENTOS!$F189)),"")</f>
        <v/>
      </c>
      <c r="O190" t="str">
        <f>IF(AND(MOVIMIENTOS!$B189&lt;&gt;"",NOT(AND(MOVIMIENTOS!$B189="PROCESO",MOVIMIENTOS!$C189&lt;&gt;"Chancho")),NOT(AND(MOVIMIENTOS!$B189="SALDO INICIAL",MOVIMIENTOS!$C189="Chancho"))),TRIM(IF(MOVIMIENTOS!$G189&lt;&gt;"",IF(MOVIMIENTOS!$B189="ENVÍO A SUPESA","G-"&amp;MOVIMIENTOS!$G189,MOVIMIENTOS!$G189)&amp;"  ","")&amp;IF(N(MOVIMIENTOS!$E189)&gt;0,MOVIMIENTOS!$E189&amp;" "&amp;MOVIMIENTOS!$D189,"")),"")</f>
        <v/>
      </c>
      <c r="P190">
        <f t="shared" si="20"/>
        <v>6138.5</v>
      </c>
    </row>
    <row r="191" spans="1:16" x14ac:dyDescent="0.2">
      <c r="A191" s="7" t="str">
        <f t="shared" si="14"/>
        <v/>
      </c>
      <c r="B191" s="8" t="str">
        <f t="shared" si="15"/>
        <v/>
      </c>
      <c r="C191" s="9" t="str">
        <f t="shared" si="16"/>
        <v/>
      </c>
      <c r="D191" s="9" t="str">
        <f t="shared" si="17"/>
        <v/>
      </c>
      <c r="E191" s="8" t="str">
        <f t="shared" si="18"/>
        <v/>
      </c>
      <c r="F191" s="9" t="str">
        <f t="shared" si="19"/>
        <v/>
      </c>
      <c r="J191" t="str">
        <f>IF(AND(MOVIMIENTOS!$B190&lt;&gt;"",NOT(AND(MOVIMIENTOS!$B190="PROCESO",MOVIMIENTOS!$C190&lt;&gt;"Chancho")),NOT(AND(MOVIMIENTOS!$B190="SALDO INICIAL",MOVIMIENTOS!$C190="Chancho"))),COUNT(J$5:J190)+1,"")</f>
        <v/>
      </c>
      <c r="K191" t="str">
        <f>IF(AND(MOVIMIENTOS!$B190&lt;&gt;"",NOT(AND(MOVIMIENTOS!$B190="PROCESO",MOVIMIENTOS!$C190&lt;&gt;"Chancho")),NOT(AND(MOVIMIENTOS!$B190="SALDO INICIAL",MOVIMIENTOS!$C190="Chancho"))),MOVIMIENTOS!$A190,"")</f>
        <v/>
      </c>
      <c r="L191" t="str">
        <f>IF(AND(MOVIMIENTOS!$B190&lt;&gt;"",NOT(AND(MOVIMIENTOS!$B190="PROCESO",MOVIMIENTOS!$C190&lt;&gt;"Chancho")),NOT(AND(MOVIMIENTOS!$B190="SALDO INICIAL",MOVIMIENTOS!$C190="Chancho"))),IF(MOVIMIENTOS!$B190="SALDO INICIAL","APERTURA ("&amp;MOVIMIENTOS!$C190&amp;")",IF(MOVIMIENTOS!$B190="COMPRA","INGRESO (compra)",IF(MOVIMIENTOS!$B190="PROCESO","CHANCHO (proceso)",IF(MOVIMIENTOS!$B190="ENVÍO A SUPESA","ENVÍO SUPESA cal. "&amp;MOVIMIENTOS!$C190,IF(MOVIMIENTOS!$B190="VENTA CHANCHO","VENTA CHANCHO",IF(MOVIMIENTOS!$B190="DEVOLUCIÓN","DEVOLUCIÓN cal. "&amp;MOVIMIENTOS!$C190,IF(MOVIMIENTOS!$B190="TRASIEGO","TRASIEGO cal. "&amp;MOVIMIENTOS!$C190,IF(MOVIMIENTOS!$B190="REGALO","REGALO "&amp;MOVIMIENTOS!$C190,IF(MOVIMIENTOS!$B190="VENTA","VENTA "&amp;MOVIMIENTOS!$C190,IF(MOVIMIENTOS!$B190="AJUSTE","AJUSTE inventario ("&amp;MOVIMIENTOS!$C190&amp;")",MOVIMIENTOS!$B190)))))))))),"")</f>
        <v/>
      </c>
      <c r="M191" t="str">
        <f>IF(AND(AND(MOVIMIENTOS!$B190&lt;&gt;"",NOT(AND(MOVIMIENTOS!$B190="PROCESO",MOVIMIENTOS!$C190&lt;&gt;"Chancho")),NOT(AND(MOVIMIENTOS!$B190="SALDO INICIAL",MOVIMIENTOS!$C190="Chancho"))),OR(MOVIMIENTOS!$B190="SALDO INICIAL",MOVIMIENTOS!$B190="COMPRA",MOVIMIENTOS!$B190="REPROCESO",AND(MOVIMIENTOS!$B190="AJUSTE",MOVIMIENTOS!$C190&lt;&gt;"Chancho",N(MOVIMIENTOS!$F190)&gt;=0))),N(MOVIMIENTOS!$F190),"")</f>
        <v/>
      </c>
      <c r="N191" t="str">
        <f>IF(AND(AND(MOVIMIENTOS!$B190&lt;&gt;"",NOT(AND(MOVIMIENTOS!$B190="PROCESO",MOVIMIENTOS!$C190&lt;&gt;"Chancho")),NOT(AND(MOVIMIENTOS!$B190="SALDO INICIAL",MOVIMIENTOS!$C190="Chancho"))),OR(MOVIMIENTOS!$B190="ENVÍO A SUPESA",MOVIMIENTOS!$B190="MALOGRADO",MOVIMIENTOS!$B190="OTRA SALIDA",MOVIMIENTOS!$B190="TRASIEGO",AND(MOVIMIENTOS!$B190="PROCESO",MOVIMIENTOS!$C190="Chancho"),AND(MOVIMIENTOS!$B190="REGALO",MOVIMIENTOS!$C190&lt;&gt;"Chancho"),AND(MOVIMIENTOS!$B190="VENTA",MOVIMIENTOS!$C190&lt;&gt;"Chancho"),AND(MOVIMIENTOS!$B190="AJUSTE",MOVIMIENTOS!$C190&lt;&gt;"Chancho",N(MOVIMIENTOS!$F190)&lt;0))),IF(MOVIMIENTOS!$B190="AJUSTE",-N(MOVIMIENTOS!$F190),N(MOVIMIENTOS!$F190)),"")</f>
        <v/>
      </c>
      <c r="O191" t="str">
        <f>IF(AND(MOVIMIENTOS!$B190&lt;&gt;"",NOT(AND(MOVIMIENTOS!$B190="PROCESO",MOVIMIENTOS!$C190&lt;&gt;"Chancho")),NOT(AND(MOVIMIENTOS!$B190="SALDO INICIAL",MOVIMIENTOS!$C190="Chancho"))),TRIM(IF(MOVIMIENTOS!$G190&lt;&gt;"",IF(MOVIMIENTOS!$B190="ENVÍO A SUPESA","G-"&amp;MOVIMIENTOS!$G190,MOVIMIENTOS!$G190)&amp;"  ","")&amp;IF(N(MOVIMIENTOS!$E190)&gt;0,MOVIMIENTOS!$E190&amp;" "&amp;MOVIMIENTOS!$D190,"")),"")</f>
        <v/>
      </c>
      <c r="P191">
        <f t="shared" si="20"/>
        <v>6138.5</v>
      </c>
    </row>
    <row r="192" spans="1:16" x14ac:dyDescent="0.2">
      <c r="A192" s="7" t="str">
        <f t="shared" si="14"/>
        <v/>
      </c>
      <c r="B192" s="8" t="str">
        <f t="shared" si="15"/>
        <v/>
      </c>
      <c r="C192" s="9" t="str">
        <f t="shared" si="16"/>
        <v/>
      </c>
      <c r="D192" s="9" t="str">
        <f t="shared" si="17"/>
        <v/>
      </c>
      <c r="E192" s="8" t="str">
        <f t="shared" si="18"/>
        <v/>
      </c>
      <c r="F192" s="9" t="str">
        <f t="shared" si="19"/>
        <v/>
      </c>
      <c r="J192" t="str">
        <f>IF(AND(MOVIMIENTOS!$B191&lt;&gt;"",NOT(AND(MOVIMIENTOS!$B191="PROCESO",MOVIMIENTOS!$C191&lt;&gt;"Chancho")),NOT(AND(MOVIMIENTOS!$B191="SALDO INICIAL",MOVIMIENTOS!$C191="Chancho"))),COUNT(J$5:J191)+1,"")</f>
        <v/>
      </c>
      <c r="K192" t="str">
        <f>IF(AND(MOVIMIENTOS!$B191&lt;&gt;"",NOT(AND(MOVIMIENTOS!$B191="PROCESO",MOVIMIENTOS!$C191&lt;&gt;"Chancho")),NOT(AND(MOVIMIENTOS!$B191="SALDO INICIAL",MOVIMIENTOS!$C191="Chancho"))),MOVIMIENTOS!$A191,"")</f>
        <v/>
      </c>
      <c r="L192" t="str">
        <f>IF(AND(MOVIMIENTOS!$B191&lt;&gt;"",NOT(AND(MOVIMIENTOS!$B191="PROCESO",MOVIMIENTOS!$C191&lt;&gt;"Chancho")),NOT(AND(MOVIMIENTOS!$B191="SALDO INICIAL",MOVIMIENTOS!$C191="Chancho"))),IF(MOVIMIENTOS!$B191="SALDO INICIAL","APERTURA ("&amp;MOVIMIENTOS!$C191&amp;")",IF(MOVIMIENTOS!$B191="COMPRA","INGRESO (compra)",IF(MOVIMIENTOS!$B191="PROCESO","CHANCHO (proceso)",IF(MOVIMIENTOS!$B191="ENVÍO A SUPESA","ENVÍO SUPESA cal. "&amp;MOVIMIENTOS!$C191,IF(MOVIMIENTOS!$B191="VENTA CHANCHO","VENTA CHANCHO",IF(MOVIMIENTOS!$B191="DEVOLUCIÓN","DEVOLUCIÓN cal. "&amp;MOVIMIENTOS!$C191,IF(MOVIMIENTOS!$B191="TRASIEGO","TRASIEGO cal. "&amp;MOVIMIENTOS!$C191,IF(MOVIMIENTOS!$B191="REGALO","REGALO "&amp;MOVIMIENTOS!$C191,IF(MOVIMIENTOS!$B191="VENTA","VENTA "&amp;MOVIMIENTOS!$C191,IF(MOVIMIENTOS!$B191="AJUSTE","AJUSTE inventario ("&amp;MOVIMIENTOS!$C191&amp;")",MOVIMIENTOS!$B191)))))))))),"")</f>
        <v/>
      </c>
      <c r="M192" t="str">
        <f>IF(AND(AND(MOVIMIENTOS!$B191&lt;&gt;"",NOT(AND(MOVIMIENTOS!$B191="PROCESO",MOVIMIENTOS!$C191&lt;&gt;"Chancho")),NOT(AND(MOVIMIENTOS!$B191="SALDO INICIAL",MOVIMIENTOS!$C191="Chancho"))),OR(MOVIMIENTOS!$B191="SALDO INICIAL",MOVIMIENTOS!$B191="COMPRA",MOVIMIENTOS!$B191="REPROCESO",AND(MOVIMIENTOS!$B191="AJUSTE",MOVIMIENTOS!$C191&lt;&gt;"Chancho",N(MOVIMIENTOS!$F191)&gt;=0))),N(MOVIMIENTOS!$F191),"")</f>
        <v/>
      </c>
      <c r="N192" t="str">
        <f>IF(AND(AND(MOVIMIENTOS!$B191&lt;&gt;"",NOT(AND(MOVIMIENTOS!$B191="PROCESO",MOVIMIENTOS!$C191&lt;&gt;"Chancho")),NOT(AND(MOVIMIENTOS!$B191="SALDO INICIAL",MOVIMIENTOS!$C191="Chancho"))),OR(MOVIMIENTOS!$B191="ENVÍO A SUPESA",MOVIMIENTOS!$B191="MALOGRADO",MOVIMIENTOS!$B191="OTRA SALIDA",MOVIMIENTOS!$B191="TRASIEGO",AND(MOVIMIENTOS!$B191="PROCESO",MOVIMIENTOS!$C191="Chancho"),AND(MOVIMIENTOS!$B191="REGALO",MOVIMIENTOS!$C191&lt;&gt;"Chancho"),AND(MOVIMIENTOS!$B191="VENTA",MOVIMIENTOS!$C191&lt;&gt;"Chancho"),AND(MOVIMIENTOS!$B191="AJUSTE",MOVIMIENTOS!$C191&lt;&gt;"Chancho",N(MOVIMIENTOS!$F191)&lt;0))),IF(MOVIMIENTOS!$B191="AJUSTE",-N(MOVIMIENTOS!$F191),N(MOVIMIENTOS!$F191)),"")</f>
        <v/>
      </c>
      <c r="O192" t="str">
        <f>IF(AND(MOVIMIENTOS!$B191&lt;&gt;"",NOT(AND(MOVIMIENTOS!$B191="PROCESO",MOVIMIENTOS!$C191&lt;&gt;"Chancho")),NOT(AND(MOVIMIENTOS!$B191="SALDO INICIAL",MOVIMIENTOS!$C191="Chancho"))),TRIM(IF(MOVIMIENTOS!$G191&lt;&gt;"",IF(MOVIMIENTOS!$B191="ENVÍO A SUPESA","G-"&amp;MOVIMIENTOS!$G191,MOVIMIENTOS!$G191)&amp;"  ","")&amp;IF(N(MOVIMIENTOS!$E191)&gt;0,MOVIMIENTOS!$E191&amp;" "&amp;MOVIMIENTOS!$D191,"")),"")</f>
        <v/>
      </c>
      <c r="P192">
        <f t="shared" si="20"/>
        <v>6138.5</v>
      </c>
    </row>
    <row r="193" spans="1:16" x14ac:dyDescent="0.2">
      <c r="A193" s="7" t="str">
        <f t="shared" si="14"/>
        <v/>
      </c>
      <c r="B193" s="8" t="str">
        <f t="shared" si="15"/>
        <v/>
      </c>
      <c r="C193" s="9" t="str">
        <f t="shared" si="16"/>
        <v/>
      </c>
      <c r="D193" s="9" t="str">
        <f t="shared" si="17"/>
        <v/>
      </c>
      <c r="E193" s="8" t="str">
        <f t="shared" si="18"/>
        <v/>
      </c>
      <c r="F193" s="9" t="str">
        <f t="shared" si="19"/>
        <v/>
      </c>
      <c r="J193" t="str">
        <f>IF(AND(MOVIMIENTOS!$B192&lt;&gt;"",NOT(AND(MOVIMIENTOS!$B192="PROCESO",MOVIMIENTOS!$C192&lt;&gt;"Chancho")),NOT(AND(MOVIMIENTOS!$B192="SALDO INICIAL",MOVIMIENTOS!$C192="Chancho"))),COUNT(J$5:J192)+1,"")</f>
        <v/>
      </c>
      <c r="K193" t="str">
        <f>IF(AND(MOVIMIENTOS!$B192&lt;&gt;"",NOT(AND(MOVIMIENTOS!$B192="PROCESO",MOVIMIENTOS!$C192&lt;&gt;"Chancho")),NOT(AND(MOVIMIENTOS!$B192="SALDO INICIAL",MOVIMIENTOS!$C192="Chancho"))),MOVIMIENTOS!$A192,"")</f>
        <v/>
      </c>
      <c r="L193" t="str">
        <f>IF(AND(MOVIMIENTOS!$B192&lt;&gt;"",NOT(AND(MOVIMIENTOS!$B192="PROCESO",MOVIMIENTOS!$C192&lt;&gt;"Chancho")),NOT(AND(MOVIMIENTOS!$B192="SALDO INICIAL",MOVIMIENTOS!$C192="Chancho"))),IF(MOVIMIENTOS!$B192="SALDO INICIAL","APERTURA ("&amp;MOVIMIENTOS!$C192&amp;")",IF(MOVIMIENTOS!$B192="COMPRA","INGRESO (compra)",IF(MOVIMIENTOS!$B192="PROCESO","CHANCHO (proceso)",IF(MOVIMIENTOS!$B192="ENVÍO A SUPESA","ENVÍO SUPESA cal. "&amp;MOVIMIENTOS!$C192,IF(MOVIMIENTOS!$B192="VENTA CHANCHO","VENTA CHANCHO",IF(MOVIMIENTOS!$B192="DEVOLUCIÓN","DEVOLUCIÓN cal. "&amp;MOVIMIENTOS!$C192,IF(MOVIMIENTOS!$B192="TRASIEGO","TRASIEGO cal. "&amp;MOVIMIENTOS!$C192,IF(MOVIMIENTOS!$B192="REGALO","REGALO "&amp;MOVIMIENTOS!$C192,IF(MOVIMIENTOS!$B192="VENTA","VENTA "&amp;MOVIMIENTOS!$C192,IF(MOVIMIENTOS!$B192="AJUSTE","AJUSTE inventario ("&amp;MOVIMIENTOS!$C192&amp;")",MOVIMIENTOS!$B192)))))))))),"")</f>
        <v/>
      </c>
      <c r="M193" t="str">
        <f>IF(AND(AND(MOVIMIENTOS!$B192&lt;&gt;"",NOT(AND(MOVIMIENTOS!$B192="PROCESO",MOVIMIENTOS!$C192&lt;&gt;"Chancho")),NOT(AND(MOVIMIENTOS!$B192="SALDO INICIAL",MOVIMIENTOS!$C192="Chancho"))),OR(MOVIMIENTOS!$B192="SALDO INICIAL",MOVIMIENTOS!$B192="COMPRA",MOVIMIENTOS!$B192="REPROCESO",AND(MOVIMIENTOS!$B192="AJUSTE",MOVIMIENTOS!$C192&lt;&gt;"Chancho",N(MOVIMIENTOS!$F192)&gt;=0))),N(MOVIMIENTOS!$F192),"")</f>
        <v/>
      </c>
      <c r="N193" t="str">
        <f>IF(AND(AND(MOVIMIENTOS!$B192&lt;&gt;"",NOT(AND(MOVIMIENTOS!$B192="PROCESO",MOVIMIENTOS!$C192&lt;&gt;"Chancho")),NOT(AND(MOVIMIENTOS!$B192="SALDO INICIAL",MOVIMIENTOS!$C192="Chancho"))),OR(MOVIMIENTOS!$B192="ENVÍO A SUPESA",MOVIMIENTOS!$B192="MALOGRADO",MOVIMIENTOS!$B192="OTRA SALIDA",MOVIMIENTOS!$B192="TRASIEGO",AND(MOVIMIENTOS!$B192="PROCESO",MOVIMIENTOS!$C192="Chancho"),AND(MOVIMIENTOS!$B192="REGALO",MOVIMIENTOS!$C192&lt;&gt;"Chancho"),AND(MOVIMIENTOS!$B192="VENTA",MOVIMIENTOS!$C192&lt;&gt;"Chancho"),AND(MOVIMIENTOS!$B192="AJUSTE",MOVIMIENTOS!$C192&lt;&gt;"Chancho",N(MOVIMIENTOS!$F192)&lt;0))),IF(MOVIMIENTOS!$B192="AJUSTE",-N(MOVIMIENTOS!$F192),N(MOVIMIENTOS!$F192)),"")</f>
        <v/>
      </c>
      <c r="O193" t="str">
        <f>IF(AND(MOVIMIENTOS!$B192&lt;&gt;"",NOT(AND(MOVIMIENTOS!$B192="PROCESO",MOVIMIENTOS!$C192&lt;&gt;"Chancho")),NOT(AND(MOVIMIENTOS!$B192="SALDO INICIAL",MOVIMIENTOS!$C192="Chancho"))),TRIM(IF(MOVIMIENTOS!$G192&lt;&gt;"",IF(MOVIMIENTOS!$B192="ENVÍO A SUPESA","G-"&amp;MOVIMIENTOS!$G192,MOVIMIENTOS!$G192)&amp;"  ","")&amp;IF(N(MOVIMIENTOS!$E192)&gt;0,MOVIMIENTOS!$E192&amp;" "&amp;MOVIMIENTOS!$D192,"")),"")</f>
        <v/>
      </c>
      <c r="P193">
        <f t="shared" si="20"/>
        <v>6138.5</v>
      </c>
    </row>
    <row r="194" spans="1:16" x14ac:dyDescent="0.2">
      <c r="A194" s="7" t="str">
        <f t="shared" si="14"/>
        <v/>
      </c>
      <c r="B194" s="8" t="str">
        <f t="shared" si="15"/>
        <v/>
      </c>
      <c r="C194" s="9" t="str">
        <f t="shared" si="16"/>
        <v/>
      </c>
      <c r="D194" s="9" t="str">
        <f t="shared" si="17"/>
        <v/>
      </c>
      <c r="E194" s="8" t="str">
        <f t="shared" si="18"/>
        <v/>
      </c>
      <c r="F194" s="9" t="str">
        <f t="shared" si="19"/>
        <v/>
      </c>
      <c r="J194" t="str">
        <f>IF(AND(MOVIMIENTOS!$B193&lt;&gt;"",NOT(AND(MOVIMIENTOS!$B193="PROCESO",MOVIMIENTOS!$C193&lt;&gt;"Chancho")),NOT(AND(MOVIMIENTOS!$B193="SALDO INICIAL",MOVIMIENTOS!$C193="Chancho"))),COUNT(J$5:J193)+1,"")</f>
        <v/>
      </c>
      <c r="K194" t="str">
        <f>IF(AND(MOVIMIENTOS!$B193&lt;&gt;"",NOT(AND(MOVIMIENTOS!$B193="PROCESO",MOVIMIENTOS!$C193&lt;&gt;"Chancho")),NOT(AND(MOVIMIENTOS!$B193="SALDO INICIAL",MOVIMIENTOS!$C193="Chancho"))),MOVIMIENTOS!$A193,"")</f>
        <v/>
      </c>
      <c r="L194" t="str">
        <f>IF(AND(MOVIMIENTOS!$B193&lt;&gt;"",NOT(AND(MOVIMIENTOS!$B193="PROCESO",MOVIMIENTOS!$C193&lt;&gt;"Chancho")),NOT(AND(MOVIMIENTOS!$B193="SALDO INICIAL",MOVIMIENTOS!$C193="Chancho"))),IF(MOVIMIENTOS!$B193="SALDO INICIAL","APERTURA ("&amp;MOVIMIENTOS!$C193&amp;")",IF(MOVIMIENTOS!$B193="COMPRA","INGRESO (compra)",IF(MOVIMIENTOS!$B193="PROCESO","CHANCHO (proceso)",IF(MOVIMIENTOS!$B193="ENVÍO A SUPESA","ENVÍO SUPESA cal. "&amp;MOVIMIENTOS!$C193,IF(MOVIMIENTOS!$B193="VENTA CHANCHO","VENTA CHANCHO",IF(MOVIMIENTOS!$B193="DEVOLUCIÓN","DEVOLUCIÓN cal. "&amp;MOVIMIENTOS!$C193,IF(MOVIMIENTOS!$B193="TRASIEGO","TRASIEGO cal. "&amp;MOVIMIENTOS!$C193,IF(MOVIMIENTOS!$B193="REGALO","REGALO "&amp;MOVIMIENTOS!$C193,IF(MOVIMIENTOS!$B193="VENTA","VENTA "&amp;MOVIMIENTOS!$C193,IF(MOVIMIENTOS!$B193="AJUSTE","AJUSTE inventario ("&amp;MOVIMIENTOS!$C193&amp;")",MOVIMIENTOS!$B193)))))))))),"")</f>
        <v/>
      </c>
      <c r="M194" t="str">
        <f>IF(AND(AND(MOVIMIENTOS!$B193&lt;&gt;"",NOT(AND(MOVIMIENTOS!$B193="PROCESO",MOVIMIENTOS!$C193&lt;&gt;"Chancho")),NOT(AND(MOVIMIENTOS!$B193="SALDO INICIAL",MOVIMIENTOS!$C193="Chancho"))),OR(MOVIMIENTOS!$B193="SALDO INICIAL",MOVIMIENTOS!$B193="COMPRA",MOVIMIENTOS!$B193="REPROCESO",AND(MOVIMIENTOS!$B193="AJUSTE",MOVIMIENTOS!$C193&lt;&gt;"Chancho",N(MOVIMIENTOS!$F193)&gt;=0))),N(MOVIMIENTOS!$F193),"")</f>
        <v/>
      </c>
      <c r="N194" t="str">
        <f>IF(AND(AND(MOVIMIENTOS!$B193&lt;&gt;"",NOT(AND(MOVIMIENTOS!$B193="PROCESO",MOVIMIENTOS!$C193&lt;&gt;"Chancho")),NOT(AND(MOVIMIENTOS!$B193="SALDO INICIAL",MOVIMIENTOS!$C193="Chancho"))),OR(MOVIMIENTOS!$B193="ENVÍO A SUPESA",MOVIMIENTOS!$B193="MALOGRADO",MOVIMIENTOS!$B193="OTRA SALIDA",MOVIMIENTOS!$B193="TRASIEGO",AND(MOVIMIENTOS!$B193="PROCESO",MOVIMIENTOS!$C193="Chancho"),AND(MOVIMIENTOS!$B193="REGALO",MOVIMIENTOS!$C193&lt;&gt;"Chancho"),AND(MOVIMIENTOS!$B193="VENTA",MOVIMIENTOS!$C193&lt;&gt;"Chancho"),AND(MOVIMIENTOS!$B193="AJUSTE",MOVIMIENTOS!$C193&lt;&gt;"Chancho",N(MOVIMIENTOS!$F193)&lt;0))),IF(MOVIMIENTOS!$B193="AJUSTE",-N(MOVIMIENTOS!$F193),N(MOVIMIENTOS!$F193)),"")</f>
        <v/>
      </c>
      <c r="O194" t="str">
        <f>IF(AND(MOVIMIENTOS!$B193&lt;&gt;"",NOT(AND(MOVIMIENTOS!$B193="PROCESO",MOVIMIENTOS!$C193&lt;&gt;"Chancho")),NOT(AND(MOVIMIENTOS!$B193="SALDO INICIAL",MOVIMIENTOS!$C193="Chancho"))),TRIM(IF(MOVIMIENTOS!$G193&lt;&gt;"",IF(MOVIMIENTOS!$B193="ENVÍO A SUPESA","G-"&amp;MOVIMIENTOS!$G193,MOVIMIENTOS!$G193)&amp;"  ","")&amp;IF(N(MOVIMIENTOS!$E193)&gt;0,MOVIMIENTOS!$E193&amp;" "&amp;MOVIMIENTOS!$D193,"")),"")</f>
        <v/>
      </c>
      <c r="P194">
        <f t="shared" si="20"/>
        <v>6138.5</v>
      </c>
    </row>
    <row r="195" spans="1:16" x14ac:dyDescent="0.2">
      <c r="A195" s="7" t="str">
        <f t="shared" si="14"/>
        <v/>
      </c>
      <c r="B195" s="8" t="str">
        <f t="shared" si="15"/>
        <v/>
      </c>
      <c r="C195" s="9" t="str">
        <f t="shared" si="16"/>
        <v/>
      </c>
      <c r="D195" s="9" t="str">
        <f t="shared" si="17"/>
        <v/>
      </c>
      <c r="E195" s="8" t="str">
        <f t="shared" si="18"/>
        <v/>
      </c>
      <c r="F195" s="9" t="str">
        <f t="shared" si="19"/>
        <v/>
      </c>
      <c r="J195" t="str">
        <f>IF(AND(MOVIMIENTOS!$B194&lt;&gt;"",NOT(AND(MOVIMIENTOS!$B194="PROCESO",MOVIMIENTOS!$C194&lt;&gt;"Chancho")),NOT(AND(MOVIMIENTOS!$B194="SALDO INICIAL",MOVIMIENTOS!$C194="Chancho"))),COUNT(J$5:J194)+1,"")</f>
        <v/>
      </c>
      <c r="K195" t="str">
        <f>IF(AND(MOVIMIENTOS!$B194&lt;&gt;"",NOT(AND(MOVIMIENTOS!$B194="PROCESO",MOVIMIENTOS!$C194&lt;&gt;"Chancho")),NOT(AND(MOVIMIENTOS!$B194="SALDO INICIAL",MOVIMIENTOS!$C194="Chancho"))),MOVIMIENTOS!$A194,"")</f>
        <v/>
      </c>
      <c r="L195" t="str">
        <f>IF(AND(MOVIMIENTOS!$B194&lt;&gt;"",NOT(AND(MOVIMIENTOS!$B194="PROCESO",MOVIMIENTOS!$C194&lt;&gt;"Chancho")),NOT(AND(MOVIMIENTOS!$B194="SALDO INICIAL",MOVIMIENTOS!$C194="Chancho"))),IF(MOVIMIENTOS!$B194="SALDO INICIAL","APERTURA ("&amp;MOVIMIENTOS!$C194&amp;")",IF(MOVIMIENTOS!$B194="COMPRA","INGRESO (compra)",IF(MOVIMIENTOS!$B194="PROCESO","CHANCHO (proceso)",IF(MOVIMIENTOS!$B194="ENVÍO A SUPESA","ENVÍO SUPESA cal. "&amp;MOVIMIENTOS!$C194,IF(MOVIMIENTOS!$B194="VENTA CHANCHO","VENTA CHANCHO",IF(MOVIMIENTOS!$B194="DEVOLUCIÓN","DEVOLUCIÓN cal. "&amp;MOVIMIENTOS!$C194,IF(MOVIMIENTOS!$B194="TRASIEGO","TRASIEGO cal. "&amp;MOVIMIENTOS!$C194,IF(MOVIMIENTOS!$B194="REGALO","REGALO "&amp;MOVIMIENTOS!$C194,IF(MOVIMIENTOS!$B194="VENTA","VENTA "&amp;MOVIMIENTOS!$C194,IF(MOVIMIENTOS!$B194="AJUSTE","AJUSTE inventario ("&amp;MOVIMIENTOS!$C194&amp;")",MOVIMIENTOS!$B194)))))))))),"")</f>
        <v/>
      </c>
      <c r="M195" t="str">
        <f>IF(AND(AND(MOVIMIENTOS!$B194&lt;&gt;"",NOT(AND(MOVIMIENTOS!$B194="PROCESO",MOVIMIENTOS!$C194&lt;&gt;"Chancho")),NOT(AND(MOVIMIENTOS!$B194="SALDO INICIAL",MOVIMIENTOS!$C194="Chancho"))),OR(MOVIMIENTOS!$B194="SALDO INICIAL",MOVIMIENTOS!$B194="COMPRA",MOVIMIENTOS!$B194="REPROCESO",AND(MOVIMIENTOS!$B194="AJUSTE",MOVIMIENTOS!$C194&lt;&gt;"Chancho",N(MOVIMIENTOS!$F194)&gt;=0))),N(MOVIMIENTOS!$F194),"")</f>
        <v/>
      </c>
      <c r="N195" t="str">
        <f>IF(AND(AND(MOVIMIENTOS!$B194&lt;&gt;"",NOT(AND(MOVIMIENTOS!$B194="PROCESO",MOVIMIENTOS!$C194&lt;&gt;"Chancho")),NOT(AND(MOVIMIENTOS!$B194="SALDO INICIAL",MOVIMIENTOS!$C194="Chancho"))),OR(MOVIMIENTOS!$B194="ENVÍO A SUPESA",MOVIMIENTOS!$B194="MALOGRADO",MOVIMIENTOS!$B194="OTRA SALIDA",MOVIMIENTOS!$B194="TRASIEGO",AND(MOVIMIENTOS!$B194="PROCESO",MOVIMIENTOS!$C194="Chancho"),AND(MOVIMIENTOS!$B194="REGALO",MOVIMIENTOS!$C194&lt;&gt;"Chancho"),AND(MOVIMIENTOS!$B194="VENTA",MOVIMIENTOS!$C194&lt;&gt;"Chancho"),AND(MOVIMIENTOS!$B194="AJUSTE",MOVIMIENTOS!$C194&lt;&gt;"Chancho",N(MOVIMIENTOS!$F194)&lt;0))),IF(MOVIMIENTOS!$B194="AJUSTE",-N(MOVIMIENTOS!$F194),N(MOVIMIENTOS!$F194)),"")</f>
        <v/>
      </c>
      <c r="O195" t="str">
        <f>IF(AND(MOVIMIENTOS!$B194&lt;&gt;"",NOT(AND(MOVIMIENTOS!$B194="PROCESO",MOVIMIENTOS!$C194&lt;&gt;"Chancho")),NOT(AND(MOVIMIENTOS!$B194="SALDO INICIAL",MOVIMIENTOS!$C194="Chancho"))),TRIM(IF(MOVIMIENTOS!$G194&lt;&gt;"",IF(MOVIMIENTOS!$B194="ENVÍO A SUPESA","G-"&amp;MOVIMIENTOS!$G194,MOVIMIENTOS!$G194)&amp;"  ","")&amp;IF(N(MOVIMIENTOS!$E194)&gt;0,MOVIMIENTOS!$E194&amp;" "&amp;MOVIMIENTOS!$D194,"")),"")</f>
        <v/>
      </c>
      <c r="P195">
        <f t="shared" si="20"/>
        <v>6138.5</v>
      </c>
    </row>
    <row r="196" spans="1:16" x14ac:dyDescent="0.2">
      <c r="A196" s="7" t="str">
        <f t="shared" si="14"/>
        <v/>
      </c>
      <c r="B196" s="8" t="str">
        <f t="shared" si="15"/>
        <v/>
      </c>
      <c r="C196" s="9" t="str">
        <f t="shared" si="16"/>
        <v/>
      </c>
      <c r="D196" s="9" t="str">
        <f t="shared" si="17"/>
        <v/>
      </c>
      <c r="E196" s="8" t="str">
        <f t="shared" si="18"/>
        <v/>
      </c>
      <c r="F196" s="9" t="str">
        <f t="shared" si="19"/>
        <v/>
      </c>
      <c r="J196" t="str">
        <f>IF(AND(MOVIMIENTOS!$B195&lt;&gt;"",NOT(AND(MOVIMIENTOS!$B195="PROCESO",MOVIMIENTOS!$C195&lt;&gt;"Chancho")),NOT(AND(MOVIMIENTOS!$B195="SALDO INICIAL",MOVIMIENTOS!$C195="Chancho"))),COUNT(J$5:J195)+1,"")</f>
        <v/>
      </c>
      <c r="K196" t="str">
        <f>IF(AND(MOVIMIENTOS!$B195&lt;&gt;"",NOT(AND(MOVIMIENTOS!$B195="PROCESO",MOVIMIENTOS!$C195&lt;&gt;"Chancho")),NOT(AND(MOVIMIENTOS!$B195="SALDO INICIAL",MOVIMIENTOS!$C195="Chancho"))),MOVIMIENTOS!$A195,"")</f>
        <v/>
      </c>
      <c r="L196" t="str">
        <f>IF(AND(MOVIMIENTOS!$B195&lt;&gt;"",NOT(AND(MOVIMIENTOS!$B195="PROCESO",MOVIMIENTOS!$C195&lt;&gt;"Chancho")),NOT(AND(MOVIMIENTOS!$B195="SALDO INICIAL",MOVIMIENTOS!$C195="Chancho"))),IF(MOVIMIENTOS!$B195="SALDO INICIAL","APERTURA ("&amp;MOVIMIENTOS!$C195&amp;")",IF(MOVIMIENTOS!$B195="COMPRA","INGRESO (compra)",IF(MOVIMIENTOS!$B195="PROCESO","CHANCHO (proceso)",IF(MOVIMIENTOS!$B195="ENVÍO A SUPESA","ENVÍO SUPESA cal. "&amp;MOVIMIENTOS!$C195,IF(MOVIMIENTOS!$B195="VENTA CHANCHO","VENTA CHANCHO",IF(MOVIMIENTOS!$B195="DEVOLUCIÓN","DEVOLUCIÓN cal. "&amp;MOVIMIENTOS!$C195,IF(MOVIMIENTOS!$B195="TRASIEGO","TRASIEGO cal. "&amp;MOVIMIENTOS!$C195,IF(MOVIMIENTOS!$B195="REGALO","REGALO "&amp;MOVIMIENTOS!$C195,IF(MOVIMIENTOS!$B195="VENTA","VENTA "&amp;MOVIMIENTOS!$C195,IF(MOVIMIENTOS!$B195="AJUSTE","AJUSTE inventario ("&amp;MOVIMIENTOS!$C195&amp;")",MOVIMIENTOS!$B195)))))))))),"")</f>
        <v/>
      </c>
      <c r="M196" t="str">
        <f>IF(AND(AND(MOVIMIENTOS!$B195&lt;&gt;"",NOT(AND(MOVIMIENTOS!$B195="PROCESO",MOVIMIENTOS!$C195&lt;&gt;"Chancho")),NOT(AND(MOVIMIENTOS!$B195="SALDO INICIAL",MOVIMIENTOS!$C195="Chancho"))),OR(MOVIMIENTOS!$B195="SALDO INICIAL",MOVIMIENTOS!$B195="COMPRA",MOVIMIENTOS!$B195="REPROCESO",AND(MOVIMIENTOS!$B195="AJUSTE",MOVIMIENTOS!$C195&lt;&gt;"Chancho",N(MOVIMIENTOS!$F195)&gt;=0))),N(MOVIMIENTOS!$F195),"")</f>
        <v/>
      </c>
      <c r="N196" t="str">
        <f>IF(AND(AND(MOVIMIENTOS!$B195&lt;&gt;"",NOT(AND(MOVIMIENTOS!$B195="PROCESO",MOVIMIENTOS!$C195&lt;&gt;"Chancho")),NOT(AND(MOVIMIENTOS!$B195="SALDO INICIAL",MOVIMIENTOS!$C195="Chancho"))),OR(MOVIMIENTOS!$B195="ENVÍO A SUPESA",MOVIMIENTOS!$B195="MALOGRADO",MOVIMIENTOS!$B195="OTRA SALIDA",MOVIMIENTOS!$B195="TRASIEGO",AND(MOVIMIENTOS!$B195="PROCESO",MOVIMIENTOS!$C195="Chancho"),AND(MOVIMIENTOS!$B195="REGALO",MOVIMIENTOS!$C195&lt;&gt;"Chancho"),AND(MOVIMIENTOS!$B195="VENTA",MOVIMIENTOS!$C195&lt;&gt;"Chancho"),AND(MOVIMIENTOS!$B195="AJUSTE",MOVIMIENTOS!$C195&lt;&gt;"Chancho",N(MOVIMIENTOS!$F195)&lt;0))),IF(MOVIMIENTOS!$B195="AJUSTE",-N(MOVIMIENTOS!$F195),N(MOVIMIENTOS!$F195)),"")</f>
        <v/>
      </c>
      <c r="O196" t="str">
        <f>IF(AND(MOVIMIENTOS!$B195&lt;&gt;"",NOT(AND(MOVIMIENTOS!$B195="PROCESO",MOVIMIENTOS!$C195&lt;&gt;"Chancho")),NOT(AND(MOVIMIENTOS!$B195="SALDO INICIAL",MOVIMIENTOS!$C195="Chancho"))),TRIM(IF(MOVIMIENTOS!$G195&lt;&gt;"",IF(MOVIMIENTOS!$B195="ENVÍO A SUPESA","G-"&amp;MOVIMIENTOS!$G195,MOVIMIENTOS!$G195)&amp;"  ","")&amp;IF(N(MOVIMIENTOS!$E195)&gt;0,MOVIMIENTOS!$E195&amp;" "&amp;MOVIMIENTOS!$D195,"")),"")</f>
        <v/>
      </c>
      <c r="P196">
        <f t="shared" si="20"/>
        <v>6138.5</v>
      </c>
    </row>
    <row r="197" spans="1:16" x14ac:dyDescent="0.2">
      <c r="A197" s="7" t="str">
        <f t="shared" si="14"/>
        <v/>
      </c>
      <c r="B197" s="8" t="str">
        <f t="shared" si="15"/>
        <v/>
      </c>
      <c r="C197" s="9" t="str">
        <f t="shared" si="16"/>
        <v/>
      </c>
      <c r="D197" s="9" t="str">
        <f t="shared" si="17"/>
        <v/>
      </c>
      <c r="E197" s="8" t="str">
        <f t="shared" si="18"/>
        <v/>
      </c>
      <c r="F197" s="9" t="str">
        <f t="shared" si="19"/>
        <v/>
      </c>
      <c r="J197" t="str">
        <f>IF(AND(MOVIMIENTOS!$B196&lt;&gt;"",NOT(AND(MOVIMIENTOS!$B196="PROCESO",MOVIMIENTOS!$C196&lt;&gt;"Chancho")),NOT(AND(MOVIMIENTOS!$B196="SALDO INICIAL",MOVIMIENTOS!$C196="Chancho"))),COUNT(J$5:J196)+1,"")</f>
        <v/>
      </c>
      <c r="K197" t="str">
        <f>IF(AND(MOVIMIENTOS!$B196&lt;&gt;"",NOT(AND(MOVIMIENTOS!$B196="PROCESO",MOVIMIENTOS!$C196&lt;&gt;"Chancho")),NOT(AND(MOVIMIENTOS!$B196="SALDO INICIAL",MOVIMIENTOS!$C196="Chancho"))),MOVIMIENTOS!$A196,"")</f>
        <v/>
      </c>
      <c r="L197" t="str">
        <f>IF(AND(MOVIMIENTOS!$B196&lt;&gt;"",NOT(AND(MOVIMIENTOS!$B196="PROCESO",MOVIMIENTOS!$C196&lt;&gt;"Chancho")),NOT(AND(MOVIMIENTOS!$B196="SALDO INICIAL",MOVIMIENTOS!$C196="Chancho"))),IF(MOVIMIENTOS!$B196="SALDO INICIAL","APERTURA ("&amp;MOVIMIENTOS!$C196&amp;")",IF(MOVIMIENTOS!$B196="COMPRA","INGRESO (compra)",IF(MOVIMIENTOS!$B196="PROCESO","CHANCHO (proceso)",IF(MOVIMIENTOS!$B196="ENVÍO A SUPESA","ENVÍO SUPESA cal. "&amp;MOVIMIENTOS!$C196,IF(MOVIMIENTOS!$B196="VENTA CHANCHO","VENTA CHANCHO",IF(MOVIMIENTOS!$B196="DEVOLUCIÓN","DEVOLUCIÓN cal. "&amp;MOVIMIENTOS!$C196,IF(MOVIMIENTOS!$B196="TRASIEGO","TRASIEGO cal. "&amp;MOVIMIENTOS!$C196,IF(MOVIMIENTOS!$B196="REGALO","REGALO "&amp;MOVIMIENTOS!$C196,IF(MOVIMIENTOS!$B196="VENTA","VENTA "&amp;MOVIMIENTOS!$C196,IF(MOVIMIENTOS!$B196="AJUSTE","AJUSTE inventario ("&amp;MOVIMIENTOS!$C196&amp;")",MOVIMIENTOS!$B196)))))))))),"")</f>
        <v/>
      </c>
      <c r="M197" t="str">
        <f>IF(AND(AND(MOVIMIENTOS!$B196&lt;&gt;"",NOT(AND(MOVIMIENTOS!$B196="PROCESO",MOVIMIENTOS!$C196&lt;&gt;"Chancho")),NOT(AND(MOVIMIENTOS!$B196="SALDO INICIAL",MOVIMIENTOS!$C196="Chancho"))),OR(MOVIMIENTOS!$B196="SALDO INICIAL",MOVIMIENTOS!$B196="COMPRA",MOVIMIENTOS!$B196="REPROCESO",AND(MOVIMIENTOS!$B196="AJUSTE",MOVIMIENTOS!$C196&lt;&gt;"Chancho",N(MOVIMIENTOS!$F196)&gt;=0))),N(MOVIMIENTOS!$F196),"")</f>
        <v/>
      </c>
      <c r="N197" t="str">
        <f>IF(AND(AND(MOVIMIENTOS!$B196&lt;&gt;"",NOT(AND(MOVIMIENTOS!$B196="PROCESO",MOVIMIENTOS!$C196&lt;&gt;"Chancho")),NOT(AND(MOVIMIENTOS!$B196="SALDO INICIAL",MOVIMIENTOS!$C196="Chancho"))),OR(MOVIMIENTOS!$B196="ENVÍO A SUPESA",MOVIMIENTOS!$B196="MALOGRADO",MOVIMIENTOS!$B196="OTRA SALIDA",MOVIMIENTOS!$B196="TRASIEGO",AND(MOVIMIENTOS!$B196="PROCESO",MOVIMIENTOS!$C196="Chancho"),AND(MOVIMIENTOS!$B196="REGALO",MOVIMIENTOS!$C196&lt;&gt;"Chancho"),AND(MOVIMIENTOS!$B196="VENTA",MOVIMIENTOS!$C196&lt;&gt;"Chancho"),AND(MOVIMIENTOS!$B196="AJUSTE",MOVIMIENTOS!$C196&lt;&gt;"Chancho",N(MOVIMIENTOS!$F196)&lt;0))),IF(MOVIMIENTOS!$B196="AJUSTE",-N(MOVIMIENTOS!$F196),N(MOVIMIENTOS!$F196)),"")</f>
        <v/>
      </c>
      <c r="O197" t="str">
        <f>IF(AND(MOVIMIENTOS!$B196&lt;&gt;"",NOT(AND(MOVIMIENTOS!$B196="PROCESO",MOVIMIENTOS!$C196&lt;&gt;"Chancho")),NOT(AND(MOVIMIENTOS!$B196="SALDO INICIAL",MOVIMIENTOS!$C196="Chancho"))),TRIM(IF(MOVIMIENTOS!$G196&lt;&gt;"",IF(MOVIMIENTOS!$B196="ENVÍO A SUPESA","G-"&amp;MOVIMIENTOS!$G196,MOVIMIENTOS!$G196)&amp;"  ","")&amp;IF(N(MOVIMIENTOS!$E196)&gt;0,MOVIMIENTOS!$E196&amp;" "&amp;MOVIMIENTOS!$D196,"")),"")</f>
        <v/>
      </c>
      <c r="P197">
        <f t="shared" si="20"/>
        <v>6138.5</v>
      </c>
    </row>
    <row r="198" spans="1:16" x14ac:dyDescent="0.2">
      <c r="A198" s="7" t="str">
        <f t="shared" ref="A198:A261" si="21">IFERROR(INDEX(K$6:K$401,MATCH(ROW()-5,J$6:J$401,0)),"")</f>
        <v/>
      </c>
      <c r="B198" s="8" t="str">
        <f t="shared" ref="B198:B261" si="22">IFERROR(INDEX(L$6:L$401,MATCH(ROW()-5,J$6:J$401,0)),"")</f>
        <v/>
      </c>
      <c r="C198" s="9" t="str">
        <f t="shared" ref="C198:C261" si="23">IFERROR(INDEX(M$6:M$401,MATCH(ROW()-5,J$6:J$401,0)),"")</f>
        <v/>
      </c>
      <c r="D198" s="9" t="str">
        <f t="shared" ref="D198:D261" si="24">IFERROR(INDEX(N$6:N$401,MATCH(ROW()-5,J$6:J$401,0)),"")</f>
        <v/>
      </c>
      <c r="E198" s="8" t="str">
        <f t="shared" ref="E198:E261" si="25">IFERROR(INDEX(O$6:O$401,MATCH(ROW()-5,J$6:J$401,0)),"")</f>
        <v/>
      </c>
      <c r="F198" s="9" t="str">
        <f t="shared" ref="F198:F261" si="26">IFERROR(INDEX(P$6:P$401,MATCH(ROW()-5,J$6:J$401,0)),"")</f>
        <v/>
      </c>
      <c r="J198" t="str">
        <f>IF(AND(MOVIMIENTOS!$B197&lt;&gt;"",NOT(AND(MOVIMIENTOS!$B197="PROCESO",MOVIMIENTOS!$C197&lt;&gt;"Chancho")),NOT(AND(MOVIMIENTOS!$B197="SALDO INICIAL",MOVIMIENTOS!$C197="Chancho"))),COUNT(J$5:J197)+1,"")</f>
        <v/>
      </c>
      <c r="K198" t="str">
        <f>IF(AND(MOVIMIENTOS!$B197&lt;&gt;"",NOT(AND(MOVIMIENTOS!$B197="PROCESO",MOVIMIENTOS!$C197&lt;&gt;"Chancho")),NOT(AND(MOVIMIENTOS!$B197="SALDO INICIAL",MOVIMIENTOS!$C197="Chancho"))),MOVIMIENTOS!$A197,"")</f>
        <v/>
      </c>
      <c r="L198" t="str">
        <f>IF(AND(MOVIMIENTOS!$B197&lt;&gt;"",NOT(AND(MOVIMIENTOS!$B197="PROCESO",MOVIMIENTOS!$C197&lt;&gt;"Chancho")),NOT(AND(MOVIMIENTOS!$B197="SALDO INICIAL",MOVIMIENTOS!$C197="Chancho"))),IF(MOVIMIENTOS!$B197="SALDO INICIAL","APERTURA ("&amp;MOVIMIENTOS!$C197&amp;")",IF(MOVIMIENTOS!$B197="COMPRA","INGRESO (compra)",IF(MOVIMIENTOS!$B197="PROCESO","CHANCHO (proceso)",IF(MOVIMIENTOS!$B197="ENVÍO A SUPESA","ENVÍO SUPESA cal. "&amp;MOVIMIENTOS!$C197,IF(MOVIMIENTOS!$B197="VENTA CHANCHO","VENTA CHANCHO",IF(MOVIMIENTOS!$B197="DEVOLUCIÓN","DEVOLUCIÓN cal. "&amp;MOVIMIENTOS!$C197,IF(MOVIMIENTOS!$B197="TRASIEGO","TRASIEGO cal. "&amp;MOVIMIENTOS!$C197,IF(MOVIMIENTOS!$B197="REGALO","REGALO "&amp;MOVIMIENTOS!$C197,IF(MOVIMIENTOS!$B197="VENTA","VENTA "&amp;MOVIMIENTOS!$C197,IF(MOVIMIENTOS!$B197="AJUSTE","AJUSTE inventario ("&amp;MOVIMIENTOS!$C197&amp;")",MOVIMIENTOS!$B197)))))))))),"")</f>
        <v/>
      </c>
      <c r="M198" t="str">
        <f>IF(AND(AND(MOVIMIENTOS!$B197&lt;&gt;"",NOT(AND(MOVIMIENTOS!$B197="PROCESO",MOVIMIENTOS!$C197&lt;&gt;"Chancho")),NOT(AND(MOVIMIENTOS!$B197="SALDO INICIAL",MOVIMIENTOS!$C197="Chancho"))),OR(MOVIMIENTOS!$B197="SALDO INICIAL",MOVIMIENTOS!$B197="COMPRA",MOVIMIENTOS!$B197="REPROCESO",AND(MOVIMIENTOS!$B197="AJUSTE",MOVIMIENTOS!$C197&lt;&gt;"Chancho",N(MOVIMIENTOS!$F197)&gt;=0))),N(MOVIMIENTOS!$F197),"")</f>
        <v/>
      </c>
      <c r="N198" t="str">
        <f>IF(AND(AND(MOVIMIENTOS!$B197&lt;&gt;"",NOT(AND(MOVIMIENTOS!$B197="PROCESO",MOVIMIENTOS!$C197&lt;&gt;"Chancho")),NOT(AND(MOVIMIENTOS!$B197="SALDO INICIAL",MOVIMIENTOS!$C197="Chancho"))),OR(MOVIMIENTOS!$B197="ENVÍO A SUPESA",MOVIMIENTOS!$B197="MALOGRADO",MOVIMIENTOS!$B197="OTRA SALIDA",MOVIMIENTOS!$B197="TRASIEGO",AND(MOVIMIENTOS!$B197="PROCESO",MOVIMIENTOS!$C197="Chancho"),AND(MOVIMIENTOS!$B197="REGALO",MOVIMIENTOS!$C197&lt;&gt;"Chancho"),AND(MOVIMIENTOS!$B197="VENTA",MOVIMIENTOS!$C197&lt;&gt;"Chancho"),AND(MOVIMIENTOS!$B197="AJUSTE",MOVIMIENTOS!$C197&lt;&gt;"Chancho",N(MOVIMIENTOS!$F197)&lt;0))),IF(MOVIMIENTOS!$B197="AJUSTE",-N(MOVIMIENTOS!$F197),N(MOVIMIENTOS!$F197)),"")</f>
        <v/>
      </c>
      <c r="O198" t="str">
        <f>IF(AND(MOVIMIENTOS!$B197&lt;&gt;"",NOT(AND(MOVIMIENTOS!$B197="PROCESO",MOVIMIENTOS!$C197&lt;&gt;"Chancho")),NOT(AND(MOVIMIENTOS!$B197="SALDO INICIAL",MOVIMIENTOS!$C197="Chancho"))),TRIM(IF(MOVIMIENTOS!$G197&lt;&gt;"",IF(MOVIMIENTOS!$B197="ENVÍO A SUPESA","G-"&amp;MOVIMIENTOS!$G197,MOVIMIENTOS!$G197)&amp;"  ","")&amp;IF(N(MOVIMIENTOS!$E197)&gt;0,MOVIMIENTOS!$E197&amp;" "&amp;MOVIMIENTOS!$D197,"")),"")</f>
        <v/>
      </c>
      <c r="P198">
        <f t="shared" ref="P198:P261" si="27">N(P197)+N(M198)-N(N198)</f>
        <v>6138.5</v>
      </c>
    </row>
    <row r="199" spans="1:16" x14ac:dyDescent="0.2">
      <c r="A199" s="7" t="str">
        <f t="shared" si="21"/>
        <v/>
      </c>
      <c r="B199" s="8" t="str">
        <f t="shared" si="22"/>
        <v/>
      </c>
      <c r="C199" s="9" t="str">
        <f t="shared" si="23"/>
        <v/>
      </c>
      <c r="D199" s="9" t="str">
        <f t="shared" si="24"/>
        <v/>
      </c>
      <c r="E199" s="8" t="str">
        <f t="shared" si="25"/>
        <v/>
      </c>
      <c r="F199" s="9" t="str">
        <f t="shared" si="26"/>
        <v/>
      </c>
      <c r="J199" t="str">
        <f>IF(AND(MOVIMIENTOS!$B198&lt;&gt;"",NOT(AND(MOVIMIENTOS!$B198="PROCESO",MOVIMIENTOS!$C198&lt;&gt;"Chancho")),NOT(AND(MOVIMIENTOS!$B198="SALDO INICIAL",MOVIMIENTOS!$C198="Chancho"))),COUNT(J$5:J198)+1,"")</f>
        <v/>
      </c>
      <c r="K199" t="str">
        <f>IF(AND(MOVIMIENTOS!$B198&lt;&gt;"",NOT(AND(MOVIMIENTOS!$B198="PROCESO",MOVIMIENTOS!$C198&lt;&gt;"Chancho")),NOT(AND(MOVIMIENTOS!$B198="SALDO INICIAL",MOVIMIENTOS!$C198="Chancho"))),MOVIMIENTOS!$A198,"")</f>
        <v/>
      </c>
      <c r="L199" t="str">
        <f>IF(AND(MOVIMIENTOS!$B198&lt;&gt;"",NOT(AND(MOVIMIENTOS!$B198="PROCESO",MOVIMIENTOS!$C198&lt;&gt;"Chancho")),NOT(AND(MOVIMIENTOS!$B198="SALDO INICIAL",MOVIMIENTOS!$C198="Chancho"))),IF(MOVIMIENTOS!$B198="SALDO INICIAL","APERTURA ("&amp;MOVIMIENTOS!$C198&amp;")",IF(MOVIMIENTOS!$B198="COMPRA","INGRESO (compra)",IF(MOVIMIENTOS!$B198="PROCESO","CHANCHO (proceso)",IF(MOVIMIENTOS!$B198="ENVÍO A SUPESA","ENVÍO SUPESA cal. "&amp;MOVIMIENTOS!$C198,IF(MOVIMIENTOS!$B198="VENTA CHANCHO","VENTA CHANCHO",IF(MOVIMIENTOS!$B198="DEVOLUCIÓN","DEVOLUCIÓN cal. "&amp;MOVIMIENTOS!$C198,IF(MOVIMIENTOS!$B198="TRASIEGO","TRASIEGO cal. "&amp;MOVIMIENTOS!$C198,IF(MOVIMIENTOS!$B198="REGALO","REGALO "&amp;MOVIMIENTOS!$C198,IF(MOVIMIENTOS!$B198="VENTA","VENTA "&amp;MOVIMIENTOS!$C198,IF(MOVIMIENTOS!$B198="AJUSTE","AJUSTE inventario ("&amp;MOVIMIENTOS!$C198&amp;")",MOVIMIENTOS!$B198)))))))))),"")</f>
        <v/>
      </c>
      <c r="M199" t="str">
        <f>IF(AND(AND(MOVIMIENTOS!$B198&lt;&gt;"",NOT(AND(MOVIMIENTOS!$B198="PROCESO",MOVIMIENTOS!$C198&lt;&gt;"Chancho")),NOT(AND(MOVIMIENTOS!$B198="SALDO INICIAL",MOVIMIENTOS!$C198="Chancho"))),OR(MOVIMIENTOS!$B198="SALDO INICIAL",MOVIMIENTOS!$B198="COMPRA",MOVIMIENTOS!$B198="REPROCESO",AND(MOVIMIENTOS!$B198="AJUSTE",MOVIMIENTOS!$C198&lt;&gt;"Chancho",N(MOVIMIENTOS!$F198)&gt;=0))),N(MOVIMIENTOS!$F198),"")</f>
        <v/>
      </c>
      <c r="N199" t="str">
        <f>IF(AND(AND(MOVIMIENTOS!$B198&lt;&gt;"",NOT(AND(MOVIMIENTOS!$B198="PROCESO",MOVIMIENTOS!$C198&lt;&gt;"Chancho")),NOT(AND(MOVIMIENTOS!$B198="SALDO INICIAL",MOVIMIENTOS!$C198="Chancho"))),OR(MOVIMIENTOS!$B198="ENVÍO A SUPESA",MOVIMIENTOS!$B198="MALOGRADO",MOVIMIENTOS!$B198="OTRA SALIDA",MOVIMIENTOS!$B198="TRASIEGO",AND(MOVIMIENTOS!$B198="PROCESO",MOVIMIENTOS!$C198="Chancho"),AND(MOVIMIENTOS!$B198="REGALO",MOVIMIENTOS!$C198&lt;&gt;"Chancho"),AND(MOVIMIENTOS!$B198="VENTA",MOVIMIENTOS!$C198&lt;&gt;"Chancho"),AND(MOVIMIENTOS!$B198="AJUSTE",MOVIMIENTOS!$C198&lt;&gt;"Chancho",N(MOVIMIENTOS!$F198)&lt;0))),IF(MOVIMIENTOS!$B198="AJUSTE",-N(MOVIMIENTOS!$F198),N(MOVIMIENTOS!$F198)),"")</f>
        <v/>
      </c>
      <c r="O199" t="str">
        <f>IF(AND(MOVIMIENTOS!$B198&lt;&gt;"",NOT(AND(MOVIMIENTOS!$B198="PROCESO",MOVIMIENTOS!$C198&lt;&gt;"Chancho")),NOT(AND(MOVIMIENTOS!$B198="SALDO INICIAL",MOVIMIENTOS!$C198="Chancho"))),TRIM(IF(MOVIMIENTOS!$G198&lt;&gt;"",IF(MOVIMIENTOS!$B198="ENVÍO A SUPESA","G-"&amp;MOVIMIENTOS!$G198,MOVIMIENTOS!$G198)&amp;"  ","")&amp;IF(N(MOVIMIENTOS!$E198)&gt;0,MOVIMIENTOS!$E198&amp;" "&amp;MOVIMIENTOS!$D198,"")),"")</f>
        <v/>
      </c>
      <c r="P199">
        <f t="shared" si="27"/>
        <v>6138.5</v>
      </c>
    </row>
    <row r="200" spans="1:16" x14ac:dyDescent="0.2">
      <c r="A200" s="7" t="str">
        <f t="shared" si="21"/>
        <v/>
      </c>
      <c r="B200" s="8" t="str">
        <f t="shared" si="22"/>
        <v/>
      </c>
      <c r="C200" s="9" t="str">
        <f t="shared" si="23"/>
        <v/>
      </c>
      <c r="D200" s="9" t="str">
        <f t="shared" si="24"/>
        <v/>
      </c>
      <c r="E200" s="8" t="str">
        <f t="shared" si="25"/>
        <v/>
      </c>
      <c r="F200" s="9" t="str">
        <f t="shared" si="26"/>
        <v/>
      </c>
      <c r="J200" t="str">
        <f>IF(AND(MOVIMIENTOS!$B199&lt;&gt;"",NOT(AND(MOVIMIENTOS!$B199="PROCESO",MOVIMIENTOS!$C199&lt;&gt;"Chancho")),NOT(AND(MOVIMIENTOS!$B199="SALDO INICIAL",MOVIMIENTOS!$C199="Chancho"))),COUNT(J$5:J199)+1,"")</f>
        <v/>
      </c>
      <c r="K200" t="str">
        <f>IF(AND(MOVIMIENTOS!$B199&lt;&gt;"",NOT(AND(MOVIMIENTOS!$B199="PROCESO",MOVIMIENTOS!$C199&lt;&gt;"Chancho")),NOT(AND(MOVIMIENTOS!$B199="SALDO INICIAL",MOVIMIENTOS!$C199="Chancho"))),MOVIMIENTOS!$A199,"")</f>
        <v/>
      </c>
      <c r="L200" t="str">
        <f>IF(AND(MOVIMIENTOS!$B199&lt;&gt;"",NOT(AND(MOVIMIENTOS!$B199="PROCESO",MOVIMIENTOS!$C199&lt;&gt;"Chancho")),NOT(AND(MOVIMIENTOS!$B199="SALDO INICIAL",MOVIMIENTOS!$C199="Chancho"))),IF(MOVIMIENTOS!$B199="SALDO INICIAL","APERTURA ("&amp;MOVIMIENTOS!$C199&amp;")",IF(MOVIMIENTOS!$B199="COMPRA","INGRESO (compra)",IF(MOVIMIENTOS!$B199="PROCESO","CHANCHO (proceso)",IF(MOVIMIENTOS!$B199="ENVÍO A SUPESA","ENVÍO SUPESA cal. "&amp;MOVIMIENTOS!$C199,IF(MOVIMIENTOS!$B199="VENTA CHANCHO","VENTA CHANCHO",IF(MOVIMIENTOS!$B199="DEVOLUCIÓN","DEVOLUCIÓN cal. "&amp;MOVIMIENTOS!$C199,IF(MOVIMIENTOS!$B199="TRASIEGO","TRASIEGO cal. "&amp;MOVIMIENTOS!$C199,IF(MOVIMIENTOS!$B199="REGALO","REGALO "&amp;MOVIMIENTOS!$C199,IF(MOVIMIENTOS!$B199="VENTA","VENTA "&amp;MOVIMIENTOS!$C199,IF(MOVIMIENTOS!$B199="AJUSTE","AJUSTE inventario ("&amp;MOVIMIENTOS!$C199&amp;")",MOVIMIENTOS!$B199)))))))))),"")</f>
        <v/>
      </c>
      <c r="M200" t="str">
        <f>IF(AND(AND(MOVIMIENTOS!$B199&lt;&gt;"",NOT(AND(MOVIMIENTOS!$B199="PROCESO",MOVIMIENTOS!$C199&lt;&gt;"Chancho")),NOT(AND(MOVIMIENTOS!$B199="SALDO INICIAL",MOVIMIENTOS!$C199="Chancho"))),OR(MOVIMIENTOS!$B199="SALDO INICIAL",MOVIMIENTOS!$B199="COMPRA",MOVIMIENTOS!$B199="REPROCESO",AND(MOVIMIENTOS!$B199="AJUSTE",MOVIMIENTOS!$C199&lt;&gt;"Chancho",N(MOVIMIENTOS!$F199)&gt;=0))),N(MOVIMIENTOS!$F199),"")</f>
        <v/>
      </c>
      <c r="N200" t="str">
        <f>IF(AND(AND(MOVIMIENTOS!$B199&lt;&gt;"",NOT(AND(MOVIMIENTOS!$B199="PROCESO",MOVIMIENTOS!$C199&lt;&gt;"Chancho")),NOT(AND(MOVIMIENTOS!$B199="SALDO INICIAL",MOVIMIENTOS!$C199="Chancho"))),OR(MOVIMIENTOS!$B199="ENVÍO A SUPESA",MOVIMIENTOS!$B199="MALOGRADO",MOVIMIENTOS!$B199="OTRA SALIDA",MOVIMIENTOS!$B199="TRASIEGO",AND(MOVIMIENTOS!$B199="PROCESO",MOVIMIENTOS!$C199="Chancho"),AND(MOVIMIENTOS!$B199="REGALO",MOVIMIENTOS!$C199&lt;&gt;"Chancho"),AND(MOVIMIENTOS!$B199="VENTA",MOVIMIENTOS!$C199&lt;&gt;"Chancho"),AND(MOVIMIENTOS!$B199="AJUSTE",MOVIMIENTOS!$C199&lt;&gt;"Chancho",N(MOVIMIENTOS!$F199)&lt;0))),IF(MOVIMIENTOS!$B199="AJUSTE",-N(MOVIMIENTOS!$F199),N(MOVIMIENTOS!$F199)),"")</f>
        <v/>
      </c>
      <c r="O200" t="str">
        <f>IF(AND(MOVIMIENTOS!$B199&lt;&gt;"",NOT(AND(MOVIMIENTOS!$B199="PROCESO",MOVIMIENTOS!$C199&lt;&gt;"Chancho")),NOT(AND(MOVIMIENTOS!$B199="SALDO INICIAL",MOVIMIENTOS!$C199="Chancho"))),TRIM(IF(MOVIMIENTOS!$G199&lt;&gt;"",IF(MOVIMIENTOS!$B199="ENVÍO A SUPESA","G-"&amp;MOVIMIENTOS!$G199,MOVIMIENTOS!$G199)&amp;"  ","")&amp;IF(N(MOVIMIENTOS!$E199)&gt;0,MOVIMIENTOS!$E199&amp;" "&amp;MOVIMIENTOS!$D199,"")),"")</f>
        <v/>
      </c>
      <c r="P200">
        <f t="shared" si="27"/>
        <v>6138.5</v>
      </c>
    </row>
    <row r="201" spans="1:16" x14ac:dyDescent="0.2">
      <c r="A201" s="7" t="str">
        <f t="shared" si="21"/>
        <v/>
      </c>
      <c r="B201" s="8" t="str">
        <f t="shared" si="22"/>
        <v/>
      </c>
      <c r="C201" s="9" t="str">
        <f t="shared" si="23"/>
        <v/>
      </c>
      <c r="D201" s="9" t="str">
        <f t="shared" si="24"/>
        <v/>
      </c>
      <c r="E201" s="8" t="str">
        <f t="shared" si="25"/>
        <v/>
      </c>
      <c r="F201" s="9" t="str">
        <f t="shared" si="26"/>
        <v/>
      </c>
      <c r="J201" t="str">
        <f>IF(AND(MOVIMIENTOS!$B200&lt;&gt;"",NOT(AND(MOVIMIENTOS!$B200="PROCESO",MOVIMIENTOS!$C200&lt;&gt;"Chancho")),NOT(AND(MOVIMIENTOS!$B200="SALDO INICIAL",MOVIMIENTOS!$C200="Chancho"))),COUNT(J$5:J200)+1,"")</f>
        <v/>
      </c>
      <c r="K201" t="str">
        <f>IF(AND(MOVIMIENTOS!$B200&lt;&gt;"",NOT(AND(MOVIMIENTOS!$B200="PROCESO",MOVIMIENTOS!$C200&lt;&gt;"Chancho")),NOT(AND(MOVIMIENTOS!$B200="SALDO INICIAL",MOVIMIENTOS!$C200="Chancho"))),MOVIMIENTOS!$A200,"")</f>
        <v/>
      </c>
      <c r="L201" t="str">
        <f>IF(AND(MOVIMIENTOS!$B200&lt;&gt;"",NOT(AND(MOVIMIENTOS!$B200="PROCESO",MOVIMIENTOS!$C200&lt;&gt;"Chancho")),NOT(AND(MOVIMIENTOS!$B200="SALDO INICIAL",MOVIMIENTOS!$C200="Chancho"))),IF(MOVIMIENTOS!$B200="SALDO INICIAL","APERTURA ("&amp;MOVIMIENTOS!$C200&amp;")",IF(MOVIMIENTOS!$B200="COMPRA","INGRESO (compra)",IF(MOVIMIENTOS!$B200="PROCESO","CHANCHO (proceso)",IF(MOVIMIENTOS!$B200="ENVÍO A SUPESA","ENVÍO SUPESA cal. "&amp;MOVIMIENTOS!$C200,IF(MOVIMIENTOS!$B200="VENTA CHANCHO","VENTA CHANCHO",IF(MOVIMIENTOS!$B200="DEVOLUCIÓN","DEVOLUCIÓN cal. "&amp;MOVIMIENTOS!$C200,IF(MOVIMIENTOS!$B200="TRASIEGO","TRASIEGO cal. "&amp;MOVIMIENTOS!$C200,IF(MOVIMIENTOS!$B200="REGALO","REGALO "&amp;MOVIMIENTOS!$C200,IF(MOVIMIENTOS!$B200="VENTA","VENTA "&amp;MOVIMIENTOS!$C200,IF(MOVIMIENTOS!$B200="AJUSTE","AJUSTE inventario ("&amp;MOVIMIENTOS!$C200&amp;")",MOVIMIENTOS!$B200)))))))))),"")</f>
        <v/>
      </c>
      <c r="M201" t="str">
        <f>IF(AND(AND(MOVIMIENTOS!$B200&lt;&gt;"",NOT(AND(MOVIMIENTOS!$B200="PROCESO",MOVIMIENTOS!$C200&lt;&gt;"Chancho")),NOT(AND(MOVIMIENTOS!$B200="SALDO INICIAL",MOVIMIENTOS!$C200="Chancho"))),OR(MOVIMIENTOS!$B200="SALDO INICIAL",MOVIMIENTOS!$B200="COMPRA",MOVIMIENTOS!$B200="REPROCESO",AND(MOVIMIENTOS!$B200="AJUSTE",MOVIMIENTOS!$C200&lt;&gt;"Chancho",N(MOVIMIENTOS!$F200)&gt;=0))),N(MOVIMIENTOS!$F200),"")</f>
        <v/>
      </c>
      <c r="N201" t="str">
        <f>IF(AND(AND(MOVIMIENTOS!$B200&lt;&gt;"",NOT(AND(MOVIMIENTOS!$B200="PROCESO",MOVIMIENTOS!$C200&lt;&gt;"Chancho")),NOT(AND(MOVIMIENTOS!$B200="SALDO INICIAL",MOVIMIENTOS!$C200="Chancho"))),OR(MOVIMIENTOS!$B200="ENVÍO A SUPESA",MOVIMIENTOS!$B200="MALOGRADO",MOVIMIENTOS!$B200="OTRA SALIDA",MOVIMIENTOS!$B200="TRASIEGO",AND(MOVIMIENTOS!$B200="PROCESO",MOVIMIENTOS!$C200="Chancho"),AND(MOVIMIENTOS!$B200="REGALO",MOVIMIENTOS!$C200&lt;&gt;"Chancho"),AND(MOVIMIENTOS!$B200="VENTA",MOVIMIENTOS!$C200&lt;&gt;"Chancho"),AND(MOVIMIENTOS!$B200="AJUSTE",MOVIMIENTOS!$C200&lt;&gt;"Chancho",N(MOVIMIENTOS!$F200)&lt;0))),IF(MOVIMIENTOS!$B200="AJUSTE",-N(MOVIMIENTOS!$F200),N(MOVIMIENTOS!$F200)),"")</f>
        <v/>
      </c>
      <c r="O201" t="str">
        <f>IF(AND(MOVIMIENTOS!$B200&lt;&gt;"",NOT(AND(MOVIMIENTOS!$B200="PROCESO",MOVIMIENTOS!$C200&lt;&gt;"Chancho")),NOT(AND(MOVIMIENTOS!$B200="SALDO INICIAL",MOVIMIENTOS!$C200="Chancho"))),TRIM(IF(MOVIMIENTOS!$G200&lt;&gt;"",IF(MOVIMIENTOS!$B200="ENVÍO A SUPESA","G-"&amp;MOVIMIENTOS!$G200,MOVIMIENTOS!$G200)&amp;"  ","")&amp;IF(N(MOVIMIENTOS!$E200)&gt;0,MOVIMIENTOS!$E200&amp;" "&amp;MOVIMIENTOS!$D200,"")),"")</f>
        <v/>
      </c>
      <c r="P201">
        <f t="shared" si="27"/>
        <v>6138.5</v>
      </c>
    </row>
    <row r="202" spans="1:16" x14ac:dyDescent="0.2">
      <c r="A202" s="7" t="str">
        <f t="shared" si="21"/>
        <v/>
      </c>
      <c r="B202" s="8" t="str">
        <f t="shared" si="22"/>
        <v/>
      </c>
      <c r="C202" s="9" t="str">
        <f t="shared" si="23"/>
        <v/>
      </c>
      <c r="D202" s="9" t="str">
        <f t="shared" si="24"/>
        <v/>
      </c>
      <c r="E202" s="8" t="str">
        <f t="shared" si="25"/>
        <v/>
      </c>
      <c r="F202" s="9" t="str">
        <f t="shared" si="26"/>
        <v/>
      </c>
      <c r="J202" t="str">
        <f>IF(AND(MOVIMIENTOS!$B201&lt;&gt;"",NOT(AND(MOVIMIENTOS!$B201="PROCESO",MOVIMIENTOS!$C201&lt;&gt;"Chancho")),NOT(AND(MOVIMIENTOS!$B201="SALDO INICIAL",MOVIMIENTOS!$C201="Chancho"))),COUNT(J$5:J201)+1,"")</f>
        <v/>
      </c>
      <c r="K202" t="str">
        <f>IF(AND(MOVIMIENTOS!$B201&lt;&gt;"",NOT(AND(MOVIMIENTOS!$B201="PROCESO",MOVIMIENTOS!$C201&lt;&gt;"Chancho")),NOT(AND(MOVIMIENTOS!$B201="SALDO INICIAL",MOVIMIENTOS!$C201="Chancho"))),MOVIMIENTOS!$A201,"")</f>
        <v/>
      </c>
      <c r="L202" t="str">
        <f>IF(AND(MOVIMIENTOS!$B201&lt;&gt;"",NOT(AND(MOVIMIENTOS!$B201="PROCESO",MOVIMIENTOS!$C201&lt;&gt;"Chancho")),NOT(AND(MOVIMIENTOS!$B201="SALDO INICIAL",MOVIMIENTOS!$C201="Chancho"))),IF(MOVIMIENTOS!$B201="SALDO INICIAL","APERTURA ("&amp;MOVIMIENTOS!$C201&amp;")",IF(MOVIMIENTOS!$B201="COMPRA","INGRESO (compra)",IF(MOVIMIENTOS!$B201="PROCESO","CHANCHO (proceso)",IF(MOVIMIENTOS!$B201="ENVÍO A SUPESA","ENVÍO SUPESA cal. "&amp;MOVIMIENTOS!$C201,IF(MOVIMIENTOS!$B201="VENTA CHANCHO","VENTA CHANCHO",IF(MOVIMIENTOS!$B201="DEVOLUCIÓN","DEVOLUCIÓN cal. "&amp;MOVIMIENTOS!$C201,IF(MOVIMIENTOS!$B201="TRASIEGO","TRASIEGO cal. "&amp;MOVIMIENTOS!$C201,IF(MOVIMIENTOS!$B201="REGALO","REGALO "&amp;MOVIMIENTOS!$C201,IF(MOVIMIENTOS!$B201="VENTA","VENTA "&amp;MOVIMIENTOS!$C201,IF(MOVIMIENTOS!$B201="AJUSTE","AJUSTE inventario ("&amp;MOVIMIENTOS!$C201&amp;")",MOVIMIENTOS!$B201)))))))))),"")</f>
        <v/>
      </c>
      <c r="M202" t="str">
        <f>IF(AND(AND(MOVIMIENTOS!$B201&lt;&gt;"",NOT(AND(MOVIMIENTOS!$B201="PROCESO",MOVIMIENTOS!$C201&lt;&gt;"Chancho")),NOT(AND(MOVIMIENTOS!$B201="SALDO INICIAL",MOVIMIENTOS!$C201="Chancho"))),OR(MOVIMIENTOS!$B201="SALDO INICIAL",MOVIMIENTOS!$B201="COMPRA",MOVIMIENTOS!$B201="REPROCESO",AND(MOVIMIENTOS!$B201="AJUSTE",MOVIMIENTOS!$C201&lt;&gt;"Chancho",N(MOVIMIENTOS!$F201)&gt;=0))),N(MOVIMIENTOS!$F201),"")</f>
        <v/>
      </c>
      <c r="N202" t="str">
        <f>IF(AND(AND(MOVIMIENTOS!$B201&lt;&gt;"",NOT(AND(MOVIMIENTOS!$B201="PROCESO",MOVIMIENTOS!$C201&lt;&gt;"Chancho")),NOT(AND(MOVIMIENTOS!$B201="SALDO INICIAL",MOVIMIENTOS!$C201="Chancho"))),OR(MOVIMIENTOS!$B201="ENVÍO A SUPESA",MOVIMIENTOS!$B201="MALOGRADO",MOVIMIENTOS!$B201="OTRA SALIDA",MOVIMIENTOS!$B201="TRASIEGO",AND(MOVIMIENTOS!$B201="PROCESO",MOVIMIENTOS!$C201="Chancho"),AND(MOVIMIENTOS!$B201="REGALO",MOVIMIENTOS!$C201&lt;&gt;"Chancho"),AND(MOVIMIENTOS!$B201="VENTA",MOVIMIENTOS!$C201&lt;&gt;"Chancho"),AND(MOVIMIENTOS!$B201="AJUSTE",MOVIMIENTOS!$C201&lt;&gt;"Chancho",N(MOVIMIENTOS!$F201)&lt;0))),IF(MOVIMIENTOS!$B201="AJUSTE",-N(MOVIMIENTOS!$F201),N(MOVIMIENTOS!$F201)),"")</f>
        <v/>
      </c>
      <c r="O202" t="str">
        <f>IF(AND(MOVIMIENTOS!$B201&lt;&gt;"",NOT(AND(MOVIMIENTOS!$B201="PROCESO",MOVIMIENTOS!$C201&lt;&gt;"Chancho")),NOT(AND(MOVIMIENTOS!$B201="SALDO INICIAL",MOVIMIENTOS!$C201="Chancho"))),TRIM(IF(MOVIMIENTOS!$G201&lt;&gt;"",IF(MOVIMIENTOS!$B201="ENVÍO A SUPESA","G-"&amp;MOVIMIENTOS!$G201,MOVIMIENTOS!$G201)&amp;"  ","")&amp;IF(N(MOVIMIENTOS!$E201)&gt;0,MOVIMIENTOS!$E201&amp;" "&amp;MOVIMIENTOS!$D201,"")),"")</f>
        <v/>
      </c>
      <c r="P202">
        <f t="shared" si="27"/>
        <v>6138.5</v>
      </c>
    </row>
    <row r="203" spans="1:16" x14ac:dyDescent="0.2">
      <c r="A203" s="7" t="str">
        <f t="shared" si="21"/>
        <v/>
      </c>
      <c r="B203" s="8" t="str">
        <f t="shared" si="22"/>
        <v/>
      </c>
      <c r="C203" s="9" t="str">
        <f t="shared" si="23"/>
        <v/>
      </c>
      <c r="D203" s="9" t="str">
        <f t="shared" si="24"/>
        <v/>
      </c>
      <c r="E203" s="8" t="str">
        <f t="shared" si="25"/>
        <v/>
      </c>
      <c r="F203" s="9" t="str">
        <f t="shared" si="26"/>
        <v/>
      </c>
      <c r="J203" t="str">
        <f>IF(AND(MOVIMIENTOS!$B202&lt;&gt;"",NOT(AND(MOVIMIENTOS!$B202="PROCESO",MOVIMIENTOS!$C202&lt;&gt;"Chancho")),NOT(AND(MOVIMIENTOS!$B202="SALDO INICIAL",MOVIMIENTOS!$C202="Chancho"))),COUNT(J$5:J202)+1,"")</f>
        <v/>
      </c>
      <c r="K203" t="str">
        <f>IF(AND(MOVIMIENTOS!$B202&lt;&gt;"",NOT(AND(MOVIMIENTOS!$B202="PROCESO",MOVIMIENTOS!$C202&lt;&gt;"Chancho")),NOT(AND(MOVIMIENTOS!$B202="SALDO INICIAL",MOVIMIENTOS!$C202="Chancho"))),MOVIMIENTOS!$A202,"")</f>
        <v/>
      </c>
      <c r="L203" t="str">
        <f>IF(AND(MOVIMIENTOS!$B202&lt;&gt;"",NOT(AND(MOVIMIENTOS!$B202="PROCESO",MOVIMIENTOS!$C202&lt;&gt;"Chancho")),NOT(AND(MOVIMIENTOS!$B202="SALDO INICIAL",MOVIMIENTOS!$C202="Chancho"))),IF(MOVIMIENTOS!$B202="SALDO INICIAL","APERTURA ("&amp;MOVIMIENTOS!$C202&amp;")",IF(MOVIMIENTOS!$B202="COMPRA","INGRESO (compra)",IF(MOVIMIENTOS!$B202="PROCESO","CHANCHO (proceso)",IF(MOVIMIENTOS!$B202="ENVÍO A SUPESA","ENVÍO SUPESA cal. "&amp;MOVIMIENTOS!$C202,IF(MOVIMIENTOS!$B202="VENTA CHANCHO","VENTA CHANCHO",IF(MOVIMIENTOS!$B202="DEVOLUCIÓN","DEVOLUCIÓN cal. "&amp;MOVIMIENTOS!$C202,IF(MOVIMIENTOS!$B202="TRASIEGO","TRASIEGO cal. "&amp;MOVIMIENTOS!$C202,IF(MOVIMIENTOS!$B202="REGALO","REGALO "&amp;MOVIMIENTOS!$C202,IF(MOVIMIENTOS!$B202="VENTA","VENTA "&amp;MOVIMIENTOS!$C202,IF(MOVIMIENTOS!$B202="AJUSTE","AJUSTE inventario ("&amp;MOVIMIENTOS!$C202&amp;")",MOVIMIENTOS!$B202)))))))))),"")</f>
        <v/>
      </c>
      <c r="M203" t="str">
        <f>IF(AND(AND(MOVIMIENTOS!$B202&lt;&gt;"",NOT(AND(MOVIMIENTOS!$B202="PROCESO",MOVIMIENTOS!$C202&lt;&gt;"Chancho")),NOT(AND(MOVIMIENTOS!$B202="SALDO INICIAL",MOVIMIENTOS!$C202="Chancho"))),OR(MOVIMIENTOS!$B202="SALDO INICIAL",MOVIMIENTOS!$B202="COMPRA",MOVIMIENTOS!$B202="REPROCESO",AND(MOVIMIENTOS!$B202="AJUSTE",MOVIMIENTOS!$C202&lt;&gt;"Chancho",N(MOVIMIENTOS!$F202)&gt;=0))),N(MOVIMIENTOS!$F202),"")</f>
        <v/>
      </c>
      <c r="N203" t="str">
        <f>IF(AND(AND(MOVIMIENTOS!$B202&lt;&gt;"",NOT(AND(MOVIMIENTOS!$B202="PROCESO",MOVIMIENTOS!$C202&lt;&gt;"Chancho")),NOT(AND(MOVIMIENTOS!$B202="SALDO INICIAL",MOVIMIENTOS!$C202="Chancho"))),OR(MOVIMIENTOS!$B202="ENVÍO A SUPESA",MOVIMIENTOS!$B202="MALOGRADO",MOVIMIENTOS!$B202="OTRA SALIDA",MOVIMIENTOS!$B202="TRASIEGO",AND(MOVIMIENTOS!$B202="PROCESO",MOVIMIENTOS!$C202="Chancho"),AND(MOVIMIENTOS!$B202="REGALO",MOVIMIENTOS!$C202&lt;&gt;"Chancho"),AND(MOVIMIENTOS!$B202="VENTA",MOVIMIENTOS!$C202&lt;&gt;"Chancho"),AND(MOVIMIENTOS!$B202="AJUSTE",MOVIMIENTOS!$C202&lt;&gt;"Chancho",N(MOVIMIENTOS!$F202)&lt;0))),IF(MOVIMIENTOS!$B202="AJUSTE",-N(MOVIMIENTOS!$F202),N(MOVIMIENTOS!$F202)),"")</f>
        <v/>
      </c>
      <c r="O203" t="str">
        <f>IF(AND(MOVIMIENTOS!$B202&lt;&gt;"",NOT(AND(MOVIMIENTOS!$B202="PROCESO",MOVIMIENTOS!$C202&lt;&gt;"Chancho")),NOT(AND(MOVIMIENTOS!$B202="SALDO INICIAL",MOVIMIENTOS!$C202="Chancho"))),TRIM(IF(MOVIMIENTOS!$G202&lt;&gt;"",IF(MOVIMIENTOS!$B202="ENVÍO A SUPESA","G-"&amp;MOVIMIENTOS!$G202,MOVIMIENTOS!$G202)&amp;"  ","")&amp;IF(N(MOVIMIENTOS!$E202)&gt;0,MOVIMIENTOS!$E202&amp;" "&amp;MOVIMIENTOS!$D202,"")),"")</f>
        <v/>
      </c>
      <c r="P203">
        <f t="shared" si="27"/>
        <v>6138.5</v>
      </c>
    </row>
    <row r="204" spans="1:16" x14ac:dyDescent="0.2">
      <c r="A204" s="7" t="str">
        <f t="shared" si="21"/>
        <v/>
      </c>
      <c r="B204" s="8" t="str">
        <f t="shared" si="22"/>
        <v/>
      </c>
      <c r="C204" s="9" t="str">
        <f t="shared" si="23"/>
        <v/>
      </c>
      <c r="D204" s="9" t="str">
        <f t="shared" si="24"/>
        <v/>
      </c>
      <c r="E204" s="8" t="str">
        <f t="shared" si="25"/>
        <v/>
      </c>
      <c r="F204" s="9" t="str">
        <f t="shared" si="26"/>
        <v/>
      </c>
      <c r="J204" t="str">
        <f>IF(AND(MOVIMIENTOS!$B203&lt;&gt;"",NOT(AND(MOVIMIENTOS!$B203="PROCESO",MOVIMIENTOS!$C203&lt;&gt;"Chancho")),NOT(AND(MOVIMIENTOS!$B203="SALDO INICIAL",MOVIMIENTOS!$C203="Chancho"))),COUNT(J$5:J203)+1,"")</f>
        <v/>
      </c>
      <c r="K204" t="str">
        <f>IF(AND(MOVIMIENTOS!$B203&lt;&gt;"",NOT(AND(MOVIMIENTOS!$B203="PROCESO",MOVIMIENTOS!$C203&lt;&gt;"Chancho")),NOT(AND(MOVIMIENTOS!$B203="SALDO INICIAL",MOVIMIENTOS!$C203="Chancho"))),MOVIMIENTOS!$A203,"")</f>
        <v/>
      </c>
      <c r="L204" t="str">
        <f>IF(AND(MOVIMIENTOS!$B203&lt;&gt;"",NOT(AND(MOVIMIENTOS!$B203="PROCESO",MOVIMIENTOS!$C203&lt;&gt;"Chancho")),NOT(AND(MOVIMIENTOS!$B203="SALDO INICIAL",MOVIMIENTOS!$C203="Chancho"))),IF(MOVIMIENTOS!$B203="SALDO INICIAL","APERTURA ("&amp;MOVIMIENTOS!$C203&amp;")",IF(MOVIMIENTOS!$B203="COMPRA","INGRESO (compra)",IF(MOVIMIENTOS!$B203="PROCESO","CHANCHO (proceso)",IF(MOVIMIENTOS!$B203="ENVÍO A SUPESA","ENVÍO SUPESA cal. "&amp;MOVIMIENTOS!$C203,IF(MOVIMIENTOS!$B203="VENTA CHANCHO","VENTA CHANCHO",IF(MOVIMIENTOS!$B203="DEVOLUCIÓN","DEVOLUCIÓN cal. "&amp;MOVIMIENTOS!$C203,IF(MOVIMIENTOS!$B203="TRASIEGO","TRASIEGO cal. "&amp;MOVIMIENTOS!$C203,IF(MOVIMIENTOS!$B203="REGALO","REGALO "&amp;MOVIMIENTOS!$C203,IF(MOVIMIENTOS!$B203="VENTA","VENTA "&amp;MOVIMIENTOS!$C203,IF(MOVIMIENTOS!$B203="AJUSTE","AJUSTE inventario ("&amp;MOVIMIENTOS!$C203&amp;")",MOVIMIENTOS!$B203)))))))))),"")</f>
        <v/>
      </c>
      <c r="M204" t="str">
        <f>IF(AND(AND(MOVIMIENTOS!$B203&lt;&gt;"",NOT(AND(MOVIMIENTOS!$B203="PROCESO",MOVIMIENTOS!$C203&lt;&gt;"Chancho")),NOT(AND(MOVIMIENTOS!$B203="SALDO INICIAL",MOVIMIENTOS!$C203="Chancho"))),OR(MOVIMIENTOS!$B203="SALDO INICIAL",MOVIMIENTOS!$B203="COMPRA",MOVIMIENTOS!$B203="REPROCESO",AND(MOVIMIENTOS!$B203="AJUSTE",MOVIMIENTOS!$C203&lt;&gt;"Chancho",N(MOVIMIENTOS!$F203)&gt;=0))),N(MOVIMIENTOS!$F203),"")</f>
        <v/>
      </c>
      <c r="N204" t="str">
        <f>IF(AND(AND(MOVIMIENTOS!$B203&lt;&gt;"",NOT(AND(MOVIMIENTOS!$B203="PROCESO",MOVIMIENTOS!$C203&lt;&gt;"Chancho")),NOT(AND(MOVIMIENTOS!$B203="SALDO INICIAL",MOVIMIENTOS!$C203="Chancho"))),OR(MOVIMIENTOS!$B203="ENVÍO A SUPESA",MOVIMIENTOS!$B203="MALOGRADO",MOVIMIENTOS!$B203="OTRA SALIDA",MOVIMIENTOS!$B203="TRASIEGO",AND(MOVIMIENTOS!$B203="PROCESO",MOVIMIENTOS!$C203="Chancho"),AND(MOVIMIENTOS!$B203="REGALO",MOVIMIENTOS!$C203&lt;&gt;"Chancho"),AND(MOVIMIENTOS!$B203="VENTA",MOVIMIENTOS!$C203&lt;&gt;"Chancho"),AND(MOVIMIENTOS!$B203="AJUSTE",MOVIMIENTOS!$C203&lt;&gt;"Chancho",N(MOVIMIENTOS!$F203)&lt;0))),IF(MOVIMIENTOS!$B203="AJUSTE",-N(MOVIMIENTOS!$F203),N(MOVIMIENTOS!$F203)),"")</f>
        <v/>
      </c>
      <c r="O204" t="str">
        <f>IF(AND(MOVIMIENTOS!$B203&lt;&gt;"",NOT(AND(MOVIMIENTOS!$B203="PROCESO",MOVIMIENTOS!$C203&lt;&gt;"Chancho")),NOT(AND(MOVIMIENTOS!$B203="SALDO INICIAL",MOVIMIENTOS!$C203="Chancho"))),TRIM(IF(MOVIMIENTOS!$G203&lt;&gt;"",IF(MOVIMIENTOS!$B203="ENVÍO A SUPESA","G-"&amp;MOVIMIENTOS!$G203,MOVIMIENTOS!$G203)&amp;"  ","")&amp;IF(N(MOVIMIENTOS!$E203)&gt;0,MOVIMIENTOS!$E203&amp;" "&amp;MOVIMIENTOS!$D203,"")),"")</f>
        <v/>
      </c>
      <c r="P204">
        <f t="shared" si="27"/>
        <v>6138.5</v>
      </c>
    </row>
    <row r="205" spans="1:16" x14ac:dyDescent="0.2">
      <c r="A205" s="7" t="str">
        <f t="shared" si="21"/>
        <v/>
      </c>
      <c r="B205" s="8" t="str">
        <f t="shared" si="22"/>
        <v/>
      </c>
      <c r="C205" s="9" t="str">
        <f t="shared" si="23"/>
        <v/>
      </c>
      <c r="D205" s="9" t="str">
        <f t="shared" si="24"/>
        <v/>
      </c>
      <c r="E205" s="8" t="str">
        <f t="shared" si="25"/>
        <v/>
      </c>
      <c r="F205" s="9" t="str">
        <f t="shared" si="26"/>
        <v/>
      </c>
      <c r="J205" t="str">
        <f>IF(AND(MOVIMIENTOS!$B204&lt;&gt;"",NOT(AND(MOVIMIENTOS!$B204="PROCESO",MOVIMIENTOS!$C204&lt;&gt;"Chancho")),NOT(AND(MOVIMIENTOS!$B204="SALDO INICIAL",MOVIMIENTOS!$C204="Chancho"))),COUNT(J$5:J204)+1,"")</f>
        <v/>
      </c>
      <c r="K205" t="str">
        <f>IF(AND(MOVIMIENTOS!$B204&lt;&gt;"",NOT(AND(MOVIMIENTOS!$B204="PROCESO",MOVIMIENTOS!$C204&lt;&gt;"Chancho")),NOT(AND(MOVIMIENTOS!$B204="SALDO INICIAL",MOVIMIENTOS!$C204="Chancho"))),MOVIMIENTOS!$A204,"")</f>
        <v/>
      </c>
      <c r="L205" t="str">
        <f>IF(AND(MOVIMIENTOS!$B204&lt;&gt;"",NOT(AND(MOVIMIENTOS!$B204="PROCESO",MOVIMIENTOS!$C204&lt;&gt;"Chancho")),NOT(AND(MOVIMIENTOS!$B204="SALDO INICIAL",MOVIMIENTOS!$C204="Chancho"))),IF(MOVIMIENTOS!$B204="SALDO INICIAL","APERTURA ("&amp;MOVIMIENTOS!$C204&amp;")",IF(MOVIMIENTOS!$B204="COMPRA","INGRESO (compra)",IF(MOVIMIENTOS!$B204="PROCESO","CHANCHO (proceso)",IF(MOVIMIENTOS!$B204="ENVÍO A SUPESA","ENVÍO SUPESA cal. "&amp;MOVIMIENTOS!$C204,IF(MOVIMIENTOS!$B204="VENTA CHANCHO","VENTA CHANCHO",IF(MOVIMIENTOS!$B204="DEVOLUCIÓN","DEVOLUCIÓN cal. "&amp;MOVIMIENTOS!$C204,IF(MOVIMIENTOS!$B204="TRASIEGO","TRASIEGO cal. "&amp;MOVIMIENTOS!$C204,IF(MOVIMIENTOS!$B204="REGALO","REGALO "&amp;MOVIMIENTOS!$C204,IF(MOVIMIENTOS!$B204="VENTA","VENTA "&amp;MOVIMIENTOS!$C204,IF(MOVIMIENTOS!$B204="AJUSTE","AJUSTE inventario ("&amp;MOVIMIENTOS!$C204&amp;")",MOVIMIENTOS!$B204)))))))))),"")</f>
        <v/>
      </c>
      <c r="M205" t="str">
        <f>IF(AND(AND(MOVIMIENTOS!$B204&lt;&gt;"",NOT(AND(MOVIMIENTOS!$B204="PROCESO",MOVIMIENTOS!$C204&lt;&gt;"Chancho")),NOT(AND(MOVIMIENTOS!$B204="SALDO INICIAL",MOVIMIENTOS!$C204="Chancho"))),OR(MOVIMIENTOS!$B204="SALDO INICIAL",MOVIMIENTOS!$B204="COMPRA",MOVIMIENTOS!$B204="REPROCESO",AND(MOVIMIENTOS!$B204="AJUSTE",MOVIMIENTOS!$C204&lt;&gt;"Chancho",N(MOVIMIENTOS!$F204)&gt;=0))),N(MOVIMIENTOS!$F204),"")</f>
        <v/>
      </c>
      <c r="N205" t="str">
        <f>IF(AND(AND(MOVIMIENTOS!$B204&lt;&gt;"",NOT(AND(MOVIMIENTOS!$B204="PROCESO",MOVIMIENTOS!$C204&lt;&gt;"Chancho")),NOT(AND(MOVIMIENTOS!$B204="SALDO INICIAL",MOVIMIENTOS!$C204="Chancho"))),OR(MOVIMIENTOS!$B204="ENVÍO A SUPESA",MOVIMIENTOS!$B204="MALOGRADO",MOVIMIENTOS!$B204="OTRA SALIDA",MOVIMIENTOS!$B204="TRASIEGO",AND(MOVIMIENTOS!$B204="PROCESO",MOVIMIENTOS!$C204="Chancho"),AND(MOVIMIENTOS!$B204="REGALO",MOVIMIENTOS!$C204&lt;&gt;"Chancho"),AND(MOVIMIENTOS!$B204="VENTA",MOVIMIENTOS!$C204&lt;&gt;"Chancho"),AND(MOVIMIENTOS!$B204="AJUSTE",MOVIMIENTOS!$C204&lt;&gt;"Chancho",N(MOVIMIENTOS!$F204)&lt;0))),IF(MOVIMIENTOS!$B204="AJUSTE",-N(MOVIMIENTOS!$F204),N(MOVIMIENTOS!$F204)),"")</f>
        <v/>
      </c>
      <c r="O205" t="str">
        <f>IF(AND(MOVIMIENTOS!$B204&lt;&gt;"",NOT(AND(MOVIMIENTOS!$B204="PROCESO",MOVIMIENTOS!$C204&lt;&gt;"Chancho")),NOT(AND(MOVIMIENTOS!$B204="SALDO INICIAL",MOVIMIENTOS!$C204="Chancho"))),TRIM(IF(MOVIMIENTOS!$G204&lt;&gt;"",IF(MOVIMIENTOS!$B204="ENVÍO A SUPESA","G-"&amp;MOVIMIENTOS!$G204,MOVIMIENTOS!$G204)&amp;"  ","")&amp;IF(N(MOVIMIENTOS!$E204)&gt;0,MOVIMIENTOS!$E204&amp;" "&amp;MOVIMIENTOS!$D204,"")),"")</f>
        <v/>
      </c>
      <c r="P205">
        <f t="shared" si="27"/>
        <v>6138.5</v>
      </c>
    </row>
    <row r="206" spans="1:16" x14ac:dyDescent="0.2">
      <c r="A206" s="7" t="str">
        <f t="shared" si="21"/>
        <v/>
      </c>
      <c r="B206" s="8" t="str">
        <f t="shared" si="22"/>
        <v/>
      </c>
      <c r="C206" s="9" t="str">
        <f t="shared" si="23"/>
        <v/>
      </c>
      <c r="D206" s="9" t="str">
        <f t="shared" si="24"/>
        <v/>
      </c>
      <c r="E206" s="8" t="str">
        <f t="shared" si="25"/>
        <v/>
      </c>
      <c r="F206" s="9" t="str">
        <f t="shared" si="26"/>
        <v/>
      </c>
      <c r="J206" t="str">
        <f>IF(AND(MOVIMIENTOS!$B205&lt;&gt;"",NOT(AND(MOVIMIENTOS!$B205="PROCESO",MOVIMIENTOS!$C205&lt;&gt;"Chancho")),NOT(AND(MOVIMIENTOS!$B205="SALDO INICIAL",MOVIMIENTOS!$C205="Chancho"))),COUNT(J$5:J205)+1,"")</f>
        <v/>
      </c>
      <c r="K206" t="str">
        <f>IF(AND(MOVIMIENTOS!$B205&lt;&gt;"",NOT(AND(MOVIMIENTOS!$B205="PROCESO",MOVIMIENTOS!$C205&lt;&gt;"Chancho")),NOT(AND(MOVIMIENTOS!$B205="SALDO INICIAL",MOVIMIENTOS!$C205="Chancho"))),MOVIMIENTOS!$A205,"")</f>
        <v/>
      </c>
      <c r="L206" t="str">
        <f>IF(AND(MOVIMIENTOS!$B205&lt;&gt;"",NOT(AND(MOVIMIENTOS!$B205="PROCESO",MOVIMIENTOS!$C205&lt;&gt;"Chancho")),NOT(AND(MOVIMIENTOS!$B205="SALDO INICIAL",MOVIMIENTOS!$C205="Chancho"))),IF(MOVIMIENTOS!$B205="SALDO INICIAL","APERTURA ("&amp;MOVIMIENTOS!$C205&amp;")",IF(MOVIMIENTOS!$B205="COMPRA","INGRESO (compra)",IF(MOVIMIENTOS!$B205="PROCESO","CHANCHO (proceso)",IF(MOVIMIENTOS!$B205="ENVÍO A SUPESA","ENVÍO SUPESA cal. "&amp;MOVIMIENTOS!$C205,IF(MOVIMIENTOS!$B205="VENTA CHANCHO","VENTA CHANCHO",IF(MOVIMIENTOS!$B205="DEVOLUCIÓN","DEVOLUCIÓN cal. "&amp;MOVIMIENTOS!$C205,IF(MOVIMIENTOS!$B205="TRASIEGO","TRASIEGO cal. "&amp;MOVIMIENTOS!$C205,IF(MOVIMIENTOS!$B205="REGALO","REGALO "&amp;MOVIMIENTOS!$C205,IF(MOVIMIENTOS!$B205="VENTA","VENTA "&amp;MOVIMIENTOS!$C205,IF(MOVIMIENTOS!$B205="AJUSTE","AJUSTE inventario ("&amp;MOVIMIENTOS!$C205&amp;")",MOVIMIENTOS!$B205)))))))))),"")</f>
        <v/>
      </c>
      <c r="M206" t="str">
        <f>IF(AND(AND(MOVIMIENTOS!$B205&lt;&gt;"",NOT(AND(MOVIMIENTOS!$B205="PROCESO",MOVIMIENTOS!$C205&lt;&gt;"Chancho")),NOT(AND(MOVIMIENTOS!$B205="SALDO INICIAL",MOVIMIENTOS!$C205="Chancho"))),OR(MOVIMIENTOS!$B205="SALDO INICIAL",MOVIMIENTOS!$B205="COMPRA",MOVIMIENTOS!$B205="REPROCESO",AND(MOVIMIENTOS!$B205="AJUSTE",MOVIMIENTOS!$C205&lt;&gt;"Chancho",N(MOVIMIENTOS!$F205)&gt;=0))),N(MOVIMIENTOS!$F205),"")</f>
        <v/>
      </c>
      <c r="N206" t="str">
        <f>IF(AND(AND(MOVIMIENTOS!$B205&lt;&gt;"",NOT(AND(MOVIMIENTOS!$B205="PROCESO",MOVIMIENTOS!$C205&lt;&gt;"Chancho")),NOT(AND(MOVIMIENTOS!$B205="SALDO INICIAL",MOVIMIENTOS!$C205="Chancho"))),OR(MOVIMIENTOS!$B205="ENVÍO A SUPESA",MOVIMIENTOS!$B205="MALOGRADO",MOVIMIENTOS!$B205="OTRA SALIDA",MOVIMIENTOS!$B205="TRASIEGO",AND(MOVIMIENTOS!$B205="PROCESO",MOVIMIENTOS!$C205="Chancho"),AND(MOVIMIENTOS!$B205="REGALO",MOVIMIENTOS!$C205&lt;&gt;"Chancho"),AND(MOVIMIENTOS!$B205="VENTA",MOVIMIENTOS!$C205&lt;&gt;"Chancho"),AND(MOVIMIENTOS!$B205="AJUSTE",MOVIMIENTOS!$C205&lt;&gt;"Chancho",N(MOVIMIENTOS!$F205)&lt;0))),IF(MOVIMIENTOS!$B205="AJUSTE",-N(MOVIMIENTOS!$F205),N(MOVIMIENTOS!$F205)),"")</f>
        <v/>
      </c>
      <c r="O206" t="str">
        <f>IF(AND(MOVIMIENTOS!$B205&lt;&gt;"",NOT(AND(MOVIMIENTOS!$B205="PROCESO",MOVIMIENTOS!$C205&lt;&gt;"Chancho")),NOT(AND(MOVIMIENTOS!$B205="SALDO INICIAL",MOVIMIENTOS!$C205="Chancho"))),TRIM(IF(MOVIMIENTOS!$G205&lt;&gt;"",IF(MOVIMIENTOS!$B205="ENVÍO A SUPESA","G-"&amp;MOVIMIENTOS!$G205,MOVIMIENTOS!$G205)&amp;"  ","")&amp;IF(N(MOVIMIENTOS!$E205)&gt;0,MOVIMIENTOS!$E205&amp;" "&amp;MOVIMIENTOS!$D205,"")),"")</f>
        <v/>
      </c>
      <c r="P206">
        <f t="shared" si="27"/>
        <v>6138.5</v>
      </c>
    </row>
    <row r="207" spans="1:16" x14ac:dyDescent="0.2">
      <c r="A207" s="7" t="str">
        <f t="shared" si="21"/>
        <v/>
      </c>
      <c r="B207" s="8" t="str">
        <f t="shared" si="22"/>
        <v/>
      </c>
      <c r="C207" s="9" t="str">
        <f t="shared" si="23"/>
        <v/>
      </c>
      <c r="D207" s="9" t="str">
        <f t="shared" si="24"/>
        <v/>
      </c>
      <c r="E207" s="8" t="str">
        <f t="shared" si="25"/>
        <v/>
      </c>
      <c r="F207" s="9" t="str">
        <f t="shared" si="26"/>
        <v/>
      </c>
      <c r="J207" t="str">
        <f>IF(AND(MOVIMIENTOS!$B206&lt;&gt;"",NOT(AND(MOVIMIENTOS!$B206="PROCESO",MOVIMIENTOS!$C206&lt;&gt;"Chancho")),NOT(AND(MOVIMIENTOS!$B206="SALDO INICIAL",MOVIMIENTOS!$C206="Chancho"))),COUNT(J$5:J206)+1,"")</f>
        <v/>
      </c>
      <c r="K207" t="str">
        <f>IF(AND(MOVIMIENTOS!$B206&lt;&gt;"",NOT(AND(MOVIMIENTOS!$B206="PROCESO",MOVIMIENTOS!$C206&lt;&gt;"Chancho")),NOT(AND(MOVIMIENTOS!$B206="SALDO INICIAL",MOVIMIENTOS!$C206="Chancho"))),MOVIMIENTOS!$A206,"")</f>
        <v/>
      </c>
      <c r="L207" t="str">
        <f>IF(AND(MOVIMIENTOS!$B206&lt;&gt;"",NOT(AND(MOVIMIENTOS!$B206="PROCESO",MOVIMIENTOS!$C206&lt;&gt;"Chancho")),NOT(AND(MOVIMIENTOS!$B206="SALDO INICIAL",MOVIMIENTOS!$C206="Chancho"))),IF(MOVIMIENTOS!$B206="SALDO INICIAL","APERTURA ("&amp;MOVIMIENTOS!$C206&amp;")",IF(MOVIMIENTOS!$B206="COMPRA","INGRESO (compra)",IF(MOVIMIENTOS!$B206="PROCESO","CHANCHO (proceso)",IF(MOVIMIENTOS!$B206="ENVÍO A SUPESA","ENVÍO SUPESA cal. "&amp;MOVIMIENTOS!$C206,IF(MOVIMIENTOS!$B206="VENTA CHANCHO","VENTA CHANCHO",IF(MOVIMIENTOS!$B206="DEVOLUCIÓN","DEVOLUCIÓN cal. "&amp;MOVIMIENTOS!$C206,IF(MOVIMIENTOS!$B206="TRASIEGO","TRASIEGO cal. "&amp;MOVIMIENTOS!$C206,IF(MOVIMIENTOS!$B206="REGALO","REGALO "&amp;MOVIMIENTOS!$C206,IF(MOVIMIENTOS!$B206="VENTA","VENTA "&amp;MOVIMIENTOS!$C206,IF(MOVIMIENTOS!$B206="AJUSTE","AJUSTE inventario ("&amp;MOVIMIENTOS!$C206&amp;")",MOVIMIENTOS!$B206)))))))))),"")</f>
        <v/>
      </c>
      <c r="M207" t="str">
        <f>IF(AND(AND(MOVIMIENTOS!$B206&lt;&gt;"",NOT(AND(MOVIMIENTOS!$B206="PROCESO",MOVIMIENTOS!$C206&lt;&gt;"Chancho")),NOT(AND(MOVIMIENTOS!$B206="SALDO INICIAL",MOVIMIENTOS!$C206="Chancho"))),OR(MOVIMIENTOS!$B206="SALDO INICIAL",MOVIMIENTOS!$B206="COMPRA",MOVIMIENTOS!$B206="REPROCESO",AND(MOVIMIENTOS!$B206="AJUSTE",MOVIMIENTOS!$C206&lt;&gt;"Chancho",N(MOVIMIENTOS!$F206)&gt;=0))),N(MOVIMIENTOS!$F206),"")</f>
        <v/>
      </c>
      <c r="N207" t="str">
        <f>IF(AND(AND(MOVIMIENTOS!$B206&lt;&gt;"",NOT(AND(MOVIMIENTOS!$B206="PROCESO",MOVIMIENTOS!$C206&lt;&gt;"Chancho")),NOT(AND(MOVIMIENTOS!$B206="SALDO INICIAL",MOVIMIENTOS!$C206="Chancho"))),OR(MOVIMIENTOS!$B206="ENVÍO A SUPESA",MOVIMIENTOS!$B206="MALOGRADO",MOVIMIENTOS!$B206="OTRA SALIDA",MOVIMIENTOS!$B206="TRASIEGO",AND(MOVIMIENTOS!$B206="PROCESO",MOVIMIENTOS!$C206="Chancho"),AND(MOVIMIENTOS!$B206="REGALO",MOVIMIENTOS!$C206&lt;&gt;"Chancho"),AND(MOVIMIENTOS!$B206="VENTA",MOVIMIENTOS!$C206&lt;&gt;"Chancho"),AND(MOVIMIENTOS!$B206="AJUSTE",MOVIMIENTOS!$C206&lt;&gt;"Chancho",N(MOVIMIENTOS!$F206)&lt;0))),IF(MOVIMIENTOS!$B206="AJUSTE",-N(MOVIMIENTOS!$F206),N(MOVIMIENTOS!$F206)),"")</f>
        <v/>
      </c>
      <c r="O207" t="str">
        <f>IF(AND(MOVIMIENTOS!$B206&lt;&gt;"",NOT(AND(MOVIMIENTOS!$B206="PROCESO",MOVIMIENTOS!$C206&lt;&gt;"Chancho")),NOT(AND(MOVIMIENTOS!$B206="SALDO INICIAL",MOVIMIENTOS!$C206="Chancho"))),TRIM(IF(MOVIMIENTOS!$G206&lt;&gt;"",IF(MOVIMIENTOS!$B206="ENVÍO A SUPESA","G-"&amp;MOVIMIENTOS!$G206,MOVIMIENTOS!$G206)&amp;"  ","")&amp;IF(N(MOVIMIENTOS!$E206)&gt;0,MOVIMIENTOS!$E206&amp;" "&amp;MOVIMIENTOS!$D206,"")),"")</f>
        <v/>
      </c>
      <c r="P207">
        <f t="shared" si="27"/>
        <v>6138.5</v>
      </c>
    </row>
    <row r="208" spans="1:16" x14ac:dyDescent="0.2">
      <c r="A208" s="7" t="str">
        <f t="shared" si="21"/>
        <v/>
      </c>
      <c r="B208" s="8" t="str">
        <f t="shared" si="22"/>
        <v/>
      </c>
      <c r="C208" s="9" t="str">
        <f t="shared" si="23"/>
        <v/>
      </c>
      <c r="D208" s="9" t="str">
        <f t="shared" si="24"/>
        <v/>
      </c>
      <c r="E208" s="8" t="str">
        <f t="shared" si="25"/>
        <v/>
      </c>
      <c r="F208" s="9" t="str">
        <f t="shared" si="26"/>
        <v/>
      </c>
      <c r="J208" t="str">
        <f>IF(AND(MOVIMIENTOS!$B207&lt;&gt;"",NOT(AND(MOVIMIENTOS!$B207="PROCESO",MOVIMIENTOS!$C207&lt;&gt;"Chancho")),NOT(AND(MOVIMIENTOS!$B207="SALDO INICIAL",MOVIMIENTOS!$C207="Chancho"))),COUNT(J$5:J207)+1,"")</f>
        <v/>
      </c>
      <c r="K208" t="str">
        <f>IF(AND(MOVIMIENTOS!$B207&lt;&gt;"",NOT(AND(MOVIMIENTOS!$B207="PROCESO",MOVIMIENTOS!$C207&lt;&gt;"Chancho")),NOT(AND(MOVIMIENTOS!$B207="SALDO INICIAL",MOVIMIENTOS!$C207="Chancho"))),MOVIMIENTOS!$A207,"")</f>
        <v/>
      </c>
      <c r="L208" t="str">
        <f>IF(AND(MOVIMIENTOS!$B207&lt;&gt;"",NOT(AND(MOVIMIENTOS!$B207="PROCESO",MOVIMIENTOS!$C207&lt;&gt;"Chancho")),NOT(AND(MOVIMIENTOS!$B207="SALDO INICIAL",MOVIMIENTOS!$C207="Chancho"))),IF(MOVIMIENTOS!$B207="SALDO INICIAL","APERTURA ("&amp;MOVIMIENTOS!$C207&amp;")",IF(MOVIMIENTOS!$B207="COMPRA","INGRESO (compra)",IF(MOVIMIENTOS!$B207="PROCESO","CHANCHO (proceso)",IF(MOVIMIENTOS!$B207="ENVÍO A SUPESA","ENVÍO SUPESA cal. "&amp;MOVIMIENTOS!$C207,IF(MOVIMIENTOS!$B207="VENTA CHANCHO","VENTA CHANCHO",IF(MOVIMIENTOS!$B207="DEVOLUCIÓN","DEVOLUCIÓN cal. "&amp;MOVIMIENTOS!$C207,IF(MOVIMIENTOS!$B207="TRASIEGO","TRASIEGO cal. "&amp;MOVIMIENTOS!$C207,IF(MOVIMIENTOS!$B207="REGALO","REGALO "&amp;MOVIMIENTOS!$C207,IF(MOVIMIENTOS!$B207="VENTA","VENTA "&amp;MOVIMIENTOS!$C207,IF(MOVIMIENTOS!$B207="AJUSTE","AJUSTE inventario ("&amp;MOVIMIENTOS!$C207&amp;")",MOVIMIENTOS!$B207)))))))))),"")</f>
        <v/>
      </c>
      <c r="M208" t="str">
        <f>IF(AND(AND(MOVIMIENTOS!$B207&lt;&gt;"",NOT(AND(MOVIMIENTOS!$B207="PROCESO",MOVIMIENTOS!$C207&lt;&gt;"Chancho")),NOT(AND(MOVIMIENTOS!$B207="SALDO INICIAL",MOVIMIENTOS!$C207="Chancho"))),OR(MOVIMIENTOS!$B207="SALDO INICIAL",MOVIMIENTOS!$B207="COMPRA",MOVIMIENTOS!$B207="REPROCESO",AND(MOVIMIENTOS!$B207="AJUSTE",MOVIMIENTOS!$C207&lt;&gt;"Chancho",N(MOVIMIENTOS!$F207)&gt;=0))),N(MOVIMIENTOS!$F207),"")</f>
        <v/>
      </c>
      <c r="N208" t="str">
        <f>IF(AND(AND(MOVIMIENTOS!$B207&lt;&gt;"",NOT(AND(MOVIMIENTOS!$B207="PROCESO",MOVIMIENTOS!$C207&lt;&gt;"Chancho")),NOT(AND(MOVIMIENTOS!$B207="SALDO INICIAL",MOVIMIENTOS!$C207="Chancho"))),OR(MOVIMIENTOS!$B207="ENVÍO A SUPESA",MOVIMIENTOS!$B207="MALOGRADO",MOVIMIENTOS!$B207="OTRA SALIDA",MOVIMIENTOS!$B207="TRASIEGO",AND(MOVIMIENTOS!$B207="PROCESO",MOVIMIENTOS!$C207="Chancho"),AND(MOVIMIENTOS!$B207="REGALO",MOVIMIENTOS!$C207&lt;&gt;"Chancho"),AND(MOVIMIENTOS!$B207="VENTA",MOVIMIENTOS!$C207&lt;&gt;"Chancho"),AND(MOVIMIENTOS!$B207="AJUSTE",MOVIMIENTOS!$C207&lt;&gt;"Chancho",N(MOVIMIENTOS!$F207)&lt;0))),IF(MOVIMIENTOS!$B207="AJUSTE",-N(MOVIMIENTOS!$F207),N(MOVIMIENTOS!$F207)),"")</f>
        <v/>
      </c>
      <c r="O208" t="str">
        <f>IF(AND(MOVIMIENTOS!$B207&lt;&gt;"",NOT(AND(MOVIMIENTOS!$B207="PROCESO",MOVIMIENTOS!$C207&lt;&gt;"Chancho")),NOT(AND(MOVIMIENTOS!$B207="SALDO INICIAL",MOVIMIENTOS!$C207="Chancho"))),TRIM(IF(MOVIMIENTOS!$G207&lt;&gt;"",IF(MOVIMIENTOS!$B207="ENVÍO A SUPESA","G-"&amp;MOVIMIENTOS!$G207,MOVIMIENTOS!$G207)&amp;"  ","")&amp;IF(N(MOVIMIENTOS!$E207)&gt;0,MOVIMIENTOS!$E207&amp;" "&amp;MOVIMIENTOS!$D207,"")),"")</f>
        <v/>
      </c>
      <c r="P208">
        <f t="shared" si="27"/>
        <v>6138.5</v>
      </c>
    </row>
    <row r="209" spans="1:16" x14ac:dyDescent="0.2">
      <c r="A209" s="7" t="str">
        <f t="shared" si="21"/>
        <v/>
      </c>
      <c r="B209" s="8" t="str">
        <f t="shared" si="22"/>
        <v/>
      </c>
      <c r="C209" s="9" t="str">
        <f t="shared" si="23"/>
        <v/>
      </c>
      <c r="D209" s="9" t="str">
        <f t="shared" si="24"/>
        <v/>
      </c>
      <c r="E209" s="8" t="str">
        <f t="shared" si="25"/>
        <v/>
      </c>
      <c r="F209" s="9" t="str">
        <f t="shared" si="26"/>
        <v/>
      </c>
      <c r="J209" t="str">
        <f>IF(AND(MOVIMIENTOS!$B208&lt;&gt;"",NOT(AND(MOVIMIENTOS!$B208="PROCESO",MOVIMIENTOS!$C208&lt;&gt;"Chancho")),NOT(AND(MOVIMIENTOS!$B208="SALDO INICIAL",MOVIMIENTOS!$C208="Chancho"))),COUNT(J$5:J208)+1,"")</f>
        <v/>
      </c>
      <c r="K209" t="str">
        <f>IF(AND(MOVIMIENTOS!$B208&lt;&gt;"",NOT(AND(MOVIMIENTOS!$B208="PROCESO",MOVIMIENTOS!$C208&lt;&gt;"Chancho")),NOT(AND(MOVIMIENTOS!$B208="SALDO INICIAL",MOVIMIENTOS!$C208="Chancho"))),MOVIMIENTOS!$A208,"")</f>
        <v/>
      </c>
      <c r="L209" t="str">
        <f>IF(AND(MOVIMIENTOS!$B208&lt;&gt;"",NOT(AND(MOVIMIENTOS!$B208="PROCESO",MOVIMIENTOS!$C208&lt;&gt;"Chancho")),NOT(AND(MOVIMIENTOS!$B208="SALDO INICIAL",MOVIMIENTOS!$C208="Chancho"))),IF(MOVIMIENTOS!$B208="SALDO INICIAL","APERTURA ("&amp;MOVIMIENTOS!$C208&amp;")",IF(MOVIMIENTOS!$B208="COMPRA","INGRESO (compra)",IF(MOVIMIENTOS!$B208="PROCESO","CHANCHO (proceso)",IF(MOVIMIENTOS!$B208="ENVÍO A SUPESA","ENVÍO SUPESA cal. "&amp;MOVIMIENTOS!$C208,IF(MOVIMIENTOS!$B208="VENTA CHANCHO","VENTA CHANCHO",IF(MOVIMIENTOS!$B208="DEVOLUCIÓN","DEVOLUCIÓN cal. "&amp;MOVIMIENTOS!$C208,IF(MOVIMIENTOS!$B208="TRASIEGO","TRASIEGO cal. "&amp;MOVIMIENTOS!$C208,IF(MOVIMIENTOS!$B208="REGALO","REGALO "&amp;MOVIMIENTOS!$C208,IF(MOVIMIENTOS!$B208="VENTA","VENTA "&amp;MOVIMIENTOS!$C208,IF(MOVIMIENTOS!$B208="AJUSTE","AJUSTE inventario ("&amp;MOVIMIENTOS!$C208&amp;")",MOVIMIENTOS!$B208)))))))))),"")</f>
        <v/>
      </c>
      <c r="M209" t="str">
        <f>IF(AND(AND(MOVIMIENTOS!$B208&lt;&gt;"",NOT(AND(MOVIMIENTOS!$B208="PROCESO",MOVIMIENTOS!$C208&lt;&gt;"Chancho")),NOT(AND(MOVIMIENTOS!$B208="SALDO INICIAL",MOVIMIENTOS!$C208="Chancho"))),OR(MOVIMIENTOS!$B208="SALDO INICIAL",MOVIMIENTOS!$B208="COMPRA",MOVIMIENTOS!$B208="REPROCESO",AND(MOVIMIENTOS!$B208="AJUSTE",MOVIMIENTOS!$C208&lt;&gt;"Chancho",N(MOVIMIENTOS!$F208)&gt;=0))),N(MOVIMIENTOS!$F208),"")</f>
        <v/>
      </c>
      <c r="N209" t="str">
        <f>IF(AND(AND(MOVIMIENTOS!$B208&lt;&gt;"",NOT(AND(MOVIMIENTOS!$B208="PROCESO",MOVIMIENTOS!$C208&lt;&gt;"Chancho")),NOT(AND(MOVIMIENTOS!$B208="SALDO INICIAL",MOVIMIENTOS!$C208="Chancho"))),OR(MOVIMIENTOS!$B208="ENVÍO A SUPESA",MOVIMIENTOS!$B208="MALOGRADO",MOVIMIENTOS!$B208="OTRA SALIDA",MOVIMIENTOS!$B208="TRASIEGO",AND(MOVIMIENTOS!$B208="PROCESO",MOVIMIENTOS!$C208="Chancho"),AND(MOVIMIENTOS!$B208="REGALO",MOVIMIENTOS!$C208&lt;&gt;"Chancho"),AND(MOVIMIENTOS!$B208="VENTA",MOVIMIENTOS!$C208&lt;&gt;"Chancho"),AND(MOVIMIENTOS!$B208="AJUSTE",MOVIMIENTOS!$C208&lt;&gt;"Chancho",N(MOVIMIENTOS!$F208)&lt;0))),IF(MOVIMIENTOS!$B208="AJUSTE",-N(MOVIMIENTOS!$F208),N(MOVIMIENTOS!$F208)),"")</f>
        <v/>
      </c>
      <c r="O209" t="str">
        <f>IF(AND(MOVIMIENTOS!$B208&lt;&gt;"",NOT(AND(MOVIMIENTOS!$B208="PROCESO",MOVIMIENTOS!$C208&lt;&gt;"Chancho")),NOT(AND(MOVIMIENTOS!$B208="SALDO INICIAL",MOVIMIENTOS!$C208="Chancho"))),TRIM(IF(MOVIMIENTOS!$G208&lt;&gt;"",IF(MOVIMIENTOS!$B208="ENVÍO A SUPESA","G-"&amp;MOVIMIENTOS!$G208,MOVIMIENTOS!$G208)&amp;"  ","")&amp;IF(N(MOVIMIENTOS!$E208)&gt;0,MOVIMIENTOS!$E208&amp;" "&amp;MOVIMIENTOS!$D208,"")),"")</f>
        <v/>
      </c>
      <c r="P209">
        <f t="shared" si="27"/>
        <v>6138.5</v>
      </c>
    </row>
    <row r="210" spans="1:16" x14ac:dyDescent="0.2">
      <c r="A210" s="7" t="str">
        <f t="shared" si="21"/>
        <v/>
      </c>
      <c r="B210" s="8" t="str">
        <f t="shared" si="22"/>
        <v/>
      </c>
      <c r="C210" s="9" t="str">
        <f t="shared" si="23"/>
        <v/>
      </c>
      <c r="D210" s="9" t="str">
        <f t="shared" si="24"/>
        <v/>
      </c>
      <c r="E210" s="8" t="str">
        <f t="shared" si="25"/>
        <v/>
      </c>
      <c r="F210" s="9" t="str">
        <f t="shared" si="26"/>
        <v/>
      </c>
      <c r="J210" t="str">
        <f>IF(AND(MOVIMIENTOS!$B209&lt;&gt;"",NOT(AND(MOVIMIENTOS!$B209="PROCESO",MOVIMIENTOS!$C209&lt;&gt;"Chancho")),NOT(AND(MOVIMIENTOS!$B209="SALDO INICIAL",MOVIMIENTOS!$C209="Chancho"))),COUNT(J$5:J209)+1,"")</f>
        <v/>
      </c>
      <c r="K210" t="str">
        <f>IF(AND(MOVIMIENTOS!$B209&lt;&gt;"",NOT(AND(MOVIMIENTOS!$B209="PROCESO",MOVIMIENTOS!$C209&lt;&gt;"Chancho")),NOT(AND(MOVIMIENTOS!$B209="SALDO INICIAL",MOVIMIENTOS!$C209="Chancho"))),MOVIMIENTOS!$A209,"")</f>
        <v/>
      </c>
      <c r="L210" t="str">
        <f>IF(AND(MOVIMIENTOS!$B209&lt;&gt;"",NOT(AND(MOVIMIENTOS!$B209="PROCESO",MOVIMIENTOS!$C209&lt;&gt;"Chancho")),NOT(AND(MOVIMIENTOS!$B209="SALDO INICIAL",MOVIMIENTOS!$C209="Chancho"))),IF(MOVIMIENTOS!$B209="SALDO INICIAL","APERTURA ("&amp;MOVIMIENTOS!$C209&amp;")",IF(MOVIMIENTOS!$B209="COMPRA","INGRESO (compra)",IF(MOVIMIENTOS!$B209="PROCESO","CHANCHO (proceso)",IF(MOVIMIENTOS!$B209="ENVÍO A SUPESA","ENVÍO SUPESA cal. "&amp;MOVIMIENTOS!$C209,IF(MOVIMIENTOS!$B209="VENTA CHANCHO","VENTA CHANCHO",IF(MOVIMIENTOS!$B209="DEVOLUCIÓN","DEVOLUCIÓN cal. "&amp;MOVIMIENTOS!$C209,IF(MOVIMIENTOS!$B209="TRASIEGO","TRASIEGO cal. "&amp;MOVIMIENTOS!$C209,IF(MOVIMIENTOS!$B209="REGALO","REGALO "&amp;MOVIMIENTOS!$C209,IF(MOVIMIENTOS!$B209="VENTA","VENTA "&amp;MOVIMIENTOS!$C209,IF(MOVIMIENTOS!$B209="AJUSTE","AJUSTE inventario ("&amp;MOVIMIENTOS!$C209&amp;")",MOVIMIENTOS!$B209)))))))))),"")</f>
        <v/>
      </c>
      <c r="M210" t="str">
        <f>IF(AND(AND(MOVIMIENTOS!$B209&lt;&gt;"",NOT(AND(MOVIMIENTOS!$B209="PROCESO",MOVIMIENTOS!$C209&lt;&gt;"Chancho")),NOT(AND(MOVIMIENTOS!$B209="SALDO INICIAL",MOVIMIENTOS!$C209="Chancho"))),OR(MOVIMIENTOS!$B209="SALDO INICIAL",MOVIMIENTOS!$B209="COMPRA",MOVIMIENTOS!$B209="REPROCESO",AND(MOVIMIENTOS!$B209="AJUSTE",MOVIMIENTOS!$C209&lt;&gt;"Chancho",N(MOVIMIENTOS!$F209)&gt;=0))),N(MOVIMIENTOS!$F209),"")</f>
        <v/>
      </c>
      <c r="N210" t="str">
        <f>IF(AND(AND(MOVIMIENTOS!$B209&lt;&gt;"",NOT(AND(MOVIMIENTOS!$B209="PROCESO",MOVIMIENTOS!$C209&lt;&gt;"Chancho")),NOT(AND(MOVIMIENTOS!$B209="SALDO INICIAL",MOVIMIENTOS!$C209="Chancho"))),OR(MOVIMIENTOS!$B209="ENVÍO A SUPESA",MOVIMIENTOS!$B209="MALOGRADO",MOVIMIENTOS!$B209="OTRA SALIDA",MOVIMIENTOS!$B209="TRASIEGO",AND(MOVIMIENTOS!$B209="PROCESO",MOVIMIENTOS!$C209="Chancho"),AND(MOVIMIENTOS!$B209="REGALO",MOVIMIENTOS!$C209&lt;&gt;"Chancho"),AND(MOVIMIENTOS!$B209="VENTA",MOVIMIENTOS!$C209&lt;&gt;"Chancho"),AND(MOVIMIENTOS!$B209="AJUSTE",MOVIMIENTOS!$C209&lt;&gt;"Chancho",N(MOVIMIENTOS!$F209)&lt;0))),IF(MOVIMIENTOS!$B209="AJUSTE",-N(MOVIMIENTOS!$F209),N(MOVIMIENTOS!$F209)),"")</f>
        <v/>
      </c>
      <c r="O210" t="str">
        <f>IF(AND(MOVIMIENTOS!$B209&lt;&gt;"",NOT(AND(MOVIMIENTOS!$B209="PROCESO",MOVIMIENTOS!$C209&lt;&gt;"Chancho")),NOT(AND(MOVIMIENTOS!$B209="SALDO INICIAL",MOVIMIENTOS!$C209="Chancho"))),TRIM(IF(MOVIMIENTOS!$G209&lt;&gt;"",IF(MOVIMIENTOS!$B209="ENVÍO A SUPESA","G-"&amp;MOVIMIENTOS!$G209,MOVIMIENTOS!$G209)&amp;"  ","")&amp;IF(N(MOVIMIENTOS!$E209)&gt;0,MOVIMIENTOS!$E209&amp;" "&amp;MOVIMIENTOS!$D209,"")),"")</f>
        <v/>
      </c>
      <c r="P210">
        <f t="shared" si="27"/>
        <v>6138.5</v>
      </c>
    </row>
    <row r="211" spans="1:16" x14ac:dyDescent="0.2">
      <c r="A211" s="7" t="str">
        <f t="shared" si="21"/>
        <v/>
      </c>
      <c r="B211" s="8" t="str">
        <f t="shared" si="22"/>
        <v/>
      </c>
      <c r="C211" s="9" t="str">
        <f t="shared" si="23"/>
        <v/>
      </c>
      <c r="D211" s="9" t="str">
        <f t="shared" si="24"/>
        <v/>
      </c>
      <c r="E211" s="8" t="str">
        <f t="shared" si="25"/>
        <v/>
      </c>
      <c r="F211" s="9" t="str">
        <f t="shared" si="26"/>
        <v/>
      </c>
      <c r="J211" t="str">
        <f>IF(AND(MOVIMIENTOS!$B210&lt;&gt;"",NOT(AND(MOVIMIENTOS!$B210="PROCESO",MOVIMIENTOS!$C210&lt;&gt;"Chancho")),NOT(AND(MOVIMIENTOS!$B210="SALDO INICIAL",MOVIMIENTOS!$C210="Chancho"))),COUNT(J$5:J210)+1,"")</f>
        <v/>
      </c>
      <c r="K211" t="str">
        <f>IF(AND(MOVIMIENTOS!$B210&lt;&gt;"",NOT(AND(MOVIMIENTOS!$B210="PROCESO",MOVIMIENTOS!$C210&lt;&gt;"Chancho")),NOT(AND(MOVIMIENTOS!$B210="SALDO INICIAL",MOVIMIENTOS!$C210="Chancho"))),MOVIMIENTOS!$A210,"")</f>
        <v/>
      </c>
      <c r="L211" t="str">
        <f>IF(AND(MOVIMIENTOS!$B210&lt;&gt;"",NOT(AND(MOVIMIENTOS!$B210="PROCESO",MOVIMIENTOS!$C210&lt;&gt;"Chancho")),NOT(AND(MOVIMIENTOS!$B210="SALDO INICIAL",MOVIMIENTOS!$C210="Chancho"))),IF(MOVIMIENTOS!$B210="SALDO INICIAL","APERTURA ("&amp;MOVIMIENTOS!$C210&amp;")",IF(MOVIMIENTOS!$B210="COMPRA","INGRESO (compra)",IF(MOVIMIENTOS!$B210="PROCESO","CHANCHO (proceso)",IF(MOVIMIENTOS!$B210="ENVÍO A SUPESA","ENVÍO SUPESA cal. "&amp;MOVIMIENTOS!$C210,IF(MOVIMIENTOS!$B210="VENTA CHANCHO","VENTA CHANCHO",IF(MOVIMIENTOS!$B210="DEVOLUCIÓN","DEVOLUCIÓN cal. "&amp;MOVIMIENTOS!$C210,IF(MOVIMIENTOS!$B210="TRASIEGO","TRASIEGO cal. "&amp;MOVIMIENTOS!$C210,IF(MOVIMIENTOS!$B210="REGALO","REGALO "&amp;MOVIMIENTOS!$C210,IF(MOVIMIENTOS!$B210="VENTA","VENTA "&amp;MOVIMIENTOS!$C210,IF(MOVIMIENTOS!$B210="AJUSTE","AJUSTE inventario ("&amp;MOVIMIENTOS!$C210&amp;")",MOVIMIENTOS!$B210)))))))))),"")</f>
        <v/>
      </c>
      <c r="M211" t="str">
        <f>IF(AND(AND(MOVIMIENTOS!$B210&lt;&gt;"",NOT(AND(MOVIMIENTOS!$B210="PROCESO",MOVIMIENTOS!$C210&lt;&gt;"Chancho")),NOT(AND(MOVIMIENTOS!$B210="SALDO INICIAL",MOVIMIENTOS!$C210="Chancho"))),OR(MOVIMIENTOS!$B210="SALDO INICIAL",MOVIMIENTOS!$B210="COMPRA",MOVIMIENTOS!$B210="REPROCESO",AND(MOVIMIENTOS!$B210="AJUSTE",MOVIMIENTOS!$C210&lt;&gt;"Chancho",N(MOVIMIENTOS!$F210)&gt;=0))),N(MOVIMIENTOS!$F210),"")</f>
        <v/>
      </c>
      <c r="N211" t="str">
        <f>IF(AND(AND(MOVIMIENTOS!$B210&lt;&gt;"",NOT(AND(MOVIMIENTOS!$B210="PROCESO",MOVIMIENTOS!$C210&lt;&gt;"Chancho")),NOT(AND(MOVIMIENTOS!$B210="SALDO INICIAL",MOVIMIENTOS!$C210="Chancho"))),OR(MOVIMIENTOS!$B210="ENVÍO A SUPESA",MOVIMIENTOS!$B210="MALOGRADO",MOVIMIENTOS!$B210="OTRA SALIDA",MOVIMIENTOS!$B210="TRASIEGO",AND(MOVIMIENTOS!$B210="PROCESO",MOVIMIENTOS!$C210="Chancho"),AND(MOVIMIENTOS!$B210="REGALO",MOVIMIENTOS!$C210&lt;&gt;"Chancho"),AND(MOVIMIENTOS!$B210="VENTA",MOVIMIENTOS!$C210&lt;&gt;"Chancho"),AND(MOVIMIENTOS!$B210="AJUSTE",MOVIMIENTOS!$C210&lt;&gt;"Chancho",N(MOVIMIENTOS!$F210)&lt;0))),IF(MOVIMIENTOS!$B210="AJUSTE",-N(MOVIMIENTOS!$F210),N(MOVIMIENTOS!$F210)),"")</f>
        <v/>
      </c>
      <c r="O211" t="str">
        <f>IF(AND(MOVIMIENTOS!$B210&lt;&gt;"",NOT(AND(MOVIMIENTOS!$B210="PROCESO",MOVIMIENTOS!$C210&lt;&gt;"Chancho")),NOT(AND(MOVIMIENTOS!$B210="SALDO INICIAL",MOVIMIENTOS!$C210="Chancho"))),TRIM(IF(MOVIMIENTOS!$G210&lt;&gt;"",IF(MOVIMIENTOS!$B210="ENVÍO A SUPESA","G-"&amp;MOVIMIENTOS!$G210,MOVIMIENTOS!$G210)&amp;"  ","")&amp;IF(N(MOVIMIENTOS!$E210)&gt;0,MOVIMIENTOS!$E210&amp;" "&amp;MOVIMIENTOS!$D210,"")),"")</f>
        <v/>
      </c>
      <c r="P211">
        <f t="shared" si="27"/>
        <v>6138.5</v>
      </c>
    </row>
    <row r="212" spans="1:16" x14ac:dyDescent="0.2">
      <c r="A212" s="7" t="str">
        <f t="shared" si="21"/>
        <v/>
      </c>
      <c r="B212" s="8" t="str">
        <f t="shared" si="22"/>
        <v/>
      </c>
      <c r="C212" s="9" t="str">
        <f t="shared" si="23"/>
        <v/>
      </c>
      <c r="D212" s="9" t="str">
        <f t="shared" si="24"/>
        <v/>
      </c>
      <c r="E212" s="8" t="str">
        <f t="shared" si="25"/>
        <v/>
      </c>
      <c r="F212" s="9" t="str">
        <f t="shared" si="26"/>
        <v/>
      </c>
      <c r="J212" t="str">
        <f>IF(AND(MOVIMIENTOS!$B211&lt;&gt;"",NOT(AND(MOVIMIENTOS!$B211="PROCESO",MOVIMIENTOS!$C211&lt;&gt;"Chancho")),NOT(AND(MOVIMIENTOS!$B211="SALDO INICIAL",MOVIMIENTOS!$C211="Chancho"))),COUNT(J$5:J211)+1,"")</f>
        <v/>
      </c>
      <c r="K212" t="str">
        <f>IF(AND(MOVIMIENTOS!$B211&lt;&gt;"",NOT(AND(MOVIMIENTOS!$B211="PROCESO",MOVIMIENTOS!$C211&lt;&gt;"Chancho")),NOT(AND(MOVIMIENTOS!$B211="SALDO INICIAL",MOVIMIENTOS!$C211="Chancho"))),MOVIMIENTOS!$A211,"")</f>
        <v/>
      </c>
      <c r="L212" t="str">
        <f>IF(AND(MOVIMIENTOS!$B211&lt;&gt;"",NOT(AND(MOVIMIENTOS!$B211="PROCESO",MOVIMIENTOS!$C211&lt;&gt;"Chancho")),NOT(AND(MOVIMIENTOS!$B211="SALDO INICIAL",MOVIMIENTOS!$C211="Chancho"))),IF(MOVIMIENTOS!$B211="SALDO INICIAL","APERTURA ("&amp;MOVIMIENTOS!$C211&amp;")",IF(MOVIMIENTOS!$B211="COMPRA","INGRESO (compra)",IF(MOVIMIENTOS!$B211="PROCESO","CHANCHO (proceso)",IF(MOVIMIENTOS!$B211="ENVÍO A SUPESA","ENVÍO SUPESA cal. "&amp;MOVIMIENTOS!$C211,IF(MOVIMIENTOS!$B211="VENTA CHANCHO","VENTA CHANCHO",IF(MOVIMIENTOS!$B211="DEVOLUCIÓN","DEVOLUCIÓN cal. "&amp;MOVIMIENTOS!$C211,IF(MOVIMIENTOS!$B211="TRASIEGO","TRASIEGO cal. "&amp;MOVIMIENTOS!$C211,IF(MOVIMIENTOS!$B211="REGALO","REGALO "&amp;MOVIMIENTOS!$C211,IF(MOVIMIENTOS!$B211="VENTA","VENTA "&amp;MOVIMIENTOS!$C211,IF(MOVIMIENTOS!$B211="AJUSTE","AJUSTE inventario ("&amp;MOVIMIENTOS!$C211&amp;")",MOVIMIENTOS!$B211)))))))))),"")</f>
        <v/>
      </c>
      <c r="M212" t="str">
        <f>IF(AND(AND(MOVIMIENTOS!$B211&lt;&gt;"",NOT(AND(MOVIMIENTOS!$B211="PROCESO",MOVIMIENTOS!$C211&lt;&gt;"Chancho")),NOT(AND(MOVIMIENTOS!$B211="SALDO INICIAL",MOVIMIENTOS!$C211="Chancho"))),OR(MOVIMIENTOS!$B211="SALDO INICIAL",MOVIMIENTOS!$B211="COMPRA",MOVIMIENTOS!$B211="REPROCESO",AND(MOVIMIENTOS!$B211="AJUSTE",MOVIMIENTOS!$C211&lt;&gt;"Chancho",N(MOVIMIENTOS!$F211)&gt;=0))),N(MOVIMIENTOS!$F211),"")</f>
        <v/>
      </c>
      <c r="N212" t="str">
        <f>IF(AND(AND(MOVIMIENTOS!$B211&lt;&gt;"",NOT(AND(MOVIMIENTOS!$B211="PROCESO",MOVIMIENTOS!$C211&lt;&gt;"Chancho")),NOT(AND(MOVIMIENTOS!$B211="SALDO INICIAL",MOVIMIENTOS!$C211="Chancho"))),OR(MOVIMIENTOS!$B211="ENVÍO A SUPESA",MOVIMIENTOS!$B211="MALOGRADO",MOVIMIENTOS!$B211="OTRA SALIDA",MOVIMIENTOS!$B211="TRASIEGO",AND(MOVIMIENTOS!$B211="PROCESO",MOVIMIENTOS!$C211="Chancho"),AND(MOVIMIENTOS!$B211="REGALO",MOVIMIENTOS!$C211&lt;&gt;"Chancho"),AND(MOVIMIENTOS!$B211="VENTA",MOVIMIENTOS!$C211&lt;&gt;"Chancho"),AND(MOVIMIENTOS!$B211="AJUSTE",MOVIMIENTOS!$C211&lt;&gt;"Chancho",N(MOVIMIENTOS!$F211)&lt;0))),IF(MOVIMIENTOS!$B211="AJUSTE",-N(MOVIMIENTOS!$F211),N(MOVIMIENTOS!$F211)),"")</f>
        <v/>
      </c>
      <c r="O212" t="str">
        <f>IF(AND(MOVIMIENTOS!$B211&lt;&gt;"",NOT(AND(MOVIMIENTOS!$B211="PROCESO",MOVIMIENTOS!$C211&lt;&gt;"Chancho")),NOT(AND(MOVIMIENTOS!$B211="SALDO INICIAL",MOVIMIENTOS!$C211="Chancho"))),TRIM(IF(MOVIMIENTOS!$G211&lt;&gt;"",IF(MOVIMIENTOS!$B211="ENVÍO A SUPESA","G-"&amp;MOVIMIENTOS!$G211,MOVIMIENTOS!$G211)&amp;"  ","")&amp;IF(N(MOVIMIENTOS!$E211)&gt;0,MOVIMIENTOS!$E211&amp;" "&amp;MOVIMIENTOS!$D211,"")),"")</f>
        <v/>
      </c>
      <c r="P212">
        <f t="shared" si="27"/>
        <v>6138.5</v>
      </c>
    </row>
    <row r="213" spans="1:16" x14ac:dyDescent="0.2">
      <c r="A213" s="7" t="str">
        <f t="shared" si="21"/>
        <v/>
      </c>
      <c r="B213" s="8" t="str">
        <f t="shared" si="22"/>
        <v/>
      </c>
      <c r="C213" s="9" t="str">
        <f t="shared" si="23"/>
        <v/>
      </c>
      <c r="D213" s="9" t="str">
        <f t="shared" si="24"/>
        <v/>
      </c>
      <c r="E213" s="8" t="str">
        <f t="shared" si="25"/>
        <v/>
      </c>
      <c r="F213" s="9" t="str">
        <f t="shared" si="26"/>
        <v/>
      </c>
      <c r="J213" t="str">
        <f>IF(AND(MOVIMIENTOS!$B212&lt;&gt;"",NOT(AND(MOVIMIENTOS!$B212="PROCESO",MOVIMIENTOS!$C212&lt;&gt;"Chancho")),NOT(AND(MOVIMIENTOS!$B212="SALDO INICIAL",MOVIMIENTOS!$C212="Chancho"))),COUNT(J$5:J212)+1,"")</f>
        <v/>
      </c>
      <c r="K213" t="str">
        <f>IF(AND(MOVIMIENTOS!$B212&lt;&gt;"",NOT(AND(MOVIMIENTOS!$B212="PROCESO",MOVIMIENTOS!$C212&lt;&gt;"Chancho")),NOT(AND(MOVIMIENTOS!$B212="SALDO INICIAL",MOVIMIENTOS!$C212="Chancho"))),MOVIMIENTOS!$A212,"")</f>
        <v/>
      </c>
      <c r="L213" t="str">
        <f>IF(AND(MOVIMIENTOS!$B212&lt;&gt;"",NOT(AND(MOVIMIENTOS!$B212="PROCESO",MOVIMIENTOS!$C212&lt;&gt;"Chancho")),NOT(AND(MOVIMIENTOS!$B212="SALDO INICIAL",MOVIMIENTOS!$C212="Chancho"))),IF(MOVIMIENTOS!$B212="SALDO INICIAL","APERTURA ("&amp;MOVIMIENTOS!$C212&amp;")",IF(MOVIMIENTOS!$B212="COMPRA","INGRESO (compra)",IF(MOVIMIENTOS!$B212="PROCESO","CHANCHO (proceso)",IF(MOVIMIENTOS!$B212="ENVÍO A SUPESA","ENVÍO SUPESA cal. "&amp;MOVIMIENTOS!$C212,IF(MOVIMIENTOS!$B212="VENTA CHANCHO","VENTA CHANCHO",IF(MOVIMIENTOS!$B212="DEVOLUCIÓN","DEVOLUCIÓN cal. "&amp;MOVIMIENTOS!$C212,IF(MOVIMIENTOS!$B212="TRASIEGO","TRASIEGO cal. "&amp;MOVIMIENTOS!$C212,IF(MOVIMIENTOS!$B212="REGALO","REGALO "&amp;MOVIMIENTOS!$C212,IF(MOVIMIENTOS!$B212="VENTA","VENTA "&amp;MOVIMIENTOS!$C212,IF(MOVIMIENTOS!$B212="AJUSTE","AJUSTE inventario ("&amp;MOVIMIENTOS!$C212&amp;")",MOVIMIENTOS!$B212)))))))))),"")</f>
        <v/>
      </c>
      <c r="M213" t="str">
        <f>IF(AND(AND(MOVIMIENTOS!$B212&lt;&gt;"",NOT(AND(MOVIMIENTOS!$B212="PROCESO",MOVIMIENTOS!$C212&lt;&gt;"Chancho")),NOT(AND(MOVIMIENTOS!$B212="SALDO INICIAL",MOVIMIENTOS!$C212="Chancho"))),OR(MOVIMIENTOS!$B212="SALDO INICIAL",MOVIMIENTOS!$B212="COMPRA",MOVIMIENTOS!$B212="REPROCESO",AND(MOVIMIENTOS!$B212="AJUSTE",MOVIMIENTOS!$C212&lt;&gt;"Chancho",N(MOVIMIENTOS!$F212)&gt;=0))),N(MOVIMIENTOS!$F212),"")</f>
        <v/>
      </c>
      <c r="N213" t="str">
        <f>IF(AND(AND(MOVIMIENTOS!$B212&lt;&gt;"",NOT(AND(MOVIMIENTOS!$B212="PROCESO",MOVIMIENTOS!$C212&lt;&gt;"Chancho")),NOT(AND(MOVIMIENTOS!$B212="SALDO INICIAL",MOVIMIENTOS!$C212="Chancho"))),OR(MOVIMIENTOS!$B212="ENVÍO A SUPESA",MOVIMIENTOS!$B212="MALOGRADO",MOVIMIENTOS!$B212="OTRA SALIDA",MOVIMIENTOS!$B212="TRASIEGO",AND(MOVIMIENTOS!$B212="PROCESO",MOVIMIENTOS!$C212="Chancho"),AND(MOVIMIENTOS!$B212="REGALO",MOVIMIENTOS!$C212&lt;&gt;"Chancho"),AND(MOVIMIENTOS!$B212="VENTA",MOVIMIENTOS!$C212&lt;&gt;"Chancho"),AND(MOVIMIENTOS!$B212="AJUSTE",MOVIMIENTOS!$C212&lt;&gt;"Chancho",N(MOVIMIENTOS!$F212)&lt;0))),IF(MOVIMIENTOS!$B212="AJUSTE",-N(MOVIMIENTOS!$F212),N(MOVIMIENTOS!$F212)),"")</f>
        <v/>
      </c>
      <c r="O213" t="str">
        <f>IF(AND(MOVIMIENTOS!$B212&lt;&gt;"",NOT(AND(MOVIMIENTOS!$B212="PROCESO",MOVIMIENTOS!$C212&lt;&gt;"Chancho")),NOT(AND(MOVIMIENTOS!$B212="SALDO INICIAL",MOVIMIENTOS!$C212="Chancho"))),TRIM(IF(MOVIMIENTOS!$G212&lt;&gt;"",IF(MOVIMIENTOS!$B212="ENVÍO A SUPESA","G-"&amp;MOVIMIENTOS!$G212,MOVIMIENTOS!$G212)&amp;"  ","")&amp;IF(N(MOVIMIENTOS!$E212)&gt;0,MOVIMIENTOS!$E212&amp;" "&amp;MOVIMIENTOS!$D212,"")),"")</f>
        <v/>
      </c>
      <c r="P213">
        <f t="shared" si="27"/>
        <v>6138.5</v>
      </c>
    </row>
    <row r="214" spans="1:16" x14ac:dyDescent="0.2">
      <c r="A214" s="7" t="str">
        <f t="shared" si="21"/>
        <v/>
      </c>
      <c r="B214" s="8" t="str">
        <f t="shared" si="22"/>
        <v/>
      </c>
      <c r="C214" s="9" t="str">
        <f t="shared" si="23"/>
        <v/>
      </c>
      <c r="D214" s="9" t="str">
        <f t="shared" si="24"/>
        <v/>
      </c>
      <c r="E214" s="8" t="str">
        <f t="shared" si="25"/>
        <v/>
      </c>
      <c r="F214" s="9" t="str">
        <f t="shared" si="26"/>
        <v/>
      </c>
      <c r="J214" t="str">
        <f>IF(AND(MOVIMIENTOS!$B213&lt;&gt;"",NOT(AND(MOVIMIENTOS!$B213="PROCESO",MOVIMIENTOS!$C213&lt;&gt;"Chancho")),NOT(AND(MOVIMIENTOS!$B213="SALDO INICIAL",MOVIMIENTOS!$C213="Chancho"))),COUNT(J$5:J213)+1,"")</f>
        <v/>
      </c>
      <c r="K214" t="str">
        <f>IF(AND(MOVIMIENTOS!$B213&lt;&gt;"",NOT(AND(MOVIMIENTOS!$B213="PROCESO",MOVIMIENTOS!$C213&lt;&gt;"Chancho")),NOT(AND(MOVIMIENTOS!$B213="SALDO INICIAL",MOVIMIENTOS!$C213="Chancho"))),MOVIMIENTOS!$A213,"")</f>
        <v/>
      </c>
      <c r="L214" t="str">
        <f>IF(AND(MOVIMIENTOS!$B213&lt;&gt;"",NOT(AND(MOVIMIENTOS!$B213="PROCESO",MOVIMIENTOS!$C213&lt;&gt;"Chancho")),NOT(AND(MOVIMIENTOS!$B213="SALDO INICIAL",MOVIMIENTOS!$C213="Chancho"))),IF(MOVIMIENTOS!$B213="SALDO INICIAL","APERTURA ("&amp;MOVIMIENTOS!$C213&amp;")",IF(MOVIMIENTOS!$B213="COMPRA","INGRESO (compra)",IF(MOVIMIENTOS!$B213="PROCESO","CHANCHO (proceso)",IF(MOVIMIENTOS!$B213="ENVÍO A SUPESA","ENVÍO SUPESA cal. "&amp;MOVIMIENTOS!$C213,IF(MOVIMIENTOS!$B213="VENTA CHANCHO","VENTA CHANCHO",IF(MOVIMIENTOS!$B213="DEVOLUCIÓN","DEVOLUCIÓN cal. "&amp;MOVIMIENTOS!$C213,IF(MOVIMIENTOS!$B213="TRASIEGO","TRASIEGO cal. "&amp;MOVIMIENTOS!$C213,IF(MOVIMIENTOS!$B213="REGALO","REGALO "&amp;MOVIMIENTOS!$C213,IF(MOVIMIENTOS!$B213="VENTA","VENTA "&amp;MOVIMIENTOS!$C213,IF(MOVIMIENTOS!$B213="AJUSTE","AJUSTE inventario ("&amp;MOVIMIENTOS!$C213&amp;")",MOVIMIENTOS!$B213)))))))))),"")</f>
        <v/>
      </c>
      <c r="M214" t="str">
        <f>IF(AND(AND(MOVIMIENTOS!$B213&lt;&gt;"",NOT(AND(MOVIMIENTOS!$B213="PROCESO",MOVIMIENTOS!$C213&lt;&gt;"Chancho")),NOT(AND(MOVIMIENTOS!$B213="SALDO INICIAL",MOVIMIENTOS!$C213="Chancho"))),OR(MOVIMIENTOS!$B213="SALDO INICIAL",MOVIMIENTOS!$B213="COMPRA",MOVIMIENTOS!$B213="REPROCESO",AND(MOVIMIENTOS!$B213="AJUSTE",MOVIMIENTOS!$C213&lt;&gt;"Chancho",N(MOVIMIENTOS!$F213)&gt;=0))),N(MOVIMIENTOS!$F213),"")</f>
        <v/>
      </c>
      <c r="N214" t="str">
        <f>IF(AND(AND(MOVIMIENTOS!$B213&lt;&gt;"",NOT(AND(MOVIMIENTOS!$B213="PROCESO",MOVIMIENTOS!$C213&lt;&gt;"Chancho")),NOT(AND(MOVIMIENTOS!$B213="SALDO INICIAL",MOVIMIENTOS!$C213="Chancho"))),OR(MOVIMIENTOS!$B213="ENVÍO A SUPESA",MOVIMIENTOS!$B213="MALOGRADO",MOVIMIENTOS!$B213="OTRA SALIDA",MOVIMIENTOS!$B213="TRASIEGO",AND(MOVIMIENTOS!$B213="PROCESO",MOVIMIENTOS!$C213="Chancho"),AND(MOVIMIENTOS!$B213="REGALO",MOVIMIENTOS!$C213&lt;&gt;"Chancho"),AND(MOVIMIENTOS!$B213="VENTA",MOVIMIENTOS!$C213&lt;&gt;"Chancho"),AND(MOVIMIENTOS!$B213="AJUSTE",MOVIMIENTOS!$C213&lt;&gt;"Chancho",N(MOVIMIENTOS!$F213)&lt;0))),IF(MOVIMIENTOS!$B213="AJUSTE",-N(MOVIMIENTOS!$F213),N(MOVIMIENTOS!$F213)),"")</f>
        <v/>
      </c>
      <c r="O214" t="str">
        <f>IF(AND(MOVIMIENTOS!$B213&lt;&gt;"",NOT(AND(MOVIMIENTOS!$B213="PROCESO",MOVIMIENTOS!$C213&lt;&gt;"Chancho")),NOT(AND(MOVIMIENTOS!$B213="SALDO INICIAL",MOVIMIENTOS!$C213="Chancho"))),TRIM(IF(MOVIMIENTOS!$G213&lt;&gt;"",IF(MOVIMIENTOS!$B213="ENVÍO A SUPESA","G-"&amp;MOVIMIENTOS!$G213,MOVIMIENTOS!$G213)&amp;"  ","")&amp;IF(N(MOVIMIENTOS!$E213)&gt;0,MOVIMIENTOS!$E213&amp;" "&amp;MOVIMIENTOS!$D213,"")),"")</f>
        <v/>
      </c>
      <c r="P214">
        <f t="shared" si="27"/>
        <v>6138.5</v>
      </c>
    </row>
    <row r="215" spans="1:16" x14ac:dyDescent="0.2">
      <c r="A215" s="7" t="str">
        <f t="shared" si="21"/>
        <v/>
      </c>
      <c r="B215" s="8" t="str">
        <f t="shared" si="22"/>
        <v/>
      </c>
      <c r="C215" s="9" t="str">
        <f t="shared" si="23"/>
        <v/>
      </c>
      <c r="D215" s="9" t="str">
        <f t="shared" si="24"/>
        <v/>
      </c>
      <c r="E215" s="8" t="str">
        <f t="shared" si="25"/>
        <v/>
      </c>
      <c r="F215" s="9" t="str">
        <f t="shared" si="26"/>
        <v/>
      </c>
      <c r="J215" t="str">
        <f>IF(AND(MOVIMIENTOS!$B214&lt;&gt;"",NOT(AND(MOVIMIENTOS!$B214="PROCESO",MOVIMIENTOS!$C214&lt;&gt;"Chancho")),NOT(AND(MOVIMIENTOS!$B214="SALDO INICIAL",MOVIMIENTOS!$C214="Chancho"))),COUNT(J$5:J214)+1,"")</f>
        <v/>
      </c>
      <c r="K215" t="str">
        <f>IF(AND(MOVIMIENTOS!$B214&lt;&gt;"",NOT(AND(MOVIMIENTOS!$B214="PROCESO",MOVIMIENTOS!$C214&lt;&gt;"Chancho")),NOT(AND(MOVIMIENTOS!$B214="SALDO INICIAL",MOVIMIENTOS!$C214="Chancho"))),MOVIMIENTOS!$A214,"")</f>
        <v/>
      </c>
      <c r="L215" t="str">
        <f>IF(AND(MOVIMIENTOS!$B214&lt;&gt;"",NOT(AND(MOVIMIENTOS!$B214="PROCESO",MOVIMIENTOS!$C214&lt;&gt;"Chancho")),NOT(AND(MOVIMIENTOS!$B214="SALDO INICIAL",MOVIMIENTOS!$C214="Chancho"))),IF(MOVIMIENTOS!$B214="SALDO INICIAL","APERTURA ("&amp;MOVIMIENTOS!$C214&amp;")",IF(MOVIMIENTOS!$B214="COMPRA","INGRESO (compra)",IF(MOVIMIENTOS!$B214="PROCESO","CHANCHO (proceso)",IF(MOVIMIENTOS!$B214="ENVÍO A SUPESA","ENVÍO SUPESA cal. "&amp;MOVIMIENTOS!$C214,IF(MOVIMIENTOS!$B214="VENTA CHANCHO","VENTA CHANCHO",IF(MOVIMIENTOS!$B214="DEVOLUCIÓN","DEVOLUCIÓN cal. "&amp;MOVIMIENTOS!$C214,IF(MOVIMIENTOS!$B214="TRASIEGO","TRASIEGO cal. "&amp;MOVIMIENTOS!$C214,IF(MOVIMIENTOS!$B214="REGALO","REGALO "&amp;MOVIMIENTOS!$C214,IF(MOVIMIENTOS!$B214="VENTA","VENTA "&amp;MOVIMIENTOS!$C214,IF(MOVIMIENTOS!$B214="AJUSTE","AJUSTE inventario ("&amp;MOVIMIENTOS!$C214&amp;")",MOVIMIENTOS!$B214)))))))))),"")</f>
        <v/>
      </c>
      <c r="M215" t="str">
        <f>IF(AND(AND(MOVIMIENTOS!$B214&lt;&gt;"",NOT(AND(MOVIMIENTOS!$B214="PROCESO",MOVIMIENTOS!$C214&lt;&gt;"Chancho")),NOT(AND(MOVIMIENTOS!$B214="SALDO INICIAL",MOVIMIENTOS!$C214="Chancho"))),OR(MOVIMIENTOS!$B214="SALDO INICIAL",MOVIMIENTOS!$B214="COMPRA",MOVIMIENTOS!$B214="REPROCESO",AND(MOVIMIENTOS!$B214="AJUSTE",MOVIMIENTOS!$C214&lt;&gt;"Chancho",N(MOVIMIENTOS!$F214)&gt;=0))),N(MOVIMIENTOS!$F214),"")</f>
        <v/>
      </c>
      <c r="N215" t="str">
        <f>IF(AND(AND(MOVIMIENTOS!$B214&lt;&gt;"",NOT(AND(MOVIMIENTOS!$B214="PROCESO",MOVIMIENTOS!$C214&lt;&gt;"Chancho")),NOT(AND(MOVIMIENTOS!$B214="SALDO INICIAL",MOVIMIENTOS!$C214="Chancho"))),OR(MOVIMIENTOS!$B214="ENVÍO A SUPESA",MOVIMIENTOS!$B214="MALOGRADO",MOVIMIENTOS!$B214="OTRA SALIDA",MOVIMIENTOS!$B214="TRASIEGO",AND(MOVIMIENTOS!$B214="PROCESO",MOVIMIENTOS!$C214="Chancho"),AND(MOVIMIENTOS!$B214="REGALO",MOVIMIENTOS!$C214&lt;&gt;"Chancho"),AND(MOVIMIENTOS!$B214="VENTA",MOVIMIENTOS!$C214&lt;&gt;"Chancho"),AND(MOVIMIENTOS!$B214="AJUSTE",MOVIMIENTOS!$C214&lt;&gt;"Chancho",N(MOVIMIENTOS!$F214)&lt;0))),IF(MOVIMIENTOS!$B214="AJUSTE",-N(MOVIMIENTOS!$F214),N(MOVIMIENTOS!$F214)),"")</f>
        <v/>
      </c>
      <c r="O215" t="str">
        <f>IF(AND(MOVIMIENTOS!$B214&lt;&gt;"",NOT(AND(MOVIMIENTOS!$B214="PROCESO",MOVIMIENTOS!$C214&lt;&gt;"Chancho")),NOT(AND(MOVIMIENTOS!$B214="SALDO INICIAL",MOVIMIENTOS!$C214="Chancho"))),TRIM(IF(MOVIMIENTOS!$G214&lt;&gt;"",IF(MOVIMIENTOS!$B214="ENVÍO A SUPESA","G-"&amp;MOVIMIENTOS!$G214,MOVIMIENTOS!$G214)&amp;"  ","")&amp;IF(N(MOVIMIENTOS!$E214)&gt;0,MOVIMIENTOS!$E214&amp;" "&amp;MOVIMIENTOS!$D214,"")),"")</f>
        <v/>
      </c>
      <c r="P215">
        <f t="shared" si="27"/>
        <v>6138.5</v>
      </c>
    </row>
    <row r="216" spans="1:16" x14ac:dyDescent="0.2">
      <c r="A216" s="7" t="str">
        <f t="shared" si="21"/>
        <v/>
      </c>
      <c r="B216" s="8" t="str">
        <f t="shared" si="22"/>
        <v/>
      </c>
      <c r="C216" s="9" t="str">
        <f t="shared" si="23"/>
        <v/>
      </c>
      <c r="D216" s="9" t="str">
        <f t="shared" si="24"/>
        <v/>
      </c>
      <c r="E216" s="8" t="str">
        <f t="shared" si="25"/>
        <v/>
      </c>
      <c r="F216" s="9" t="str">
        <f t="shared" si="26"/>
        <v/>
      </c>
      <c r="J216" t="str">
        <f>IF(AND(MOVIMIENTOS!$B215&lt;&gt;"",NOT(AND(MOVIMIENTOS!$B215="PROCESO",MOVIMIENTOS!$C215&lt;&gt;"Chancho")),NOT(AND(MOVIMIENTOS!$B215="SALDO INICIAL",MOVIMIENTOS!$C215="Chancho"))),COUNT(J$5:J215)+1,"")</f>
        <v/>
      </c>
      <c r="K216" t="str">
        <f>IF(AND(MOVIMIENTOS!$B215&lt;&gt;"",NOT(AND(MOVIMIENTOS!$B215="PROCESO",MOVIMIENTOS!$C215&lt;&gt;"Chancho")),NOT(AND(MOVIMIENTOS!$B215="SALDO INICIAL",MOVIMIENTOS!$C215="Chancho"))),MOVIMIENTOS!$A215,"")</f>
        <v/>
      </c>
      <c r="L216" t="str">
        <f>IF(AND(MOVIMIENTOS!$B215&lt;&gt;"",NOT(AND(MOVIMIENTOS!$B215="PROCESO",MOVIMIENTOS!$C215&lt;&gt;"Chancho")),NOT(AND(MOVIMIENTOS!$B215="SALDO INICIAL",MOVIMIENTOS!$C215="Chancho"))),IF(MOVIMIENTOS!$B215="SALDO INICIAL","APERTURA ("&amp;MOVIMIENTOS!$C215&amp;")",IF(MOVIMIENTOS!$B215="COMPRA","INGRESO (compra)",IF(MOVIMIENTOS!$B215="PROCESO","CHANCHO (proceso)",IF(MOVIMIENTOS!$B215="ENVÍO A SUPESA","ENVÍO SUPESA cal. "&amp;MOVIMIENTOS!$C215,IF(MOVIMIENTOS!$B215="VENTA CHANCHO","VENTA CHANCHO",IF(MOVIMIENTOS!$B215="DEVOLUCIÓN","DEVOLUCIÓN cal. "&amp;MOVIMIENTOS!$C215,IF(MOVIMIENTOS!$B215="TRASIEGO","TRASIEGO cal. "&amp;MOVIMIENTOS!$C215,IF(MOVIMIENTOS!$B215="REGALO","REGALO "&amp;MOVIMIENTOS!$C215,IF(MOVIMIENTOS!$B215="VENTA","VENTA "&amp;MOVIMIENTOS!$C215,IF(MOVIMIENTOS!$B215="AJUSTE","AJUSTE inventario ("&amp;MOVIMIENTOS!$C215&amp;")",MOVIMIENTOS!$B215)))))))))),"")</f>
        <v/>
      </c>
      <c r="M216" t="str">
        <f>IF(AND(AND(MOVIMIENTOS!$B215&lt;&gt;"",NOT(AND(MOVIMIENTOS!$B215="PROCESO",MOVIMIENTOS!$C215&lt;&gt;"Chancho")),NOT(AND(MOVIMIENTOS!$B215="SALDO INICIAL",MOVIMIENTOS!$C215="Chancho"))),OR(MOVIMIENTOS!$B215="SALDO INICIAL",MOVIMIENTOS!$B215="COMPRA",MOVIMIENTOS!$B215="REPROCESO",AND(MOVIMIENTOS!$B215="AJUSTE",MOVIMIENTOS!$C215&lt;&gt;"Chancho",N(MOVIMIENTOS!$F215)&gt;=0))),N(MOVIMIENTOS!$F215),"")</f>
        <v/>
      </c>
      <c r="N216" t="str">
        <f>IF(AND(AND(MOVIMIENTOS!$B215&lt;&gt;"",NOT(AND(MOVIMIENTOS!$B215="PROCESO",MOVIMIENTOS!$C215&lt;&gt;"Chancho")),NOT(AND(MOVIMIENTOS!$B215="SALDO INICIAL",MOVIMIENTOS!$C215="Chancho"))),OR(MOVIMIENTOS!$B215="ENVÍO A SUPESA",MOVIMIENTOS!$B215="MALOGRADO",MOVIMIENTOS!$B215="OTRA SALIDA",MOVIMIENTOS!$B215="TRASIEGO",AND(MOVIMIENTOS!$B215="PROCESO",MOVIMIENTOS!$C215="Chancho"),AND(MOVIMIENTOS!$B215="REGALO",MOVIMIENTOS!$C215&lt;&gt;"Chancho"),AND(MOVIMIENTOS!$B215="VENTA",MOVIMIENTOS!$C215&lt;&gt;"Chancho"),AND(MOVIMIENTOS!$B215="AJUSTE",MOVIMIENTOS!$C215&lt;&gt;"Chancho",N(MOVIMIENTOS!$F215)&lt;0))),IF(MOVIMIENTOS!$B215="AJUSTE",-N(MOVIMIENTOS!$F215),N(MOVIMIENTOS!$F215)),"")</f>
        <v/>
      </c>
      <c r="O216" t="str">
        <f>IF(AND(MOVIMIENTOS!$B215&lt;&gt;"",NOT(AND(MOVIMIENTOS!$B215="PROCESO",MOVIMIENTOS!$C215&lt;&gt;"Chancho")),NOT(AND(MOVIMIENTOS!$B215="SALDO INICIAL",MOVIMIENTOS!$C215="Chancho"))),TRIM(IF(MOVIMIENTOS!$G215&lt;&gt;"",IF(MOVIMIENTOS!$B215="ENVÍO A SUPESA","G-"&amp;MOVIMIENTOS!$G215,MOVIMIENTOS!$G215)&amp;"  ","")&amp;IF(N(MOVIMIENTOS!$E215)&gt;0,MOVIMIENTOS!$E215&amp;" "&amp;MOVIMIENTOS!$D215,"")),"")</f>
        <v/>
      </c>
      <c r="P216">
        <f t="shared" si="27"/>
        <v>6138.5</v>
      </c>
    </row>
    <row r="217" spans="1:16" x14ac:dyDescent="0.2">
      <c r="A217" s="7" t="str">
        <f t="shared" si="21"/>
        <v/>
      </c>
      <c r="B217" s="8" t="str">
        <f t="shared" si="22"/>
        <v/>
      </c>
      <c r="C217" s="9" t="str">
        <f t="shared" si="23"/>
        <v/>
      </c>
      <c r="D217" s="9" t="str">
        <f t="shared" si="24"/>
        <v/>
      </c>
      <c r="E217" s="8" t="str">
        <f t="shared" si="25"/>
        <v/>
      </c>
      <c r="F217" s="9" t="str">
        <f t="shared" si="26"/>
        <v/>
      </c>
      <c r="J217" t="str">
        <f>IF(AND(MOVIMIENTOS!$B216&lt;&gt;"",NOT(AND(MOVIMIENTOS!$B216="PROCESO",MOVIMIENTOS!$C216&lt;&gt;"Chancho")),NOT(AND(MOVIMIENTOS!$B216="SALDO INICIAL",MOVIMIENTOS!$C216="Chancho"))),COUNT(J$5:J216)+1,"")</f>
        <v/>
      </c>
      <c r="K217" t="str">
        <f>IF(AND(MOVIMIENTOS!$B216&lt;&gt;"",NOT(AND(MOVIMIENTOS!$B216="PROCESO",MOVIMIENTOS!$C216&lt;&gt;"Chancho")),NOT(AND(MOVIMIENTOS!$B216="SALDO INICIAL",MOVIMIENTOS!$C216="Chancho"))),MOVIMIENTOS!$A216,"")</f>
        <v/>
      </c>
      <c r="L217" t="str">
        <f>IF(AND(MOVIMIENTOS!$B216&lt;&gt;"",NOT(AND(MOVIMIENTOS!$B216="PROCESO",MOVIMIENTOS!$C216&lt;&gt;"Chancho")),NOT(AND(MOVIMIENTOS!$B216="SALDO INICIAL",MOVIMIENTOS!$C216="Chancho"))),IF(MOVIMIENTOS!$B216="SALDO INICIAL","APERTURA ("&amp;MOVIMIENTOS!$C216&amp;")",IF(MOVIMIENTOS!$B216="COMPRA","INGRESO (compra)",IF(MOVIMIENTOS!$B216="PROCESO","CHANCHO (proceso)",IF(MOVIMIENTOS!$B216="ENVÍO A SUPESA","ENVÍO SUPESA cal. "&amp;MOVIMIENTOS!$C216,IF(MOVIMIENTOS!$B216="VENTA CHANCHO","VENTA CHANCHO",IF(MOVIMIENTOS!$B216="DEVOLUCIÓN","DEVOLUCIÓN cal. "&amp;MOVIMIENTOS!$C216,IF(MOVIMIENTOS!$B216="TRASIEGO","TRASIEGO cal. "&amp;MOVIMIENTOS!$C216,IF(MOVIMIENTOS!$B216="REGALO","REGALO "&amp;MOVIMIENTOS!$C216,IF(MOVIMIENTOS!$B216="VENTA","VENTA "&amp;MOVIMIENTOS!$C216,IF(MOVIMIENTOS!$B216="AJUSTE","AJUSTE inventario ("&amp;MOVIMIENTOS!$C216&amp;")",MOVIMIENTOS!$B216)))))))))),"")</f>
        <v/>
      </c>
      <c r="M217" t="str">
        <f>IF(AND(AND(MOVIMIENTOS!$B216&lt;&gt;"",NOT(AND(MOVIMIENTOS!$B216="PROCESO",MOVIMIENTOS!$C216&lt;&gt;"Chancho")),NOT(AND(MOVIMIENTOS!$B216="SALDO INICIAL",MOVIMIENTOS!$C216="Chancho"))),OR(MOVIMIENTOS!$B216="SALDO INICIAL",MOVIMIENTOS!$B216="COMPRA",MOVIMIENTOS!$B216="REPROCESO",AND(MOVIMIENTOS!$B216="AJUSTE",MOVIMIENTOS!$C216&lt;&gt;"Chancho",N(MOVIMIENTOS!$F216)&gt;=0))),N(MOVIMIENTOS!$F216),"")</f>
        <v/>
      </c>
      <c r="N217" t="str">
        <f>IF(AND(AND(MOVIMIENTOS!$B216&lt;&gt;"",NOT(AND(MOVIMIENTOS!$B216="PROCESO",MOVIMIENTOS!$C216&lt;&gt;"Chancho")),NOT(AND(MOVIMIENTOS!$B216="SALDO INICIAL",MOVIMIENTOS!$C216="Chancho"))),OR(MOVIMIENTOS!$B216="ENVÍO A SUPESA",MOVIMIENTOS!$B216="MALOGRADO",MOVIMIENTOS!$B216="OTRA SALIDA",MOVIMIENTOS!$B216="TRASIEGO",AND(MOVIMIENTOS!$B216="PROCESO",MOVIMIENTOS!$C216="Chancho"),AND(MOVIMIENTOS!$B216="REGALO",MOVIMIENTOS!$C216&lt;&gt;"Chancho"),AND(MOVIMIENTOS!$B216="VENTA",MOVIMIENTOS!$C216&lt;&gt;"Chancho"),AND(MOVIMIENTOS!$B216="AJUSTE",MOVIMIENTOS!$C216&lt;&gt;"Chancho",N(MOVIMIENTOS!$F216)&lt;0))),IF(MOVIMIENTOS!$B216="AJUSTE",-N(MOVIMIENTOS!$F216),N(MOVIMIENTOS!$F216)),"")</f>
        <v/>
      </c>
      <c r="O217" t="str">
        <f>IF(AND(MOVIMIENTOS!$B216&lt;&gt;"",NOT(AND(MOVIMIENTOS!$B216="PROCESO",MOVIMIENTOS!$C216&lt;&gt;"Chancho")),NOT(AND(MOVIMIENTOS!$B216="SALDO INICIAL",MOVIMIENTOS!$C216="Chancho"))),TRIM(IF(MOVIMIENTOS!$G216&lt;&gt;"",IF(MOVIMIENTOS!$B216="ENVÍO A SUPESA","G-"&amp;MOVIMIENTOS!$G216,MOVIMIENTOS!$G216)&amp;"  ","")&amp;IF(N(MOVIMIENTOS!$E216)&gt;0,MOVIMIENTOS!$E216&amp;" "&amp;MOVIMIENTOS!$D216,"")),"")</f>
        <v/>
      </c>
      <c r="P217">
        <f t="shared" si="27"/>
        <v>6138.5</v>
      </c>
    </row>
    <row r="218" spans="1:16" x14ac:dyDescent="0.2">
      <c r="A218" s="7" t="str">
        <f t="shared" si="21"/>
        <v/>
      </c>
      <c r="B218" s="8" t="str">
        <f t="shared" si="22"/>
        <v/>
      </c>
      <c r="C218" s="9" t="str">
        <f t="shared" si="23"/>
        <v/>
      </c>
      <c r="D218" s="9" t="str">
        <f t="shared" si="24"/>
        <v/>
      </c>
      <c r="E218" s="8" t="str">
        <f t="shared" si="25"/>
        <v/>
      </c>
      <c r="F218" s="9" t="str">
        <f t="shared" si="26"/>
        <v/>
      </c>
      <c r="J218" t="str">
        <f>IF(AND(MOVIMIENTOS!$B217&lt;&gt;"",NOT(AND(MOVIMIENTOS!$B217="PROCESO",MOVIMIENTOS!$C217&lt;&gt;"Chancho")),NOT(AND(MOVIMIENTOS!$B217="SALDO INICIAL",MOVIMIENTOS!$C217="Chancho"))),COUNT(J$5:J217)+1,"")</f>
        <v/>
      </c>
      <c r="K218" t="str">
        <f>IF(AND(MOVIMIENTOS!$B217&lt;&gt;"",NOT(AND(MOVIMIENTOS!$B217="PROCESO",MOVIMIENTOS!$C217&lt;&gt;"Chancho")),NOT(AND(MOVIMIENTOS!$B217="SALDO INICIAL",MOVIMIENTOS!$C217="Chancho"))),MOVIMIENTOS!$A217,"")</f>
        <v/>
      </c>
      <c r="L218" t="str">
        <f>IF(AND(MOVIMIENTOS!$B217&lt;&gt;"",NOT(AND(MOVIMIENTOS!$B217="PROCESO",MOVIMIENTOS!$C217&lt;&gt;"Chancho")),NOT(AND(MOVIMIENTOS!$B217="SALDO INICIAL",MOVIMIENTOS!$C217="Chancho"))),IF(MOVIMIENTOS!$B217="SALDO INICIAL","APERTURA ("&amp;MOVIMIENTOS!$C217&amp;")",IF(MOVIMIENTOS!$B217="COMPRA","INGRESO (compra)",IF(MOVIMIENTOS!$B217="PROCESO","CHANCHO (proceso)",IF(MOVIMIENTOS!$B217="ENVÍO A SUPESA","ENVÍO SUPESA cal. "&amp;MOVIMIENTOS!$C217,IF(MOVIMIENTOS!$B217="VENTA CHANCHO","VENTA CHANCHO",IF(MOVIMIENTOS!$B217="DEVOLUCIÓN","DEVOLUCIÓN cal. "&amp;MOVIMIENTOS!$C217,IF(MOVIMIENTOS!$B217="TRASIEGO","TRASIEGO cal. "&amp;MOVIMIENTOS!$C217,IF(MOVIMIENTOS!$B217="REGALO","REGALO "&amp;MOVIMIENTOS!$C217,IF(MOVIMIENTOS!$B217="VENTA","VENTA "&amp;MOVIMIENTOS!$C217,IF(MOVIMIENTOS!$B217="AJUSTE","AJUSTE inventario ("&amp;MOVIMIENTOS!$C217&amp;")",MOVIMIENTOS!$B217)))))))))),"")</f>
        <v/>
      </c>
      <c r="M218" t="str">
        <f>IF(AND(AND(MOVIMIENTOS!$B217&lt;&gt;"",NOT(AND(MOVIMIENTOS!$B217="PROCESO",MOVIMIENTOS!$C217&lt;&gt;"Chancho")),NOT(AND(MOVIMIENTOS!$B217="SALDO INICIAL",MOVIMIENTOS!$C217="Chancho"))),OR(MOVIMIENTOS!$B217="SALDO INICIAL",MOVIMIENTOS!$B217="COMPRA",MOVIMIENTOS!$B217="REPROCESO",AND(MOVIMIENTOS!$B217="AJUSTE",MOVIMIENTOS!$C217&lt;&gt;"Chancho",N(MOVIMIENTOS!$F217)&gt;=0))),N(MOVIMIENTOS!$F217),"")</f>
        <v/>
      </c>
      <c r="N218" t="str">
        <f>IF(AND(AND(MOVIMIENTOS!$B217&lt;&gt;"",NOT(AND(MOVIMIENTOS!$B217="PROCESO",MOVIMIENTOS!$C217&lt;&gt;"Chancho")),NOT(AND(MOVIMIENTOS!$B217="SALDO INICIAL",MOVIMIENTOS!$C217="Chancho"))),OR(MOVIMIENTOS!$B217="ENVÍO A SUPESA",MOVIMIENTOS!$B217="MALOGRADO",MOVIMIENTOS!$B217="OTRA SALIDA",MOVIMIENTOS!$B217="TRASIEGO",AND(MOVIMIENTOS!$B217="PROCESO",MOVIMIENTOS!$C217="Chancho"),AND(MOVIMIENTOS!$B217="REGALO",MOVIMIENTOS!$C217&lt;&gt;"Chancho"),AND(MOVIMIENTOS!$B217="VENTA",MOVIMIENTOS!$C217&lt;&gt;"Chancho"),AND(MOVIMIENTOS!$B217="AJUSTE",MOVIMIENTOS!$C217&lt;&gt;"Chancho",N(MOVIMIENTOS!$F217)&lt;0))),IF(MOVIMIENTOS!$B217="AJUSTE",-N(MOVIMIENTOS!$F217),N(MOVIMIENTOS!$F217)),"")</f>
        <v/>
      </c>
      <c r="O218" t="str">
        <f>IF(AND(MOVIMIENTOS!$B217&lt;&gt;"",NOT(AND(MOVIMIENTOS!$B217="PROCESO",MOVIMIENTOS!$C217&lt;&gt;"Chancho")),NOT(AND(MOVIMIENTOS!$B217="SALDO INICIAL",MOVIMIENTOS!$C217="Chancho"))),TRIM(IF(MOVIMIENTOS!$G217&lt;&gt;"",IF(MOVIMIENTOS!$B217="ENVÍO A SUPESA","G-"&amp;MOVIMIENTOS!$G217,MOVIMIENTOS!$G217)&amp;"  ","")&amp;IF(N(MOVIMIENTOS!$E217)&gt;0,MOVIMIENTOS!$E217&amp;" "&amp;MOVIMIENTOS!$D217,"")),"")</f>
        <v/>
      </c>
      <c r="P218">
        <f t="shared" si="27"/>
        <v>6138.5</v>
      </c>
    </row>
    <row r="219" spans="1:16" x14ac:dyDescent="0.2">
      <c r="A219" s="7" t="str">
        <f t="shared" si="21"/>
        <v/>
      </c>
      <c r="B219" s="8" t="str">
        <f t="shared" si="22"/>
        <v/>
      </c>
      <c r="C219" s="9" t="str">
        <f t="shared" si="23"/>
        <v/>
      </c>
      <c r="D219" s="9" t="str">
        <f t="shared" si="24"/>
        <v/>
      </c>
      <c r="E219" s="8" t="str">
        <f t="shared" si="25"/>
        <v/>
      </c>
      <c r="F219" s="9" t="str">
        <f t="shared" si="26"/>
        <v/>
      </c>
      <c r="J219" t="str">
        <f>IF(AND(MOVIMIENTOS!$B218&lt;&gt;"",NOT(AND(MOVIMIENTOS!$B218="PROCESO",MOVIMIENTOS!$C218&lt;&gt;"Chancho")),NOT(AND(MOVIMIENTOS!$B218="SALDO INICIAL",MOVIMIENTOS!$C218="Chancho"))),COUNT(J$5:J218)+1,"")</f>
        <v/>
      </c>
      <c r="K219" t="str">
        <f>IF(AND(MOVIMIENTOS!$B218&lt;&gt;"",NOT(AND(MOVIMIENTOS!$B218="PROCESO",MOVIMIENTOS!$C218&lt;&gt;"Chancho")),NOT(AND(MOVIMIENTOS!$B218="SALDO INICIAL",MOVIMIENTOS!$C218="Chancho"))),MOVIMIENTOS!$A218,"")</f>
        <v/>
      </c>
      <c r="L219" t="str">
        <f>IF(AND(MOVIMIENTOS!$B218&lt;&gt;"",NOT(AND(MOVIMIENTOS!$B218="PROCESO",MOVIMIENTOS!$C218&lt;&gt;"Chancho")),NOT(AND(MOVIMIENTOS!$B218="SALDO INICIAL",MOVIMIENTOS!$C218="Chancho"))),IF(MOVIMIENTOS!$B218="SALDO INICIAL","APERTURA ("&amp;MOVIMIENTOS!$C218&amp;")",IF(MOVIMIENTOS!$B218="COMPRA","INGRESO (compra)",IF(MOVIMIENTOS!$B218="PROCESO","CHANCHO (proceso)",IF(MOVIMIENTOS!$B218="ENVÍO A SUPESA","ENVÍO SUPESA cal. "&amp;MOVIMIENTOS!$C218,IF(MOVIMIENTOS!$B218="VENTA CHANCHO","VENTA CHANCHO",IF(MOVIMIENTOS!$B218="DEVOLUCIÓN","DEVOLUCIÓN cal. "&amp;MOVIMIENTOS!$C218,IF(MOVIMIENTOS!$B218="TRASIEGO","TRASIEGO cal. "&amp;MOVIMIENTOS!$C218,IF(MOVIMIENTOS!$B218="REGALO","REGALO "&amp;MOVIMIENTOS!$C218,IF(MOVIMIENTOS!$B218="VENTA","VENTA "&amp;MOVIMIENTOS!$C218,IF(MOVIMIENTOS!$B218="AJUSTE","AJUSTE inventario ("&amp;MOVIMIENTOS!$C218&amp;")",MOVIMIENTOS!$B218)))))))))),"")</f>
        <v/>
      </c>
      <c r="M219" t="str">
        <f>IF(AND(AND(MOVIMIENTOS!$B218&lt;&gt;"",NOT(AND(MOVIMIENTOS!$B218="PROCESO",MOVIMIENTOS!$C218&lt;&gt;"Chancho")),NOT(AND(MOVIMIENTOS!$B218="SALDO INICIAL",MOVIMIENTOS!$C218="Chancho"))),OR(MOVIMIENTOS!$B218="SALDO INICIAL",MOVIMIENTOS!$B218="COMPRA",MOVIMIENTOS!$B218="REPROCESO",AND(MOVIMIENTOS!$B218="AJUSTE",MOVIMIENTOS!$C218&lt;&gt;"Chancho",N(MOVIMIENTOS!$F218)&gt;=0))),N(MOVIMIENTOS!$F218),"")</f>
        <v/>
      </c>
      <c r="N219" t="str">
        <f>IF(AND(AND(MOVIMIENTOS!$B218&lt;&gt;"",NOT(AND(MOVIMIENTOS!$B218="PROCESO",MOVIMIENTOS!$C218&lt;&gt;"Chancho")),NOT(AND(MOVIMIENTOS!$B218="SALDO INICIAL",MOVIMIENTOS!$C218="Chancho"))),OR(MOVIMIENTOS!$B218="ENVÍO A SUPESA",MOVIMIENTOS!$B218="MALOGRADO",MOVIMIENTOS!$B218="OTRA SALIDA",MOVIMIENTOS!$B218="TRASIEGO",AND(MOVIMIENTOS!$B218="PROCESO",MOVIMIENTOS!$C218="Chancho"),AND(MOVIMIENTOS!$B218="REGALO",MOVIMIENTOS!$C218&lt;&gt;"Chancho"),AND(MOVIMIENTOS!$B218="VENTA",MOVIMIENTOS!$C218&lt;&gt;"Chancho"),AND(MOVIMIENTOS!$B218="AJUSTE",MOVIMIENTOS!$C218&lt;&gt;"Chancho",N(MOVIMIENTOS!$F218)&lt;0))),IF(MOVIMIENTOS!$B218="AJUSTE",-N(MOVIMIENTOS!$F218),N(MOVIMIENTOS!$F218)),"")</f>
        <v/>
      </c>
      <c r="O219" t="str">
        <f>IF(AND(MOVIMIENTOS!$B218&lt;&gt;"",NOT(AND(MOVIMIENTOS!$B218="PROCESO",MOVIMIENTOS!$C218&lt;&gt;"Chancho")),NOT(AND(MOVIMIENTOS!$B218="SALDO INICIAL",MOVIMIENTOS!$C218="Chancho"))),TRIM(IF(MOVIMIENTOS!$G218&lt;&gt;"",IF(MOVIMIENTOS!$B218="ENVÍO A SUPESA","G-"&amp;MOVIMIENTOS!$G218,MOVIMIENTOS!$G218)&amp;"  ","")&amp;IF(N(MOVIMIENTOS!$E218)&gt;0,MOVIMIENTOS!$E218&amp;" "&amp;MOVIMIENTOS!$D218,"")),"")</f>
        <v/>
      </c>
      <c r="P219">
        <f t="shared" si="27"/>
        <v>6138.5</v>
      </c>
    </row>
    <row r="220" spans="1:16" x14ac:dyDescent="0.2">
      <c r="A220" s="7" t="str">
        <f t="shared" si="21"/>
        <v/>
      </c>
      <c r="B220" s="8" t="str">
        <f t="shared" si="22"/>
        <v/>
      </c>
      <c r="C220" s="9" t="str">
        <f t="shared" si="23"/>
        <v/>
      </c>
      <c r="D220" s="9" t="str">
        <f t="shared" si="24"/>
        <v/>
      </c>
      <c r="E220" s="8" t="str">
        <f t="shared" si="25"/>
        <v/>
      </c>
      <c r="F220" s="9" t="str">
        <f t="shared" si="26"/>
        <v/>
      </c>
      <c r="J220" t="str">
        <f>IF(AND(MOVIMIENTOS!$B219&lt;&gt;"",NOT(AND(MOVIMIENTOS!$B219="PROCESO",MOVIMIENTOS!$C219&lt;&gt;"Chancho")),NOT(AND(MOVIMIENTOS!$B219="SALDO INICIAL",MOVIMIENTOS!$C219="Chancho"))),COUNT(J$5:J219)+1,"")</f>
        <v/>
      </c>
      <c r="K220" t="str">
        <f>IF(AND(MOVIMIENTOS!$B219&lt;&gt;"",NOT(AND(MOVIMIENTOS!$B219="PROCESO",MOVIMIENTOS!$C219&lt;&gt;"Chancho")),NOT(AND(MOVIMIENTOS!$B219="SALDO INICIAL",MOVIMIENTOS!$C219="Chancho"))),MOVIMIENTOS!$A219,"")</f>
        <v/>
      </c>
      <c r="L220" t="str">
        <f>IF(AND(MOVIMIENTOS!$B219&lt;&gt;"",NOT(AND(MOVIMIENTOS!$B219="PROCESO",MOVIMIENTOS!$C219&lt;&gt;"Chancho")),NOT(AND(MOVIMIENTOS!$B219="SALDO INICIAL",MOVIMIENTOS!$C219="Chancho"))),IF(MOVIMIENTOS!$B219="SALDO INICIAL","APERTURA ("&amp;MOVIMIENTOS!$C219&amp;")",IF(MOVIMIENTOS!$B219="COMPRA","INGRESO (compra)",IF(MOVIMIENTOS!$B219="PROCESO","CHANCHO (proceso)",IF(MOVIMIENTOS!$B219="ENVÍO A SUPESA","ENVÍO SUPESA cal. "&amp;MOVIMIENTOS!$C219,IF(MOVIMIENTOS!$B219="VENTA CHANCHO","VENTA CHANCHO",IF(MOVIMIENTOS!$B219="DEVOLUCIÓN","DEVOLUCIÓN cal. "&amp;MOVIMIENTOS!$C219,IF(MOVIMIENTOS!$B219="TRASIEGO","TRASIEGO cal. "&amp;MOVIMIENTOS!$C219,IF(MOVIMIENTOS!$B219="REGALO","REGALO "&amp;MOVIMIENTOS!$C219,IF(MOVIMIENTOS!$B219="VENTA","VENTA "&amp;MOVIMIENTOS!$C219,IF(MOVIMIENTOS!$B219="AJUSTE","AJUSTE inventario ("&amp;MOVIMIENTOS!$C219&amp;")",MOVIMIENTOS!$B219)))))))))),"")</f>
        <v/>
      </c>
      <c r="M220" t="str">
        <f>IF(AND(AND(MOVIMIENTOS!$B219&lt;&gt;"",NOT(AND(MOVIMIENTOS!$B219="PROCESO",MOVIMIENTOS!$C219&lt;&gt;"Chancho")),NOT(AND(MOVIMIENTOS!$B219="SALDO INICIAL",MOVIMIENTOS!$C219="Chancho"))),OR(MOVIMIENTOS!$B219="SALDO INICIAL",MOVIMIENTOS!$B219="COMPRA",MOVIMIENTOS!$B219="REPROCESO",AND(MOVIMIENTOS!$B219="AJUSTE",MOVIMIENTOS!$C219&lt;&gt;"Chancho",N(MOVIMIENTOS!$F219)&gt;=0))),N(MOVIMIENTOS!$F219),"")</f>
        <v/>
      </c>
      <c r="N220" t="str">
        <f>IF(AND(AND(MOVIMIENTOS!$B219&lt;&gt;"",NOT(AND(MOVIMIENTOS!$B219="PROCESO",MOVIMIENTOS!$C219&lt;&gt;"Chancho")),NOT(AND(MOVIMIENTOS!$B219="SALDO INICIAL",MOVIMIENTOS!$C219="Chancho"))),OR(MOVIMIENTOS!$B219="ENVÍO A SUPESA",MOVIMIENTOS!$B219="MALOGRADO",MOVIMIENTOS!$B219="OTRA SALIDA",MOVIMIENTOS!$B219="TRASIEGO",AND(MOVIMIENTOS!$B219="PROCESO",MOVIMIENTOS!$C219="Chancho"),AND(MOVIMIENTOS!$B219="REGALO",MOVIMIENTOS!$C219&lt;&gt;"Chancho"),AND(MOVIMIENTOS!$B219="VENTA",MOVIMIENTOS!$C219&lt;&gt;"Chancho"),AND(MOVIMIENTOS!$B219="AJUSTE",MOVIMIENTOS!$C219&lt;&gt;"Chancho",N(MOVIMIENTOS!$F219)&lt;0))),IF(MOVIMIENTOS!$B219="AJUSTE",-N(MOVIMIENTOS!$F219),N(MOVIMIENTOS!$F219)),"")</f>
        <v/>
      </c>
      <c r="O220" t="str">
        <f>IF(AND(MOVIMIENTOS!$B219&lt;&gt;"",NOT(AND(MOVIMIENTOS!$B219="PROCESO",MOVIMIENTOS!$C219&lt;&gt;"Chancho")),NOT(AND(MOVIMIENTOS!$B219="SALDO INICIAL",MOVIMIENTOS!$C219="Chancho"))),TRIM(IF(MOVIMIENTOS!$G219&lt;&gt;"",IF(MOVIMIENTOS!$B219="ENVÍO A SUPESA","G-"&amp;MOVIMIENTOS!$G219,MOVIMIENTOS!$G219)&amp;"  ","")&amp;IF(N(MOVIMIENTOS!$E219)&gt;0,MOVIMIENTOS!$E219&amp;" "&amp;MOVIMIENTOS!$D219,"")),"")</f>
        <v/>
      </c>
      <c r="P220">
        <f t="shared" si="27"/>
        <v>6138.5</v>
      </c>
    </row>
    <row r="221" spans="1:16" x14ac:dyDescent="0.2">
      <c r="A221" s="7" t="str">
        <f t="shared" si="21"/>
        <v/>
      </c>
      <c r="B221" s="8" t="str">
        <f t="shared" si="22"/>
        <v/>
      </c>
      <c r="C221" s="9" t="str">
        <f t="shared" si="23"/>
        <v/>
      </c>
      <c r="D221" s="9" t="str">
        <f t="shared" si="24"/>
        <v/>
      </c>
      <c r="E221" s="8" t="str">
        <f t="shared" si="25"/>
        <v/>
      </c>
      <c r="F221" s="9" t="str">
        <f t="shared" si="26"/>
        <v/>
      </c>
      <c r="J221" t="str">
        <f>IF(AND(MOVIMIENTOS!$B220&lt;&gt;"",NOT(AND(MOVIMIENTOS!$B220="PROCESO",MOVIMIENTOS!$C220&lt;&gt;"Chancho")),NOT(AND(MOVIMIENTOS!$B220="SALDO INICIAL",MOVIMIENTOS!$C220="Chancho"))),COUNT(J$5:J220)+1,"")</f>
        <v/>
      </c>
      <c r="K221" t="str">
        <f>IF(AND(MOVIMIENTOS!$B220&lt;&gt;"",NOT(AND(MOVIMIENTOS!$B220="PROCESO",MOVIMIENTOS!$C220&lt;&gt;"Chancho")),NOT(AND(MOVIMIENTOS!$B220="SALDO INICIAL",MOVIMIENTOS!$C220="Chancho"))),MOVIMIENTOS!$A220,"")</f>
        <v/>
      </c>
      <c r="L221" t="str">
        <f>IF(AND(MOVIMIENTOS!$B220&lt;&gt;"",NOT(AND(MOVIMIENTOS!$B220="PROCESO",MOVIMIENTOS!$C220&lt;&gt;"Chancho")),NOT(AND(MOVIMIENTOS!$B220="SALDO INICIAL",MOVIMIENTOS!$C220="Chancho"))),IF(MOVIMIENTOS!$B220="SALDO INICIAL","APERTURA ("&amp;MOVIMIENTOS!$C220&amp;")",IF(MOVIMIENTOS!$B220="COMPRA","INGRESO (compra)",IF(MOVIMIENTOS!$B220="PROCESO","CHANCHO (proceso)",IF(MOVIMIENTOS!$B220="ENVÍO A SUPESA","ENVÍO SUPESA cal. "&amp;MOVIMIENTOS!$C220,IF(MOVIMIENTOS!$B220="VENTA CHANCHO","VENTA CHANCHO",IF(MOVIMIENTOS!$B220="DEVOLUCIÓN","DEVOLUCIÓN cal. "&amp;MOVIMIENTOS!$C220,IF(MOVIMIENTOS!$B220="TRASIEGO","TRASIEGO cal. "&amp;MOVIMIENTOS!$C220,IF(MOVIMIENTOS!$B220="REGALO","REGALO "&amp;MOVIMIENTOS!$C220,IF(MOVIMIENTOS!$B220="VENTA","VENTA "&amp;MOVIMIENTOS!$C220,IF(MOVIMIENTOS!$B220="AJUSTE","AJUSTE inventario ("&amp;MOVIMIENTOS!$C220&amp;")",MOVIMIENTOS!$B220)))))))))),"")</f>
        <v/>
      </c>
      <c r="M221" t="str">
        <f>IF(AND(AND(MOVIMIENTOS!$B220&lt;&gt;"",NOT(AND(MOVIMIENTOS!$B220="PROCESO",MOVIMIENTOS!$C220&lt;&gt;"Chancho")),NOT(AND(MOVIMIENTOS!$B220="SALDO INICIAL",MOVIMIENTOS!$C220="Chancho"))),OR(MOVIMIENTOS!$B220="SALDO INICIAL",MOVIMIENTOS!$B220="COMPRA",MOVIMIENTOS!$B220="REPROCESO",AND(MOVIMIENTOS!$B220="AJUSTE",MOVIMIENTOS!$C220&lt;&gt;"Chancho",N(MOVIMIENTOS!$F220)&gt;=0))),N(MOVIMIENTOS!$F220),"")</f>
        <v/>
      </c>
      <c r="N221" t="str">
        <f>IF(AND(AND(MOVIMIENTOS!$B220&lt;&gt;"",NOT(AND(MOVIMIENTOS!$B220="PROCESO",MOVIMIENTOS!$C220&lt;&gt;"Chancho")),NOT(AND(MOVIMIENTOS!$B220="SALDO INICIAL",MOVIMIENTOS!$C220="Chancho"))),OR(MOVIMIENTOS!$B220="ENVÍO A SUPESA",MOVIMIENTOS!$B220="MALOGRADO",MOVIMIENTOS!$B220="OTRA SALIDA",MOVIMIENTOS!$B220="TRASIEGO",AND(MOVIMIENTOS!$B220="PROCESO",MOVIMIENTOS!$C220="Chancho"),AND(MOVIMIENTOS!$B220="REGALO",MOVIMIENTOS!$C220&lt;&gt;"Chancho"),AND(MOVIMIENTOS!$B220="VENTA",MOVIMIENTOS!$C220&lt;&gt;"Chancho"),AND(MOVIMIENTOS!$B220="AJUSTE",MOVIMIENTOS!$C220&lt;&gt;"Chancho",N(MOVIMIENTOS!$F220)&lt;0))),IF(MOVIMIENTOS!$B220="AJUSTE",-N(MOVIMIENTOS!$F220),N(MOVIMIENTOS!$F220)),"")</f>
        <v/>
      </c>
      <c r="O221" t="str">
        <f>IF(AND(MOVIMIENTOS!$B220&lt;&gt;"",NOT(AND(MOVIMIENTOS!$B220="PROCESO",MOVIMIENTOS!$C220&lt;&gt;"Chancho")),NOT(AND(MOVIMIENTOS!$B220="SALDO INICIAL",MOVIMIENTOS!$C220="Chancho"))),TRIM(IF(MOVIMIENTOS!$G220&lt;&gt;"",IF(MOVIMIENTOS!$B220="ENVÍO A SUPESA","G-"&amp;MOVIMIENTOS!$G220,MOVIMIENTOS!$G220)&amp;"  ","")&amp;IF(N(MOVIMIENTOS!$E220)&gt;0,MOVIMIENTOS!$E220&amp;" "&amp;MOVIMIENTOS!$D220,"")),"")</f>
        <v/>
      </c>
      <c r="P221">
        <f t="shared" si="27"/>
        <v>6138.5</v>
      </c>
    </row>
    <row r="222" spans="1:16" x14ac:dyDescent="0.2">
      <c r="A222" s="7" t="str">
        <f t="shared" si="21"/>
        <v/>
      </c>
      <c r="B222" s="8" t="str">
        <f t="shared" si="22"/>
        <v/>
      </c>
      <c r="C222" s="9" t="str">
        <f t="shared" si="23"/>
        <v/>
      </c>
      <c r="D222" s="9" t="str">
        <f t="shared" si="24"/>
        <v/>
      </c>
      <c r="E222" s="8" t="str">
        <f t="shared" si="25"/>
        <v/>
      </c>
      <c r="F222" s="9" t="str">
        <f t="shared" si="26"/>
        <v/>
      </c>
      <c r="J222" t="str">
        <f>IF(AND(MOVIMIENTOS!$B221&lt;&gt;"",NOT(AND(MOVIMIENTOS!$B221="PROCESO",MOVIMIENTOS!$C221&lt;&gt;"Chancho")),NOT(AND(MOVIMIENTOS!$B221="SALDO INICIAL",MOVIMIENTOS!$C221="Chancho"))),COUNT(J$5:J221)+1,"")</f>
        <v/>
      </c>
      <c r="K222" t="str">
        <f>IF(AND(MOVIMIENTOS!$B221&lt;&gt;"",NOT(AND(MOVIMIENTOS!$B221="PROCESO",MOVIMIENTOS!$C221&lt;&gt;"Chancho")),NOT(AND(MOVIMIENTOS!$B221="SALDO INICIAL",MOVIMIENTOS!$C221="Chancho"))),MOVIMIENTOS!$A221,"")</f>
        <v/>
      </c>
      <c r="L222" t="str">
        <f>IF(AND(MOVIMIENTOS!$B221&lt;&gt;"",NOT(AND(MOVIMIENTOS!$B221="PROCESO",MOVIMIENTOS!$C221&lt;&gt;"Chancho")),NOT(AND(MOVIMIENTOS!$B221="SALDO INICIAL",MOVIMIENTOS!$C221="Chancho"))),IF(MOVIMIENTOS!$B221="SALDO INICIAL","APERTURA ("&amp;MOVIMIENTOS!$C221&amp;")",IF(MOVIMIENTOS!$B221="COMPRA","INGRESO (compra)",IF(MOVIMIENTOS!$B221="PROCESO","CHANCHO (proceso)",IF(MOVIMIENTOS!$B221="ENVÍO A SUPESA","ENVÍO SUPESA cal. "&amp;MOVIMIENTOS!$C221,IF(MOVIMIENTOS!$B221="VENTA CHANCHO","VENTA CHANCHO",IF(MOVIMIENTOS!$B221="DEVOLUCIÓN","DEVOLUCIÓN cal. "&amp;MOVIMIENTOS!$C221,IF(MOVIMIENTOS!$B221="TRASIEGO","TRASIEGO cal. "&amp;MOVIMIENTOS!$C221,IF(MOVIMIENTOS!$B221="REGALO","REGALO "&amp;MOVIMIENTOS!$C221,IF(MOVIMIENTOS!$B221="VENTA","VENTA "&amp;MOVIMIENTOS!$C221,IF(MOVIMIENTOS!$B221="AJUSTE","AJUSTE inventario ("&amp;MOVIMIENTOS!$C221&amp;")",MOVIMIENTOS!$B221)))))))))),"")</f>
        <v/>
      </c>
      <c r="M222" t="str">
        <f>IF(AND(AND(MOVIMIENTOS!$B221&lt;&gt;"",NOT(AND(MOVIMIENTOS!$B221="PROCESO",MOVIMIENTOS!$C221&lt;&gt;"Chancho")),NOT(AND(MOVIMIENTOS!$B221="SALDO INICIAL",MOVIMIENTOS!$C221="Chancho"))),OR(MOVIMIENTOS!$B221="SALDO INICIAL",MOVIMIENTOS!$B221="COMPRA",MOVIMIENTOS!$B221="REPROCESO",AND(MOVIMIENTOS!$B221="AJUSTE",MOVIMIENTOS!$C221&lt;&gt;"Chancho",N(MOVIMIENTOS!$F221)&gt;=0))),N(MOVIMIENTOS!$F221),"")</f>
        <v/>
      </c>
      <c r="N222" t="str">
        <f>IF(AND(AND(MOVIMIENTOS!$B221&lt;&gt;"",NOT(AND(MOVIMIENTOS!$B221="PROCESO",MOVIMIENTOS!$C221&lt;&gt;"Chancho")),NOT(AND(MOVIMIENTOS!$B221="SALDO INICIAL",MOVIMIENTOS!$C221="Chancho"))),OR(MOVIMIENTOS!$B221="ENVÍO A SUPESA",MOVIMIENTOS!$B221="MALOGRADO",MOVIMIENTOS!$B221="OTRA SALIDA",MOVIMIENTOS!$B221="TRASIEGO",AND(MOVIMIENTOS!$B221="PROCESO",MOVIMIENTOS!$C221="Chancho"),AND(MOVIMIENTOS!$B221="REGALO",MOVIMIENTOS!$C221&lt;&gt;"Chancho"),AND(MOVIMIENTOS!$B221="VENTA",MOVIMIENTOS!$C221&lt;&gt;"Chancho"),AND(MOVIMIENTOS!$B221="AJUSTE",MOVIMIENTOS!$C221&lt;&gt;"Chancho",N(MOVIMIENTOS!$F221)&lt;0))),IF(MOVIMIENTOS!$B221="AJUSTE",-N(MOVIMIENTOS!$F221),N(MOVIMIENTOS!$F221)),"")</f>
        <v/>
      </c>
      <c r="O222" t="str">
        <f>IF(AND(MOVIMIENTOS!$B221&lt;&gt;"",NOT(AND(MOVIMIENTOS!$B221="PROCESO",MOVIMIENTOS!$C221&lt;&gt;"Chancho")),NOT(AND(MOVIMIENTOS!$B221="SALDO INICIAL",MOVIMIENTOS!$C221="Chancho"))),TRIM(IF(MOVIMIENTOS!$G221&lt;&gt;"",IF(MOVIMIENTOS!$B221="ENVÍO A SUPESA","G-"&amp;MOVIMIENTOS!$G221,MOVIMIENTOS!$G221)&amp;"  ","")&amp;IF(N(MOVIMIENTOS!$E221)&gt;0,MOVIMIENTOS!$E221&amp;" "&amp;MOVIMIENTOS!$D221,"")),"")</f>
        <v/>
      </c>
      <c r="P222">
        <f t="shared" si="27"/>
        <v>6138.5</v>
      </c>
    </row>
    <row r="223" spans="1:16" x14ac:dyDescent="0.2">
      <c r="A223" s="7" t="str">
        <f t="shared" si="21"/>
        <v/>
      </c>
      <c r="B223" s="8" t="str">
        <f t="shared" si="22"/>
        <v/>
      </c>
      <c r="C223" s="9" t="str">
        <f t="shared" si="23"/>
        <v/>
      </c>
      <c r="D223" s="9" t="str">
        <f t="shared" si="24"/>
        <v/>
      </c>
      <c r="E223" s="8" t="str">
        <f t="shared" si="25"/>
        <v/>
      </c>
      <c r="F223" s="9" t="str">
        <f t="shared" si="26"/>
        <v/>
      </c>
      <c r="J223" t="str">
        <f>IF(AND(MOVIMIENTOS!$B222&lt;&gt;"",NOT(AND(MOVIMIENTOS!$B222="PROCESO",MOVIMIENTOS!$C222&lt;&gt;"Chancho")),NOT(AND(MOVIMIENTOS!$B222="SALDO INICIAL",MOVIMIENTOS!$C222="Chancho"))),COUNT(J$5:J222)+1,"")</f>
        <v/>
      </c>
      <c r="K223" t="str">
        <f>IF(AND(MOVIMIENTOS!$B222&lt;&gt;"",NOT(AND(MOVIMIENTOS!$B222="PROCESO",MOVIMIENTOS!$C222&lt;&gt;"Chancho")),NOT(AND(MOVIMIENTOS!$B222="SALDO INICIAL",MOVIMIENTOS!$C222="Chancho"))),MOVIMIENTOS!$A222,"")</f>
        <v/>
      </c>
      <c r="L223" t="str">
        <f>IF(AND(MOVIMIENTOS!$B222&lt;&gt;"",NOT(AND(MOVIMIENTOS!$B222="PROCESO",MOVIMIENTOS!$C222&lt;&gt;"Chancho")),NOT(AND(MOVIMIENTOS!$B222="SALDO INICIAL",MOVIMIENTOS!$C222="Chancho"))),IF(MOVIMIENTOS!$B222="SALDO INICIAL","APERTURA ("&amp;MOVIMIENTOS!$C222&amp;")",IF(MOVIMIENTOS!$B222="COMPRA","INGRESO (compra)",IF(MOVIMIENTOS!$B222="PROCESO","CHANCHO (proceso)",IF(MOVIMIENTOS!$B222="ENVÍO A SUPESA","ENVÍO SUPESA cal. "&amp;MOVIMIENTOS!$C222,IF(MOVIMIENTOS!$B222="VENTA CHANCHO","VENTA CHANCHO",IF(MOVIMIENTOS!$B222="DEVOLUCIÓN","DEVOLUCIÓN cal. "&amp;MOVIMIENTOS!$C222,IF(MOVIMIENTOS!$B222="TRASIEGO","TRASIEGO cal. "&amp;MOVIMIENTOS!$C222,IF(MOVIMIENTOS!$B222="REGALO","REGALO "&amp;MOVIMIENTOS!$C222,IF(MOVIMIENTOS!$B222="VENTA","VENTA "&amp;MOVIMIENTOS!$C222,IF(MOVIMIENTOS!$B222="AJUSTE","AJUSTE inventario ("&amp;MOVIMIENTOS!$C222&amp;")",MOVIMIENTOS!$B222)))))))))),"")</f>
        <v/>
      </c>
      <c r="M223" t="str">
        <f>IF(AND(AND(MOVIMIENTOS!$B222&lt;&gt;"",NOT(AND(MOVIMIENTOS!$B222="PROCESO",MOVIMIENTOS!$C222&lt;&gt;"Chancho")),NOT(AND(MOVIMIENTOS!$B222="SALDO INICIAL",MOVIMIENTOS!$C222="Chancho"))),OR(MOVIMIENTOS!$B222="SALDO INICIAL",MOVIMIENTOS!$B222="COMPRA",MOVIMIENTOS!$B222="REPROCESO",AND(MOVIMIENTOS!$B222="AJUSTE",MOVIMIENTOS!$C222&lt;&gt;"Chancho",N(MOVIMIENTOS!$F222)&gt;=0))),N(MOVIMIENTOS!$F222),"")</f>
        <v/>
      </c>
      <c r="N223" t="str">
        <f>IF(AND(AND(MOVIMIENTOS!$B222&lt;&gt;"",NOT(AND(MOVIMIENTOS!$B222="PROCESO",MOVIMIENTOS!$C222&lt;&gt;"Chancho")),NOT(AND(MOVIMIENTOS!$B222="SALDO INICIAL",MOVIMIENTOS!$C222="Chancho"))),OR(MOVIMIENTOS!$B222="ENVÍO A SUPESA",MOVIMIENTOS!$B222="MALOGRADO",MOVIMIENTOS!$B222="OTRA SALIDA",MOVIMIENTOS!$B222="TRASIEGO",AND(MOVIMIENTOS!$B222="PROCESO",MOVIMIENTOS!$C222="Chancho"),AND(MOVIMIENTOS!$B222="REGALO",MOVIMIENTOS!$C222&lt;&gt;"Chancho"),AND(MOVIMIENTOS!$B222="VENTA",MOVIMIENTOS!$C222&lt;&gt;"Chancho"),AND(MOVIMIENTOS!$B222="AJUSTE",MOVIMIENTOS!$C222&lt;&gt;"Chancho",N(MOVIMIENTOS!$F222)&lt;0))),IF(MOVIMIENTOS!$B222="AJUSTE",-N(MOVIMIENTOS!$F222),N(MOVIMIENTOS!$F222)),"")</f>
        <v/>
      </c>
      <c r="O223" t="str">
        <f>IF(AND(MOVIMIENTOS!$B222&lt;&gt;"",NOT(AND(MOVIMIENTOS!$B222="PROCESO",MOVIMIENTOS!$C222&lt;&gt;"Chancho")),NOT(AND(MOVIMIENTOS!$B222="SALDO INICIAL",MOVIMIENTOS!$C222="Chancho"))),TRIM(IF(MOVIMIENTOS!$G222&lt;&gt;"",IF(MOVIMIENTOS!$B222="ENVÍO A SUPESA","G-"&amp;MOVIMIENTOS!$G222,MOVIMIENTOS!$G222)&amp;"  ","")&amp;IF(N(MOVIMIENTOS!$E222)&gt;0,MOVIMIENTOS!$E222&amp;" "&amp;MOVIMIENTOS!$D222,"")),"")</f>
        <v/>
      </c>
      <c r="P223">
        <f t="shared" si="27"/>
        <v>6138.5</v>
      </c>
    </row>
    <row r="224" spans="1:16" x14ac:dyDescent="0.2">
      <c r="A224" s="7" t="str">
        <f t="shared" si="21"/>
        <v/>
      </c>
      <c r="B224" s="8" t="str">
        <f t="shared" si="22"/>
        <v/>
      </c>
      <c r="C224" s="9" t="str">
        <f t="shared" si="23"/>
        <v/>
      </c>
      <c r="D224" s="9" t="str">
        <f t="shared" si="24"/>
        <v/>
      </c>
      <c r="E224" s="8" t="str">
        <f t="shared" si="25"/>
        <v/>
      </c>
      <c r="F224" s="9" t="str">
        <f t="shared" si="26"/>
        <v/>
      </c>
      <c r="J224" t="str">
        <f>IF(AND(MOVIMIENTOS!$B223&lt;&gt;"",NOT(AND(MOVIMIENTOS!$B223="PROCESO",MOVIMIENTOS!$C223&lt;&gt;"Chancho")),NOT(AND(MOVIMIENTOS!$B223="SALDO INICIAL",MOVIMIENTOS!$C223="Chancho"))),COUNT(J$5:J223)+1,"")</f>
        <v/>
      </c>
      <c r="K224" t="str">
        <f>IF(AND(MOVIMIENTOS!$B223&lt;&gt;"",NOT(AND(MOVIMIENTOS!$B223="PROCESO",MOVIMIENTOS!$C223&lt;&gt;"Chancho")),NOT(AND(MOVIMIENTOS!$B223="SALDO INICIAL",MOVIMIENTOS!$C223="Chancho"))),MOVIMIENTOS!$A223,"")</f>
        <v/>
      </c>
      <c r="L224" t="str">
        <f>IF(AND(MOVIMIENTOS!$B223&lt;&gt;"",NOT(AND(MOVIMIENTOS!$B223="PROCESO",MOVIMIENTOS!$C223&lt;&gt;"Chancho")),NOT(AND(MOVIMIENTOS!$B223="SALDO INICIAL",MOVIMIENTOS!$C223="Chancho"))),IF(MOVIMIENTOS!$B223="SALDO INICIAL","APERTURA ("&amp;MOVIMIENTOS!$C223&amp;")",IF(MOVIMIENTOS!$B223="COMPRA","INGRESO (compra)",IF(MOVIMIENTOS!$B223="PROCESO","CHANCHO (proceso)",IF(MOVIMIENTOS!$B223="ENVÍO A SUPESA","ENVÍO SUPESA cal. "&amp;MOVIMIENTOS!$C223,IF(MOVIMIENTOS!$B223="VENTA CHANCHO","VENTA CHANCHO",IF(MOVIMIENTOS!$B223="DEVOLUCIÓN","DEVOLUCIÓN cal. "&amp;MOVIMIENTOS!$C223,IF(MOVIMIENTOS!$B223="TRASIEGO","TRASIEGO cal. "&amp;MOVIMIENTOS!$C223,IF(MOVIMIENTOS!$B223="REGALO","REGALO "&amp;MOVIMIENTOS!$C223,IF(MOVIMIENTOS!$B223="VENTA","VENTA "&amp;MOVIMIENTOS!$C223,IF(MOVIMIENTOS!$B223="AJUSTE","AJUSTE inventario ("&amp;MOVIMIENTOS!$C223&amp;")",MOVIMIENTOS!$B223)))))))))),"")</f>
        <v/>
      </c>
      <c r="M224" t="str">
        <f>IF(AND(AND(MOVIMIENTOS!$B223&lt;&gt;"",NOT(AND(MOVIMIENTOS!$B223="PROCESO",MOVIMIENTOS!$C223&lt;&gt;"Chancho")),NOT(AND(MOVIMIENTOS!$B223="SALDO INICIAL",MOVIMIENTOS!$C223="Chancho"))),OR(MOVIMIENTOS!$B223="SALDO INICIAL",MOVIMIENTOS!$B223="COMPRA",MOVIMIENTOS!$B223="REPROCESO",AND(MOVIMIENTOS!$B223="AJUSTE",MOVIMIENTOS!$C223&lt;&gt;"Chancho",N(MOVIMIENTOS!$F223)&gt;=0))),N(MOVIMIENTOS!$F223),"")</f>
        <v/>
      </c>
      <c r="N224" t="str">
        <f>IF(AND(AND(MOVIMIENTOS!$B223&lt;&gt;"",NOT(AND(MOVIMIENTOS!$B223="PROCESO",MOVIMIENTOS!$C223&lt;&gt;"Chancho")),NOT(AND(MOVIMIENTOS!$B223="SALDO INICIAL",MOVIMIENTOS!$C223="Chancho"))),OR(MOVIMIENTOS!$B223="ENVÍO A SUPESA",MOVIMIENTOS!$B223="MALOGRADO",MOVIMIENTOS!$B223="OTRA SALIDA",MOVIMIENTOS!$B223="TRASIEGO",AND(MOVIMIENTOS!$B223="PROCESO",MOVIMIENTOS!$C223="Chancho"),AND(MOVIMIENTOS!$B223="REGALO",MOVIMIENTOS!$C223&lt;&gt;"Chancho"),AND(MOVIMIENTOS!$B223="VENTA",MOVIMIENTOS!$C223&lt;&gt;"Chancho"),AND(MOVIMIENTOS!$B223="AJUSTE",MOVIMIENTOS!$C223&lt;&gt;"Chancho",N(MOVIMIENTOS!$F223)&lt;0))),IF(MOVIMIENTOS!$B223="AJUSTE",-N(MOVIMIENTOS!$F223),N(MOVIMIENTOS!$F223)),"")</f>
        <v/>
      </c>
      <c r="O224" t="str">
        <f>IF(AND(MOVIMIENTOS!$B223&lt;&gt;"",NOT(AND(MOVIMIENTOS!$B223="PROCESO",MOVIMIENTOS!$C223&lt;&gt;"Chancho")),NOT(AND(MOVIMIENTOS!$B223="SALDO INICIAL",MOVIMIENTOS!$C223="Chancho"))),TRIM(IF(MOVIMIENTOS!$G223&lt;&gt;"",IF(MOVIMIENTOS!$B223="ENVÍO A SUPESA","G-"&amp;MOVIMIENTOS!$G223,MOVIMIENTOS!$G223)&amp;"  ","")&amp;IF(N(MOVIMIENTOS!$E223)&gt;0,MOVIMIENTOS!$E223&amp;" "&amp;MOVIMIENTOS!$D223,"")),"")</f>
        <v/>
      </c>
      <c r="P224">
        <f t="shared" si="27"/>
        <v>6138.5</v>
      </c>
    </row>
    <row r="225" spans="1:16" x14ac:dyDescent="0.2">
      <c r="A225" s="7" t="str">
        <f t="shared" si="21"/>
        <v/>
      </c>
      <c r="B225" s="8" t="str">
        <f t="shared" si="22"/>
        <v/>
      </c>
      <c r="C225" s="9" t="str">
        <f t="shared" si="23"/>
        <v/>
      </c>
      <c r="D225" s="9" t="str">
        <f t="shared" si="24"/>
        <v/>
      </c>
      <c r="E225" s="8" t="str">
        <f t="shared" si="25"/>
        <v/>
      </c>
      <c r="F225" s="9" t="str">
        <f t="shared" si="26"/>
        <v/>
      </c>
      <c r="J225" t="str">
        <f>IF(AND(MOVIMIENTOS!$B224&lt;&gt;"",NOT(AND(MOVIMIENTOS!$B224="PROCESO",MOVIMIENTOS!$C224&lt;&gt;"Chancho")),NOT(AND(MOVIMIENTOS!$B224="SALDO INICIAL",MOVIMIENTOS!$C224="Chancho"))),COUNT(J$5:J224)+1,"")</f>
        <v/>
      </c>
      <c r="K225" t="str">
        <f>IF(AND(MOVIMIENTOS!$B224&lt;&gt;"",NOT(AND(MOVIMIENTOS!$B224="PROCESO",MOVIMIENTOS!$C224&lt;&gt;"Chancho")),NOT(AND(MOVIMIENTOS!$B224="SALDO INICIAL",MOVIMIENTOS!$C224="Chancho"))),MOVIMIENTOS!$A224,"")</f>
        <v/>
      </c>
      <c r="L225" t="str">
        <f>IF(AND(MOVIMIENTOS!$B224&lt;&gt;"",NOT(AND(MOVIMIENTOS!$B224="PROCESO",MOVIMIENTOS!$C224&lt;&gt;"Chancho")),NOT(AND(MOVIMIENTOS!$B224="SALDO INICIAL",MOVIMIENTOS!$C224="Chancho"))),IF(MOVIMIENTOS!$B224="SALDO INICIAL","APERTURA ("&amp;MOVIMIENTOS!$C224&amp;")",IF(MOVIMIENTOS!$B224="COMPRA","INGRESO (compra)",IF(MOVIMIENTOS!$B224="PROCESO","CHANCHO (proceso)",IF(MOVIMIENTOS!$B224="ENVÍO A SUPESA","ENVÍO SUPESA cal. "&amp;MOVIMIENTOS!$C224,IF(MOVIMIENTOS!$B224="VENTA CHANCHO","VENTA CHANCHO",IF(MOVIMIENTOS!$B224="DEVOLUCIÓN","DEVOLUCIÓN cal. "&amp;MOVIMIENTOS!$C224,IF(MOVIMIENTOS!$B224="TRASIEGO","TRASIEGO cal. "&amp;MOVIMIENTOS!$C224,IF(MOVIMIENTOS!$B224="REGALO","REGALO "&amp;MOVIMIENTOS!$C224,IF(MOVIMIENTOS!$B224="VENTA","VENTA "&amp;MOVIMIENTOS!$C224,IF(MOVIMIENTOS!$B224="AJUSTE","AJUSTE inventario ("&amp;MOVIMIENTOS!$C224&amp;")",MOVIMIENTOS!$B224)))))))))),"")</f>
        <v/>
      </c>
      <c r="M225" t="str">
        <f>IF(AND(AND(MOVIMIENTOS!$B224&lt;&gt;"",NOT(AND(MOVIMIENTOS!$B224="PROCESO",MOVIMIENTOS!$C224&lt;&gt;"Chancho")),NOT(AND(MOVIMIENTOS!$B224="SALDO INICIAL",MOVIMIENTOS!$C224="Chancho"))),OR(MOVIMIENTOS!$B224="SALDO INICIAL",MOVIMIENTOS!$B224="COMPRA",MOVIMIENTOS!$B224="REPROCESO",AND(MOVIMIENTOS!$B224="AJUSTE",MOVIMIENTOS!$C224&lt;&gt;"Chancho",N(MOVIMIENTOS!$F224)&gt;=0))),N(MOVIMIENTOS!$F224),"")</f>
        <v/>
      </c>
      <c r="N225" t="str">
        <f>IF(AND(AND(MOVIMIENTOS!$B224&lt;&gt;"",NOT(AND(MOVIMIENTOS!$B224="PROCESO",MOVIMIENTOS!$C224&lt;&gt;"Chancho")),NOT(AND(MOVIMIENTOS!$B224="SALDO INICIAL",MOVIMIENTOS!$C224="Chancho"))),OR(MOVIMIENTOS!$B224="ENVÍO A SUPESA",MOVIMIENTOS!$B224="MALOGRADO",MOVIMIENTOS!$B224="OTRA SALIDA",MOVIMIENTOS!$B224="TRASIEGO",AND(MOVIMIENTOS!$B224="PROCESO",MOVIMIENTOS!$C224="Chancho"),AND(MOVIMIENTOS!$B224="REGALO",MOVIMIENTOS!$C224&lt;&gt;"Chancho"),AND(MOVIMIENTOS!$B224="VENTA",MOVIMIENTOS!$C224&lt;&gt;"Chancho"),AND(MOVIMIENTOS!$B224="AJUSTE",MOVIMIENTOS!$C224&lt;&gt;"Chancho",N(MOVIMIENTOS!$F224)&lt;0))),IF(MOVIMIENTOS!$B224="AJUSTE",-N(MOVIMIENTOS!$F224),N(MOVIMIENTOS!$F224)),"")</f>
        <v/>
      </c>
      <c r="O225" t="str">
        <f>IF(AND(MOVIMIENTOS!$B224&lt;&gt;"",NOT(AND(MOVIMIENTOS!$B224="PROCESO",MOVIMIENTOS!$C224&lt;&gt;"Chancho")),NOT(AND(MOVIMIENTOS!$B224="SALDO INICIAL",MOVIMIENTOS!$C224="Chancho"))),TRIM(IF(MOVIMIENTOS!$G224&lt;&gt;"",IF(MOVIMIENTOS!$B224="ENVÍO A SUPESA","G-"&amp;MOVIMIENTOS!$G224,MOVIMIENTOS!$G224)&amp;"  ","")&amp;IF(N(MOVIMIENTOS!$E224)&gt;0,MOVIMIENTOS!$E224&amp;" "&amp;MOVIMIENTOS!$D224,"")),"")</f>
        <v/>
      </c>
      <c r="P225">
        <f t="shared" si="27"/>
        <v>6138.5</v>
      </c>
    </row>
    <row r="226" spans="1:16" x14ac:dyDescent="0.2">
      <c r="A226" s="7" t="str">
        <f t="shared" si="21"/>
        <v/>
      </c>
      <c r="B226" s="8" t="str">
        <f t="shared" si="22"/>
        <v/>
      </c>
      <c r="C226" s="9" t="str">
        <f t="shared" si="23"/>
        <v/>
      </c>
      <c r="D226" s="9" t="str">
        <f t="shared" si="24"/>
        <v/>
      </c>
      <c r="E226" s="8" t="str">
        <f t="shared" si="25"/>
        <v/>
      </c>
      <c r="F226" s="9" t="str">
        <f t="shared" si="26"/>
        <v/>
      </c>
      <c r="J226" t="str">
        <f>IF(AND(MOVIMIENTOS!$B225&lt;&gt;"",NOT(AND(MOVIMIENTOS!$B225="PROCESO",MOVIMIENTOS!$C225&lt;&gt;"Chancho")),NOT(AND(MOVIMIENTOS!$B225="SALDO INICIAL",MOVIMIENTOS!$C225="Chancho"))),COUNT(J$5:J225)+1,"")</f>
        <v/>
      </c>
      <c r="K226" t="str">
        <f>IF(AND(MOVIMIENTOS!$B225&lt;&gt;"",NOT(AND(MOVIMIENTOS!$B225="PROCESO",MOVIMIENTOS!$C225&lt;&gt;"Chancho")),NOT(AND(MOVIMIENTOS!$B225="SALDO INICIAL",MOVIMIENTOS!$C225="Chancho"))),MOVIMIENTOS!$A225,"")</f>
        <v/>
      </c>
      <c r="L226" t="str">
        <f>IF(AND(MOVIMIENTOS!$B225&lt;&gt;"",NOT(AND(MOVIMIENTOS!$B225="PROCESO",MOVIMIENTOS!$C225&lt;&gt;"Chancho")),NOT(AND(MOVIMIENTOS!$B225="SALDO INICIAL",MOVIMIENTOS!$C225="Chancho"))),IF(MOVIMIENTOS!$B225="SALDO INICIAL","APERTURA ("&amp;MOVIMIENTOS!$C225&amp;")",IF(MOVIMIENTOS!$B225="COMPRA","INGRESO (compra)",IF(MOVIMIENTOS!$B225="PROCESO","CHANCHO (proceso)",IF(MOVIMIENTOS!$B225="ENVÍO A SUPESA","ENVÍO SUPESA cal. "&amp;MOVIMIENTOS!$C225,IF(MOVIMIENTOS!$B225="VENTA CHANCHO","VENTA CHANCHO",IF(MOVIMIENTOS!$B225="DEVOLUCIÓN","DEVOLUCIÓN cal. "&amp;MOVIMIENTOS!$C225,IF(MOVIMIENTOS!$B225="TRASIEGO","TRASIEGO cal. "&amp;MOVIMIENTOS!$C225,IF(MOVIMIENTOS!$B225="REGALO","REGALO "&amp;MOVIMIENTOS!$C225,IF(MOVIMIENTOS!$B225="VENTA","VENTA "&amp;MOVIMIENTOS!$C225,IF(MOVIMIENTOS!$B225="AJUSTE","AJUSTE inventario ("&amp;MOVIMIENTOS!$C225&amp;")",MOVIMIENTOS!$B225)))))))))),"")</f>
        <v/>
      </c>
      <c r="M226" t="str">
        <f>IF(AND(AND(MOVIMIENTOS!$B225&lt;&gt;"",NOT(AND(MOVIMIENTOS!$B225="PROCESO",MOVIMIENTOS!$C225&lt;&gt;"Chancho")),NOT(AND(MOVIMIENTOS!$B225="SALDO INICIAL",MOVIMIENTOS!$C225="Chancho"))),OR(MOVIMIENTOS!$B225="SALDO INICIAL",MOVIMIENTOS!$B225="COMPRA",MOVIMIENTOS!$B225="REPROCESO",AND(MOVIMIENTOS!$B225="AJUSTE",MOVIMIENTOS!$C225&lt;&gt;"Chancho",N(MOVIMIENTOS!$F225)&gt;=0))),N(MOVIMIENTOS!$F225),"")</f>
        <v/>
      </c>
      <c r="N226" t="str">
        <f>IF(AND(AND(MOVIMIENTOS!$B225&lt;&gt;"",NOT(AND(MOVIMIENTOS!$B225="PROCESO",MOVIMIENTOS!$C225&lt;&gt;"Chancho")),NOT(AND(MOVIMIENTOS!$B225="SALDO INICIAL",MOVIMIENTOS!$C225="Chancho"))),OR(MOVIMIENTOS!$B225="ENVÍO A SUPESA",MOVIMIENTOS!$B225="MALOGRADO",MOVIMIENTOS!$B225="OTRA SALIDA",MOVIMIENTOS!$B225="TRASIEGO",AND(MOVIMIENTOS!$B225="PROCESO",MOVIMIENTOS!$C225="Chancho"),AND(MOVIMIENTOS!$B225="REGALO",MOVIMIENTOS!$C225&lt;&gt;"Chancho"),AND(MOVIMIENTOS!$B225="VENTA",MOVIMIENTOS!$C225&lt;&gt;"Chancho"),AND(MOVIMIENTOS!$B225="AJUSTE",MOVIMIENTOS!$C225&lt;&gt;"Chancho",N(MOVIMIENTOS!$F225)&lt;0))),IF(MOVIMIENTOS!$B225="AJUSTE",-N(MOVIMIENTOS!$F225),N(MOVIMIENTOS!$F225)),"")</f>
        <v/>
      </c>
      <c r="O226" t="str">
        <f>IF(AND(MOVIMIENTOS!$B225&lt;&gt;"",NOT(AND(MOVIMIENTOS!$B225="PROCESO",MOVIMIENTOS!$C225&lt;&gt;"Chancho")),NOT(AND(MOVIMIENTOS!$B225="SALDO INICIAL",MOVIMIENTOS!$C225="Chancho"))),TRIM(IF(MOVIMIENTOS!$G225&lt;&gt;"",IF(MOVIMIENTOS!$B225="ENVÍO A SUPESA","G-"&amp;MOVIMIENTOS!$G225,MOVIMIENTOS!$G225)&amp;"  ","")&amp;IF(N(MOVIMIENTOS!$E225)&gt;0,MOVIMIENTOS!$E225&amp;" "&amp;MOVIMIENTOS!$D225,"")),"")</f>
        <v/>
      </c>
      <c r="P226">
        <f t="shared" si="27"/>
        <v>6138.5</v>
      </c>
    </row>
    <row r="227" spans="1:16" x14ac:dyDescent="0.2">
      <c r="A227" s="7" t="str">
        <f t="shared" si="21"/>
        <v/>
      </c>
      <c r="B227" s="8" t="str">
        <f t="shared" si="22"/>
        <v/>
      </c>
      <c r="C227" s="9" t="str">
        <f t="shared" si="23"/>
        <v/>
      </c>
      <c r="D227" s="9" t="str">
        <f t="shared" si="24"/>
        <v/>
      </c>
      <c r="E227" s="8" t="str">
        <f t="shared" si="25"/>
        <v/>
      </c>
      <c r="F227" s="9" t="str">
        <f t="shared" si="26"/>
        <v/>
      </c>
      <c r="J227" t="str">
        <f>IF(AND(MOVIMIENTOS!$B226&lt;&gt;"",NOT(AND(MOVIMIENTOS!$B226="PROCESO",MOVIMIENTOS!$C226&lt;&gt;"Chancho")),NOT(AND(MOVIMIENTOS!$B226="SALDO INICIAL",MOVIMIENTOS!$C226="Chancho"))),COUNT(J$5:J226)+1,"")</f>
        <v/>
      </c>
      <c r="K227" t="str">
        <f>IF(AND(MOVIMIENTOS!$B226&lt;&gt;"",NOT(AND(MOVIMIENTOS!$B226="PROCESO",MOVIMIENTOS!$C226&lt;&gt;"Chancho")),NOT(AND(MOVIMIENTOS!$B226="SALDO INICIAL",MOVIMIENTOS!$C226="Chancho"))),MOVIMIENTOS!$A226,"")</f>
        <v/>
      </c>
      <c r="L227" t="str">
        <f>IF(AND(MOVIMIENTOS!$B226&lt;&gt;"",NOT(AND(MOVIMIENTOS!$B226="PROCESO",MOVIMIENTOS!$C226&lt;&gt;"Chancho")),NOT(AND(MOVIMIENTOS!$B226="SALDO INICIAL",MOVIMIENTOS!$C226="Chancho"))),IF(MOVIMIENTOS!$B226="SALDO INICIAL","APERTURA ("&amp;MOVIMIENTOS!$C226&amp;")",IF(MOVIMIENTOS!$B226="COMPRA","INGRESO (compra)",IF(MOVIMIENTOS!$B226="PROCESO","CHANCHO (proceso)",IF(MOVIMIENTOS!$B226="ENVÍO A SUPESA","ENVÍO SUPESA cal. "&amp;MOVIMIENTOS!$C226,IF(MOVIMIENTOS!$B226="VENTA CHANCHO","VENTA CHANCHO",IF(MOVIMIENTOS!$B226="DEVOLUCIÓN","DEVOLUCIÓN cal. "&amp;MOVIMIENTOS!$C226,IF(MOVIMIENTOS!$B226="TRASIEGO","TRASIEGO cal. "&amp;MOVIMIENTOS!$C226,IF(MOVIMIENTOS!$B226="REGALO","REGALO "&amp;MOVIMIENTOS!$C226,IF(MOVIMIENTOS!$B226="VENTA","VENTA "&amp;MOVIMIENTOS!$C226,IF(MOVIMIENTOS!$B226="AJUSTE","AJUSTE inventario ("&amp;MOVIMIENTOS!$C226&amp;")",MOVIMIENTOS!$B226)))))))))),"")</f>
        <v/>
      </c>
      <c r="M227" t="str">
        <f>IF(AND(AND(MOVIMIENTOS!$B226&lt;&gt;"",NOT(AND(MOVIMIENTOS!$B226="PROCESO",MOVIMIENTOS!$C226&lt;&gt;"Chancho")),NOT(AND(MOVIMIENTOS!$B226="SALDO INICIAL",MOVIMIENTOS!$C226="Chancho"))),OR(MOVIMIENTOS!$B226="SALDO INICIAL",MOVIMIENTOS!$B226="COMPRA",MOVIMIENTOS!$B226="REPROCESO",AND(MOVIMIENTOS!$B226="AJUSTE",MOVIMIENTOS!$C226&lt;&gt;"Chancho",N(MOVIMIENTOS!$F226)&gt;=0))),N(MOVIMIENTOS!$F226),"")</f>
        <v/>
      </c>
      <c r="N227" t="str">
        <f>IF(AND(AND(MOVIMIENTOS!$B226&lt;&gt;"",NOT(AND(MOVIMIENTOS!$B226="PROCESO",MOVIMIENTOS!$C226&lt;&gt;"Chancho")),NOT(AND(MOVIMIENTOS!$B226="SALDO INICIAL",MOVIMIENTOS!$C226="Chancho"))),OR(MOVIMIENTOS!$B226="ENVÍO A SUPESA",MOVIMIENTOS!$B226="MALOGRADO",MOVIMIENTOS!$B226="OTRA SALIDA",MOVIMIENTOS!$B226="TRASIEGO",AND(MOVIMIENTOS!$B226="PROCESO",MOVIMIENTOS!$C226="Chancho"),AND(MOVIMIENTOS!$B226="REGALO",MOVIMIENTOS!$C226&lt;&gt;"Chancho"),AND(MOVIMIENTOS!$B226="VENTA",MOVIMIENTOS!$C226&lt;&gt;"Chancho"),AND(MOVIMIENTOS!$B226="AJUSTE",MOVIMIENTOS!$C226&lt;&gt;"Chancho",N(MOVIMIENTOS!$F226)&lt;0))),IF(MOVIMIENTOS!$B226="AJUSTE",-N(MOVIMIENTOS!$F226),N(MOVIMIENTOS!$F226)),"")</f>
        <v/>
      </c>
      <c r="O227" t="str">
        <f>IF(AND(MOVIMIENTOS!$B226&lt;&gt;"",NOT(AND(MOVIMIENTOS!$B226="PROCESO",MOVIMIENTOS!$C226&lt;&gt;"Chancho")),NOT(AND(MOVIMIENTOS!$B226="SALDO INICIAL",MOVIMIENTOS!$C226="Chancho"))),TRIM(IF(MOVIMIENTOS!$G226&lt;&gt;"",IF(MOVIMIENTOS!$B226="ENVÍO A SUPESA","G-"&amp;MOVIMIENTOS!$G226,MOVIMIENTOS!$G226)&amp;"  ","")&amp;IF(N(MOVIMIENTOS!$E226)&gt;0,MOVIMIENTOS!$E226&amp;" "&amp;MOVIMIENTOS!$D226,"")),"")</f>
        <v/>
      </c>
      <c r="P227">
        <f t="shared" si="27"/>
        <v>6138.5</v>
      </c>
    </row>
    <row r="228" spans="1:16" x14ac:dyDescent="0.2">
      <c r="A228" s="7" t="str">
        <f t="shared" si="21"/>
        <v/>
      </c>
      <c r="B228" s="8" t="str">
        <f t="shared" si="22"/>
        <v/>
      </c>
      <c r="C228" s="9" t="str">
        <f t="shared" si="23"/>
        <v/>
      </c>
      <c r="D228" s="9" t="str">
        <f t="shared" si="24"/>
        <v/>
      </c>
      <c r="E228" s="8" t="str">
        <f t="shared" si="25"/>
        <v/>
      </c>
      <c r="F228" s="9" t="str">
        <f t="shared" si="26"/>
        <v/>
      </c>
      <c r="J228" t="str">
        <f>IF(AND(MOVIMIENTOS!$B227&lt;&gt;"",NOT(AND(MOVIMIENTOS!$B227="PROCESO",MOVIMIENTOS!$C227&lt;&gt;"Chancho")),NOT(AND(MOVIMIENTOS!$B227="SALDO INICIAL",MOVIMIENTOS!$C227="Chancho"))),COUNT(J$5:J227)+1,"")</f>
        <v/>
      </c>
      <c r="K228" t="str">
        <f>IF(AND(MOVIMIENTOS!$B227&lt;&gt;"",NOT(AND(MOVIMIENTOS!$B227="PROCESO",MOVIMIENTOS!$C227&lt;&gt;"Chancho")),NOT(AND(MOVIMIENTOS!$B227="SALDO INICIAL",MOVIMIENTOS!$C227="Chancho"))),MOVIMIENTOS!$A227,"")</f>
        <v/>
      </c>
      <c r="L228" t="str">
        <f>IF(AND(MOVIMIENTOS!$B227&lt;&gt;"",NOT(AND(MOVIMIENTOS!$B227="PROCESO",MOVIMIENTOS!$C227&lt;&gt;"Chancho")),NOT(AND(MOVIMIENTOS!$B227="SALDO INICIAL",MOVIMIENTOS!$C227="Chancho"))),IF(MOVIMIENTOS!$B227="SALDO INICIAL","APERTURA ("&amp;MOVIMIENTOS!$C227&amp;")",IF(MOVIMIENTOS!$B227="COMPRA","INGRESO (compra)",IF(MOVIMIENTOS!$B227="PROCESO","CHANCHO (proceso)",IF(MOVIMIENTOS!$B227="ENVÍO A SUPESA","ENVÍO SUPESA cal. "&amp;MOVIMIENTOS!$C227,IF(MOVIMIENTOS!$B227="VENTA CHANCHO","VENTA CHANCHO",IF(MOVIMIENTOS!$B227="DEVOLUCIÓN","DEVOLUCIÓN cal. "&amp;MOVIMIENTOS!$C227,IF(MOVIMIENTOS!$B227="TRASIEGO","TRASIEGO cal. "&amp;MOVIMIENTOS!$C227,IF(MOVIMIENTOS!$B227="REGALO","REGALO "&amp;MOVIMIENTOS!$C227,IF(MOVIMIENTOS!$B227="VENTA","VENTA "&amp;MOVIMIENTOS!$C227,IF(MOVIMIENTOS!$B227="AJUSTE","AJUSTE inventario ("&amp;MOVIMIENTOS!$C227&amp;")",MOVIMIENTOS!$B227)))))))))),"")</f>
        <v/>
      </c>
      <c r="M228" t="str">
        <f>IF(AND(AND(MOVIMIENTOS!$B227&lt;&gt;"",NOT(AND(MOVIMIENTOS!$B227="PROCESO",MOVIMIENTOS!$C227&lt;&gt;"Chancho")),NOT(AND(MOVIMIENTOS!$B227="SALDO INICIAL",MOVIMIENTOS!$C227="Chancho"))),OR(MOVIMIENTOS!$B227="SALDO INICIAL",MOVIMIENTOS!$B227="COMPRA",MOVIMIENTOS!$B227="REPROCESO",AND(MOVIMIENTOS!$B227="AJUSTE",MOVIMIENTOS!$C227&lt;&gt;"Chancho",N(MOVIMIENTOS!$F227)&gt;=0))),N(MOVIMIENTOS!$F227),"")</f>
        <v/>
      </c>
      <c r="N228" t="str">
        <f>IF(AND(AND(MOVIMIENTOS!$B227&lt;&gt;"",NOT(AND(MOVIMIENTOS!$B227="PROCESO",MOVIMIENTOS!$C227&lt;&gt;"Chancho")),NOT(AND(MOVIMIENTOS!$B227="SALDO INICIAL",MOVIMIENTOS!$C227="Chancho"))),OR(MOVIMIENTOS!$B227="ENVÍO A SUPESA",MOVIMIENTOS!$B227="MALOGRADO",MOVIMIENTOS!$B227="OTRA SALIDA",MOVIMIENTOS!$B227="TRASIEGO",AND(MOVIMIENTOS!$B227="PROCESO",MOVIMIENTOS!$C227="Chancho"),AND(MOVIMIENTOS!$B227="REGALO",MOVIMIENTOS!$C227&lt;&gt;"Chancho"),AND(MOVIMIENTOS!$B227="VENTA",MOVIMIENTOS!$C227&lt;&gt;"Chancho"),AND(MOVIMIENTOS!$B227="AJUSTE",MOVIMIENTOS!$C227&lt;&gt;"Chancho",N(MOVIMIENTOS!$F227)&lt;0))),IF(MOVIMIENTOS!$B227="AJUSTE",-N(MOVIMIENTOS!$F227),N(MOVIMIENTOS!$F227)),"")</f>
        <v/>
      </c>
      <c r="O228" t="str">
        <f>IF(AND(MOVIMIENTOS!$B227&lt;&gt;"",NOT(AND(MOVIMIENTOS!$B227="PROCESO",MOVIMIENTOS!$C227&lt;&gt;"Chancho")),NOT(AND(MOVIMIENTOS!$B227="SALDO INICIAL",MOVIMIENTOS!$C227="Chancho"))),TRIM(IF(MOVIMIENTOS!$G227&lt;&gt;"",IF(MOVIMIENTOS!$B227="ENVÍO A SUPESA","G-"&amp;MOVIMIENTOS!$G227,MOVIMIENTOS!$G227)&amp;"  ","")&amp;IF(N(MOVIMIENTOS!$E227)&gt;0,MOVIMIENTOS!$E227&amp;" "&amp;MOVIMIENTOS!$D227,"")),"")</f>
        <v/>
      </c>
      <c r="P228">
        <f t="shared" si="27"/>
        <v>6138.5</v>
      </c>
    </row>
    <row r="229" spans="1:16" x14ac:dyDescent="0.2">
      <c r="A229" s="7" t="str">
        <f t="shared" si="21"/>
        <v/>
      </c>
      <c r="B229" s="8" t="str">
        <f t="shared" si="22"/>
        <v/>
      </c>
      <c r="C229" s="9" t="str">
        <f t="shared" si="23"/>
        <v/>
      </c>
      <c r="D229" s="9" t="str">
        <f t="shared" si="24"/>
        <v/>
      </c>
      <c r="E229" s="8" t="str">
        <f t="shared" si="25"/>
        <v/>
      </c>
      <c r="F229" s="9" t="str">
        <f t="shared" si="26"/>
        <v/>
      </c>
      <c r="J229" t="str">
        <f>IF(AND(MOVIMIENTOS!$B228&lt;&gt;"",NOT(AND(MOVIMIENTOS!$B228="PROCESO",MOVIMIENTOS!$C228&lt;&gt;"Chancho")),NOT(AND(MOVIMIENTOS!$B228="SALDO INICIAL",MOVIMIENTOS!$C228="Chancho"))),COUNT(J$5:J228)+1,"")</f>
        <v/>
      </c>
      <c r="K229" t="str">
        <f>IF(AND(MOVIMIENTOS!$B228&lt;&gt;"",NOT(AND(MOVIMIENTOS!$B228="PROCESO",MOVIMIENTOS!$C228&lt;&gt;"Chancho")),NOT(AND(MOVIMIENTOS!$B228="SALDO INICIAL",MOVIMIENTOS!$C228="Chancho"))),MOVIMIENTOS!$A228,"")</f>
        <v/>
      </c>
      <c r="L229" t="str">
        <f>IF(AND(MOVIMIENTOS!$B228&lt;&gt;"",NOT(AND(MOVIMIENTOS!$B228="PROCESO",MOVIMIENTOS!$C228&lt;&gt;"Chancho")),NOT(AND(MOVIMIENTOS!$B228="SALDO INICIAL",MOVIMIENTOS!$C228="Chancho"))),IF(MOVIMIENTOS!$B228="SALDO INICIAL","APERTURA ("&amp;MOVIMIENTOS!$C228&amp;")",IF(MOVIMIENTOS!$B228="COMPRA","INGRESO (compra)",IF(MOVIMIENTOS!$B228="PROCESO","CHANCHO (proceso)",IF(MOVIMIENTOS!$B228="ENVÍO A SUPESA","ENVÍO SUPESA cal. "&amp;MOVIMIENTOS!$C228,IF(MOVIMIENTOS!$B228="VENTA CHANCHO","VENTA CHANCHO",IF(MOVIMIENTOS!$B228="DEVOLUCIÓN","DEVOLUCIÓN cal. "&amp;MOVIMIENTOS!$C228,IF(MOVIMIENTOS!$B228="TRASIEGO","TRASIEGO cal. "&amp;MOVIMIENTOS!$C228,IF(MOVIMIENTOS!$B228="REGALO","REGALO "&amp;MOVIMIENTOS!$C228,IF(MOVIMIENTOS!$B228="VENTA","VENTA "&amp;MOVIMIENTOS!$C228,IF(MOVIMIENTOS!$B228="AJUSTE","AJUSTE inventario ("&amp;MOVIMIENTOS!$C228&amp;")",MOVIMIENTOS!$B228)))))))))),"")</f>
        <v/>
      </c>
      <c r="M229" t="str">
        <f>IF(AND(AND(MOVIMIENTOS!$B228&lt;&gt;"",NOT(AND(MOVIMIENTOS!$B228="PROCESO",MOVIMIENTOS!$C228&lt;&gt;"Chancho")),NOT(AND(MOVIMIENTOS!$B228="SALDO INICIAL",MOVIMIENTOS!$C228="Chancho"))),OR(MOVIMIENTOS!$B228="SALDO INICIAL",MOVIMIENTOS!$B228="COMPRA",MOVIMIENTOS!$B228="REPROCESO",AND(MOVIMIENTOS!$B228="AJUSTE",MOVIMIENTOS!$C228&lt;&gt;"Chancho",N(MOVIMIENTOS!$F228)&gt;=0))),N(MOVIMIENTOS!$F228),"")</f>
        <v/>
      </c>
      <c r="N229" t="str">
        <f>IF(AND(AND(MOVIMIENTOS!$B228&lt;&gt;"",NOT(AND(MOVIMIENTOS!$B228="PROCESO",MOVIMIENTOS!$C228&lt;&gt;"Chancho")),NOT(AND(MOVIMIENTOS!$B228="SALDO INICIAL",MOVIMIENTOS!$C228="Chancho"))),OR(MOVIMIENTOS!$B228="ENVÍO A SUPESA",MOVIMIENTOS!$B228="MALOGRADO",MOVIMIENTOS!$B228="OTRA SALIDA",MOVIMIENTOS!$B228="TRASIEGO",AND(MOVIMIENTOS!$B228="PROCESO",MOVIMIENTOS!$C228="Chancho"),AND(MOVIMIENTOS!$B228="REGALO",MOVIMIENTOS!$C228&lt;&gt;"Chancho"),AND(MOVIMIENTOS!$B228="VENTA",MOVIMIENTOS!$C228&lt;&gt;"Chancho"),AND(MOVIMIENTOS!$B228="AJUSTE",MOVIMIENTOS!$C228&lt;&gt;"Chancho",N(MOVIMIENTOS!$F228)&lt;0))),IF(MOVIMIENTOS!$B228="AJUSTE",-N(MOVIMIENTOS!$F228),N(MOVIMIENTOS!$F228)),"")</f>
        <v/>
      </c>
      <c r="O229" t="str">
        <f>IF(AND(MOVIMIENTOS!$B228&lt;&gt;"",NOT(AND(MOVIMIENTOS!$B228="PROCESO",MOVIMIENTOS!$C228&lt;&gt;"Chancho")),NOT(AND(MOVIMIENTOS!$B228="SALDO INICIAL",MOVIMIENTOS!$C228="Chancho"))),TRIM(IF(MOVIMIENTOS!$G228&lt;&gt;"",IF(MOVIMIENTOS!$B228="ENVÍO A SUPESA","G-"&amp;MOVIMIENTOS!$G228,MOVIMIENTOS!$G228)&amp;"  ","")&amp;IF(N(MOVIMIENTOS!$E228)&gt;0,MOVIMIENTOS!$E228&amp;" "&amp;MOVIMIENTOS!$D228,"")),"")</f>
        <v/>
      </c>
      <c r="P229">
        <f t="shared" si="27"/>
        <v>6138.5</v>
      </c>
    </row>
    <row r="230" spans="1:16" x14ac:dyDescent="0.2">
      <c r="A230" s="7" t="str">
        <f t="shared" si="21"/>
        <v/>
      </c>
      <c r="B230" s="8" t="str">
        <f t="shared" si="22"/>
        <v/>
      </c>
      <c r="C230" s="9" t="str">
        <f t="shared" si="23"/>
        <v/>
      </c>
      <c r="D230" s="9" t="str">
        <f t="shared" si="24"/>
        <v/>
      </c>
      <c r="E230" s="8" t="str">
        <f t="shared" si="25"/>
        <v/>
      </c>
      <c r="F230" s="9" t="str">
        <f t="shared" si="26"/>
        <v/>
      </c>
      <c r="J230" t="str">
        <f>IF(AND(MOVIMIENTOS!$B229&lt;&gt;"",NOT(AND(MOVIMIENTOS!$B229="PROCESO",MOVIMIENTOS!$C229&lt;&gt;"Chancho")),NOT(AND(MOVIMIENTOS!$B229="SALDO INICIAL",MOVIMIENTOS!$C229="Chancho"))),COUNT(J$5:J229)+1,"")</f>
        <v/>
      </c>
      <c r="K230" t="str">
        <f>IF(AND(MOVIMIENTOS!$B229&lt;&gt;"",NOT(AND(MOVIMIENTOS!$B229="PROCESO",MOVIMIENTOS!$C229&lt;&gt;"Chancho")),NOT(AND(MOVIMIENTOS!$B229="SALDO INICIAL",MOVIMIENTOS!$C229="Chancho"))),MOVIMIENTOS!$A229,"")</f>
        <v/>
      </c>
      <c r="L230" t="str">
        <f>IF(AND(MOVIMIENTOS!$B229&lt;&gt;"",NOT(AND(MOVIMIENTOS!$B229="PROCESO",MOVIMIENTOS!$C229&lt;&gt;"Chancho")),NOT(AND(MOVIMIENTOS!$B229="SALDO INICIAL",MOVIMIENTOS!$C229="Chancho"))),IF(MOVIMIENTOS!$B229="SALDO INICIAL","APERTURA ("&amp;MOVIMIENTOS!$C229&amp;")",IF(MOVIMIENTOS!$B229="COMPRA","INGRESO (compra)",IF(MOVIMIENTOS!$B229="PROCESO","CHANCHO (proceso)",IF(MOVIMIENTOS!$B229="ENVÍO A SUPESA","ENVÍO SUPESA cal. "&amp;MOVIMIENTOS!$C229,IF(MOVIMIENTOS!$B229="VENTA CHANCHO","VENTA CHANCHO",IF(MOVIMIENTOS!$B229="DEVOLUCIÓN","DEVOLUCIÓN cal. "&amp;MOVIMIENTOS!$C229,IF(MOVIMIENTOS!$B229="TRASIEGO","TRASIEGO cal. "&amp;MOVIMIENTOS!$C229,IF(MOVIMIENTOS!$B229="REGALO","REGALO "&amp;MOVIMIENTOS!$C229,IF(MOVIMIENTOS!$B229="VENTA","VENTA "&amp;MOVIMIENTOS!$C229,IF(MOVIMIENTOS!$B229="AJUSTE","AJUSTE inventario ("&amp;MOVIMIENTOS!$C229&amp;")",MOVIMIENTOS!$B229)))))))))),"")</f>
        <v/>
      </c>
      <c r="M230" t="str">
        <f>IF(AND(AND(MOVIMIENTOS!$B229&lt;&gt;"",NOT(AND(MOVIMIENTOS!$B229="PROCESO",MOVIMIENTOS!$C229&lt;&gt;"Chancho")),NOT(AND(MOVIMIENTOS!$B229="SALDO INICIAL",MOVIMIENTOS!$C229="Chancho"))),OR(MOVIMIENTOS!$B229="SALDO INICIAL",MOVIMIENTOS!$B229="COMPRA",MOVIMIENTOS!$B229="REPROCESO",AND(MOVIMIENTOS!$B229="AJUSTE",MOVIMIENTOS!$C229&lt;&gt;"Chancho",N(MOVIMIENTOS!$F229)&gt;=0))),N(MOVIMIENTOS!$F229),"")</f>
        <v/>
      </c>
      <c r="N230" t="str">
        <f>IF(AND(AND(MOVIMIENTOS!$B229&lt;&gt;"",NOT(AND(MOVIMIENTOS!$B229="PROCESO",MOVIMIENTOS!$C229&lt;&gt;"Chancho")),NOT(AND(MOVIMIENTOS!$B229="SALDO INICIAL",MOVIMIENTOS!$C229="Chancho"))),OR(MOVIMIENTOS!$B229="ENVÍO A SUPESA",MOVIMIENTOS!$B229="MALOGRADO",MOVIMIENTOS!$B229="OTRA SALIDA",MOVIMIENTOS!$B229="TRASIEGO",AND(MOVIMIENTOS!$B229="PROCESO",MOVIMIENTOS!$C229="Chancho"),AND(MOVIMIENTOS!$B229="REGALO",MOVIMIENTOS!$C229&lt;&gt;"Chancho"),AND(MOVIMIENTOS!$B229="VENTA",MOVIMIENTOS!$C229&lt;&gt;"Chancho"),AND(MOVIMIENTOS!$B229="AJUSTE",MOVIMIENTOS!$C229&lt;&gt;"Chancho",N(MOVIMIENTOS!$F229)&lt;0))),IF(MOVIMIENTOS!$B229="AJUSTE",-N(MOVIMIENTOS!$F229),N(MOVIMIENTOS!$F229)),"")</f>
        <v/>
      </c>
      <c r="O230" t="str">
        <f>IF(AND(MOVIMIENTOS!$B229&lt;&gt;"",NOT(AND(MOVIMIENTOS!$B229="PROCESO",MOVIMIENTOS!$C229&lt;&gt;"Chancho")),NOT(AND(MOVIMIENTOS!$B229="SALDO INICIAL",MOVIMIENTOS!$C229="Chancho"))),TRIM(IF(MOVIMIENTOS!$G229&lt;&gt;"",IF(MOVIMIENTOS!$B229="ENVÍO A SUPESA","G-"&amp;MOVIMIENTOS!$G229,MOVIMIENTOS!$G229)&amp;"  ","")&amp;IF(N(MOVIMIENTOS!$E229)&gt;0,MOVIMIENTOS!$E229&amp;" "&amp;MOVIMIENTOS!$D229,"")),"")</f>
        <v/>
      </c>
      <c r="P230">
        <f t="shared" si="27"/>
        <v>6138.5</v>
      </c>
    </row>
    <row r="231" spans="1:16" x14ac:dyDescent="0.2">
      <c r="A231" s="7" t="str">
        <f t="shared" si="21"/>
        <v/>
      </c>
      <c r="B231" s="8" t="str">
        <f t="shared" si="22"/>
        <v/>
      </c>
      <c r="C231" s="9" t="str">
        <f t="shared" si="23"/>
        <v/>
      </c>
      <c r="D231" s="9" t="str">
        <f t="shared" si="24"/>
        <v/>
      </c>
      <c r="E231" s="8" t="str">
        <f t="shared" si="25"/>
        <v/>
      </c>
      <c r="F231" s="9" t="str">
        <f t="shared" si="26"/>
        <v/>
      </c>
      <c r="J231" t="str">
        <f>IF(AND(MOVIMIENTOS!$B230&lt;&gt;"",NOT(AND(MOVIMIENTOS!$B230="PROCESO",MOVIMIENTOS!$C230&lt;&gt;"Chancho")),NOT(AND(MOVIMIENTOS!$B230="SALDO INICIAL",MOVIMIENTOS!$C230="Chancho"))),COUNT(J$5:J230)+1,"")</f>
        <v/>
      </c>
      <c r="K231" t="str">
        <f>IF(AND(MOVIMIENTOS!$B230&lt;&gt;"",NOT(AND(MOVIMIENTOS!$B230="PROCESO",MOVIMIENTOS!$C230&lt;&gt;"Chancho")),NOT(AND(MOVIMIENTOS!$B230="SALDO INICIAL",MOVIMIENTOS!$C230="Chancho"))),MOVIMIENTOS!$A230,"")</f>
        <v/>
      </c>
      <c r="L231" t="str">
        <f>IF(AND(MOVIMIENTOS!$B230&lt;&gt;"",NOT(AND(MOVIMIENTOS!$B230="PROCESO",MOVIMIENTOS!$C230&lt;&gt;"Chancho")),NOT(AND(MOVIMIENTOS!$B230="SALDO INICIAL",MOVIMIENTOS!$C230="Chancho"))),IF(MOVIMIENTOS!$B230="SALDO INICIAL","APERTURA ("&amp;MOVIMIENTOS!$C230&amp;")",IF(MOVIMIENTOS!$B230="COMPRA","INGRESO (compra)",IF(MOVIMIENTOS!$B230="PROCESO","CHANCHO (proceso)",IF(MOVIMIENTOS!$B230="ENVÍO A SUPESA","ENVÍO SUPESA cal. "&amp;MOVIMIENTOS!$C230,IF(MOVIMIENTOS!$B230="VENTA CHANCHO","VENTA CHANCHO",IF(MOVIMIENTOS!$B230="DEVOLUCIÓN","DEVOLUCIÓN cal. "&amp;MOVIMIENTOS!$C230,IF(MOVIMIENTOS!$B230="TRASIEGO","TRASIEGO cal. "&amp;MOVIMIENTOS!$C230,IF(MOVIMIENTOS!$B230="REGALO","REGALO "&amp;MOVIMIENTOS!$C230,IF(MOVIMIENTOS!$B230="VENTA","VENTA "&amp;MOVIMIENTOS!$C230,IF(MOVIMIENTOS!$B230="AJUSTE","AJUSTE inventario ("&amp;MOVIMIENTOS!$C230&amp;")",MOVIMIENTOS!$B230)))))))))),"")</f>
        <v/>
      </c>
      <c r="M231" t="str">
        <f>IF(AND(AND(MOVIMIENTOS!$B230&lt;&gt;"",NOT(AND(MOVIMIENTOS!$B230="PROCESO",MOVIMIENTOS!$C230&lt;&gt;"Chancho")),NOT(AND(MOVIMIENTOS!$B230="SALDO INICIAL",MOVIMIENTOS!$C230="Chancho"))),OR(MOVIMIENTOS!$B230="SALDO INICIAL",MOVIMIENTOS!$B230="COMPRA",MOVIMIENTOS!$B230="REPROCESO",AND(MOVIMIENTOS!$B230="AJUSTE",MOVIMIENTOS!$C230&lt;&gt;"Chancho",N(MOVIMIENTOS!$F230)&gt;=0))),N(MOVIMIENTOS!$F230),"")</f>
        <v/>
      </c>
      <c r="N231" t="str">
        <f>IF(AND(AND(MOVIMIENTOS!$B230&lt;&gt;"",NOT(AND(MOVIMIENTOS!$B230="PROCESO",MOVIMIENTOS!$C230&lt;&gt;"Chancho")),NOT(AND(MOVIMIENTOS!$B230="SALDO INICIAL",MOVIMIENTOS!$C230="Chancho"))),OR(MOVIMIENTOS!$B230="ENVÍO A SUPESA",MOVIMIENTOS!$B230="MALOGRADO",MOVIMIENTOS!$B230="OTRA SALIDA",MOVIMIENTOS!$B230="TRASIEGO",AND(MOVIMIENTOS!$B230="PROCESO",MOVIMIENTOS!$C230="Chancho"),AND(MOVIMIENTOS!$B230="REGALO",MOVIMIENTOS!$C230&lt;&gt;"Chancho"),AND(MOVIMIENTOS!$B230="VENTA",MOVIMIENTOS!$C230&lt;&gt;"Chancho"),AND(MOVIMIENTOS!$B230="AJUSTE",MOVIMIENTOS!$C230&lt;&gt;"Chancho",N(MOVIMIENTOS!$F230)&lt;0))),IF(MOVIMIENTOS!$B230="AJUSTE",-N(MOVIMIENTOS!$F230),N(MOVIMIENTOS!$F230)),"")</f>
        <v/>
      </c>
      <c r="O231" t="str">
        <f>IF(AND(MOVIMIENTOS!$B230&lt;&gt;"",NOT(AND(MOVIMIENTOS!$B230="PROCESO",MOVIMIENTOS!$C230&lt;&gt;"Chancho")),NOT(AND(MOVIMIENTOS!$B230="SALDO INICIAL",MOVIMIENTOS!$C230="Chancho"))),TRIM(IF(MOVIMIENTOS!$G230&lt;&gt;"",IF(MOVIMIENTOS!$B230="ENVÍO A SUPESA","G-"&amp;MOVIMIENTOS!$G230,MOVIMIENTOS!$G230)&amp;"  ","")&amp;IF(N(MOVIMIENTOS!$E230)&gt;0,MOVIMIENTOS!$E230&amp;" "&amp;MOVIMIENTOS!$D230,"")),"")</f>
        <v/>
      </c>
      <c r="P231">
        <f t="shared" si="27"/>
        <v>6138.5</v>
      </c>
    </row>
    <row r="232" spans="1:16" x14ac:dyDescent="0.2">
      <c r="A232" s="7" t="str">
        <f t="shared" si="21"/>
        <v/>
      </c>
      <c r="B232" s="8" t="str">
        <f t="shared" si="22"/>
        <v/>
      </c>
      <c r="C232" s="9" t="str">
        <f t="shared" si="23"/>
        <v/>
      </c>
      <c r="D232" s="9" t="str">
        <f t="shared" si="24"/>
        <v/>
      </c>
      <c r="E232" s="8" t="str">
        <f t="shared" si="25"/>
        <v/>
      </c>
      <c r="F232" s="9" t="str">
        <f t="shared" si="26"/>
        <v/>
      </c>
      <c r="J232" t="str">
        <f>IF(AND(MOVIMIENTOS!$B231&lt;&gt;"",NOT(AND(MOVIMIENTOS!$B231="PROCESO",MOVIMIENTOS!$C231&lt;&gt;"Chancho")),NOT(AND(MOVIMIENTOS!$B231="SALDO INICIAL",MOVIMIENTOS!$C231="Chancho"))),COUNT(J$5:J231)+1,"")</f>
        <v/>
      </c>
      <c r="K232" t="str">
        <f>IF(AND(MOVIMIENTOS!$B231&lt;&gt;"",NOT(AND(MOVIMIENTOS!$B231="PROCESO",MOVIMIENTOS!$C231&lt;&gt;"Chancho")),NOT(AND(MOVIMIENTOS!$B231="SALDO INICIAL",MOVIMIENTOS!$C231="Chancho"))),MOVIMIENTOS!$A231,"")</f>
        <v/>
      </c>
      <c r="L232" t="str">
        <f>IF(AND(MOVIMIENTOS!$B231&lt;&gt;"",NOT(AND(MOVIMIENTOS!$B231="PROCESO",MOVIMIENTOS!$C231&lt;&gt;"Chancho")),NOT(AND(MOVIMIENTOS!$B231="SALDO INICIAL",MOVIMIENTOS!$C231="Chancho"))),IF(MOVIMIENTOS!$B231="SALDO INICIAL","APERTURA ("&amp;MOVIMIENTOS!$C231&amp;")",IF(MOVIMIENTOS!$B231="COMPRA","INGRESO (compra)",IF(MOVIMIENTOS!$B231="PROCESO","CHANCHO (proceso)",IF(MOVIMIENTOS!$B231="ENVÍO A SUPESA","ENVÍO SUPESA cal. "&amp;MOVIMIENTOS!$C231,IF(MOVIMIENTOS!$B231="VENTA CHANCHO","VENTA CHANCHO",IF(MOVIMIENTOS!$B231="DEVOLUCIÓN","DEVOLUCIÓN cal. "&amp;MOVIMIENTOS!$C231,IF(MOVIMIENTOS!$B231="TRASIEGO","TRASIEGO cal. "&amp;MOVIMIENTOS!$C231,IF(MOVIMIENTOS!$B231="REGALO","REGALO "&amp;MOVIMIENTOS!$C231,IF(MOVIMIENTOS!$B231="VENTA","VENTA "&amp;MOVIMIENTOS!$C231,IF(MOVIMIENTOS!$B231="AJUSTE","AJUSTE inventario ("&amp;MOVIMIENTOS!$C231&amp;")",MOVIMIENTOS!$B231)))))))))),"")</f>
        <v/>
      </c>
      <c r="M232" t="str">
        <f>IF(AND(AND(MOVIMIENTOS!$B231&lt;&gt;"",NOT(AND(MOVIMIENTOS!$B231="PROCESO",MOVIMIENTOS!$C231&lt;&gt;"Chancho")),NOT(AND(MOVIMIENTOS!$B231="SALDO INICIAL",MOVIMIENTOS!$C231="Chancho"))),OR(MOVIMIENTOS!$B231="SALDO INICIAL",MOVIMIENTOS!$B231="COMPRA",MOVIMIENTOS!$B231="REPROCESO",AND(MOVIMIENTOS!$B231="AJUSTE",MOVIMIENTOS!$C231&lt;&gt;"Chancho",N(MOVIMIENTOS!$F231)&gt;=0))),N(MOVIMIENTOS!$F231),"")</f>
        <v/>
      </c>
      <c r="N232" t="str">
        <f>IF(AND(AND(MOVIMIENTOS!$B231&lt;&gt;"",NOT(AND(MOVIMIENTOS!$B231="PROCESO",MOVIMIENTOS!$C231&lt;&gt;"Chancho")),NOT(AND(MOVIMIENTOS!$B231="SALDO INICIAL",MOVIMIENTOS!$C231="Chancho"))),OR(MOVIMIENTOS!$B231="ENVÍO A SUPESA",MOVIMIENTOS!$B231="MALOGRADO",MOVIMIENTOS!$B231="OTRA SALIDA",MOVIMIENTOS!$B231="TRASIEGO",AND(MOVIMIENTOS!$B231="PROCESO",MOVIMIENTOS!$C231="Chancho"),AND(MOVIMIENTOS!$B231="REGALO",MOVIMIENTOS!$C231&lt;&gt;"Chancho"),AND(MOVIMIENTOS!$B231="VENTA",MOVIMIENTOS!$C231&lt;&gt;"Chancho"),AND(MOVIMIENTOS!$B231="AJUSTE",MOVIMIENTOS!$C231&lt;&gt;"Chancho",N(MOVIMIENTOS!$F231)&lt;0))),IF(MOVIMIENTOS!$B231="AJUSTE",-N(MOVIMIENTOS!$F231),N(MOVIMIENTOS!$F231)),"")</f>
        <v/>
      </c>
      <c r="O232" t="str">
        <f>IF(AND(MOVIMIENTOS!$B231&lt;&gt;"",NOT(AND(MOVIMIENTOS!$B231="PROCESO",MOVIMIENTOS!$C231&lt;&gt;"Chancho")),NOT(AND(MOVIMIENTOS!$B231="SALDO INICIAL",MOVIMIENTOS!$C231="Chancho"))),TRIM(IF(MOVIMIENTOS!$G231&lt;&gt;"",IF(MOVIMIENTOS!$B231="ENVÍO A SUPESA","G-"&amp;MOVIMIENTOS!$G231,MOVIMIENTOS!$G231)&amp;"  ","")&amp;IF(N(MOVIMIENTOS!$E231)&gt;0,MOVIMIENTOS!$E231&amp;" "&amp;MOVIMIENTOS!$D231,"")),"")</f>
        <v/>
      </c>
      <c r="P232">
        <f t="shared" si="27"/>
        <v>6138.5</v>
      </c>
    </row>
    <row r="233" spans="1:16" x14ac:dyDescent="0.2">
      <c r="A233" s="7" t="str">
        <f t="shared" si="21"/>
        <v/>
      </c>
      <c r="B233" s="8" t="str">
        <f t="shared" si="22"/>
        <v/>
      </c>
      <c r="C233" s="9" t="str">
        <f t="shared" si="23"/>
        <v/>
      </c>
      <c r="D233" s="9" t="str">
        <f t="shared" si="24"/>
        <v/>
      </c>
      <c r="E233" s="8" t="str">
        <f t="shared" si="25"/>
        <v/>
      </c>
      <c r="F233" s="9" t="str">
        <f t="shared" si="26"/>
        <v/>
      </c>
      <c r="J233" t="str">
        <f>IF(AND(MOVIMIENTOS!$B232&lt;&gt;"",NOT(AND(MOVIMIENTOS!$B232="PROCESO",MOVIMIENTOS!$C232&lt;&gt;"Chancho")),NOT(AND(MOVIMIENTOS!$B232="SALDO INICIAL",MOVIMIENTOS!$C232="Chancho"))),COUNT(J$5:J232)+1,"")</f>
        <v/>
      </c>
      <c r="K233" t="str">
        <f>IF(AND(MOVIMIENTOS!$B232&lt;&gt;"",NOT(AND(MOVIMIENTOS!$B232="PROCESO",MOVIMIENTOS!$C232&lt;&gt;"Chancho")),NOT(AND(MOVIMIENTOS!$B232="SALDO INICIAL",MOVIMIENTOS!$C232="Chancho"))),MOVIMIENTOS!$A232,"")</f>
        <v/>
      </c>
      <c r="L233" t="str">
        <f>IF(AND(MOVIMIENTOS!$B232&lt;&gt;"",NOT(AND(MOVIMIENTOS!$B232="PROCESO",MOVIMIENTOS!$C232&lt;&gt;"Chancho")),NOT(AND(MOVIMIENTOS!$B232="SALDO INICIAL",MOVIMIENTOS!$C232="Chancho"))),IF(MOVIMIENTOS!$B232="SALDO INICIAL","APERTURA ("&amp;MOVIMIENTOS!$C232&amp;")",IF(MOVIMIENTOS!$B232="COMPRA","INGRESO (compra)",IF(MOVIMIENTOS!$B232="PROCESO","CHANCHO (proceso)",IF(MOVIMIENTOS!$B232="ENVÍO A SUPESA","ENVÍO SUPESA cal. "&amp;MOVIMIENTOS!$C232,IF(MOVIMIENTOS!$B232="VENTA CHANCHO","VENTA CHANCHO",IF(MOVIMIENTOS!$B232="DEVOLUCIÓN","DEVOLUCIÓN cal. "&amp;MOVIMIENTOS!$C232,IF(MOVIMIENTOS!$B232="TRASIEGO","TRASIEGO cal. "&amp;MOVIMIENTOS!$C232,IF(MOVIMIENTOS!$B232="REGALO","REGALO "&amp;MOVIMIENTOS!$C232,IF(MOVIMIENTOS!$B232="VENTA","VENTA "&amp;MOVIMIENTOS!$C232,IF(MOVIMIENTOS!$B232="AJUSTE","AJUSTE inventario ("&amp;MOVIMIENTOS!$C232&amp;")",MOVIMIENTOS!$B232)))))))))),"")</f>
        <v/>
      </c>
      <c r="M233" t="str">
        <f>IF(AND(AND(MOVIMIENTOS!$B232&lt;&gt;"",NOT(AND(MOVIMIENTOS!$B232="PROCESO",MOVIMIENTOS!$C232&lt;&gt;"Chancho")),NOT(AND(MOVIMIENTOS!$B232="SALDO INICIAL",MOVIMIENTOS!$C232="Chancho"))),OR(MOVIMIENTOS!$B232="SALDO INICIAL",MOVIMIENTOS!$B232="COMPRA",MOVIMIENTOS!$B232="REPROCESO",AND(MOVIMIENTOS!$B232="AJUSTE",MOVIMIENTOS!$C232&lt;&gt;"Chancho",N(MOVIMIENTOS!$F232)&gt;=0))),N(MOVIMIENTOS!$F232),"")</f>
        <v/>
      </c>
      <c r="N233" t="str">
        <f>IF(AND(AND(MOVIMIENTOS!$B232&lt;&gt;"",NOT(AND(MOVIMIENTOS!$B232="PROCESO",MOVIMIENTOS!$C232&lt;&gt;"Chancho")),NOT(AND(MOVIMIENTOS!$B232="SALDO INICIAL",MOVIMIENTOS!$C232="Chancho"))),OR(MOVIMIENTOS!$B232="ENVÍO A SUPESA",MOVIMIENTOS!$B232="MALOGRADO",MOVIMIENTOS!$B232="OTRA SALIDA",MOVIMIENTOS!$B232="TRASIEGO",AND(MOVIMIENTOS!$B232="PROCESO",MOVIMIENTOS!$C232="Chancho"),AND(MOVIMIENTOS!$B232="REGALO",MOVIMIENTOS!$C232&lt;&gt;"Chancho"),AND(MOVIMIENTOS!$B232="VENTA",MOVIMIENTOS!$C232&lt;&gt;"Chancho"),AND(MOVIMIENTOS!$B232="AJUSTE",MOVIMIENTOS!$C232&lt;&gt;"Chancho",N(MOVIMIENTOS!$F232)&lt;0))),IF(MOVIMIENTOS!$B232="AJUSTE",-N(MOVIMIENTOS!$F232),N(MOVIMIENTOS!$F232)),"")</f>
        <v/>
      </c>
      <c r="O233" t="str">
        <f>IF(AND(MOVIMIENTOS!$B232&lt;&gt;"",NOT(AND(MOVIMIENTOS!$B232="PROCESO",MOVIMIENTOS!$C232&lt;&gt;"Chancho")),NOT(AND(MOVIMIENTOS!$B232="SALDO INICIAL",MOVIMIENTOS!$C232="Chancho"))),TRIM(IF(MOVIMIENTOS!$G232&lt;&gt;"",IF(MOVIMIENTOS!$B232="ENVÍO A SUPESA","G-"&amp;MOVIMIENTOS!$G232,MOVIMIENTOS!$G232)&amp;"  ","")&amp;IF(N(MOVIMIENTOS!$E232)&gt;0,MOVIMIENTOS!$E232&amp;" "&amp;MOVIMIENTOS!$D232,"")),"")</f>
        <v/>
      </c>
      <c r="P233">
        <f t="shared" si="27"/>
        <v>6138.5</v>
      </c>
    </row>
    <row r="234" spans="1:16" x14ac:dyDescent="0.2">
      <c r="A234" s="7" t="str">
        <f t="shared" si="21"/>
        <v/>
      </c>
      <c r="B234" s="8" t="str">
        <f t="shared" si="22"/>
        <v/>
      </c>
      <c r="C234" s="9" t="str">
        <f t="shared" si="23"/>
        <v/>
      </c>
      <c r="D234" s="9" t="str">
        <f t="shared" si="24"/>
        <v/>
      </c>
      <c r="E234" s="8" t="str">
        <f t="shared" si="25"/>
        <v/>
      </c>
      <c r="F234" s="9" t="str">
        <f t="shared" si="26"/>
        <v/>
      </c>
      <c r="J234" t="str">
        <f>IF(AND(MOVIMIENTOS!$B233&lt;&gt;"",NOT(AND(MOVIMIENTOS!$B233="PROCESO",MOVIMIENTOS!$C233&lt;&gt;"Chancho")),NOT(AND(MOVIMIENTOS!$B233="SALDO INICIAL",MOVIMIENTOS!$C233="Chancho"))),COUNT(J$5:J233)+1,"")</f>
        <v/>
      </c>
      <c r="K234" t="str">
        <f>IF(AND(MOVIMIENTOS!$B233&lt;&gt;"",NOT(AND(MOVIMIENTOS!$B233="PROCESO",MOVIMIENTOS!$C233&lt;&gt;"Chancho")),NOT(AND(MOVIMIENTOS!$B233="SALDO INICIAL",MOVIMIENTOS!$C233="Chancho"))),MOVIMIENTOS!$A233,"")</f>
        <v/>
      </c>
      <c r="L234" t="str">
        <f>IF(AND(MOVIMIENTOS!$B233&lt;&gt;"",NOT(AND(MOVIMIENTOS!$B233="PROCESO",MOVIMIENTOS!$C233&lt;&gt;"Chancho")),NOT(AND(MOVIMIENTOS!$B233="SALDO INICIAL",MOVIMIENTOS!$C233="Chancho"))),IF(MOVIMIENTOS!$B233="SALDO INICIAL","APERTURA ("&amp;MOVIMIENTOS!$C233&amp;")",IF(MOVIMIENTOS!$B233="COMPRA","INGRESO (compra)",IF(MOVIMIENTOS!$B233="PROCESO","CHANCHO (proceso)",IF(MOVIMIENTOS!$B233="ENVÍO A SUPESA","ENVÍO SUPESA cal. "&amp;MOVIMIENTOS!$C233,IF(MOVIMIENTOS!$B233="VENTA CHANCHO","VENTA CHANCHO",IF(MOVIMIENTOS!$B233="DEVOLUCIÓN","DEVOLUCIÓN cal. "&amp;MOVIMIENTOS!$C233,IF(MOVIMIENTOS!$B233="TRASIEGO","TRASIEGO cal. "&amp;MOVIMIENTOS!$C233,IF(MOVIMIENTOS!$B233="REGALO","REGALO "&amp;MOVIMIENTOS!$C233,IF(MOVIMIENTOS!$B233="VENTA","VENTA "&amp;MOVIMIENTOS!$C233,IF(MOVIMIENTOS!$B233="AJUSTE","AJUSTE inventario ("&amp;MOVIMIENTOS!$C233&amp;")",MOVIMIENTOS!$B233)))))))))),"")</f>
        <v/>
      </c>
      <c r="M234" t="str">
        <f>IF(AND(AND(MOVIMIENTOS!$B233&lt;&gt;"",NOT(AND(MOVIMIENTOS!$B233="PROCESO",MOVIMIENTOS!$C233&lt;&gt;"Chancho")),NOT(AND(MOVIMIENTOS!$B233="SALDO INICIAL",MOVIMIENTOS!$C233="Chancho"))),OR(MOVIMIENTOS!$B233="SALDO INICIAL",MOVIMIENTOS!$B233="COMPRA",MOVIMIENTOS!$B233="REPROCESO",AND(MOVIMIENTOS!$B233="AJUSTE",MOVIMIENTOS!$C233&lt;&gt;"Chancho",N(MOVIMIENTOS!$F233)&gt;=0))),N(MOVIMIENTOS!$F233),"")</f>
        <v/>
      </c>
      <c r="N234" t="str">
        <f>IF(AND(AND(MOVIMIENTOS!$B233&lt;&gt;"",NOT(AND(MOVIMIENTOS!$B233="PROCESO",MOVIMIENTOS!$C233&lt;&gt;"Chancho")),NOT(AND(MOVIMIENTOS!$B233="SALDO INICIAL",MOVIMIENTOS!$C233="Chancho"))),OR(MOVIMIENTOS!$B233="ENVÍO A SUPESA",MOVIMIENTOS!$B233="MALOGRADO",MOVIMIENTOS!$B233="OTRA SALIDA",MOVIMIENTOS!$B233="TRASIEGO",AND(MOVIMIENTOS!$B233="PROCESO",MOVIMIENTOS!$C233="Chancho"),AND(MOVIMIENTOS!$B233="REGALO",MOVIMIENTOS!$C233&lt;&gt;"Chancho"),AND(MOVIMIENTOS!$B233="VENTA",MOVIMIENTOS!$C233&lt;&gt;"Chancho"),AND(MOVIMIENTOS!$B233="AJUSTE",MOVIMIENTOS!$C233&lt;&gt;"Chancho",N(MOVIMIENTOS!$F233)&lt;0))),IF(MOVIMIENTOS!$B233="AJUSTE",-N(MOVIMIENTOS!$F233),N(MOVIMIENTOS!$F233)),"")</f>
        <v/>
      </c>
      <c r="O234" t="str">
        <f>IF(AND(MOVIMIENTOS!$B233&lt;&gt;"",NOT(AND(MOVIMIENTOS!$B233="PROCESO",MOVIMIENTOS!$C233&lt;&gt;"Chancho")),NOT(AND(MOVIMIENTOS!$B233="SALDO INICIAL",MOVIMIENTOS!$C233="Chancho"))),TRIM(IF(MOVIMIENTOS!$G233&lt;&gt;"",IF(MOVIMIENTOS!$B233="ENVÍO A SUPESA","G-"&amp;MOVIMIENTOS!$G233,MOVIMIENTOS!$G233)&amp;"  ","")&amp;IF(N(MOVIMIENTOS!$E233)&gt;0,MOVIMIENTOS!$E233&amp;" "&amp;MOVIMIENTOS!$D233,"")),"")</f>
        <v/>
      </c>
      <c r="P234">
        <f t="shared" si="27"/>
        <v>6138.5</v>
      </c>
    </row>
    <row r="235" spans="1:16" x14ac:dyDescent="0.2">
      <c r="A235" s="7" t="str">
        <f t="shared" si="21"/>
        <v/>
      </c>
      <c r="B235" s="8" t="str">
        <f t="shared" si="22"/>
        <v/>
      </c>
      <c r="C235" s="9" t="str">
        <f t="shared" si="23"/>
        <v/>
      </c>
      <c r="D235" s="9" t="str">
        <f t="shared" si="24"/>
        <v/>
      </c>
      <c r="E235" s="8" t="str">
        <f t="shared" si="25"/>
        <v/>
      </c>
      <c r="F235" s="9" t="str">
        <f t="shared" si="26"/>
        <v/>
      </c>
      <c r="J235" t="str">
        <f>IF(AND(MOVIMIENTOS!$B234&lt;&gt;"",NOT(AND(MOVIMIENTOS!$B234="PROCESO",MOVIMIENTOS!$C234&lt;&gt;"Chancho")),NOT(AND(MOVIMIENTOS!$B234="SALDO INICIAL",MOVIMIENTOS!$C234="Chancho"))),COUNT(J$5:J234)+1,"")</f>
        <v/>
      </c>
      <c r="K235" t="str">
        <f>IF(AND(MOVIMIENTOS!$B234&lt;&gt;"",NOT(AND(MOVIMIENTOS!$B234="PROCESO",MOVIMIENTOS!$C234&lt;&gt;"Chancho")),NOT(AND(MOVIMIENTOS!$B234="SALDO INICIAL",MOVIMIENTOS!$C234="Chancho"))),MOVIMIENTOS!$A234,"")</f>
        <v/>
      </c>
      <c r="L235" t="str">
        <f>IF(AND(MOVIMIENTOS!$B234&lt;&gt;"",NOT(AND(MOVIMIENTOS!$B234="PROCESO",MOVIMIENTOS!$C234&lt;&gt;"Chancho")),NOT(AND(MOVIMIENTOS!$B234="SALDO INICIAL",MOVIMIENTOS!$C234="Chancho"))),IF(MOVIMIENTOS!$B234="SALDO INICIAL","APERTURA ("&amp;MOVIMIENTOS!$C234&amp;")",IF(MOVIMIENTOS!$B234="COMPRA","INGRESO (compra)",IF(MOVIMIENTOS!$B234="PROCESO","CHANCHO (proceso)",IF(MOVIMIENTOS!$B234="ENVÍO A SUPESA","ENVÍO SUPESA cal. "&amp;MOVIMIENTOS!$C234,IF(MOVIMIENTOS!$B234="VENTA CHANCHO","VENTA CHANCHO",IF(MOVIMIENTOS!$B234="DEVOLUCIÓN","DEVOLUCIÓN cal. "&amp;MOVIMIENTOS!$C234,IF(MOVIMIENTOS!$B234="TRASIEGO","TRASIEGO cal. "&amp;MOVIMIENTOS!$C234,IF(MOVIMIENTOS!$B234="REGALO","REGALO "&amp;MOVIMIENTOS!$C234,IF(MOVIMIENTOS!$B234="VENTA","VENTA "&amp;MOVIMIENTOS!$C234,IF(MOVIMIENTOS!$B234="AJUSTE","AJUSTE inventario ("&amp;MOVIMIENTOS!$C234&amp;")",MOVIMIENTOS!$B234)))))))))),"")</f>
        <v/>
      </c>
      <c r="M235" t="str">
        <f>IF(AND(AND(MOVIMIENTOS!$B234&lt;&gt;"",NOT(AND(MOVIMIENTOS!$B234="PROCESO",MOVIMIENTOS!$C234&lt;&gt;"Chancho")),NOT(AND(MOVIMIENTOS!$B234="SALDO INICIAL",MOVIMIENTOS!$C234="Chancho"))),OR(MOVIMIENTOS!$B234="SALDO INICIAL",MOVIMIENTOS!$B234="COMPRA",MOVIMIENTOS!$B234="REPROCESO",AND(MOVIMIENTOS!$B234="AJUSTE",MOVIMIENTOS!$C234&lt;&gt;"Chancho",N(MOVIMIENTOS!$F234)&gt;=0))),N(MOVIMIENTOS!$F234),"")</f>
        <v/>
      </c>
      <c r="N235" t="str">
        <f>IF(AND(AND(MOVIMIENTOS!$B234&lt;&gt;"",NOT(AND(MOVIMIENTOS!$B234="PROCESO",MOVIMIENTOS!$C234&lt;&gt;"Chancho")),NOT(AND(MOVIMIENTOS!$B234="SALDO INICIAL",MOVIMIENTOS!$C234="Chancho"))),OR(MOVIMIENTOS!$B234="ENVÍO A SUPESA",MOVIMIENTOS!$B234="MALOGRADO",MOVIMIENTOS!$B234="OTRA SALIDA",MOVIMIENTOS!$B234="TRASIEGO",AND(MOVIMIENTOS!$B234="PROCESO",MOVIMIENTOS!$C234="Chancho"),AND(MOVIMIENTOS!$B234="REGALO",MOVIMIENTOS!$C234&lt;&gt;"Chancho"),AND(MOVIMIENTOS!$B234="VENTA",MOVIMIENTOS!$C234&lt;&gt;"Chancho"),AND(MOVIMIENTOS!$B234="AJUSTE",MOVIMIENTOS!$C234&lt;&gt;"Chancho",N(MOVIMIENTOS!$F234)&lt;0))),IF(MOVIMIENTOS!$B234="AJUSTE",-N(MOVIMIENTOS!$F234),N(MOVIMIENTOS!$F234)),"")</f>
        <v/>
      </c>
      <c r="O235" t="str">
        <f>IF(AND(MOVIMIENTOS!$B234&lt;&gt;"",NOT(AND(MOVIMIENTOS!$B234="PROCESO",MOVIMIENTOS!$C234&lt;&gt;"Chancho")),NOT(AND(MOVIMIENTOS!$B234="SALDO INICIAL",MOVIMIENTOS!$C234="Chancho"))),TRIM(IF(MOVIMIENTOS!$G234&lt;&gt;"",IF(MOVIMIENTOS!$B234="ENVÍO A SUPESA","G-"&amp;MOVIMIENTOS!$G234,MOVIMIENTOS!$G234)&amp;"  ","")&amp;IF(N(MOVIMIENTOS!$E234)&gt;0,MOVIMIENTOS!$E234&amp;" "&amp;MOVIMIENTOS!$D234,"")),"")</f>
        <v/>
      </c>
      <c r="P235">
        <f t="shared" si="27"/>
        <v>6138.5</v>
      </c>
    </row>
    <row r="236" spans="1:16" x14ac:dyDescent="0.2">
      <c r="A236" s="7" t="str">
        <f t="shared" si="21"/>
        <v/>
      </c>
      <c r="B236" s="8" t="str">
        <f t="shared" si="22"/>
        <v/>
      </c>
      <c r="C236" s="9" t="str">
        <f t="shared" si="23"/>
        <v/>
      </c>
      <c r="D236" s="9" t="str">
        <f t="shared" si="24"/>
        <v/>
      </c>
      <c r="E236" s="8" t="str">
        <f t="shared" si="25"/>
        <v/>
      </c>
      <c r="F236" s="9" t="str">
        <f t="shared" si="26"/>
        <v/>
      </c>
      <c r="J236" t="str">
        <f>IF(AND(MOVIMIENTOS!$B235&lt;&gt;"",NOT(AND(MOVIMIENTOS!$B235="PROCESO",MOVIMIENTOS!$C235&lt;&gt;"Chancho")),NOT(AND(MOVIMIENTOS!$B235="SALDO INICIAL",MOVIMIENTOS!$C235="Chancho"))),COUNT(J$5:J235)+1,"")</f>
        <v/>
      </c>
      <c r="K236" t="str">
        <f>IF(AND(MOVIMIENTOS!$B235&lt;&gt;"",NOT(AND(MOVIMIENTOS!$B235="PROCESO",MOVIMIENTOS!$C235&lt;&gt;"Chancho")),NOT(AND(MOVIMIENTOS!$B235="SALDO INICIAL",MOVIMIENTOS!$C235="Chancho"))),MOVIMIENTOS!$A235,"")</f>
        <v/>
      </c>
      <c r="L236" t="str">
        <f>IF(AND(MOVIMIENTOS!$B235&lt;&gt;"",NOT(AND(MOVIMIENTOS!$B235="PROCESO",MOVIMIENTOS!$C235&lt;&gt;"Chancho")),NOT(AND(MOVIMIENTOS!$B235="SALDO INICIAL",MOVIMIENTOS!$C235="Chancho"))),IF(MOVIMIENTOS!$B235="SALDO INICIAL","APERTURA ("&amp;MOVIMIENTOS!$C235&amp;")",IF(MOVIMIENTOS!$B235="COMPRA","INGRESO (compra)",IF(MOVIMIENTOS!$B235="PROCESO","CHANCHO (proceso)",IF(MOVIMIENTOS!$B235="ENVÍO A SUPESA","ENVÍO SUPESA cal. "&amp;MOVIMIENTOS!$C235,IF(MOVIMIENTOS!$B235="VENTA CHANCHO","VENTA CHANCHO",IF(MOVIMIENTOS!$B235="DEVOLUCIÓN","DEVOLUCIÓN cal. "&amp;MOVIMIENTOS!$C235,IF(MOVIMIENTOS!$B235="TRASIEGO","TRASIEGO cal. "&amp;MOVIMIENTOS!$C235,IF(MOVIMIENTOS!$B235="REGALO","REGALO "&amp;MOVIMIENTOS!$C235,IF(MOVIMIENTOS!$B235="VENTA","VENTA "&amp;MOVIMIENTOS!$C235,IF(MOVIMIENTOS!$B235="AJUSTE","AJUSTE inventario ("&amp;MOVIMIENTOS!$C235&amp;")",MOVIMIENTOS!$B235)))))))))),"")</f>
        <v/>
      </c>
      <c r="M236" t="str">
        <f>IF(AND(AND(MOVIMIENTOS!$B235&lt;&gt;"",NOT(AND(MOVIMIENTOS!$B235="PROCESO",MOVIMIENTOS!$C235&lt;&gt;"Chancho")),NOT(AND(MOVIMIENTOS!$B235="SALDO INICIAL",MOVIMIENTOS!$C235="Chancho"))),OR(MOVIMIENTOS!$B235="SALDO INICIAL",MOVIMIENTOS!$B235="COMPRA",MOVIMIENTOS!$B235="REPROCESO",AND(MOVIMIENTOS!$B235="AJUSTE",MOVIMIENTOS!$C235&lt;&gt;"Chancho",N(MOVIMIENTOS!$F235)&gt;=0))),N(MOVIMIENTOS!$F235),"")</f>
        <v/>
      </c>
      <c r="N236" t="str">
        <f>IF(AND(AND(MOVIMIENTOS!$B235&lt;&gt;"",NOT(AND(MOVIMIENTOS!$B235="PROCESO",MOVIMIENTOS!$C235&lt;&gt;"Chancho")),NOT(AND(MOVIMIENTOS!$B235="SALDO INICIAL",MOVIMIENTOS!$C235="Chancho"))),OR(MOVIMIENTOS!$B235="ENVÍO A SUPESA",MOVIMIENTOS!$B235="MALOGRADO",MOVIMIENTOS!$B235="OTRA SALIDA",MOVIMIENTOS!$B235="TRASIEGO",AND(MOVIMIENTOS!$B235="PROCESO",MOVIMIENTOS!$C235="Chancho"),AND(MOVIMIENTOS!$B235="REGALO",MOVIMIENTOS!$C235&lt;&gt;"Chancho"),AND(MOVIMIENTOS!$B235="VENTA",MOVIMIENTOS!$C235&lt;&gt;"Chancho"),AND(MOVIMIENTOS!$B235="AJUSTE",MOVIMIENTOS!$C235&lt;&gt;"Chancho",N(MOVIMIENTOS!$F235)&lt;0))),IF(MOVIMIENTOS!$B235="AJUSTE",-N(MOVIMIENTOS!$F235),N(MOVIMIENTOS!$F235)),"")</f>
        <v/>
      </c>
      <c r="O236" t="str">
        <f>IF(AND(MOVIMIENTOS!$B235&lt;&gt;"",NOT(AND(MOVIMIENTOS!$B235="PROCESO",MOVIMIENTOS!$C235&lt;&gt;"Chancho")),NOT(AND(MOVIMIENTOS!$B235="SALDO INICIAL",MOVIMIENTOS!$C235="Chancho"))),TRIM(IF(MOVIMIENTOS!$G235&lt;&gt;"",IF(MOVIMIENTOS!$B235="ENVÍO A SUPESA","G-"&amp;MOVIMIENTOS!$G235,MOVIMIENTOS!$G235)&amp;"  ","")&amp;IF(N(MOVIMIENTOS!$E235)&gt;0,MOVIMIENTOS!$E235&amp;" "&amp;MOVIMIENTOS!$D235,"")),"")</f>
        <v/>
      </c>
      <c r="P236">
        <f t="shared" si="27"/>
        <v>6138.5</v>
      </c>
    </row>
    <row r="237" spans="1:16" x14ac:dyDescent="0.2">
      <c r="A237" s="7" t="str">
        <f t="shared" si="21"/>
        <v/>
      </c>
      <c r="B237" s="8" t="str">
        <f t="shared" si="22"/>
        <v/>
      </c>
      <c r="C237" s="9" t="str">
        <f t="shared" si="23"/>
        <v/>
      </c>
      <c r="D237" s="9" t="str">
        <f t="shared" si="24"/>
        <v/>
      </c>
      <c r="E237" s="8" t="str">
        <f t="shared" si="25"/>
        <v/>
      </c>
      <c r="F237" s="9" t="str">
        <f t="shared" si="26"/>
        <v/>
      </c>
      <c r="J237" t="str">
        <f>IF(AND(MOVIMIENTOS!$B236&lt;&gt;"",NOT(AND(MOVIMIENTOS!$B236="PROCESO",MOVIMIENTOS!$C236&lt;&gt;"Chancho")),NOT(AND(MOVIMIENTOS!$B236="SALDO INICIAL",MOVIMIENTOS!$C236="Chancho"))),COUNT(J$5:J236)+1,"")</f>
        <v/>
      </c>
      <c r="K237" t="str">
        <f>IF(AND(MOVIMIENTOS!$B236&lt;&gt;"",NOT(AND(MOVIMIENTOS!$B236="PROCESO",MOVIMIENTOS!$C236&lt;&gt;"Chancho")),NOT(AND(MOVIMIENTOS!$B236="SALDO INICIAL",MOVIMIENTOS!$C236="Chancho"))),MOVIMIENTOS!$A236,"")</f>
        <v/>
      </c>
      <c r="L237" t="str">
        <f>IF(AND(MOVIMIENTOS!$B236&lt;&gt;"",NOT(AND(MOVIMIENTOS!$B236="PROCESO",MOVIMIENTOS!$C236&lt;&gt;"Chancho")),NOT(AND(MOVIMIENTOS!$B236="SALDO INICIAL",MOVIMIENTOS!$C236="Chancho"))),IF(MOVIMIENTOS!$B236="SALDO INICIAL","APERTURA ("&amp;MOVIMIENTOS!$C236&amp;")",IF(MOVIMIENTOS!$B236="COMPRA","INGRESO (compra)",IF(MOVIMIENTOS!$B236="PROCESO","CHANCHO (proceso)",IF(MOVIMIENTOS!$B236="ENVÍO A SUPESA","ENVÍO SUPESA cal. "&amp;MOVIMIENTOS!$C236,IF(MOVIMIENTOS!$B236="VENTA CHANCHO","VENTA CHANCHO",IF(MOVIMIENTOS!$B236="DEVOLUCIÓN","DEVOLUCIÓN cal. "&amp;MOVIMIENTOS!$C236,IF(MOVIMIENTOS!$B236="TRASIEGO","TRASIEGO cal. "&amp;MOVIMIENTOS!$C236,IF(MOVIMIENTOS!$B236="REGALO","REGALO "&amp;MOVIMIENTOS!$C236,IF(MOVIMIENTOS!$B236="VENTA","VENTA "&amp;MOVIMIENTOS!$C236,IF(MOVIMIENTOS!$B236="AJUSTE","AJUSTE inventario ("&amp;MOVIMIENTOS!$C236&amp;")",MOVIMIENTOS!$B236)))))))))),"")</f>
        <v/>
      </c>
      <c r="M237" t="str">
        <f>IF(AND(AND(MOVIMIENTOS!$B236&lt;&gt;"",NOT(AND(MOVIMIENTOS!$B236="PROCESO",MOVIMIENTOS!$C236&lt;&gt;"Chancho")),NOT(AND(MOVIMIENTOS!$B236="SALDO INICIAL",MOVIMIENTOS!$C236="Chancho"))),OR(MOVIMIENTOS!$B236="SALDO INICIAL",MOVIMIENTOS!$B236="COMPRA",MOVIMIENTOS!$B236="REPROCESO",AND(MOVIMIENTOS!$B236="AJUSTE",MOVIMIENTOS!$C236&lt;&gt;"Chancho",N(MOVIMIENTOS!$F236)&gt;=0))),N(MOVIMIENTOS!$F236),"")</f>
        <v/>
      </c>
      <c r="N237" t="str">
        <f>IF(AND(AND(MOVIMIENTOS!$B236&lt;&gt;"",NOT(AND(MOVIMIENTOS!$B236="PROCESO",MOVIMIENTOS!$C236&lt;&gt;"Chancho")),NOT(AND(MOVIMIENTOS!$B236="SALDO INICIAL",MOVIMIENTOS!$C236="Chancho"))),OR(MOVIMIENTOS!$B236="ENVÍO A SUPESA",MOVIMIENTOS!$B236="MALOGRADO",MOVIMIENTOS!$B236="OTRA SALIDA",MOVIMIENTOS!$B236="TRASIEGO",AND(MOVIMIENTOS!$B236="PROCESO",MOVIMIENTOS!$C236="Chancho"),AND(MOVIMIENTOS!$B236="REGALO",MOVIMIENTOS!$C236&lt;&gt;"Chancho"),AND(MOVIMIENTOS!$B236="VENTA",MOVIMIENTOS!$C236&lt;&gt;"Chancho"),AND(MOVIMIENTOS!$B236="AJUSTE",MOVIMIENTOS!$C236&lt;&gt;"Chancho",N(MOVIMIENTOS!$F236)&lt;0))),IF(MOVIMIENTOS!$B236="AJUSTE",-N(MOVIMIENTOS!$F236),N(MOVIMIENTOS!$F236)),"")</f>
        <v/>
      </c>
      <c r="O237" t="str">
        <f>IF(AND(MOVIMIENTOS!$B236&lt;&gt;"",NOT(AND(MOVIMIENTOS!$B236="PROCESO",MOVIMIENTOS!$C236&lt;&gt;"Chancho")),NOT(AND(MOVIMIENTOS!$B236="SALDO INICIAL",MOVIMIENTOS!$C236="Chancho"))),TRIM(IF(MOVIMIENTOS!$G236&lt;&gt;"",IF(MOVIMIENTOS!$B236="ENVÍO A SUPESA","G-"&amp;MOVIMIENTOS!$G236,MOVIMIENTOS!$G236)&amp;"  ","")&amp;IF(N(MOVIMIENTOS!$E236)&gt;0,MOVIMIENTOS!$E236&amp;" "&amp;MOVIMIENTOS!$D236,"")),"")</f>
        <v/>
      </c>
      <c r="P237">
        <f t="shared" si="27"/>
        <v>6138.5</v>
      </c>
    </row>
    <row r="238" spans="1:16" x14ac:dyDescent="0.2">
      <c r="A238" s="7" t="str">
        <f t="shared" si="21"/>
        <v/>
      </c>
      <c r="B238" s="8" t="str">
        <f t="shared" si="22"/>
        <v/>
      </c>
      <c r="C238" s="9" t="str">
        <f t="shared" si="23"/>
        <v/>
      </c>
      <c r="D238" s="9" t="str">
        <f t="shared" si="24"/>
        <v/>
      </c>
      <c r="E238" s="8" t="str">
        <f t="shared" si="25"/>
        <v/>
      </c>
      <c r="F238" s="9" t="str">
        <f t="shared" si="26"/>
        <v/>
      </c>
      <c r="J238" t="str">
        <f>IF(AND(MOVIMIENTOS!$B237&lt;&gt;"",NOT(AND(MOVIMIENTOS!$B237="PROCESO",MOVIMIENTOS!$C237&lt;&gt;"Chancho")),NOT(AND(MOVIMIENTOS!$B237="SALDO INICIAL",MOVIMIENTOS!$C237="Chancho"))),COUNT(J$5:J237)+1,"")</f>
        <v/>
      </c>
      <c r="K238" t="str">
        <f>IF(AND(MOVIMIENTOS!$B237&lt;&gt;"",NOT(AND(MOVIMIENTOS!$B237="PROCESO",MOVIMIENTOS!$C237&lt;&gt;"Chancho")),NOT(AND(MOVIMIENTOS!$B237="SALDO INICIAL",MOVIMIENTOS!$C237="Chancho"))),MOVIMIENTOS!$A237,"")</f>
        <v/>
      </c>
      <c r="L238" t="str">
        <f>IF(AND(MOVIMIENTOS!$B237&lt;&gt;"",NOT(AND(MOVIMIENTOS!$B237="PROCESO",MOVIMIENTOS!$C237&lt;&gt;"Chancho")),NOT(AND(MOVIMIENTOS!$B237="SALDO INICIAL",MOVIMIENTOS!$C237="Chancho"))),IF(MOVIMIENTOS!$B237="SALDO INICIAL","APERTURA ("&amp;MOVIMIENTOS!$C237&amp;")",IF(MOVIMIENTOS!$B237="COMPRA","INGRESO (compra)",IF(MOVIMIENTOS!$B237="PROCESO","CHANCHO (proceso)",IF(MOVIMIENTOS!$B237="ENVÍO A SUPESA","ENVÍO SUPESA cal. "&amp;MOVIMIENTOS!$C237,IF(MOVIMIENTOS!$B237="VENTA CHANCHO","VENTA CHANCHO",IF(MOVIMIENTOS!$B237="DEVOLUCIÓN","DEVOLUCIÓN cal. "&amp;MOVIMIENTOS!$C237,IF(MOVIMIENTOS!$B237="TRASIEGO","TRASIEGO cal. "&amp;MOVIMIENTOS!$C237,IF(MOVIMIENTOS!$B237="REGALO","REGALO "&amp;MOVIMIENTOS!$C237,IF(MOVIMIENTOS!$B237="VENTA","VENTA "&amp;MOVIMIENTOS!$C237,IF(MOVIMIENTOS!$B237="AJUSTE","AJUSTE inventario ("&amp;MOVIMIENTOS!$C237&amp;")",MOVIMIENTOS!$B237)))))))))),"")</f>
        <v/>
      </c>
      <c r="M238" t="str">
        <f>IF(AND(AND(MOVIMIENTOS!$B237&lt;&gt;"",NOT(AND(MOVIMIENTOS!$B237="PROCESO",MOVIMIENTOS!$C237&lt;&gt;"Chancho")),NOT(AND(MOVIMIENTOS!$B237="SALDO INICIAL",MOVIMIENTOS!$C237="Chancho"))),OR(MOVIMIENTOS!$B237="SALDO INICIAL",MOVIMIENTOS!$B237="COMPRA",MOVIMIENTOS!$B237="REPROCESO",AND(MOVIMIENTOS!$B237="AJUSTE",MOVIMIENTOS!$C237&lt;&gt;"Chancho",N(MOVIMIENTOS!$F237)&gt;=0))),N(MOVIMIENTOS!$F237),"")</f>
        <v/>
      </c>
      <c r="N238" t="str">
        <f>IF(AND(AND(MOVIMIENTOS!$B237&lt;&gt;"",NOT(AND(MOVIMIENTOS!$B237="PROCESO",MOVIMIENTOS!$C237&lt;&gt;"Chancho")),NOT(AND(MOVIMIENTOS!$B237="SALDO INICIAL",MOVIMIENTOS!$C237="Chancho"))),OR(MOVIMIENTOS!$B237="ENVÍO A SUPESA",MOVIMIENTOS!$B237="MALOGRADO",MOVIMIENTOS!$B237="OTRA SALIDA",MOVIMIENTOS!$B237="TRASIEGO",AND(MOVIMIENTOS!$B237="PROCESO",MOVIMIENTOS!$C237="Chancho"),AND(MOVIMIENTOS!$B237="REGALO",MOVIMIENTOS!$C237&lt;&gt;"Chancho"),AND(MOVIMIENTOS!$B237="VENTA",MOVIMIENTOS!$C237&lt;&gt;"Chancho"),AND(MOVIMIENTOS!$B237="AJUSTE",MOVIMIENTOS!$C237&lt;&gt;"Chancho",N(MOVIMIENTOS!$F237)&lt;0))),IF(MOVIMIENTOS!$B237="AJUSTE",-N(MOVIMIENTOS!$F237),N(MOVIMIENTOS!$F237)),"")</f>
        <v/>
      </c>
      <c r="O238" t="str">
        <f>IF(AND(MOVIMIENTOS!$B237&lt;&gt;"",NOT(AND(MOVIMIENTOS!$B237="PROCESO",MOVIMIENTOS!$C237&lt;&gt;"Chancho")),NOT(AND(MOVIMIENTOS!$B237="SALDO INICIAL",MOVIMIENTOS!$C237="Chancho"))),TRIM(IF(MOVIMIENTOS!$G237&lt;&gt;"",IF(MOVIMIENTOS!$B237="ENVÍO A SUPESA","G-"&amp;MOVIMIENTOS!$G237,MOVIMIENTOS!$G237)&amp;"  ","")&amp;IF(N(MOVIMIENTOS!$E237)&gt;0,MOVIMIENTOS!$E237&amp;" "&amp;MOVIMIENTOS!$D237,"")),"")</f>
        <v/>
      </c>
      <c r="P238">
        <f t="shared" si="27"/>
        <v>6138.5</v>
      </c>
    </row>
    <row r="239" spans="1:16" x14ac:dyDescent="0.2">
      <c r="A239" s="7" t="str">
        <f t="shared" si="21"/>
        <v/>
      </c>
      <c r="B239" s="8" t="str">
        <f t="shared" si="22"/>
        <v/>
      </c>
      <c r="C239" s="9" t="str">
        <f t="shared" si="23"/>
        <v/>
      </c>
      <c r="D239" s="9" t="str">
        <f t="shared" si="24"/>
        <v/>
      </c>
      <c r="E239" s="8" t="str">
        <f t="shared" si="25"/>
        <v/>
      </c>
      <c r="F239" s="9" t="str">
        <f t="shared" si="26"/>
        <v/>
      </c>
      <c r="J239" t="str">
        <f>IF(AND(MOVIMIENTOS!$B238&lt;&gt;"",NOT(AND(MOVIMIENTOS!$B238="PROCESO",MOVIMIENTOS!$C238&lt;&gt;"Chancho")),NOT(AND(MOVIMIENTOS!$B238="SALDO INICIAL",MOVIMIENTOS!$C238="Chancho"))),COUNT(J$5:J238)+1,"")</f>
        <v/>
      </c>
      <c r="K239" t="str">
        <f>IF(AND(MOVIMIENTOS!$B238&lt;&gt;"",NOT(AND(MOVIMIENTOS!$B238="PROCESO",MOVIMIENTOS!$C238&lt;&gt;"Chancho")),NOT(AND(MOVIMIENTOS!$B238="SALDO INICIAL",MOVIMIENTOS!$C238="Chancho"))),MOVIMIENTOS!$A238,"")</f>
        <v/>
      </c>
      <c r="L239" t="str">
        <f>IF(AND(MOVIMIENTOS!$B238&lt;&gt;"",NOT(AND(MOVIMIENTOS!$B238="PROCESO",MOVIMIENTOS!$C238&lt;&gt;"Chancho")),NOT(AND(MOVIMIENTOS!$B238="SALDO INICIAL",MOVIMIENTOS!$C238="Chancho"))),IF(MOVIMIENTOS!$B238="SALDO INICIAL","APERTURA ("&amp;MOVIMIENTOS!$C238&amp;")",IF(MOVIMIENTOS!$B238="COMPRA","INGRESO (compra)",IF(MOVIMIENTOS!$B238="PROCESO","CHANCHO (proceso)",IF(MOVIMIENTOS!$B238="ENVÍO A SUPESA","ENVÍO SUPESA cal. "&amp;MOVIMIENTOS!$C238,IF(MOVIMIENTOS!$B238="VENTA CHANCHO","VENTA CHANCHO",IF(MOVIMIENTOS!$B238="DEVOLUCIÓN","DEVOLUCIÓN cal. "&amp;MOVIMIENTOS!$C238,IF(MOVIMIENTOS!$B238="TRASIEGO","TRASIEGO cal. "&amp;MOVIMIENTOS!$C238,IF(MOVIMIENTOS!$B238="REGALO","REGALO "&amp;MOVIMIENTOS!$C238,IF(MOVIMIENTOS!$B238="VENTA","VENTA "&amp;MOVIMIENTOS!$C238,IF(MOVIMIENTOS!$B238="AJUSTE","AJUSTE inventario ("&amp;MOVIMIENTOS!$C238&amp;")",MOVIMIENTOS!$B238)))))))))),"")</f>
        <v/>
      </c>
      <c r="M239" t="str">
        <f>IF(AND(AND(MOVIMIENTOS!$B238&lt;&gt;"",NOT(AND(MOVIMIENTOS!$B238="PROCESO",MOVIMIENTOS!$C238&lt;&gt;"Chancho")),NOT(AND(MOVIMIENTOS!$B238="SALDO INICIAL",MOVIMIENTOS!$C238="Chancho"))),OR(MOVIMIENTOS!$B238="SALDO INICIAL",MOVIMIENTOS!$B238="COMPRA",MOVIMIENTOS!$B238="REPROCESO",AND(MOVIMIENTOS!$B238="AJUSTE",MOVIMIENTOS!$C238&lt;&gt;"Chancho",N(MOVIMIENTOS!$F238)&gt;=0))),N(MOVIMIENTOS!$F238),"")</f>
        <v/>
      </c>
      <c r="N239" t="str">
        <f>IF(AND(AND(MOVIMIENTOS!$B238&lt;&gt;"",NOT(AND(MOVIMIENTOS!$B238="PROCESO",MOVIMIENTOS!$C238&lt;&gt;"Chancho")),NOT(AND(MOVIMIENTOS!$B238="SALDO INICIAL",MOVIMIENTOS!$C238="Chancho"))),OR(MOVIMIENTOS!$B238="ENVÍO A SUPESA",MOVIMIENTOS!$B238="MALOGRADO",MOVIMIENTOS!$B238="OTRA SALIDA",MOVIMIENTOS!$B238="TRASIEGO",AND(MOVIMIENTOS!$B238="PROCESO",MOVIMIENTOS!$C238="Chancho"),AND(MOVIMIENTOS!$B238="REGALO",MOVIMIENTOS!$C238&lt;&gt;"Chancho"),AND(MOVIMIENTOS!$B238="VENTA",MOVIMIENTOS!$C238&lt;&gt;"Chancho"),AND(MOVIMIENTOS!$B238="AJUSTE",MOVIMIENTOS!$C238&lt;&gt;"Chancho",N(MOVIMIENTOS!$F238)&lt;0))),IF(MOVIMIENTOS!$B238="AJUSTE",-N(MOVIMIENTOS!$F238),N(MOVIMIENTOS!$F238)),"")</f>
        <v/>
      </c>
      <c r="O239" t="str">
        <f>IF(AND(MOVIMIENTOS!$B238&lt;&gt;"",NOT(AND(MOVIMIENTOS!$B238="PROCESO",MOVIMIENTOS!$C238&lt;&gt;"Chancho")),NOT(AND(MOVIMIENTOS!$B238="SALDO INICIAL",MOVIMIENTOS!$C238="Chancho"))),TRIM(IF(MOVIMIENTOS!$G238&lt;&gt;"",IF(MOVIMIENTOS!$B238="ENVÍO A SUPESA","G-"&amp;MOVIMIENTOS!$G238,MOVIMIENTOS!$G238)&amp;"  ","")&amp;IF(N(MOVIMIENTOS!$E238)&gt;0,MOVIMIENTOS!$E238&amp;" "&amp;MOVIMIENTOS!$D238,"")),"")</f>
        <v/>
      </c>
      <c r="P239">
        <f t="shared" si="27"/>
        <v>6138.5</v>
      </c>
    </row>
    <row r="240" spans="1:16" x14ac:dyDescent="0.2">
      <c r="A240" s="7" t="str">
        <f t="shared" si="21"/>
        <v/>
      </c>
      <c r="B240" s="8" t="str">
        <f t="shared" si="22"/>
        <v/>
      </c>
      <c r="C240" s="9" t="str">
        <f t="shared" si="23"/>
        <v/>
      </c>
      <c r="D240" s="9" t="str">
        <f t="shared" si="24"/>
        <v/>
      </c>
      <c r="E240" s="8" t="str">
        <f t="shared" si="25"/>
        <v/>
      </c>
      <c r="F240" s="9" t="str">
        <f t="shared" si="26"/>
        <v/>
      </c>
      <c r="J240" t="str">
        <f>IF(AND(MOVIMIENTOS!$B239&lt;&gt;"",NOT(AND(MOVIMIENTOS!$B239="PROCESO",MOVIMIENTOS!$C239&lt;&gt;"Chancho")),NOT(AND(MOVIMIENTOS!$B239="SALDO INICIAL",MOVIMIENTOS!$C239="Chancho"))),COUNT(J$5:J239)+1,"")</f>
        <v/>
      </c>
      <c r="K240" t="str">
        <f>IF(AND(MOVIMIENTOS!$B239&lt;&gt;"",NOT(AND(MOVIMIENTOS!$B239="PROCESO",MOVIMIENTOS!$C239&lt;&gt;"Chancho")),NOT(AND(MOVIMIENTOS!$B239="SALDO INICIAL",MOVIMIENTOS!$C239="Chancho"))),MOVIMIENTOS!$A239,"")</f>
        <v/>
      </c>
      <c r="L240" t="str">
        <f>IF(AND(MOVIMIENTOS!$B239&lt;&gt;"",NOT(AND(MOVIMIENTOS!$B239="PROCESO",MOVIMIENTOS!$C239&lt;&gt;"Chancho")),NOT(AND(MOVIMIENTOS!$B239="SALDO INICIAL",MOVIMIENTOS!$C239="Chancho"))),IF(MOVIMIENTOS!$B239="SALDO INICIAL","APERTURA ("&amp;MOVIMIENTOS!$C239&amp;")",IF(MOVIMIENTOS!$B239="COMPRA","INGRESO (compra)",IF(MOVIMIENTOS!$B239="PROCESO","CHANCHO (proceso)",IF(MOVIMIENTOS!$B239="ENVÍO A SUPESA","ENVÍO SUPESA cal. "&amp;MOVIMIENTOS!$C239,IF(MOVIMIENTOS!$B239="VENTA CHANCHO","VENTA CHANCHO",IF(MOVIMIENTOS!$B239="DEVOLUCIÓN","DEVOLUCIÓN cal. "&amp;MOVIMIENTOS!$C239,IF(MOVIMIENTOS!$B239="TRASIEGO","TRASIEGO cal. "&amp;MOVIMIENTOS!$C239,IF(MOVIMIENTOS!$B239="REGALO","REGALO "&amp;MOVIMIENTOS!$C239,IF(MOVIMIENTOS!$B239="VENTA","VENTA "&amp;MOVIMIENTOS!$C239,IF(MOVIMIENTOS!$B239="AJUSTE","AJUSTE inventario ("&amp;MOVIMIENTOS!$C239&amp;")",MOVIMIENTOS!$B239)))))))))),"")</f>
        <v/>
      </c>
      <c r="M240" t="str">
        <f>IF(AND(AND(MOVIMIENTOS!$B239&lt;&gt;"",NOT(AND(MOVIMIENTOS!$B239="PROCESO",MOVIMIENTOS!$C239&lt;&gt;"Chancho")),NOT(AND(MOVIMIENTOS!$B239="SALDO INICIAL",MOVIMIENTOS!$C239="Chancho"))),OR(MOVIMIENTOS!$B239="SALDO INICIAL",MOVIMIENTOS!$B239="COMPRA",MOVIMIENTOS!$B239="REPROCESO",AND(MOVIMIENTOS!$B239="AJUSTE",MOVIMIENTOS!$C239&lt;&gt;"Chancho",N(MOVIMIENTOS!$F239)&gt;=0))),N(MOVIMIENTOS!$F239),"")</f>
        <v/>
      </c>
      <c r="N240" t="str">
        <f>IF(AND(AND(MOVIMIENTOS!$B239&lt;&gt;"",NOT(AND(MOVIMIENTOS!$B239="PROCESO",MOVIMIENTOS!$C239&lt;&gt;"Chancho")),NOT(AND(MOVIMIENTOS!$B239="SALDO INICIAL",MOVIMIENTOS!$C239="Chancho"))),OR(MOVIMIENTOS!$B239="ENVÍO A SUPESA",MOVIMIENTOS!$B239="MALOGRADO",MOVIMIENTOS!$B239="OTRA SALIDA",MOVIMIENTOS!$B239="TRASIEGO",AND(MOVIMIENTOS!$B239="PROCESO",MOVIMIENTOS!$C239="Chancho"),AND(MOVIMIENTOS!$B239="REGALO",MOVIMIENTOS!$C239&lt;&gt;"Chancho"),AND(MOVIMIENTOS!$B239="VENTA",MOVIMIENTOS!$C239&lt;&gt;"Chancho"),AND(MOVIMIENTOS!$B239="AJUSTE",MOVIMIENTOS!$C239&lt;&gt;"Chancho",N(MOVIMIENTOS!$F239)&lt;0))),IF(MOVIMIENTOS!$B239="AJUSTE",-N(MOVIMIENTOS!$F239),N(MOVIMIENTOS!$F239)),"")</f>
        <v/>
      </c>
      <c r="O240" t="str">
        <f>IF(AND(MOVIMIENTOS!$B239&lt;&gt;"",NOT(AND(MOVIMIENTOS!$B239="PROCESO",MOVIMIENTOS!$C239&lt;&gt;"Chancho")),NOT(AND(MOVIMIENTOS!$B239="SALDO INICIAL",MOVIMIENTOS!$C239="Chancho"))),TRIM(IF(MOVIMIENTOS!$G239&lt;&gt;"",IF(MOVIMIENTOS!$B239="ENVÍO A SUPESA","G-"&amp;MOVIMIENTOS!$G239,MOVIMIENTOS!$G239)&amp;"  ","")&amp;IF(N(MOVIMIENTOS!$E239)&gt;0,MOVIMIENTOS!$E239&amp;" "&amp;MOVIMIENTOS!$D239,"")),"")</f>
        <v/>
      </c>
      <c r="P240">
        <f t="shared" si="27"/>
        <v>6138.5</v>
      </c>
    </row>
    <row r="241" spans="1:16" x14ac:dyDescent="0.2">
      <c r="A241" s="7" t="str">
        <f t="shared" si="21"/>
        <v/>
      </c>
      <c r="B241" s="8" t="str">
        <f t="shared" si="22"/>
        <v/>
      </c>
      <c r="C241" s="9" t="str">
        <f t="shared" si="23"/>
        <v/>
      </c>
      <c r="D241" s="9" t="str">
        <f t="shared" si="24"/>
        <v/>
      </c>
      <c r="E241" s="8" t="str">
        <f t="shared" si="25"/>
        <v/>
      </c>
      <c r="F241" s="9" t="str">
        <f t="shared" si="26"/>
        <v/>
      </c>
      <c r="J241" t="str">
        <f>IF(AND(MOVIMIENTOS!$B240&lt;&gt;"",NOT(AND(MOVIMIENTOS!$B240="PROCESO",MOVIMIENTOS!$C240&lt;&gt;"Chancho")),NOT(AND(MOVIMIENTOS!$B240="SALDO INICIAL",MOVIMIENTOS!$C240="Chancho"))),COUNT(J$5:J240)+1,"")</f>
        <v/>
      </c>
      <c r="K241" t="str">
        <f>IF(AND(MOVIMIENTOS!$B240&lt;&gt;"",NOT(AND(MOVIMIENTOS!$B240="PROCESO",MOVIMIENTOS!$C240&lt;&gt;"Chancho")),NOT(AND(MOVIMIENTOS!$B240="SALDO INICIAL",MOVIMIENTOS!$C240="Chancho"))),MOVIMIENTOS!$A240,"")</f>
        <v/>
      </c>
      <c r="L241" t="str">
        <f>IF(AND(MOVIMIENTOS!$B240&lt;&gt;"",NOT(AND(MOVIMIENTOS!$B240="PROCESO",MOVIMIENTOS!$C240&lt;&gt;"Chancho")),NOT(AND(MOVIMIENTOS!$B240="SALDO INICIAL",MOVIMIENTOS!$C240="Chancho"))),IF(MOVIMIENTOS!$B240="SALDO INICIAL","APERTURA ("&amp;MOVIMIENTOS!$C240&amp;")",IF(MOVIMIENTOS!$B240="COMPRA","INGRESO (compra)",IF(MOVIMIENTOS!$B240="PROCESO","CHANCHO (proceso)",IF(MOVIMIENTOS!$B240="ENVÍO A SUPESA","ENVÍO SUPESA cal. "&amp;MOVIMIENTOS!$C240,IF(MOVIMIENTOS!$B240="VENTA CHANCHO","VENTA CHANCHO",IF(MOVIMIENTOS!$B240="DEVOLUCIÓN","DEVOLUCIÓN cal. "&amp;MOVIMIENTOS!$C240,IF(MOVIMIENTOS!$B240="TRASIEGO","TRASIEGO cal. "&amp;MOVIMIENTOS!$C240,IF(MOVIMIENTOS!$B240="REGALO","REGALO "&amp;MOVIMIENTOS!$C240,IF(MOVIMIENTOS!$B240="VENTA","VENTA "&amp;MOVIMIENTOS!$C240,IF(MOVIMIENTOS!$B240="AJUSTE","AJUSTE inventario ("&amp;MOVIMIENTOS!$C240&amp;")",MOVIMIENTOS!$B240)))))))))),"")</f>
        <v/>
      </c>
      <c r="M241" t="str">
        <f>IF(AND(AND(MOVIMIENTOS!$B240&lt;&gt;"",NOT(AND(MOVIMIENTOS!$B240="PROCESO",MOVIMIENTOS!$C240&lt;&gt;"Chancho")),NOT(AND(MOVIMIENTOS!$B240="SALDO INICIAL",MOVIMIENTOS!$C240="Chancho"))),OR(MOVIMIENTOS!$B240="SALDO INICIAL",MOVIMIENTOS!$B240="COMPRA",MOVIMIENTOS!$B240="REPROCESO",AND(MOVIMIENTOS!$B240="AJUSTE",MOVIMIENTOS!$C240&lt;&gt;"Chancho",N(MOVIMIENTOS!$F240)&gt;=0))),N(MOVIMIENTOS!$F240),"")</f>
        <v/>
      </c>
      <c r="N241" t="str">
        <f>IF(AND(AND(MOVIMIENTOS!$B240&lt;&gt;"",NOT(AND(MOVIMIENTOS!$B240="PROCESO",MOVIMIENTOS!$C240&lt;&gt;"Chancho")),NOT(AND(MOVIMIENTOS!$B240="SALDO INICIAL",MOVIMIENTOS!$C240="Chancho"))),OR(MOVIMIENTOS!$B240="ENVÍO A SUPESA",MOVIMIENTOS!$B240="MALOGRADO",MOVIMIENTOS!$B240="OTRA SALIDA",MOVIMIENTOS!$B240="TRASIEGO",AND(MOVIMIENTOS!$B240="PROCESO",MOVIMIENTOS!$C240="Chancho"),AND(MOVIMIENTOS!$B240="REGALO",MOVIMIENTOS!$C240&lt;&gt;"Chancho"),AND(MOVIMIENTOS!$B240="VENTA",MOVIMIENTOS!$C240&lt;&gt;"Chancho"),AND(MOVIMIENTOS!$B240="AJUSTE",MOVIMIENTOS!$C240&lt;&gt;"Chancho",N(MOVIMIENTOS!$F240)&lt;0))),IF(MOVIMIENTOS!$B240="AJUSTE",-N(MOVIMIENTOS!$F240),N(MOVIMIENTOS!$F240)),"")</f>
        <v/>
      </c>
      <c r="O241" t="str">
        <f>IF(AND(MOVIMIENTOS!$B240&lt;&gt;"",NOT(AND(MOVIMIENTOS!$B240="PROCESO",MOVIMIENTOS!$C240&lt;&gt;"Chancho")),NOT(AND(MOVIMIENTOS!$B240="SALDO INICIAL",MOVIMIENTOS!$C240="Chancho"))),TRIM(IF(MOVIMIENTOS!$G240&lt;&gt;"",IF(MOVIMIENTOS!$B240="ENVÍO A SUPESA","G-"&amp;MOVIMIENTOS!$G240,MOVIMIENTOS!$G240)&amp;"  ","")&amp;IF(N(MOVIMIENTOS!$E240)&gt;0,MOVIMIENTOS!$E240&amp;" "&amp;MOVIMIENTOS!$D240,"")),"")</f>
        <v/>
      </c>
      <c r="P241">
        <f t="shared" si="27"/>
        <v>6138.5</v>
      </c>
    </row>
    <row r="242" spans="1:16" x14ac:dyDescent="0.2">
      <c r="A242" s="7" t="str">
        <f t="shared" si="21"/>
        <v/>
      </c>
      <c r="B242" s="8" t="str">
        <f t="shared" si="22"/>
        <v/>
      </c>
      <c r="C242" s="9" t="str">
        <f t="shared" si="23"/>
        <v/>
      </c>
      <c r="D242" s="9" t="str">
        <f t="shared" si="24"/>
        <v/>
      </c>
      <c r="E242" s="8" t="str">
        <f t="shared" si="25"/>
        <v/>
      </c>
      <c r="F242" s="9" t="str">
        <f t="shared" si="26"/>
        <v/>
      </c>
      <c r="J242" t="str">
        <f>IF(AND(MOVIMIENTOS!$B241&lt;&gt;"",NOT(AND(MOVIMIENTOS!$B241="PROCESO",MOVIMIENTOS!$C241&lt;&gt;"Chancho")),NOT(AND(MOVIMIENTOS!$B241="SALDO INICIAL",MOVIMIENTOS!$C241="Chancho"))),COUNT(J$5:J241)+1,"")</f>
        <v/>
      </c>
      <c r="K242" t="str">
        <f>IF(AND(MOVIMIENTOS!$B241&lt;&gt;"",NOT(AND(MOVIMIENTOS!$B241="PROCESO",MOVIMIENTOS!$C241&lt;&gt;"Chancho")),NOT(AND(MOVIMIENTOS!$B241="SALDO INICIAL",MOVIMIENTOS!$C241="Chancho"))),MOVIMIENTOS!$A241,"")</f>
        <v/>
      </c>
      <c r="L242" t="str">
        <f>IF(AND(MOVIMIENTOS!$B241&lt;&gt;"",NOT(AND(MOVIMIENTOS!$B241="PROCESO",MOVIMIENTOS!$C241&lt;&gt;"Chancho")),NOT(AND(MOVIMIENTOS!$B241="SALDO INICIAL",MOVIMIENTOS!$C241="Chancho"))),IF(MOVIMIENTOS!$B241="SALDO INICIAL","APERTURA ("&amp;MOVIMIENTOS!$C241&amp;")",IF(MOVIMIENTOS!$B241="COMPRA","INGRESO (compra)",IF(MOVIMIENTOS!$B241="PROCESO","CHANCHO (proceso)",IF(MOVIMIENTOS!$B241="ENVÍO A SUPESA","ENVÍO SUPESA cal. "&amp;MOVIMIENTOS!$C241,IF(MOVIMIENTOS!$B241="VENTA CHANCHO","VENTA CHANCHO",IF(MOVIMIENTOS!$B241="DEVOLUCIÓN","DEVOLUCIÓN cal. "&amp;MOVIMIENTOS!$C241,IF(MOVIMIENTOS!$B241="TRASIEGO","TRASIEGO cal. "&amp;MOVIMIENTOS!$C241,IF(MOVIMIENTOS!$B241="REGALO","REGALO "&amp;MOVIMIENTOS!$C241,IF(MOVIMIENTOS!$B241="VENTA","VENTA "&amp;MOVIMIENTOS!$C241,IF(MOVIMIENTOS!$B241="AJUSTE","AJUSTE inventario ("&amp;MOVIMIENTOS!$C241&amp;")",MOVIMIENTOS!$B241)))))))))),"")</f>
        <v/>
      </c>
      <c r="M242" t="str">
        <f>IF(AND(AND(MOVIMIENTOS!$B241&lt;&gt;"",NOT(AND(MOVIMIENTOS!$B241="PROCESO",MOVIMIENTOS!$C241&lt;&gt;"Chancho")),NOT(AND(MOVIMIENTOS!$B241="SALDO INICIAL",MOVIMIENTOS!$C241="Chancho"))),OR(MOVIMIENTOS!$B241="SALDO INICIAL",MOVIMIENTOS!$B241="COMPRA",MOVIMIENTOS!$B241="REPROCESO",AND(MOVIMIENTOS!$B241="AJUSTE",MOVIMIENTOS!$C241&lt;&gt;"Chancho",N(MOVIMIENTOS!$F241)&gt;=0))),N(MOVIMIENTOS!$F241),"")</f>
        <v/>
      </c>
      <c r="N242" t="str">
        <f>IF(AND(AND(MOVIMIENTOS!$B241&lt;&gt;"",NOT(AND(MOVIMIENTOS!$B241="PROCESO",MOVIMIENTOS!$C241&lt;&gt;"Chancho")),NOT(AND(MOVIMIENTOS!$B241="SALDO INICIAL",MOVIMIENTOS!$C241="Chancho"))),OR(MOVIMIENTOS!$B241="ENVÍO A SUPESA",MOVIMIENTOS!$B241="MALOGRADO",MOVIMIENTOS!$B241="OTRA SALIDA",MOVIMIENTOS!$B241="TRASIEGO",AND(MOVIMIENTOS!$B241="PROCESO",MOVIMIENTOS!$C241="Chancho"),AND(MOVIMIENTOS!$B241="REGALO",MOVIMIENTOS!$C241&lt;&gt;"Chancho"),AND(MOVIMIENTOS!$B241="VENTA",MOVIMIENTOS!$C241&lt;&gt;"Chancho"),AND(MOVIMIENTOS!$B241="AJUSTE",MOVIMIENTOS!$C241&lt;&gt;"Chancho",N(MOVIMIENTOS!$F241)&lt;0))),IF(MOVIMIENTOS!$B241="AJUSTE",-N(MOVIMIENTOS!$F241),N(MOVIMIENTOS!$F241)),"")</f>
        <v/>
      </c>
      <c r="O242" t="str">
        <f>IF(AND(MOVIMIENTOS!$B241&lt;&gt;"",NOT(AND(MOVIMIENTOS!$B241="PROCESO",MOVIMIENTOS!$C241&lt;&gt;"Chancho")),NOT(AND(MOVIMIENTOS!$B241="SALDO INICIAL",MOVIMIENTOS!$C241="Chancho"))),TRIM(IF(MOVIMIENTOS!$G241&lt;&gt;"",IF(MOVIMIENTOS!$B241="ENVÍO A SUPESA","G-"&amp;MOVIMIENTOS!$G241,MOVIMIENTOS!$G241)&amp;"  ","")&amp;IF(N(MOVIMIENTOS!$E241)&gt;0,MOVIMIENTOS!$E241&amp;" "&amp;MOVIMIENTOS!$D241,"")),"")</f>
        <v/>
      </c>
      <c r="P242">
        <f t="shared" si="27"/>
        <v>6138.5</v>
      </c>
    </row>
    <row r="243" spans="1:16" x14ac:dyDescent="0.2">
      <c r="A243" s="7" t="str">
        <f t="shared" si="21"/>
        <v/>
      </c>
      <c r="B243" s="8" t="str">
        <f t="shared" si="22"/>
        <v/>
      </c>
      <c r="C243" s="9" t="str">
        <f t="shared" si="23"/>
        <v/>
      </c>
      <c r="D243" s="9" t="str">
        <f t="shared" si="24"/>
        <v/>
      </c>
      <c r="E243" s="8" t="str">
        <f t="shared" si="25"/>
        <v/>
      </c>
      <c r="F243" s="9" t="str">
        <f t="shared" si="26"/>
        <v/>
      </c>
      <c r="J243" t="str">
        <f>IF(AND(MOVIMIENTOS!$B242&lt;&gt;"",NOT(AND(MOVIMIENTOS!$B242="PROCESO",MOVIMIENTOS!$C242&lt;&gt;"Chancho")),NOT(AND(MOVIMIENTOS!$B242="SALDO INICIAL",MOVIMIENTOS!$C242="Chancho"))),COUNT(J$5:J242)+1,"")</f>
        <v/>
      </c>
      <c r="K243" t="str">
        <f>IF(AND(MOVIMIENTOS!$B242&lt;&gt;"",NOT(AND(MOVIMIENTOS!$B242="PROCESO",MOVIMIENTOS!$C242&lt;&gt;"Chancho")),NOT(AND(MOVIMIENTOS!$B242="SALDO INICIAL",MOVIMIENTOS!$C242="Chancho"))),MOVIMIENTOS!$A242,"")</f>
        <v/>
      </c>
      <c r="L243" t="str">
        <f>IF(AND(MOVIMIENTOS!$B242&lt;&gt;"",NOT(AND(MOVIMIENTOS!$B242="PROCESO",MOVIMIENTOS!$C242&lt;&gt;"Chancho")),NOT(AND(MOVIMIENTOS!$B242="SALDO INICIAL",MOVIMIENTOS!$C242="Chancho"))),IF(MOVIMIENTOS!$B242="SALDO INICIAL","APERTURA ("&amp;MOVIMIENTOS!$C242&amp;")",IF(MOVIMIENTOS!$B242="COMPRA","INGRESO (compra)",IF(MOVIMIENTOS!$B242="PROCESO","CHANCHO (proceso)",IF(MOVIMIENTOS!$B242="ENVÍO A SUPESA","ENVÍO SUPESA cal. "&amp;MOVIMIENTOS!$C242,IF(MOVIMIENTOS!$B242="VENTA CHANCHO","VENTA CHANCHO",IF(MOVIMIENTOS!$B242="DEVOLUCIÓN","DEVOLUCIÓN cal. "&amp;MOVIMIENTOS!$C242,IF(MOVIMIENTOS!$B242="TRASIEGO","TRASIEGO cal. "&amp;MOVIMIENTOS!$C242,IF(MOVIMIENTOS!$B242="REGALO","REGALO "&amp;MOVIMIENTOS!$C242,IF(MOVIMIENTOS!$B242="VENTA","VENTA "&amp;MOVIMIENTOS!$C242,IF(MOVIMIENTOS!$B242="AJUSTE","AJUSTE inventario ("&amp;MOVIMIENTOS!$C242&amp;")",MOVIMIENTOS!$B242)))))))))),"")</f>
        <v/>
      </c>
      <c r="M243" t="str">
        <f>IF(AND(AND(MOVIMIENTOS!$B242&lt;&gt;"",NOT(AND(MOVIMIENTOS!$B242="PROCESO",MOVIMIENTOS!$C242&lt;&gt;"Chancho")),NOT(AND(MOVIMIENTOS!$B242="SALDO INICIAL",MOVIMIENTOS!$C242="Chancho"))),OR(MOVIMIENTOS!$B242="SALDO INICIAL",MOVIMIENTOS!$B242="COMPRA",MOVIMIENTOS!$B242="REPROCESO",AND(MOVIMIENTOS!$B242="AJUSTE",MOVIMIENTOS!$C242&lt;&gt;"Chancho",N(MOVIMIENTOS!$F242)&gt;=0))),N(MOVIMIENTOS!$F242),"")</f>
        <v/>
      </c>
      <c r="N243" t="str">
        <f>IF(AND(AND(MOVIMIENTOS!$B242&lt;&gt;"",NOT(AND(MOVIMIENTOS!$B242="PROCESO",MOVIMIENTOS!$C242&lt;&gt;"Chancho")),NOT(AND(MOVIMIENTOS!$B242="SALDO INICIAL",MOVIMIENTOS!$C242="Chancho"))),OR(MOVIMIENTOS!$B242="ENVÍO A SUPESA",MOVIMIENTOS!$B242="MALOGRADO",MOVIMIENTOS!$B242="OTRA SALIDA",MOVIMIENTOS!$B242="TRASIEGO",AND(MOVIMIENTOS!$B242="PROCESO",MOVIMIENTOS!$C242="Chancho"),AND(MOVIMIENTOS!$B242="REGALO",MOVIMIENTOS!$C242&lt;&gt;"Chancho"),AND(MOVIMIENTOS!$B242="VENTA",MOVIMIENTOS!$C242&lt;&gt;"Chancho"),AND(MOVIMIENTOS!$B242="AJUSTE",MOVIMIENTOS!$C242&lt;&gt;"Chancho",N(MOVIMIENTOS!$F242)&lt;0))),IF(MOVIMIENTOS!$B242="AJUSTE",-N(MOVIMIENTOS!$F242),N(MOVIMIENTOS!$F242)),"")</f>
        <v/>
      </c>
      <c r="O243" t="str">
        <f>IF(AND(MOVIMIENTOS!$B242&lt;&gt;"",NOT(AND(MOVIMIENTOS!$B242="PROCESO",MOVIMIENTOS!$C242&lt;&gt;"Chancho")),NOT(AND(MOVIMIENTOS!$B242="SALDO INICIAL",MOVIMIENTOS!$C242="Chancho"))),TRIM(IF(MOVIMIENTOS!$G242&lt;&gt;"",IF(MOVIMIENTOS!$B242="ENVÍO A SUPESA","G-"&amp;MOVIMIENTOS!$G242,MOVIMIENTOS!$G242)&amp;"  ","")&amp;IF(N(MOVIMIENTOS!$E242)&gt;0,MOVIMIENTOS!$E242&amp;" "&amp;MOVIMIENTOS!$D242,"")),"")</f>
        <v/>
      </c>
      <c r="P243">
        <f t="shared" si="27"/>
        <v>6138.5</v>
      </c>
    </row>
    <row r="244" spans="1:16" x14ac:dyDescent="0.2">
      <c r="A244" s="7" t="str">
        <f t="shared" si="21"/>
        <v/>
      </c>
      <c r="B244" s="8" t="str">
        <f t="shared" si="22"/>
        <v/>
      </c>
      <c r="C244" s="9" t="str">
        <f t="shared" si="23"/>
        <v/>
      </c>
      <c r="D244" s="9" t="str">
        <f t="shared" si="24"/>
        <v/>
      </c>
      <c r="E244" s="8" t="str">
        <f t="shared" si="25"/>
        <v/>
      </c>
      <c r="F244" s="9" t="str">
        <f t="shared" si="26"/>
        <v/>
      </c>
      <c r="J244" t="str">
        <f>IF(AND(MOVIMIENTOS!$B243&lt;&gt;"",NOT(AND(MOVIMIENTOS!$B243="PROCESO",MOVIMIENTOS!$C243&lt;&gt;"Chancho")),NOT(AND(MOVIMIENTOS!$B243="SALDO INICIAL",MOVIMIENTOS!$C243="Chancho"))),COUNT(J$5:J243)+1,"")</f>
        <v/>
      </c>
      <c r="K244" t="str">
        <f>IF(AND(MOVIMIENTOS!$B243&lt;&gt;"",NOT(AND(MOVIMIENTOS!$B243="PROCESO",MOVIMIENTOS!$C243&lt;&gt;"Chancho")),NOT(AND(MOVIMIENTOS!$B243="SALDO INICIAL",MOVIMIENTOS!$C243="Chancho"))),MOVIMIENTOS!$A243,"")</f>
        <v/>
      </c>
      <c r="L244" t="str">
        <f>IF(AND(MOVIMIENTOS!$B243&lt;&gt;"",NOT(AND(MOVIMIENTOS!$B243="PROCESO",MOVIMIENTOS!$C243&lt;&gt;"Chancho")),NOT(AND(MOVIMIENTOS!$B243="SALDO INICIAL",MOVIMIENTOS!$C243="Chancho"))),IF(MOVIMIENTOS!$B243="SALDO INICIAL","APERTURA ("&amp;MOVIMIENTOS!$C243&amp;")",IF(MOVIMIENTOS!$B243="COMPRA","INGRESO (compra)",IF(MOVIMIENTOS!$B243="PROCESO","CHANCHO (proceso)",IF(MOVIMIENTOS!$B243="ENVÍO A SUPESA","ENVÍO SUPESA cal. "&amp;MOVIMIENTOS!$C243,IF(MOVIMIENTOS!$B243="VENTA CHANCHO","VENTA CHANCHO",IF(MOVIMIENTOS!$B243="DEVOLUCIÓN","DEVOLUCIÓN cal. "&amp;MOVIMIENTOS!$C243,IF(MOVIMIENTOS!$B243="TRASIEGO","TRASIEGO cal. "&amp;MOVIMIENTOS!$C243,IF(MOVIMIENTOS!$B243="REGALO","REGALO "&amp;MOVIMIENTOS!$C243,IF(MOVIMIENTOS!$B243="VENTA","VENTA "&amp;MOVIMIENTOS!$C243,IF(MOVIMIENTOS!$B243="AJUSTE","AJUSTE inventario ("&amp;MOVIMIENTOS!$C243&amp;")",MOVIMIENTOS!$B243)))))))))),"")</f>
        <v/>
      </c>
      <c r="M244" t="str">
        <f>IF(AND(AND(MOVIMIENTOS!$B243&lt;&gt;"",NOT(AND(MOVIMIENTOS!$B243="PROCESO",MOVIMIENTOS!$C243&lt;&gt;"Chancho")),NOT(AND(MOVIMIENTOS!$B243="SALDO INICIAL",MOVIMIENTOS!$C243="Chancho"))),OR(MOVIMIENTOS!$B243="SALDO INICIAL",MOVIMIENTOS!$B243="COMPRA",MOVIMIENTOS!$B243="REPROCESO",AND(MOVIMIENTOS!$B243="AJUSTE",MOVIMIENTOS!$C243&lt;&gt;"Chancho",N(MOVIMIENTOS!$F243)&gt;=0))),N(MOVIMIENTOS!$F243),"")</f>
        <v/>
      </c>
      <c r="N244" t="str">
        <f>IF(AND(AND(MOVIMIENTOS!$B243&lt;&gt;"",NOT(AND(MOVIMIENTOS!$B243="PROCESO",MOVIMIENTOS!$C243&lt;&gt;"Chancho")),NOT(AND(MOVIMIENTOS!$B243="SALDO INICIAL",MOVIMIENTOS!$C243="Chancho"))),OR(MOVIMIENTOS!$B243="ENVÍO A SUPESA",MOVIMIENTOS!$B243="MALOGRADO",MOVIMIENTOS!$B243="OTRA SALIDA",MOVIMIENTOS!$B243="TRASIEGO",AND(MOVIMIENTOS!$B243="PROCESO",MOVIMIENTOS!$C243="Chancho"),AND(MOVIMIENTOS!$B243="REGALO",MOVIMIENTOS!$C243&lt;&gt;"Chancho"),AND(MOVIMIENTOS!$B243="VENTA",MOVIMIENTOS!$C243&lt;&gt;"Chancho"),AND(MOVIMIENTOS!$B243="AJUSTE",MOVIMIENTOS!$C243&lt;&gt;"Chancho",N(MOVIMIENTOS!$F243)&lt;0))),IF(MOVIMIENTOS!$B243="AJUSTE",-N(MOVIMIENTOS!$F243),N(MOVIMIENTOS!$F243)),"")</f>
        <v/>
      </c>
      <c r="O244" t="str">
        <f>IF(AND(MOVIMIENTOS!$B243&lt;&gt;"",NOT(AND(MOVIMIENTOS!$B243="PROCESO",MOVIMIENTOS!$C243&lt;&gt;"Chancho")),NOT(AND(MOVIMIENTOS!$B243="SALDO INICIAL",MOVIMIENTOS!$C243="Chancho"))),TRIM(IF(MOVIMIENTOS!$G243&lt;&gt;"",IF(MOVIMIENTOS!$B243="ENVÍO A SUPESA","G-"&amp;MOVIMIENTOS!$G243,MOVIMIENTOS!$G243)&amp;"  ","")&amp;IF(N(MOVIMIENTOS!$E243)&gt;0,MOVIMIENTOS!$E243&amp;" "&amp;MOVIMIENTOS!$D243,"")),"")</f>
        <v/>
      </c>
      <c r="P244">
        <f t="shared" si="27"/>
        <v>6138.5</v>
      </c>
    </row>
    <row r="245" spans="1:16" x14ac:dyDescent="0.2">
      <c r="A245" s="7" t="str">
        <f t="shared" si="21"/>
        <v/>
      </c>
      <c r="B245" s="8" t="str">
        <f t="shared" si="22"/>
        <v/>
      </c>
      <c r="C245" s="9" t="str">
        <f t="shared" si="23"/>
        <v/>
      </c>
      <c r="D245" s="9" t="str">
        <f t="shared" si="24"/>
        <v/>
      </c>
      <c r="E245" s="8" t="str">
        <f t="shared" si="25"/>
        <v/>
      </c>
      <c r="F245" s="9" t="str">
        <f t="shared" si="26"/>
        <v/>
      </c>
      <c r="J245" t="str">
        <f>IF(AND(MOVIMIENTOS!$B244&lt;&gt;"",NOT(AND(MOVIMIENTOS!$B244="PROCESO",MOVIMIENTOS!$C244&lt;&gt;"Chancho")),NOT(AND(MOVIMIENTOS!$B244="SALDO INICIAL",MOVIMIENTOS!$C244="Chancho"))),COUNT(J$5:J244)+1,"")</f>
        <v/>
      </c>
      <c r="K245" t="str">
        <f>IF(AND(MOVIMIENTOS!$B244&lt;&gt;"",NOT(AND(MOVIMIENTOS!$B244="PROCESO",MOVIMIENTOS!$C244&lt;&gt;"Chancho")),NOT(AND(MOVIMIENTOS!$B244="SALDO INICIAL",MOVIMIENTOS!$C244="Chancho"))),MOVIMIENTOS!$A244,"")</f>
        <v/>
      </c>
      <c r="L245" t="str">
        <f>IF(AND(MOVIMIENTOS!$B244&lt;&gt;"",NOT(AND(MOVIMIENTOS!$B244="PROCESO",MOVIMIENTOS!$C244&lt;&gt;"Chancho")),NOT(AND(MOVIMIENTOS!$B244="SALDO INICIAL",MOVIMIENTOS!$C244="Chancho"))),IF(MOVIMIENTOS!$B244="SALDO INICIAL","APERTURA ("&amp;MOVIMIENTOS!$C244&amp;")",IF(MOVIMIENTOS!$B244="COMPRA","INGRESO (compra)",IF(MOVIMIENTOS!$B244="PROCESO","CHANCHO (proceso)",IF(MOVIMIENTOS!$B244="ENVÍO A SUPESA","ENVÍO SUPESA cal. "&amp;MOVIMIENTOS!$C244,IF(MOVIMIENTOS!$B244="VENTA CHANCHO","VENTA CHANCHO",IF(MOVIMIENTOS!$B244="DEVOLUCIÓN","DEVOLUCIÓN cal. "&amp;MOVIMIENTOS!$C244,IF(MOVIMIENTOS!$B244="TRASIEGO","TRASIEGO cal. "&amp;MOVIMIENTOS!$C244,IF(MOVIMIENTOS!$B244="REGALO","REGALO "&amp;MOVIMIENTOS!$C244,IF(MOVIMIENTOS!$B244="VENTA","VENTA "&amp;MOVIMIENTOS!$C244,IF(MOVIMIENTOS!$B244="AJUSTE","AJUSTE inventario ("&amp;MOVIMIENTOS!$C244&amp;")",MOVIMIENTOS!$B244)))))))))),"")</f>
        <v/>
      </c>
      <c r="M245" t="str">
        <f>IF(AND(AND(MOVIMIENTOS!$B244&lt;&gt;"",NOT(AND(MOVIMIENTOS!$B244="PROCESO",MOVIMIENTOS!$C244&lt;&gt;"Chancho")),NOT(AND(MOVIMIENTOS!$B244="SALDO INICIAL",MOVIMIENTOS!$C244="Chancho"))),OR(MOVIMIENTOS!$B244="SALDO INICIAL",MOVIMIENTOS!$B244="COMPRA",MOVIMIENTOS!$B244="REPROCESO",AND(MOVIMIENTOS!$B244="AJUSTE",MOVIMIENTOS!$C244&lt;&gt;"Chancho",N(MOVIMIENTOS!$F244)&gt;=0))),N(MOVIMIENTOS!$F244),"")</f>
        <v/>
      </c>
      <c r="N245" t="str">
        <f>IF(AND(AND(MOVIMIENTOS!$B244&lt;&gt;"",NOT(AND(MOVIMIENTOS!$B244="PROCESO",MOVIMIENTOS!$C244&lt;&gt;"Chancho")),NOT(AND(MOVIMIENTOS!$B244="SALDO INICIAL",MOVIMIENTOS!$C244="Chancho"))),OR(MOVIMIENTOS!$B244="ENVÍO A SUPESA",MOVIMIENTOS!$B244="MALOGRADO",MOVIMIENTOS!$B244="OTRA SALIDA",MOVIMIENTOS!$B244="TRASIEGO",AND(MOVIMIENTOS!$B244="PROCESO",MOVIMIENTOS!$C244="Chancho"),AND(MOVIMIENTOS!$B244="REGALO",MOVIMIENTOS!$C244&lt;&gt;"Chancho"),AND(MOVIMIENTOS!$B244="VENTA",MOVIMIENTOS!$C244&lt;&gt;"Chancho"),AND(MOVIMIENTOS!$B244="AJUSTE",MOVIMIENTOS!$C244&lt;&gt;"Chancho",N(MOVIMIENTOS!$F244)&lt;0))),IF(MOVIMIENTOS!$B244="AJUSTE",-N(MOVIMIENTOS!$F244),N(MOVIMIENTOS!$F244)),"")</f>
        <v/>
      </c>
      <c r="O245" t="str">
        <f>IF(AND(MOVIMIENTOS!$B244&lt;&gt;"",NOT(AND(MOVIMIENTOS!$B244="PROCESO",MOVIMIENTOS!$C244&lt;&gt;"Chancho")),NOT(AND(MOVIMIENTOS!$B244="SALDO INICIAL",MOVIMIENTOS!$C244="Chancho"))),TRIM(IF(MOVIMIENTOS!$G244&lt;&gt;"",IF(MOVIMIENTOS!$B244="ENVÍO A SUPESA","G-"&amp;MOVIMIENTOS!$G244,MOVIMIENTOS!$G244)&amp;"  ","")&amp;IF(N(MOVIMIENTOS!$E244)&gt;0,MOVIMIENTOS!$E244&amp;" "&amp;MOVIMIENTOS!$D244,"")),"")</f>
        <v/>
      </c>
      <c r="P245">
        <f t="shared" si="27"/>
        <v>6138.5</v>
      </c>
    </row>
    <row r="246" spans="1:16" x14ac:dyDescent="0.2">
      <c r="A246" s="7" t="str">
        <f t="shared" si="21"/>
        <v/>
      </c>
      <c r="B246" s="8" t="str">
        <f t="shared" si="22"/>
        <v/>
      </c>
      <c r="C246" s="9" t="str">
        <f t="shared" si="23"/>
        <v/>
      </c>
      <c r="D246" s="9" t="str">
        <f t="shared" si="24"/>
        <v/>
      </c>
      <c r="E246" s="8" t="str">
        <f t="shared" si="25"/>
        <v/>
      </c>
      <c r="F246" s="9" t="str">
        <f t="shared" si="26"/>
        <v/>
      </c>
      <c r="J246" t="str">
        <f>IF(AND(MOVIMIENTOS!$B245&lt;&gt;"",NOT(AND(MOVIMIENTOS!$B245="PROCESO",MOVIMIENTOS!$C245&lt;&gt;"Chancho")),NOT(AND(MOVIMIENTOS!$B245="SALDO INICIAL",MOVIMIENTOS!$C245="Chancho"))),COUNT(J$5:J245)+1,"")</f>
        <v/>
      </c>
      <c r="K246" t="str">
        <f>IF(AND(MOVIMIENTOS!$B245&lt;&gt;"",NOT(AND(MOVIMIENTOS!$B245="PROCESO",MOVIMIENTOS!$C245&lt;&gt;"Chancho")),NOT(AND(MOVIMIENTOS!$B245="SALDO INICIAL",MOVIMIENTOS!$C245="Chancho"))),MOVIMIENTOS!$A245,"")</f>
        <v/>
      </c>
      <c r="L246" t="str">
        <f>IF(AND(MOVIMIENTOS!$B245&lt;&gt;"",NOT(AND(MOVIMIENTOS!$B245="PROCESO",MOVIMIENTOS!$C245&lt;&gt;"Chancho")),NOT(AND(MOVIMIENTOS!$B245="SALDO INICIAL",MOVIMIENTOS!$C245="Chancho"))),IF(MOVIMIENTOS!$B245="SALDO INICIAL","APERTURA ("&amp;MOVIMIENTOS!$C245&amp;")",IF(MOVIMIENTOS!$B245="COMPRA","INGRESO (compra)",IF(MOVIMIENTOS!$B245="PROCESO","CHANCHO (proceso)",IF(MOVIMIENTOS!$B245="ENVÍO A SUPESA","ENVÍO SUPESA cal. "&amp;MOVIMIENTOS!$C245,IF(MOVIMIENTOS!$B245="VENTA CHANCHO","VENTA CHANCHO",IF(MOVIMIENTOS!$B245="DEVOLUCIÓN","DEVOLUCIÓN cal. "&amp;MOVIMIENTOS!$C245,IF(MOVIMIENTOS!$B245="TRASIEGO","TRASIEGO cal. "&amp;MOVIMIENTOS!$C245,IF(MOVIMIENTOS!$B245="REGALO","REGALO "&amp;MOVIMIENTOS!$C245,IF(MOVIMIENTOS!$B245="VENTA","VENTA "&amp;MOVIMIENTOS!$C245,IF(MOVIMIENTOS!$B245="AJUSTE","AJUSTE inventario ("&amp;MOVIMIENTOS!$C245&amp;")",MOVIMIENTOS!$B245)))))))))),"")</f>
        <v/>
      </c>
      <c r="M246" t="str">
        <f>IF(AND(AND(MOVIMIENTOS!$B245&lt;&gt;"",NOT(AND(MOVIMIENTOS!$B245="PROCESO",MOVIMIENTOS!$C245&lt;&gt;"Chancho")),NOT(AND(MOVIMIENTOS!$B245="SALDO INICIAL",MOVIMIENTOS!$C245="Chancho"))),OR(MOVIMIENTOS!$B245="SALDO INICIAL",MOVIMIENTOS!$B245="COMPRA",MOVIMIENTOS!$B245="REPROCESO",AND(MOVIMIENTOS!$B245="AJUSTE",MOVIMIENTOS!$C245&lt;&gt;"Chancho",N(MOVIMIENTOS!$F245)&gt;=0))),N(MOVIMIENTOS!$F245),"")</f>
        <v/>
      </c>
      <c r="N246" t="str">
        <f>IF(AND(AND(MOVIMIENTOS!$B245&lt;&gt;"",NOT(AND(MOVIMIENTOS!$B245="PROCESO",MOVIMIENTOS!$C245&lt;&gt;"Chancho")),NOT(AND(MOVIMIENTOS!$B245="SALDO INICIAL",MOVIMIENTOS!$C245="Chancho"))),OR(MOVIMIENTOS!$B245="ENVÍO A SUPESA",MOVIMIENTOS!$B245="MALOGRADO",MOVIMIENTOS!$B245="OTRA SALIDA",MOVIMIENTOS!$B245="TRASIEGO",AND(MOVIMIENTOS!$B245="PROCESO",MOVIMIENTOS!$C245="Chancho"),AND(MOVIMIENTOS!$B245="REGALO",MOVIMIENTOS!$C245&lt;&gt;"Chancho"),AND(MOVIMIENTOS!$B245="VENTA",MOVIMIENTOS!$C245&lt;&gt;"Chancho"),AND(MOVIMIENTOS!$B245="AJUSTE",MOVIMIENTOS!$C245&lt;&gt;"Chancho",N(MOVIMIENTOS!$F245)&lt;0))),IF(MOVIMIENTOS!$B245="AJUSTE",-N(MOVIMIENTOS!$F245),N(MOVIMIENTOS!$F245)),"")</f>
        <v/>
      </c>
      <c r="O246" t="str">
        <f>IF(AND(MOVIMIENTOS!$B245&lt;&gt;"",NOT(AND(MOVIMIENTOS!$B245="PROCESO",MOVIMIENTOS!$C245&lt;&gt;"Chancho")),NOT(AND(MOVIMIENTOS!$B245="SALDO INICIAL",MOVIMIENTOS!$C245="Chancho"))),TRIM(IF(MOVIMIENTOS!$G245&lt;&gt;"",IF(MOVIMIENTOS!$B245="ENVÍO A SUPESA","G-"&amp;MOVIMIENTOS!$G245,MOVIMIENTOS!$G245)&amp;"  ","")&amp;IF(N(MOVIMIENTOS!$E245)&gt;0,MOVIMIENTOS!$E245&amp;" "&amp;MOVIMIENTOS!$D245,"")),"")</f>
        <v/>
      </c>
      <c r="P246">
        <f t="shared" si="27"/>
        <v>6138.5</v>
      </c>
    </row>
    <row r="247" spans="1:16" x14ac:dyDescent="0.2">
      <c r="A247" s="7" t="str">
        <f t="shared" si="21"/>
        <v/>
      </c>
      <c r="B247" s="8" t="str">
        <f t="shared" si="22"/>
        <v/>
      </c>
      <c r="C247" s="9" t="str">
        <f t="shared" si="23"/>
        <v/>
      </c>
      <c r="D247" s="9" t="str">
        <f t="shared" si="24"/>
        <v/>
      </c>
      <c r="E247" s="8" t="str">
        <f t="shared" si="25"/>
        <v/>
      </c>
      <c r="F247" s="9" t="str">
        <f t="shared" si="26"/>
        <v/>
      </c>
      <c r="J247" t="str">
        <f>IF(AND(MOVIMIENTOS!$B246&lt;&gt;"",NOT(AND(MOVIMIENTOS!$B246="PROCESO",MOVIMIENTOS!$C246&lt;&gt;"Chancho")),NOT(AND(MOVIMIENTOS!$B246="SALDO INICIAL",MOVIMIENTOS!$C246="Chancho"))),COUNT(J$5:J246)+1,"")</f>
        <v/>
      </c>
      <c r="K247" t="str">
        <f>IF(AND(MOVIMIENTOS!$B246&lt;&gt;"",NOT(AND(MOVIMIENTOS!$B246="PROCESO",MOVIMIENTOS!$C246&lt;&gt;"Chancho")),NOT(AND(MOVIMIENTOS!$B246="SALDO INICIAL",MOVIMIENTOS!$C246="Chancho"))),MOVIMIENTOS!$A246,"")</f>
        <v/>
      </c>
      <c r="L247" t="str">
        <f>IF(AND(MOVIMIENTOS!$B246&lt;&gt;"",NOT(AND(MOVIMIENTOS!$B246="PROCESO",MOVIMIENTOS!$C246&lt;&gt;"Chancho")),NOT(AND(MOVIMIENTOS!$B246="SALDO INICIAL",MOVIMIENTOS!$C246="Chancho"))),IF(MOVIMIENTOS!$B246="SALDO INICIAL","APERTURA ("&amp;MOVIMIENTOS!$C246&amp;")",IF(MOVIMIENTOS!$B246="COMPRA","INGRESO (compra)",IF(MOVIMIENTOS!$B246="PROCESO","CHANCHO (proceso)",IF(MOVIMIENTOS!$B246="ENVÍO A SUPESA","ENVÍO SUPESA cal. "&amp;MOVIMIENTOS!$C246,IF(MOVIMIENTOS!$B246="VENTA CHANCHO","VENTA CHANCHO",IF(MOVIMIENTOS!$B246="DEVOLUCIÓN","DEVOLUCIÓN cal. "&amp;MOVIMIENTOS!$C246,IF(MOVIMIENTOS!$B246="TRASIEGO","TRASIEGO cal. "&amp;MOVIMIENTOS!$C246,IF(MOVIMIENTOS!$B246="REGALO","REGALO "&amp;MOVIMIENTOS!$C246,IF(MOVIMIENTOS!$B246="VENTA","VENTA "&amp;MOVIMIENTOS!$C246,IF(MOVIMIENTOS!$B246="AJUSTE","AJUSTE inventario ("&amp;MOVIMIENTOS!$C246&amp;")",MOVIMIENTOS!$B246)))))))))),"")</f>
        <v/>
      </c>
      <c r="M247" t="str">
        <f>IF(AND(AND(MOVIMIENTOS!$B246&lt;&gt;"",NOT(AND(MOVIMIENTOS!$B246="PROCESO",MOVIMIENTOS!$C246&lt;&gt;"Chancho")),NOT(AND(MOVIMIENTOS!$B246="SALDO INICIAL",MOVIMIENTOS!$C246="Chancho"))),OR(MOVIMIENTOS!$B246="SALDO INICIAL",MOVIMIENTOS!$B246="COMPRA",MOVIMIENTOS!$B246="REPROCESO",AND(MOVIMIENTOS!$B246="AJUSTE",MOVIMIENTOS!$C246&lt;&gt;"Chancho",N(MOVIMIENTOS!$F246)&gt;=0))),N(MOVIMIENTOS!$F246),"")</f>
        <v/>
      </c>
      <c r="N247" t="str">
        <f>IF(AND(AND(MOVIMIENTOS!$B246&lt;&gt;"",NOT(AND(MOVIMIENTOS!$B246="PROCESO",MOVIMIENTOS!$C246&lt;&gt;"Chancho")),NOT(AND(MOVIMIENTOS!$B246="SALDO INICIAL",MOVIMIENTOS!$C246="Chancho"))),OR(MOVIMIENTOS!$B246="ENVÍO A SUPESA",MOVIMIENTOS!$B246="MALOGRADO",MOVIMIENTOS!$B246="OTRA SALIDA",MOVIMIENTOS!$B246="TRASIEGO",AND(MOVIMIENTOS!$B246="PROCESO",MOVIMIENTOS!$C246="Chancho"),AND(MOVIMIENTOS!$B246="REGALO",MOVIMIENTOS!$C246&lt;&gt;"Chancho"),AND(MOVIMIENTOS!$B246="VENTA",MOVIMIENTOS!$C246&lt;&gt;"Chancho"),AND(MOVIMIENTOS!$B246="AJUSTE",MOVIMIENTOS!$C246&lt;&gt;"Chancho",N(MOVIMIENTOS!$F246)&lt;0))),IF(MOVIMIENTOS!$B246="AJUSTE",-N(MOVIMIENTOS!$F246),N(MOVIMIENTOS!$F246)),"")</f>
        <v/>
      </c>
      <c r="O247" t="str">
        <f>IF(AND(MOVIMIENTOS!$B246&lt;&gt;"",NOT(AND(MOVIMIENTOS!$B246="PROCESO",MOVIMIENTOS!$C246&lt;&gt;"Chancho")),NOT(AND(MOVIMIENTOS!$B246="SALDO INICIAL",MOVIMIENTOS!$C246="Chancho"))),TRIM(IF(MOVIMIENTOS!$G246&lt;&gt;"",IF(MOVIMIENTOS!$B246="ENVÍO A SUPESA","G-"&amp;MOVIMIENTOS!$G246,MOVIMIENTOS!$G246)&amp;"  ","")&amp;IF(N(MOVIMIENTOS!$E246)&gt;0,MOVIMIENTOS!$E246&amp;" "&amp;MOVIMIENTOS!$D246,"")),"")</f>
        <v/>
      </c>
      <c r="P247">
        <f t="shared" si="27"/>
        <v>6138.5</v>
      </c>
    </row>
    <row r="248" spans="1:16" x14ac:dyDescent="0.2">
      <c r="A248" s="7" t="str">
        <f t="shared" si="21"/>
        <v/>
      </c>
      <c r="B248" s="8" t="str">
        <f t="shared" si="22"/>
        <v/>
      </c>
      <c r="C248" s="9" t="str">
        <f t="shared" si="23"/>
        <v/>
      </c>
      <c r="D248" s="9" t="str">
        <f t="shared" si="24"/>
        <v/>
      </c>
      <c r="E248" s="8" t="str">
        <f t="shared" si="25"/>
        <v/>
      </c>
      <c r="F248" s="9" t="str">
        <f t="shared" si="26"/>
        <v/>
      </c>
      <c r="J248" t="str">
        <f>IF(AND(MOVIMIENTOS!$B247&lt;&gt;"",NOT(AND(MOVIMIENTOS!$B247="PROCESO",MOVIMIENTOS!$C247&lt;&gt;"Chancho")),NOT(AND(MOVIMIENTOS!$B247="SALDO INICIAL",MOVIMIENTOS!$C247="Chancho"))),COUNT(J$5:J247)+1,"")</f>
        <v/>
      </c>
      <c r="K248" t="str">
        <f>IF(AND(MOVIMIENTOS!$B247&lt;&gt;"",NOT(AND(MOVIMIENTOS!$B247="PROCESO",MOVIMIENTOS!$C247&lt;&gt;"Chancho")),NOT(AND(MOVIMIENTOS!$B247="SALDO INICIAL",MOVIMIENTOS!$C247="Chancho"))),MOVIMIENTOS!$A247,"")</f>
        <v/>
      </c>
      <c r="L248" t="str">
        <f>IF(AND(MOVIMIENTOS!$B247&lt;&gt;"",NOT(AND(MOVIMIENTOS!$B247="PROCESO",MOVIMIENTOS!$C247&lt;&gt;"Chancho")),NOT(AND(MOVIMIENTOS!$B247="SALDO INICIAL",MOVIMIENTOS!$C247="Chancho"))),IF(MOVIMIENTOS!$B247="SALDO INICIAL","APERTURA ("&amp;MOVIMIENTOS!$C247&amp;")",IF(MOVIMIENTOS!$B247="COMPRA","INGRESO (compra)",IF(MOVIMIENTOS!$B247="PROCESO","CHANCHO (proceso)",IF(MOVIMIENTOS!$B247="ENVÍO A SUPESA","ENVÍO SUPESA cal. "&amp;MOVIMIENTOS!$C247,IF(MOVIMIENTOS!$B247="VENTA CHANCHO","VENTA CHANCHO",IF(MOVIMIENTOS!$B247="DEVOLUCIÓN","DEVOLUCIÓN cal. "&amp;MOVIMIENTOS!$C247,IF(MOVIMIENTOS!$B247="TRASIEGO","TRASIEGO cal. "&amp;MOVIMIENTOS!$C247,IF(MOVIMIENTOS!$B247="REGALO","REGALO "&amp;MOVIMIENTOS!$C247,IF(MOVIMIENTOS!$B247="VENTA","VENTA "&amp;MOVIMIENTOS!$C247,IF(MOVIMIENTOS!$B247="AJUSTE","AJUSTE inventario ("&amp;MOVIMIENTOS!$C247&amp;")",MOVIMIENTOS!$B247)))))))))),"")</f>
        <v/>
      </c>
      <c r="M248" t="str">
        <f>IF(AND(AND(MOVIMIENTOS!$B247&lt;&gt;"",NOT(AND(MOVIMIENTOS!$B247="PROCESO",MOVIMIENTOS!$C247&lt;&gt;"Chancho")),NOT(AND(MOVIMIENTOS!$B247="SALDO INICIAL",MOVIMIENTOS!$C247="Chancho"))),OR(MOVIMIENTOS!$B247="SALDO INICIAL",MOVIMIENTOS!$B247="COMPRA",MOVIMIENTOS!$B247="REPROCESO",AND(MOVIMIENTOS!$B247="AJUSTE",MOVIMIENTOS!$C247&lt;&gt;"Chancho",N(MOVIMIENTOS!$F247)&gt;=0))),N(MOVIMIENTOS!$F247),"")</f>
        <v/>
      </c>
      <c r="N248" t="str">
        <f>IF(AND(AND(MOVIMIENTOS!$B247&lt;&gt;"",NOT(AND(MOVIMIENTOS!$B247="PROCESO",MOVIMIENTOS!$C247&lt;&gt;"Chancho")),NOT(AND(MOVIMIENTOS!$B247="SALDO INICIAL",MOVIMIENTOS!$C247="Chancho"))),OR(MOVIMIENTOS!$B247="ENVÍO A SUPESA",MOVIMIENTOS!$B247="MALOGRADO",MOVIMIENTOS!$B247="OTRA SALIDA",MOVIMIENTOS!$B247="TRASIEGO",AND(MOVIMIENTOS!$B247="PROCESO",MOVIMIENTOS!$C247="Chancho"),AND(MOVIMIENTOS!$B247="REGALO",MOVIMIENTOS!$C247&lt;&gt;"Chancho"),AND(MOVIMIENTOS!$B247="VENTA",MOVIMIENTOS!$C247&lt;&gt;"Chancho"),AND(MOVIMIENTOS!$B247="AJUSTE",MOVIMIENTOS!$C247&lt;&gt;"Chancho",N(MOVIMIENTOS!$F247)&lt;0))),IF(MOVIMIENTOS!$B247="AJUSTE",-N(MOVIMIENTOS!$F247),N(MOVIMIENTOS!$F247)),"")</f>
        <v/>
      </c>
      <c r="O248" t="str">
        <f>IF(AND(MOVIMIENTOS!$B247&lt;&gt;"",NOT(AND(MOVIMIENTOS!$B247="PROCESO",MOVIMIENTOS!$C247&lt;&gt;"Chancho")),NOT(AND(MOVIMIENTOS!$B247="SALDO INICIAL",MOVIMIENTOS!$C247="Chancho"))),TRIM(IF(MOVIMIENTOS!$G247&lt;&gt;"",IF(MOVIMIENTOS!$B247="ENVÍO A SUPESA","G-"&amp;MOVIMIENTOS!$G247,MOVIMIENTOS!$G247)&amp;"  ","")&amp;IF(N(MOVIMIENTOS!$E247)&gt;0,MOVIMIENTOS!$E247&amp;" "&amp;MOVIMIENTOS!$D247,"")),"")</f>
        <v/>
      </c>
      <c r="P248">
        <f t="shared" si="27"/>
        <v>6138.5</v>
      </c>
    </row>
    <row r="249" spans="1:16" x14ac:dyDescent="0.2">
      <c r="A249" s="7" t="str">
        <f t="shared" si="21"/>
        <v/>
      </c>
      <c r="B249" s="8" t="str">
        <f t="shared" si="22"/>
        <v/>
      </c>
      <c r="C249" s="9" t="str">
        <f t="shared" si="23"/>
        <v/>
      </c>
      <c r="D249" s="9" t="str">
        <f t="shared" si="24"/>
        <v/>
      </c>
      <c r="E249" s="8" t="str">
        <f t="shared" si="25"/>
        <v/>
      </c>
      <c r="F249" s="9" t="str">
        <f t="shared" si="26"/>
        <v/>
      </c>
      <c r="J249" t="str">
        <f>IF(AND(MOVIMIENTOS!$B248&lt;&gt;"",NOT(AND(MOVIMIENTOS!$B248="PROCESO",MOVIMIENTOS!$C248&lt;&gt;"Chancho")),NOT(AND(MOVIMIENTOS!$B248="SALDO INICIAL",MOVIMIENTOS!$C248="Chancho"))),COUNT(J$5:J248)+1,"")</f>
        <v/>
      </c>
      <c r="K249" t="str">
        <f>IF(AND(MOVIMIENTOS!$B248&lt;&gt;"",NOT(AND(MOVIMIENTOS!$B248="PROCESO",MOVIMIENTOS!$C248&lt;&gt;"Chancho")),NOT(AND(MOVIMIENTOS!$B248="SALDO INICIAL",MOVIMIENTOS!$C248="Chancho"))),MOVIMIENTOS!$A248,"")</f>
        <v/>
      </c>
      <c r="L249" t="str">
        <f>IF(AND(MOVIMIENTOS!$B248&lt;&gt;"",NOT(AND(MOVIMIENTOS!$B248="PROCESO",MOVIMIENTOS!$C248&lt;&gt;"Chancho")),NOT(AND(MOVIMIENTOS!$B248="SALDO INICIAL",MOVIMIENTOS!$C248="Chancho"))),IF(MOVIMIENTOS!$B248="SALDO INICIAL","APERTURA ("&amp;MOVIMIENTOS!$C248&amp;")",IF(MOVIMIENTOS!$B248="COMPRA","INGRESO (compra)",IF(MOVIMIENTOS!$B248="PROCESO","CHANCHO (proceso)",IF(MOVIMIENTOS!$B248="ENVÍO A SUPESA","ENVÍO SUPESA cal. "&amp;MOVIMIENTOS!$C248,IF(MOVIMIENTOS!$B248="VENTA CHANCHO","VENTA CHANCHO",IF(MOVIMIENTOS!$B248="DEVOLUCIÓN","DEVOLUCIÓN cal. "&amp;MOVIMIENTOS!$C248,IF(MOVIMIENTOS!$B248="TRASIEGO","TRASIEGO cal. "&amp;MOVIMIENTOS!$C248,IF(MOVIMIENTOS!$B248="REGALO","REGALO "&amp;MOVIMIENTOS!$C248,IF(MOVIMIENTOS!$B248="VENTA","VENTA "&amp;MOVIMIENTOS!$C248,IF(MOVIMIENTOS!$B248="AJUSTE","AJUSTE inventario ("&amp;MOVIMIENTOS!$C248&amp;")",MOVIMIENTOS!$B248)))))))))),"")</f>
        <v/>
      </c>
      <c r="M249" t="str">
        <f>IF(AND(AND(MOVIMIENTOS!$B248&lt;&gt;"",NOT(AND(MOVIMIENTOS!$B248="PROCESO",MOVIMIENTOS!$C248&lt;&gt;"Chancho")),NOT(AND(MOVIMIENTOS!$B248="SALDO INICIAL",MOVIMIENTOS!$C248="Chancho"))),OR(MOVIMIENTOS!$B248="SALDO INICIAL",MOVIMIENTOS!$B248="COMPRA",MOVIMIENTOS!$B248="REPROCESO",AND(MOVIMIENTOS!$B248="AJUSTE",MOVIMIENTOS!$C248&lt;&gt;"Chancho",N(MOVIMIENTOS!$F248)&gt;=0))),N(MOVIMIENTOS!$F248),"")</f>
        <v/>
      </c>
      <c r="N249" t="str">
        <f>IF(AND(AND(MOVIMIENTOS!$B248&lt;&gt;"",NOT(AND(MOVIMIENTOS!$B248="PROCESO",MOVIMIENTOS!$C248&lt;&gt;"Chancho")),NOT(AND(MOVIMIENTOS!$B248="SALDO INICIAL",MOVIMIENTOS!$C248="Chancho"))),OR(MOVIMIENTOS!$B248="ENVÍO A SUPESA",MOVIMIENTOS!$B248="MALOGRADO",MOVIMIENTOS!$B248="OTRA SALIDA",MOVIMIENTOS!$B248="TRASIEGO",AND(MOVIMIENTOS!$B248="PROCESO",MOVIMIENTOS!$C248="Chancho"),AND(MOVIMIENTOS!$B248="REGALO",MOVIMIENTOS!$C248&lt;&gt;"Chancho"),AND(MOVIMIENTOS!$B248="VENTA",MOVIMIENTOS!$C248&lt;&gt;"Chancho"),AND(MOVIMIENTOS!$B248="AJUSTE",MOVIMIENTOS!$C248&lt;&gt;"Chancho",N(MOVIMIENTOS!$F248)&lt;0))),IF(MOVIMIENTOS!$B248="AJUSTE",-N(MOVIMIENTOS!$F248),N(MOVIMIENTOS!$F248)),"")</f>
        <v/>
      </c>
      <c r="O249" t="str">
        <f>IF(AND(MOVIMIENTOS!$B248&lt;&gt;"",NOT(AND(MOVIMIENTOS!$B248="PROCESO",MOVIMIENTOS!$C248&lt;&gt;"Chancho")),NOT(AND(MOVIMIENTOS!$B248="SALDO INICIAL",MOVIMIENTOS!$C248="Chancho"))),TRIM(IF(MOVIMIENTOS!$G248&lt;&gt;"",IF(MOVIMIENTOS!$B248="ENVÍO A SUPESA","G-"&amp;MOVIMIENTOS!$G248,MOVIMIENTOS!$G248)&amp;"  ","")&amp;IF(N(MOVIMIENTOS!$E248)&gt;0,MOVIMIENTOS!$E248&amp;" "&amp;MOVIMIENTOS!$D248,"")),"")</f>
        <v/>
      </c>
      <c r="P249">
        <f t="shared" si="27"/>
        <v>6138.5</v>
      </c>
    </row>
    <row r="250" spans="1:16" x14ac:dyDescent="0.2">
      <c r="A250" s="7" t="str">
        <f t="shared" si="21"/>
        <v/>
      </c>
      <c r="B250" s="8" t="str">
        <f t="shared" si="22"/>
        <v/>
      </c>
      <c r="C250" s="9" t="str">
        <f t="shared" si="23"/>
        <v/>
      </c>
      <c r="D250" s="9" t="str">
        <f t="shared" si="24"/>
        <v/>
      </c>
      <c r="E250" s="8" t="str">
        <f t="shared" si="25"/>
        <v/>
      </c>
      <c r="F250" s="9" t="str">
        <f t="shared" si="26"/>
        <v/>
      </c>
      <c r="J250" t="str">
        <f>IF(AND(MOVIMIENTOS!$B249&lt;&gt;"",NOT(AND(MOVIMIENTOS!$B249="PROCESO",MOVIMIENTOS!$C249&lt;&gt;"Chancho")),NOT(AND(MOVIMIENTOS!$B249="SALDO INICIAL",MOVIMIENTOS!$C249="Chancho"))),COUNT(J$5:J249)+1,"")</f>
        <v/>
      </c>
      <c r="K250" t="str">
        <f>IF(AND(MOVIMIENTOS!$B249&lt;&gt;"",NOT(AND(MOVIMIENTOS!$B249="PROCESO",MOVIMIENTOS!$C249&lt;&gt;"Chancho")),NOT(AND(MOVIMIENTOS!$B249="SALDO INICIAL",MOVIMIENTOS!$C249="Chancho"))),MOVIMIENTOS!$A249,"")</f>
        <v/>
      </c>
      <c r="L250" t="str">
        <f>IF(AND(MOVIMIENTOS!$B249&lt;&gt;"",NOT(AND(MOVIMIENTOS!$B249="PROCESO",MOVIMIENTOS!$C249&lt;&gt;"Chancho")),NOT(AND(MOVIMIENTOS!$B249="SALDO INICIAL",MOVIMIENTOS!$C249="Chancho"))),IF(MOVIMIENTOS!$B249="SALDO INICIAL","APERTURA ("&amp;MOVIMIENTOS!$C249&amp;")",IF(MOVIMIENTOS!$B249="COMPRA","INGRESO (compra)",IF(MOVIMIENTOS!$B249="PROCESO","CHANCHO (proceso)",IF(MOVIMIENTOS!$B249="ENVÍO A SUPESA","ENVÍO SUPESA cal. "&amp;MOVIMIENTOS!$C249,IF(MOVIMIENTOS!$B249="VENTA CHANCHO","VENTA CHANCHO",IF(MOVIMIENTOS!$B249="DEVOLUCIÓN","DEVOLUCIÓN cal. "&amp;MOVIMIENTOS!$C249,IF(MOVIMIENTOS!$B249="TRASIEGO","TRASIEGO cal. "&amp;MOVIMIENTOS!$C249,IF(MOVIMIENTOS!$B249="REGALO","REGALO "&amp;MOVIMIENTOS!$C249,IF(MOVIMIENTOS!$B249="VENTA","VENTA "&amp;MOVIMIENTOS!$C249,IF(MOVIMIENTOS!$B249="AJUSTE","AJUSTE inventario ("&amp;MOVIMIENTOS!$C249&amp;")",MOVIMIENTOS!$B249)))))))))),"")</f>
        <v/>
      </c>
      <c r="M250" t="str">
        <f>IF(AND(AND(MOVIMIENTOS!$B249&lt;&gt;"",NOT(AND(MOVIMIENTOS!$B249="PROCESO",MOVIMIENTOS!$C249&lt;&gt;"Chancho")),NOT(AND(MOVIMIENTOS!$B249="SALDO INICIAL",MOVIMIENTOS!$C249="Chancho"))),OR(MOVIMIENTOS!$B249="SALDO INICIAL",MOVIMIENTOS!$B249="COMPRA",MOVIMIENTOS!$B249="REPROCESO",AND(MOVIMIENTOS!$B249="AJUSTE",MOVIMIENTOS!$C249&lt;&gt;"Chancho",N(MOVIMIENTOS!$F249)&gt;=0))),N(MOVIMIENTOS!$F249),"")</f>
        <v/>
      </c>
      <c r="N250" t="str">
        <f>IF(AND(AND(MOVIMIENTOS!$B249&lt;&gt;"",NOT(AND(MOVIMIENTOS!$B249="PROCESO",MOVIMIENTOS!$C249&lt;&gt;"Chancho")),NOT(AND(MOVIMIENTOS!$B249="SALDO INICIAL",MOVIMIENTOS!$C249="Chancho"))),OR(MOVIMIENTOS!$B249="ENVÍO A SUPESA",MOVIMIENTOS!$B249="MALOGRADO",MOVIMIENTOS!$B249="OTRA SALIDA",MOVIMIENTOS!$B249="TRASIEGO",AND(MOVIMIENTOS!$B249="PROCESO",MOVIMIENTOS!$C249="Chancho"),AND(MOVIMIENTOS!$B249="REGALO",MOVIMIENTOS!$C249&lt;&gt;"Chancho"),AND(MOVIMIENTOS!$B249="VENTA",MOVIMIENTOS!$C249&lt;&gt;"Chancho"),AND(MOVIMIENTOS!$B249="AJUSTE",MOVIMIENTOS!$C249&lt;&gt;"Chancho",N(MOVIMIENTOS!$F249)&lt;0))),IF(MOVIMIENTOS!$B249="AJUSTE",-N(MOVIMIENTOS!$F249),N(MOVIMIENTOS!$F249)),"")</f>
        <v/>
      </c>
      <c r="O250" t="str">
        <f>IF(AND(MOVIMIENTOS!$B249&lt;&gt;"",NOT(AND(MOVIMIENTOS!$B249="PROCESO",MOVIMIENTOS!$C249&lt;&gt;"Chancho")),NOT(AND(MOVIMIENTOS!$B249="SALDO INICIAL",MOVIMIENTOS!$C249="Chancho"))),TRIM(IF(MOVIMIENTOS!$G249&lt;&gt;"",IF(MOVIMIENTOS!$B249="ENVÍO A SUPESA","G-"&amp;MOVIMIENTOS!$G249,MOVIMIENTOS!$G249)&amp;"  ","")&amp;IF(N(MOVIMIENTOS!$E249)&gt;0,MOVIMIENTOS!$E249&amp;" "&amp;MOVIMIENTOS!$D249,"")),"")</f>
        <v/>
      </c>
      <c r="P250">
        <f t="shared" si="27"/>
        <v>6138.5</v>
      </c>
    </row>
    <row r="251" spans="1:16" x14ac:dyDescent="0.2">
      <c r="A251" s="7" t="str">
        <f t="shared" si="21"/>
        <v/>
      </c>
      <c r="B251" s="8" t="str">
        <f t="shared" si="22"/>
        <v/>
      </c>
      <c r="C251" s="9" t="str">
        <f t="shared" si="23"/>
        <v/>
      </c>
      <c r="D251" s="9" t="str">
        <f t="shared" si="24"/>
        <v/>
      </c>
      <c r="E251" s="8" t="str">
        <f t="shared" si="25"/>
        <v/>
      </c>
      <c r="F251" s="9" t="str">
        <f t="shared" si="26"/>
        <v/>
      </c>
      <c r="J251" t="str">
        <f>IF(AND(MOVIMIENTOS!$B250&lt;&gt;"",NOT(AND(MOVIMIENTOS!$B250="PROCESO",MOVIMIENTOS!$C250&lt;&gt;"Chancho")),NOT(AND(MOVIMIENTOS!$B250="SALDO INICIAL",MOVIMIENTOS!$C250="Chancho"))),COUNT(J$5:J250)+1,"")</f>
        <v/>
      </c>
      <c r="K251" t="str">
        <f>IF(AND(MOVIMIENTOS!$B250&lt;&gt;"",NOT(AND(MOVIMIENTOS!$B250="PROCESO",MOVIMIENTOS!$C250&lt;&gt;"Chancho")),NOT(AND(MOVIMIENTOS!$B250="SALDO INICIAL",MOVIMIENTOS!$C250="Chancho"))),MOVIMIENTOS!$A250,"")</f>
        <v/>
      </c>
      <c r="L251" t="str">
        <f>IF(AND(MOVIMIENTOS!$B250&lt;&gt;"",NOT(AND(MOVIMIENTOS!$B250="PROCESO",MOVIMIENTOS!$C250&lt;&gt;"Chancho")),NOT(AND(MOVIMIENTOS!$B250="SALDO INICIAL",MOVIMIENTOS!$C250="Chancho"))),IF(MOVIMIENTOS!$B250="SALDO INICIAL","APERTURA ("&amp;MOVIMIENTOS!$C250&amp;")",IF(MOVIMIENTOS!$B250="COMPRA","INGRESO (compra)",IF(MOVIMIENTOS!$B250="PROCESO","CHANCHO (proceso)",IF(MOVIMIENTOS!$B250="ENVÍO A SUPESA","ENVÍO SUPESA cal. "&amp;MOVIMIENTOS!$C250,IF(MOVIMIENTOS!$B250="VENTA CHANCHO","VENTA CHANCHO",IF(MOVIMIENTOS!$B250="DEVOLUCIÓN","DEVOLUCIÓN cal. "&amp;MOVIMIENTOS!$C250,IF(MOVIMIENTOS!$B250="TRASIEGO","TRASIEGO cal. "&amp;MOVIMIENTOS!$C250,IF(MOVIMIENTOS!$B250="REGALO","REGALO "&amp;MOVIMIENTOS!$C250,IF(MOVIMIENTOS!$B250="VENTA","VENTA "&amp;MOVIMIENTOS!$C250,IF(MOVIMIENTOS!$B250="AJUSTE","AJUSTE inventario ("&amp;MOVIMIENTOS!$C250&amp;")",MOVIMIENTOS!$B250)))))))))),"")</f>
        <v/>
      </c>
      <c r="M251" t="str">
        <f>IF(AND(AND(MOVIMIENTOS!$B250&lt;&gt;"",NOT(AND(MOVIMIENTOS!$B250="PROCESO",MOVIMIENTOS!$C250&lt;&gt;"Chancho")),NOT(AND(MOVIMIENTOS!$B250="SALDO INICIAL",MOVIMIENTOS!$C250="Chancho"))),OR(MOVIMIENTOS!$B250="SALDO INICIAL",MOVIMIENTOS!$B250="COMPRA",MOVIMIENTOS!$B250="REPROCESO",AND(MOVIMIENTOS!$B250="AJUSTE",MOVIMIENTOS!$C250&lt;&gt;"Chancho",N(MOVIMIENTOS!$F250)&gt;=0))),N(MOVIMIENTOS!$F250),"")</f>
        <v/>
      </c>
      <c r="N251" t="str">
        <f>IF(AND(AND(MOVIMIENTOS!$B250&lt;&gt;"",NOT(AND(MOVIMIENTOS!$B250="PROCESO",MOVIMIENTOS!$C250&lt;&gt;"Chancho")),NOT(AND(MOVIMIENTOS!$B250="SALDO INICIAL",MOVIMIENTOS!$C250="Chancho"))),OR(MOVIMIENTOS!$B250="ENVÍO A SUPESA",MOVIMIENTOS!$B250="MALOGRADO",MOVIMIENTOS!$B250="OTRA SALIDA",MOVIMIENTOS!$B250="TRASIEGO",AND(MOVIMIENTOS!$B250="PROCESO",MOVIMIENTOS!$C250="Chancho"),AND(MOVIMIENTOS!$B250="REGALO",MOVIMIENTOS!$C250&lt;&gt;"Chancho"),AND(MOVIMIENTOS!$B250="VENTA",MOVIMIENTOS!$C250&lt;&gt;"Chancho"),AND(MOVIMIENTOS!$B250="AJUSTE",MOVIMIENTOS!$C250&lt;&gt;"Chancho",N(MOVIMIENTOS!$F250)&lt;0))),IF(MOVIMIENTOS!$B250="AJUSTE",-N(MOVIMIENTOS!$F250),N(MOVIMIENTOS!$F250)),"")</f>
        <v/>
      </c>
      <c r="O251" t="str">
        <f>IF(AND(MOVIMIENTOS!$B250&lt;&gt;"",NOT(AND(MOVIMIENTOS!$B250="PROCESO",MOVIMIENTOS!$C250&lt;&gt;"Chancho")),NOT(AND(MOVIMIENTOS!$B250="SALDO INICIAL",MOVIMIENTOS!$C250="Chancho"))),TRIM(IF(MOVIMIENTOS!$G250&lt;&gt;"",IF(MOVIMIENTOS!$B250="ENVÍO A SUPESA","G-"&amp;MOVIMIENTOS!$G250,MOVIMIENTOS!$G250)&amp;"  ","")&amp;IF(N(MOVIMIENTOS!$E250)&gt;0,MOVIMIENTOS!$E250&amp;" "&amp;MOVIMIENTOS!$D250,"")),"")</f>
        <v/>
      </c>
      <c r="P251">
        <f t="shared" si="27"/>
        <v>6138.5</v>
      </c>
    </row>
    <row r="252" spans="1:16" x14ac:dyDescent="0.2">
      <c r="A252" s="7" t="str">
        <f t="shared" si="21"/>
        <v/>
      </c>
      <c r="B252" s="8" t="str">
        <f t="shared" si="22"/>
        <v/>
      </c>
      <c r="C252" s="9" t="str">
        <f t="shared" si="23"/>
        <v/>
      </c>
      <c r="D252" s="9" t="str">
        <f t="shared" si="24"/>
        <v/>
      </c>
      <c r="E252" s="8" t="str">
        <f t="shared" si="25"/>
        <v/>
      </c>
      <c r="F252" s="9" t="str">
        <f t="shared" si="26"/>
        <v/>
      </c>
      <c r="J252" t="str">
        <f>IF(AND(MOVIMIENTOS!$B251&lt;&gt;"",NOT(AND(MOVIMIENTOS!$B251="PROCESO",MOVIMIENTOS!$C251&lt;&gt;"Chancho")),NOT(AND(MOVIMIENTOS!$B251="SALDO INICIAL",MOVIMIENTOS!$C251="Chancho"))),COUNT(J$5:J251)+1,"")</f>
        <v/>
      </c>
      <c r="K252" t="str">
        <f>IF(AND(MOVIMIENTOS!$B251&lt;&gt;"",NOT(AND(MOVIMIENTOS!$B251="PROCESO",MOVIMIENTOS!$C251&lt;&gt;"Chancho")),NOT(AND(MOVIMIENTOS!$B251="SALDO INICIAL",MOVIMIENTOS!$C251="Chancho"))),MOVIMIENTOS!$A251,"")</f>
        <v/>
      </c>
      <c r="L252" t="str">
        <f>IF(AND(MOVIMIENTOS!$B251&lt;&gt;"",NOT(AND(MOVIMIENTOS!$B251="PROCESO",MOVIMIENTOS!$C251&lt;&gt;"Chancho")),NOT(AND(MOVIMIENTOS!$B251="SALDO INICIAL",MOVIMIENTOS!$C251="Chancho"))),IF(MOVIMIENTOS!$B251="SALDO INICIAL","APERTURA ("&amp;MOVIMIENTOS!$C251&amp;")",IF(MOVIMIENTOS!$B251="COMPRA","INGRESO (compra)",IF(MOVIMIENTOS!$B251="PROCESO","CHANCHO (proceso)",IF(MOVIMIENTOS!$B251="ENVÍO A SUPESA","ENVÍO SUPESA cal. "&amp;MOVIMIENTOS!$C251,IF(MOVIMIENTOS!$B251="VENTA CHANCHO","VENTA CHANCHO",IF(MOVIMIENTOS!$B251="DEVOLUCIÓN","DEVOLUCIÓN cal. "&amp;MOVIMIENTOS!$C251,IF(MOVIMIENTOS!$B251="TRASIEGO","TRASIEGO cal. "&amp;MOVIMIENTOS!$C251,IF(MOVIMIENTOS!$B251="REGALO","REGALO "&amp;MOVIMIENTOS!$C251,IF(MOVIMIENTOS!$B251="VENTA","VENTA "&amp;MOVIMIENTOS!$C251,IF(MOVIMIENTOS!$B251="AJUSTE","AJUSTE inventario ("&amp;MOVIMIENTOS!$C251&amp;")",MOVIMIENTOS!$B251)))))))))),"")</f>
        <v/>
      </c>
      <c r="M252" t="str">
        <f>IF(AND(AND(MOVIMIENTOS!$B251&lt;&gt;"",NOT(AND(MOVIMIENTOS!$B251="PROCESO",MOVIMIENTOS!$C251&lt;&gt;"Chancho")),NOT(AND(MOVIMIENTOS!$B251="SALDO INICIAL",MOVIMIENTOS!$C251="Chancho"))),OR(MOVIMIENTOS!$B251="SALDO INICIAL",MOVIMIENTOS!$B251="COMPRA",MOVIMIENTOS!$B251="REPROCESO",AND(MOVIMIENTOS!$B251="AJUSTE",MOVIMIENTOS!$C251&lt;&gt;"Chancho",N(MOVIMIENTOS!$F251)&gt;=0))),N(MOVIMIENTOS!$F251),"")</f>
        <v/>
      </c>
      <c r="N252" t="str">
        <f>IF(AND(AND(MOVIMIENTOS!$B251&lt;&gt;"",NOT(AND(MOVIMIENTOS!$B251="PROCESO",MOVIMIENTOS!$C251&lt;&gt;"Chancho")),NOT(AND(MOVIMIENTOS!$B251="SALDO INICIAL",MOVIMIENTOS!$C251="Chancho"))),OR(MOVIMIENTOS!$B251="ENVÍO A SUPESA",MOVIMIENTOS!$B251="MALOGRADO",MOVIMIENTOS!$B251="OTRA SALIDA",MOVIMIENTOS!$B251="TRASIEGO",AND(MOVIMIENTOS!$B251="PROCESO",MOVIMIENTOS!$C251="Chancho"),AND(MOVIMIENTOS!$B251="REGALO",MOVIMIENTOS!$C251&lt;&gt;"Chancho"),AND(MOVIMIENTOS!$B251="VENTA",MOVIMIENTOS!$C251&lt;&gt;"Chancho"),AND(MOVIMIENTOS!$B251="AJUSTE",MOVIMIENTOS!$C251&lt;&gt;"Chancho",N(MOVIMIENTOS!$F251)&lt;0))),IF(MOVIMIENTOS!$B251="AJUSTE",-N(MOVIMIENTOS!$F251),N(MOVIMIENTOS!$F251)),"")</f>
        <v/>
      </c>
      <c r="O252" t="str">
        <f>IF(AND(MOVIMIENTOS!$B251&lt;&gt;"",NOT(AND(MOVIMIENTOS!$B251="PROCESO",MOVIMIENTOS!$C251&lt;&gt;"Chancho")),NOT(AND(MOVIMIENTOS!$B251="SALDO INICIAL",MOVIMIENTOS!$C251="Chancho"))),TRIM(IF(MOVIMIENTOS!$G251&lt;&gt;"",IF(MOVIMIENTOS!$B251="ENVÍO A SUPESA","G-"&amp;MOVIMIENTOS!$G251,MOVIMIENTOS!$G251)&amp;"  ","")&amp;IF(N(MOVIMIENTOS!$E251)&gt;0,MOVIMIENTOS!$E251&amp;" "&amp;MOVIMIENTOS!$D251,"")),"")</f>
        <v/>
      </c>
      <c r="P252">
        <f t="shared" si="27"/>
        <v>6138.5</v>
      </c>
    </row>
    <row r="253" spans="1:16" x14ac:dyDescent="0.2">
      <c r="A253" s="7" t="str">
        <f t="shared" si="21"/>
        <v/>
      </c>
      <c r="B253" s="8" t="str">
        <f t="shared" si="22"/>
        <v/>
      </c>
      <c r="C253" s="9" t="str">
        <f t="shared" si="23"/>
        <v/>
      </c>
      <c r="D253" s="9" t="str">
        <f t="shared" si="24"/>
        <v/>
      </c>
      <c r="E253" s="8" t="str">
        <f t="shared" si="25"/>
        <v/>
      </c>
      <c r="F253" s="9" t="str">
        <f t="shared" si="26"/>
        <v/>
      </c>
      <c r="J253" t="str">
        <f>IF(AND(MOVIMIENTOS!$B252&lt;&gt;"",NOT(AND(MOVIMIENTOS!$B252="PROCESO",MOVIMIENTOS!$C252&lt;&gt;"Chancho")),NOT(AND(MOVIMIENTOS!$B252="SALDO INICIAL",MOVIMIENTOS!$C252="Chancho"))),COUNT(J$5:J252)+1,"")</f>
        <v/>
      </c>
      <c r="K253" t="str">
        <f>IF(AND(MOVIMIENTOS!$B252&lt;&gt;"",NOT(AND(MOVIMIENTOS!$B252="PROCESO",MOVIMIENTOS!$C252&lt;&gt;"Chancho")),NOT(AND(MOVIMIENTOS!$B252="SALDO INICIAL",MOVIMIENTOS!$C252="Chancho"))),MOVIMIENTOS!$A252,"")</f>
        <v/>
      </c>
      <c r="L253" t="str">
        <f>IF(AND(MOVIMIENTOS!$B252&lt;&gt;"",NOT(AND(MOVIMIENTOS!$B252="PROCESO",MOVIMIENTOS!$C252&lt;&gt;"Chancho")),NOT(AND(MOVIMIENTOS!$B252="SALDO INICIAL",MOVIMIENTOS!$C252="Chancho"))),IF(MOVIMIENTOS!$B252="SALDO INICIAL","APERTURA ("&amp;MOVIMIENTOS!$C252&amp;")",IF(MOVIMIENTOS!$B252="COMPRA","INGRESO (compra)",IF(MOVIMIENTOS!$B252="PROCESO","CHANCHO (proceso)",IF(MOVIMIENTOS!$B252="ENVÍO A SUPESA","ENVÍO SUPESA cal. "&amp;MOVIMIENTOS!$C252,IF(MOVIMIENTOS!$B252="VENTA CHANCHO","VENTA CHANCHO",IF(MOVIMIENTOS!$B252="DEVOLUCIÓN","DEVOLUCIÓN cal. "&amp;MOVIMIENTOS!$C252,IF(MOVIMIENTOS!$B252="TRASIEGO","TRASIEGO cal. "&amp;MOVIMIENTOS!$C252,IF(MOVIMIENTOS!$B252="REGALO","REGALO "&amp;MOVIMIENTOS!$C252,IF(MOVIMIENTOS!$B252="VENTA","VENTA "&amp;MOVIMIENTOS!$C252,IF(MOVIMIENTOS!$B252="AJUSTE","AJUSTE inventario ("&amp;MOVIMIENTOS!$C252&amp;")",MOVIMIENTOS!$B252)))))))))),"")</f>
        <v/>
      </c>
      <c r="M253" t="str">
        <f>IF(AND(AND(MOVIMIENTOS!$B252&lt;&gt;"",NOT(AND(MOVIMIENTOS!$B252="PROCESO",MOVIMIENTOS!$C252&lt;&gt;"Chancho")),NOT(AND(MOVIMIENTOS!$B252="SALDO INICIAL",MOVIMIENTOS!$C252="Chancho"))),OR(MOVIMIENTOS!$B252="SALDO INICIAL",MOVIMIENTOS!$B252="COMPRA",MOVIMIENTOS!$B252="REPROCESO",AND(MOVIMIENTOS!$B252="AJUSTE",MOVIMIENTOS!$C252&lt;&gt;"Chancho",N(MOVIMIENTOS!$F252)&gt;=0))),N(MOVIMIENTOS!$F252),"")</f>
        <v/>
      </c>
      <c r="N253" t="str">
        <f>IF(AND(AND(MOVIMIENTOS!$B252&lt;&gt;"",NOT(AND(MOVIMIENTOS!$B252="PROCESO",MOVIMIENTOS!$C252&lt;&gt;"Chancho")),NOT(AND(MOVIMIENTOS!$B252="SALDO INICIAL",MOVIMIENTOS!$C252="Chancho"))),OR(MOVIMIENTOS!$B252="ENVÍO A SUPESA",MOVIMIENTOS!$B252="MALOGRADO",MOVIMIENTOS!$B252="OTRA SALIDA",MOVIMIENTOS!$B252="TRASIEGO",AND(MOVIMIENTOS!$B252="PROCESO",MOVIMIENTOS!$C252="Chancho"),AND(MOVIMIENTOS!$B252="REGALO",MOVIMIENTOS!$C252&lt;&gt;"Chancho"),AND(MOVIMIENTOS!$B252="VENTA",MOVIMIENTOS!$C252&lt;&gt;"Chancho"),AND(MOVIMIENTOS!$B252="AJUSTE",MOVIMIENTOS!$C252&lt;&gt;"Chancho",N(MOVIMIENTOS!$F252)&lt;0))),IF(MOVIMIENTOS!$B252="AJUSTE",-N(MOVIMIENTOS!$F252),N(MOVIMIENTOS!$F252)),"")</f>
        <v/>
      </c>
      <c r="O253" t="str">
        <f>IF(AND(MOVIMIENTOS!$B252&lt;&gt;"",NOT(AND(MOVIMIENTOS!$B252="PROCESO",MOVIMIENTOS!$C252&lt;&gt;"Chancho")),NOT(AND(MOVIMIENTOS!$B252="SALDO INICIAL",MOVIMIENTOS!$C252="Chancho"))),TRIM(IF(MOVIMIENTOS!$G252&lt;&gt;"",IF(MOVIMIENTOS!$B252="ENVÍO A SUPESA","G-"&amp;MOVIMIENTOS!$G252,MOVIMIENTOS!$G252)&amp;"  ","")&amp;IF(N(MOVIMIENTOS!$E252)&gt;0,MOVIMIENTOS!$E252&amp;" "&amp;MOVIMIENTOS!$D252,"")),"")</f>
        <v/>
      </c>
      <c r="P253">
        <f t="shared" si="27"/>
        <v>6138.5</v>
      </c>
    </row>
    <row r="254" spans="1:16" x14ac:dyDescent="0.2">
      <c r="A254" s="7" t="str">
        <f t="shared" si="21"/>
        <v/>
      </c>
      <c r="B254" s="8" t="str">
        <f t="shared" si="22"/>
        <v/>
      </c>
      <c r="C254" s="9" t="str">
        <f t="shared" si="23"/>
        <v/>
      </c>
      <c r="D254" s="9" t="str">
        <f t="shared" si="24"/>
        <v/>
      </c>
      <c r="E254" s="8" t="str">
        <f t="shared" si="25"/>
        <v/>
      </c>
      <c r="F254" s="9" t="str">
        <f t="shared" si="26"/>
        <v/>
      </c>
      <c r="J254" t="str">
        <f>IF(AND(MOVIMIENTOS!$B253&lt;&gt;"",NOT(AND(MOVIMIENTOS!$B253="PROCESO",MOVIMIENTOS!$C253&lt;&gt;"Chancho")),NOT(AND(MOVIMIENTOS!$B253="SALDO INICIAL",MOVIMIENTOS!$C253="Chancho"))),COUNT(J$5:J253)+1,"")</f>
        <v/>
      </c>
      <c r="K254" t="str">
        <f>IF(AND(MOVIMIENTOS!$B253&lt;&gt;"",NOT(AND(MOVIMIENTOS!$B253="PROCESO",MOVIMIENTOS!$C253&lt;&gt;"Chancho")),NOT(AND(MOVIMIENTOS!$B253="SALDO INICIAL",MOVIMIENTOS!$C253="Chancho"))),MOVIMIENTOS!$A253,"")</f>
        <v/>
      </c>
      <c r="L254" t="str">
        <f>IF(AND(MOVIMIENTOS!$B253&lt;&gt;"",NOT(AND(MOVIMIENTOS!$B253="PROCESO",MOVIMIENTOS!$C253&lt;&gt;"Chancho")),NOT(AND(MOVIMIENTOS!$B253="SALDO INICIAL",MOVIMIENTOS!$C253="Chancho"))),IF(MOVIMIENTOS!$B253="SALDO INICIAL","APERTURA ("&amp;MOVIMIENTOS!$C253&amp;")",IF(MOVIMIENTOS!$B253="COMPRA","INGRESO (compra)",IF(MOVIMIENTOS!$B253="PROCESO","CHANCHO (proceso)",IF(MOVIMIENTOS!$B253="ENVÍO A SUPESA","ENVÍO SUPESA cal. "&amp;MOVIMIENTOS!$C253,IF(MOVIMIENTOS!$B253="VENTA CHANCHO","VENTA CHANCHO",IF(MOVIMIENTOS!$B253="DEVOLUCIÓN","DEVOLUCIÓN cal. "&amp;MOVIMIENTOS!$C253,IF(MOVIMIENTOS!$B253="TRASIEGO","TRASIEGO cal. "&amp;MOVIMIENTOS!$C253,IF(MOVIMIENTOS!$B253="REGALO","REGALO "&amp;MOVIMIENTOS!$C253,IF(MOVIMIENTOS!$B253="VENTA","VENTA "&amp;MOVIMIENTOS!$C253,IF(MOVIMIENTOS!$B253="AJUSTE","AJUSTE inventario ("&amp;MOVIMIENTOS!$C253&amp;")",MOVIMIENTOS!$B253)))))))))),"")</f>
        <v/>
      </c>
      <c r="M254" t="str">
        <f>IF(AND(AND(MOVIMIENTOS!$B253&lt;&gt;"",NOT(AND(MOVIMIENTOS!$B253="PROCESO",MOVIMIENTOS!$C253&lt;&gt;"Chancho")),NOT(AND(MOVIMIENTOS!$B253="SALDO INICIAL",MOVIMIENTOS!$C253="Chancho"))),OR(MOVIMIENTOS!$B253="SALDO INICIAL",MOVIMIENTOS!$B253="COMPRA",MOVIMIENTOS!$B253="REPROCESO",AND(MOVIMIENTOS!$B253="AJUSTE",MOVIMIENTOS!$C253&lt;&gt;"Chancho",N(MOVIMIENTOS!$F253)&gt;=0))),N(MOVIMIENTOS!$F253),"")</f>
        <v/>
      </c>
      <c r="N254" t="str">
        <f>IF(AND(AND(MOVIMIENTOS!$B253&lt;&gt;"",NOT(AND(MOVIMIENTOS!$B253="PROCESO",MOVIMIENTOS!$C253&lt;&gt;"Chancho")),NOT(AND(MOVIMIENTOS!$B253="SALDO INICIAL",MOVIMIENTOS!$C253="Chancho"))),OR(MOVIMIENTOS!$B253="ENVÍO A SUPESA",MOVIMIENTOS!$B253="MALOGRADO",MOVIMIENTOS!$B253="OTRA SALIDA",MOVIMIENTOS!$B253="TRASIEGO",AND(MOVIMIENTOS!$B253="PROCESO",MOVIMIENTOS!$C253="Chancho"),AND(MOVIMIENTOS!$B253="REGALO",MOVIMIENTOS!$C253&lt;&gt;"Chancho"),AND(MOVIMIENTOS!$B253="VENTA",MOVIMIENTOS!$C253&lt;&gt;"Chancho"),AND(MOVIMIENTOS!$B253="AJUSTE",MOVIMIENTOS!$C253&lt;&gt;"Chancho",N(MOVIMIENTOS!$F253)&lt;0))),IF(MOVIMIENTOS!$B253="AJUSTE",-N(MOVIMIENTOS!$F253),N(MOVIMIENTOS!$F253)),"")</f>
        <v/>
      </c>
      <c r="O254" t="str">
        <f>IF(AND(MOVIMIENTOS!$B253&lt;&gt;"",NOT(AND(MOVIMIENTOS!$B253="PROCESO",MOVIMIENTOS!$C253&lt;&gt;"Chancho")),NOT(AND(MOVIMIENTOS!$B253="SALDO INICIAL",MOVIMIENTOS!$C253="Chancho"))),TRIM(IF(MOVIMIENTOS!$G253&lt;&gt;"",IF(MOVIMIENTOS!$B253="ENVÍO A SUPESA","G-"&amp;MOVIMIENTOS!$G253,MOVIMIENTOS!$G253)&amp;"  ","")&amp;IF(N(MOVIMIENTOS!$E253)&gt;0,MOVIMIENTOS!$E253&amp;" "&amp;MOVIMIENTOS!$D253,"")),"")</f>
        <v/>
      </c>
      <c r="P254">
        <f t="shared" si="27"/>
        <v>6138.5</v>
      </c>
    </row>
    <row r="255" spans="1:16" x14ac:dyDescent="0.2">
      <c r="A255" s="7" t="str">
        <f t="shared" si="21"/>
        <v/>
      </c>
      <c r="B255" s="8" t="str">
        <f t="shared" si="22"/>
        <v/>
      </c>
      <c r="C255" s="9" t="str">
        <f t="shared" si="23"/>
        <v/>
      </c>
      <c r="D255" s="9" t="str">
        <f t="shared" si="24"/>
        <v/>
      </c>
      <c r="E255" s="8" t="str">
        <f t="shared" si="25"/>
        <v/>
      </c>
      <c r="F255" s="9" t="str">
        <f t="shared" si="26"/>
        <v/>
      </c>
      <c r="J255" t="str">
        <f>IF(AND(MOVIMIENTOS!$B254&lt;&gt;"",NOT(AND(MOVIMIENTOS!$B254="PROCESO",MOVIMIENTOS!$C254&lt;&gt;"Chancho")),NOT(AND(MOVIMIENTOS!$B254="SALDO INICIAL",MOVIMIENTOS!$C254="Chancho"))),COUNT(J$5:J254)+1,"")</f>
        <v/>
      </c>
      <c r="K255" t="str">
        <f>IF(AND(MOVIMIENTOS!$B254&lt;&gt;"",NOT(AND(MOVIMIENTOS!$B254="PROCESO",MOVIMIENTOS!$C254&lt;&gt;"Chancho")),NOT(AND(MOVIMIENTOS!$B254="SALDO INICIAL",MOVIMIENTOS!$C254="Chancho"))),MOVIMIENTOS!$A254,"")</f>
        <v/>
      </c>
      <c r="L255" t="str">
        <f>IF(AND(MOVIMIENTOS!$B254&lt;&gt;"",NOT(AND(MOVIMIENTOS!$B254="PROCESO",MOVIMIENTOS!$C254&lt;&gt;"Chancho")),NOT(AND(MOVIMIENTOS!$B254="SALDO INICIAL",MOVIMIENTOS!$C254="Chancho"))),IF(MOVIMIENTOS!$B254="SALDO INICIAL","APERTURA ("&amp;MOVIMIENTOS!$C254&amp;")",IF(MOVIMIENTOS!$B254="COMPRA","INGRESO (compra)",IF(MOVIMIENTOS!$B254="PROCESO","CHANCHO (proceso)",IF(MOVIMIENTOS!$B254="ENVÍO A SUPESA","ENVÍO SUPESA cal. "&amp;MOVIMIENTOS!$C254,IF(MOVIMIENTOS!$B254="VENTA CHANCHO","VENTA CHANCHO",IF(MOVIMIENTOS!$B254="DEVOLUCIÓN","DEVOLUCIÓN cal. "&amp;MOVIMIENTOS!$C254,IF(MOVIMIENTOS!$B254="TRASIEGO","TRASIEGO cal. "&amp;MOVIMIENTOS!$C254,IF(MOVIMIENTOS!$B254="REGALO","REGALO "&amp;MOVIMIENTOS!$C254,IF(MOVIMIENTOS!$B254="VENTA","VENTA "&amp;MOVIMIENTOS!$C254,IF(MOVIMIENTOS!$B254="AJUSTE","AJUSTE inventario ("&amp;MOVIMIENTOS!$C254&amp;")",MOVIMIENTOS!$B254)))))))))),"")</f>
        <v/>
      </c>
      <c r="M255" t="str">
        <f>IF(AND(AND(MOVIMIENTOS!$B254&lt;&gt;"",NOT(AND(MOVIMIENTOS!$B254="PROCESO",MOVIMIENTOS!$C254&lt;&gt;"Chancho")),NOT(AND(MOVIMIENTOS!$B254="SALDO INICIAL",MOVIMIENTOS!$C254="Chancho"))),OR(MOVIMIENTOS!$B254="SALDO INICIAL",MOVIMIENTOS!$B254="COMPRA",MOVIMIENTOS!$B254="REPROCESO",AND(MOVIMIENTOS!$B254="AJUSTE",MOVIMIENTOS!$C254&lt;&gt;"Chancho",N(MOVIMIENTOS!$F254)&gt;=0))),N(MOVIMIENTOS!$F254),"")</f>
        <v/>
      </c>
      <c r="N255" t="str">
        <f>IF(AND(AND(MOVIMIENTOS!$B254&lt;&gt;"",NOT(AND(MOVIMIENTOS!$B254="PROCESO",MOVIMIENTOS!$C254&lt;&gt;"Chancho")),NOT(AND(MOVIMIENTOS!$B254="SALDO INICIAL",MOVIMIENTOS!$C254="Chancho"))),OR(MOVIMIENTOS!$B254="ENVÍO A SUPESA",MOVIMIENTOS!$B254="MALOGRADO",MOVIMIENTOS!$B254="OTRA SALIDA",MOVIMIENTOS!$B254="TRASIEGO",AND(MOVIMIENTOS!$B254="PROCESO",MOVIMIENTOS!$C254="Chancho"),AND(MOVIMIENTOS!$B254="REGALO",MOVIMIENTOS!$C254&lt;&gt;"Chancho"),AND(MOVIMIENTOS!$B254="VENTA",MOVIMIENTOS!$C254&lt;&gt;"Chancho"),AND(MOVIMIENTOS!$B254="AJUSTE",MOVIMIENTOS!$C254&lt;&gt;"Chancho",N(MOVIMIENTOS!$F254)&lt;0))),IF(MOVIMIENTOS!$B254="AJUSTE",-N(MOVIMIENTOS!$F254),N(MOVIMIENTOS!$F254)),"")</f>
        <v/>
      </c>
      <c r="O255" t="str">
        <f>IF(AND(MOVIMIENTOS!$B254&lt;&gt;"",NOT(AND(MOVIMIENTOS!$B254="PROCESO",MOVIMIENTOS!$C254&lt;&gt;"Chancho")),NOT(AND(MOVIMIENTOS!$B254="SALDO INICIAL",MOVIMIENTOS!$C254="Chancho"))),TRIM(IF(MOVIMIENTOS!$G254&lt;&gt;"",IF(MOVIMIENTOS!$B254="ENVÍO A SUPESA","G-"&amp;MOVIMIENTOS!$G254,MOVIMIENTOS!$G254)&amp;"  ","")&amp;IF(N(MOVIMIENTOS!$E254)&gt;0,MOVIMIENTOS!$E254&amp;" "&amp;MOVIMIENTOS!$D254,"")),"")</f>
        <v/>
      </c>
      <c r="P255">
        <f t="shared" si="27"/>
        <v>6138.5</v>
      </c>
    </row>
    <row r="256" spans="1:16" x14ac:dyDescent="0.2">
      <c r="A256" s="7" t="str">
        <f t="shared" si="21"/>
        <v/>
      </c>
      <c r="B256" s="8" t="str">
        <f t="shared" si="22"/>
        <v/>
      </c>
      <c r="C256" s="9" t="str">
        <f t="shared" si="23"/>
        <v/>
      </c>
      <c r="D256" s="9" t="str">
        <f t="shared" si="24"/>
        <v/>
      </c>
      <c r="E256" s="8" t="str">
        <f t="shared" si="25"/>
        <v/>
      </c>
      <c r="F256" s="9" t="str">
        <f t="shared" si="26"/>
        <v/>
      </c>
      <c r="J256" t="str">
        <f>IF(AND(MOVIMIENTOS!$B255&lt;&gt;"",NOT(AND(MOVIMIENTOS!$B255="PROCESO",MOVIMIENTOS!$C255&lt;&gt;"Chancho")),NOT(AND(MOVIMIENTOS!$B255="SALDO INICIAL",MOVIMIENTOS!$C255="Chancho"))),COUNT(J$5:J255)+1,"")</f>
        <v/>
      </c>
      <c r="K256" t="str">
        <f>IF(AND(MOVIMIENTOS!$B255&lt;&gt;"",NOT(AND(MOVIMIENTOS!$B255="PROCESO",MOVIMIENTOS!$C255&lt;&gt;"Chancho")),NOT(AND(MOVIMIENTOS!$B255="SALDO INICIAL",MOVIMIENTOS!$C255="Chancho"))),MOVIMIENTOS!$A255,"")</f>
        <v/>
      </c>
      <c r="L256" t="str">
        <f>IF(AND(MOVIMIENTOS!$B255&lt;&gt;"",NOT(AND(MOVIMIENTOS!$B255="PROCESO",MOVIMIENTOS!$C255&lt;&gt;"Chancho")),NOT(AND(MOVIMIENTOS!$B255="SALDO INICIAL",MOVIMIENTOS!$C255="Chancho"))),IF(MOVIMIENTOS!$B255="SALDO INICIAL","APERTURA ("&amp;MOVIMIENTOS!$C255&amp;")",IF(MOVIMIENTOS!$B255="COMPRA","INGRESO (compra)",IF(MOVIMIENTOS!$B255="PROCESO","CHANCHO (proceso)",IF(MOVIMIENTOS!$B255="ENVÍO A SUPESA","ENVÍO SUPESA cal. "&amp;MOVIMIENTOS!$C255,IF(MOVIMIENTOS!$B255="VENTA CHANCHO","VENTA CHANCHO",IF(MOVIMIENTOS!$B255="DEVOLUCIÓN","DEVOLUCIÓN cal. "&amp;MOVIMIENTOS!$C255,IF(MOVIMIENTOS!$B255="TRASIEGO","TRASIEGO cal. "&amp;MOVIMIENTOS!$C255,IF(MOVIMIENTOS!$B255="REGALO","REGALO "&amp;MOVIMIENTOS!$C255,IF(MOVIMIENTOS!$B255="VENTA","VENTA "&amp;MOVIMIENTOS!$C255,IF(MOVIMIENTOS!$B255="AJUSTE","AJUSTE inventario ("&amp;MOVIMIENTOS!$C255&amp;")",MOVIMIENTOS!$B255)))))))))),"")</f>
        <v/>
      </c>
      <c r="M256" t="str">
        <f>IF(AND(AND(MOVIMIENTOS!$B255&lt;&gt;"",NOT(AND(MOVIMIENTOS!$B255="PROCESO",MOVIMIENTOS!$C255&lt;&gt;"Chancho")),NOT(AND(MOVIMIENTOS!$B255="SALDO INICIAL",MOVIMIENTOS!$C255="Chancho"))),OR(MOVIMIENTOS!$B255="SALDO INICIAL",MOVIMIENTOS!$B255="COMPRA",MOVIMIENTOS!$B255="REPROCESO",AND(MOVIMIENTOS!$B255="AJUSTE",MOVIMIENTOS!$C255&lt;&gt;"Chancho",N(MOVIMIENTOS!$F255)&gt;=0))),N(MOVIMIENTOS!$F255),"")</f>
        <v/>
      </c>
      <c r="N256" t="str">
        <f>IF(AND(AND(MOVIMIENTOS!$B255&lt;&gt;"",NOT(AND(MOVIMIENTOS!$B255="PROCESO",MOVIMIENTOS!$C255&lt;&gt;"Chancho")),NOT(AND(MOVIMIENTOS!$B255="SALDO INICIAL",MOVIMIENTOS!$C255="Chancho"))),OR(MOVIMIENTOS!$B255="ENVÍO A SUPESA",MOVIMIENTOS!$B255="MALOGRADO",MOVIMIENTOS!$B255="OTRA SALIDA",MOVIMIENTOS!$B255="TRASIEGO",AND(MOVIMIENTOS!$B255="PROCESO",MOVIMIENTOS!$C255="Chancho"),AND(MOVIMIENTOS!$B255="REGALO",MOVIMIENTOS!$C255&lt;&gt;"Chancho"),AND(MOVIMIENTOS!$B255="VENTA",MOVIMIENTOS!$C255&lt;&gt;"Chancho"),AND(MOVIMIENTOS!$B255="AJUSTE",MOVIMIENTOS!$C255&lt;&gt;"Chancho",N(MOVIMIENTOS!$F255)&lt;0))),IF(MOVIMIENTOS!$B255="AJUSTE",-N(MOVIMIENTOS!$F255),N(MOVIMIENTOS!$F255)),"")</f>
        <v/>
      </c>
      <c r="O256" t="str">
        <f>IF(AND(MOVIMIENTOS!$B255&lt;&gt;"",NOT(AND(MOVIMIENTOS!$B255="PROCESO",MOVIMIENTOS!$C255&lt;&gt;"Chancho")),NOT(AND(MOVIMIENTOS!$B255="SALDO INICIAL",MOVIMIENTOS!$C255="Chancho"))),TRIM(IF(MOVIMIENTOS!$G255&lt;&gt;"",IF(MOVIMIENTOS!$B255="ENVÍO A SUPESA","G-"&amp;MOVIMIENTOS!$G255,MOVIMIENTOS!$G255)&amp;"  ","")&amp;IF(N(MOVIMIENTOS!$E255)&gt;0,MOVIMIENTOS!$E255&amp;" "&amp;MOVIMIENTOS!$D255,"")),"")</f>
        <v/>
      </c>
      <c r="P256">
        <f t="shared" si="27"/>
        <v>6138.5</v>
      </c>
    </row>
    <row r="257" spans="1:16" x14ac:dyDescent="0.2">
      <c r="A257" s="7" t="str">
        <f t="shared" si="21"/>
        <v/>
      </c>
      <c r="B257" s="8" t="str">
        <f t="shared" si="22"/>
        <v/>
      </c>
      <c r="C257" s="9" t="str">
        <f t="shared" si="23"/>
        <v/>
      </c>
      <c r="D257" s="9" t="str">
        <f t="shared" si="24"/>
        <v/>
      </c>
      <c r="E257" s="8" t="str">
        <f t="shared" si="25"/>
        <v/>
      </c>
      <c r="F257" s="9" t="str">
        <f t="shared" si="26"/>
        <v/>
      </c>
      <c r="J257" t="str">
        <f>IF(AND(MOVIMIENTOS!$B256&lt;&gt;"",NOT(AND(MOVIMIENTOS!$B256="PROCESO",MOVIMIENTOS!$C256&lt;&gt;"Chancho")),NOT(AND(MOVIMIENTOS!$B256="SALDO INICIAL",MOVIMIENTOS!$C256="Chancho"))),COUNT(J$5:J256)+1,"")</f>
        <v/>
      </c>
      <c r="K257" t="str">
        <f>IF(AND(MOVIMIENTOS!$B256&lt;&gt;"",NOT(AND(MOVIMIENTOS!$B256="PROCESO",MOVIMIENTOS!$C256&lt;&gt;"Chancho")),NOT(AND(MOVIMIENTOS!$B256="SALDO INICIAL",MOVIMIENTOS!$C256="Chancho"))),MOVIMIENTOS!$A256,"")</f>
        <v/>
      </c>
      <c r="L257" t="str">
        <f>IF(AND(MOVIMIENTOS!$B256&lt;&gt;"",NOT(AND(MOVIMIENTOS!$B256="PROCESO",MOVIMIENTOS!$C256&lt;&gt;"Chancho")),NOT(AND(MOVIMIENTOS!$B256="SALDO INICIAL",MOVIMIENTOS!$C256="Chancho"))),IF(MOVIMIENTOS!$B256="SALDO INICIAL","APERTURA ("&amp;MOVIMIENTOS!$C256&amp;")",IF(MOVIMIENTOS!$B256="COMPRA","INGRESO (compra)",IF(MOVIMIENTOS!$B256="PROCESO","CHANCHO (proceso)",IF(MOVIMIENTOS!$B256="ENVÍO A SUPESA","ENVÍO SUPESA cal. "&amp;MOVIMIENTOS!$C256,IF(MOVIMIENTOS!$B256="VENTA CHANCHO","VENTA CHANCHO",IF(MOVIMIENTOS!$B256="DEVOLUCIÓN","DEVOLUCIÓN cal. "&amp;MOVIMIENTOS!$C256,IF(MOVIMIENTOS!$B256="TRASIEGO","TRASIEGO cal. "&amp;MOVIMIENTOS!$C256,IF(MOVIMIENTOS!$B256="REGALO","REGALO "&amp;MOVIMIENTOS!$C256,IF(MOVIMIENTOS!$B256="VENTA","VENTA "&amp;MOVIMIENTOS!$C256,IF(MOVIMIENTOS!$B256="AJUSTE","AJUSTE inventario ("&amp;MOVIMIENTOS!$C256&amp;")",MOVIMIENTOS!$B256)))))))))),"")</f>
        <v/>
      </c>
      <c r="M257" t="str">
        <f>IF(AND(AND(MOVIMIENTOS!$B256&lt;&gt;"",NOT(AND(MOVIMIENTOS!$B256="PROCESO",MOVIMIENTOS!$C256&lt;&gt;"Chancho")),NOT(AND(MOVIMIENTOS!$B256="SALDO INICIAL",MOVIMIENTOS!$C256="Chancho"))),OR(MOVIMIENTOS!$B256="SALDO INICIAL",MOVIMIENTOS!$B256="COMPRA",MOVIMIENTOS!$B256="REPROCESO",AND(MOVIMIENTOS!$B256="AJUSTE",MOVIMIENTOS!$C256&lt;&gt;"Chancho",N(MOVIMIENTOS!$F256)&gt;=0))),N(MOVIMIENTOS!$F256),"")</f>
        <v/>
      </c>
      <c r="N257" t="str">
        <f>IF(AND(AND(MOVIMIENTOS!$B256&lt;&gt;"",NOT(AND(MOVIMIENTOS!$B256="PROCESO",MOVIMIENTOS!$C256&lt;&gt;"Chancho")),NOT(AND(MOVIMIENTOS!$B256="SALDO INICIAL",MOVIMIENTOS!$C256="Chancho"))),OR(MOVIMIENTOS!$B256="ENVÍO A SUPESA",MOVIMIENTOS!$B256="MALOGRADO",MOVIMIENTOS!$B256="OTRA SALIDA",MOVIMIENTOS!$B256="TRASIEGO",AND(MOVIMIENTOS!$B256="PROCESO",MOVIMIENTOS!$C256="Chancho"),AND(MOVIMIENTOS!$B256="REGALO",MOVIMIENTOS!$C256&lt;&gt;"Chancho"),AND(MOVIMIENTOS!$B256="VENTA",MOVIMIENTOS!$C256&lt;&gt;"Chancho"),AND(MOVIMIENTOS!$B256="AJUSTE",MOVIMIENTOS!$C256&lt;&gt;"Chancho",N(MOVIMIENTOS!$F256)&lt;0))),IF(MOVIMIENTOS!$B256="AJUSTE",-N(MOVIMIENTOS!$F256),N(MOVIMIENTOS!$F256)),"")</f>
        <v/>
      </c>
      <c r="O257" t="str">
        <f>IF(AND(MOVIMIENTOS!$B256&lt;&gt;"",NOT(AND(MOVIMIENTOS!$B256="PROCESO",MOVIMIENTOS!$C256&lt;&gt;"Chancho")),NOT(AND(MOVIMIENTOS!$B256="SALDO INICIAL",MOVIMIENTOS!$C256="Chancho"))),TRIM(IF(MOVIMIENTOS!$G256&lt;&gt;"",IF(MOVIMIENTOS!$B256="ENVÍO A SUPESA","G-"&amp;MOVIMIENTOS!$G256,MOVIMIENTOS!$G256)&amp;"  ","")&amp;IF(N(MOVIMIENTOS!$E256)&gt;0,MOVIMIENTOS!$E256&amp;" "&amp;MOVIMIENTOS!$D256,"")),"")</f>
        <v/>
      </c>
      <c r="P257">
        <f t="shared" si="27"/>
        <v>6138.5</v>
      </c>
    </row>
    <row r="258" spans="1:16" x14ac:dyDescent="0.2">
      <c r="A258" s="7" t="str">
        <f t="shared" si="21"/>
        <v/>
      </c>
      <c r="B258" s="8" t="str">
        <f t="shared" si="22"/>
        <v/>
      </c>
      <c r="C258" s="9" t="str">
        <f t="shared" si="23"/>
        <v/>
      </c>
      <c r="D258" s="9" t="str">
        <f t="shared" si="24"/>
        <v/>
      </c>
      <c r="E258" s="8" t="str">
        <f t="shared" si="25"/>
        <v/>
      </c>
      <c r="F258" s="9" t="str">
        <f t="shared" si="26"/>
        <v/>
      </c>
      <c r="J258" t="str">
        <f>IF(AND(MOVIMIENTOS!$B257&lt;&gt;"",NOT(AND(MOVIMIENTOS!$B257="PROCESO",MOVIMIENTOS!$C257&lt;&gt;"Chancho")),NOT(AND(MOVIMIENTOS!$B257="SALDO INICIAL",MOVIMIENTOS!$C257="Chancho"))),COUNT(J$5:J257)+1,"")</f>
        <v/>
      </c>
      <c r="K258" t="str">
        <f>IF(AND(MOVIMIENTOS!$B257&lt;&gt;"",NOT(AND(MOVIMIENTOS!$B257="PROCESO",MOVIMIENTOS!$C257&lt;&gt;"Chancho")),NOT(AND(MOVIMIENTOS!$B257="SALDO INICIAL",MOVIMIENTOS!$C257="Chancho"))),MOVIMIENTOS!$A257,"")</f>
        <v/>
      </c>
      <c r="L258" t="str">
        <f>IF(AND(MOVIMIENTOS!$B257&lt;&gt;"",NOT(AND(MOVIMIENTOS!$B257="PROCESO",MOVIMIENTOS!$C257&lt;&gt;"Chancho")),NOT(AND(MOVIMIENTOS!$B257="SALDO INICIAL",MOVIMIENTOS!$C257="Chancho"))),IF(MOVIMIENTOS!$B257="SALDO INICIAL","APERTURA ("&amp;MOVIMIENTOS!$C257&amp;")",IF(MOVIMIENTOS!$B257="COMPRA","INGRESO (compra)",IF(MOVIMIENTOS!$B257="PROCESO","CHANCHO (proceso)",IF(MOVIMIENTOS!$B257="ENVÍO A SUPESA","ENVÍO SUPESA cal. "&amp;MOVIMIENTOS!$C257,IF(MOVIMIENTOS!$B257="VENTA CHANCHO","VENTA CHANCHO",IF(MOVIMIENTOS!$B257="DEVOLUCIÓN","DEVOLUCIÓN cal. "&amp;MOVIMIENTOS!$C257,IF(MOVIMIENTOS!$B257="TRASIEGO","TRASIEGO cal. "&amp;MOVIMIENTOS!$C257,IF(MOVIMIENTOS!$B257="REGALO","REGALO "&amp;MOVIMIENTOS!$C257,IF(MOVIMIENTOS!$B257="VENTA","VENTA "&amp;MOVIMIENTOS!$C257,IF(MOVIMIENTOS!$B257="AJUSTE","AJUSTE inventario ("&amp;MOVIMIENTOS!$C257&amp;")",MOVIMIENTOS!$B257)))))))))),"")</f>
        <v/>
      </c>
      <c r="M258" t="str">
        <f>IF(AND(AND(MOVIMIENTOS!$B257&lt;&gt;"",NOT(AND(MOVIMIENTOS!$B257="PROCESO",MOVIMIENTOS!$C257&lt;&gt;"Chancho")),NOT(AND(MOVIMIENTOS!$B257="SALDO INICIAL",MOVIMIENTOS!$C257="Chancho"))),OR(MOVIMIENTOS!$B257="SALDO INICIAL",MOVIMIENTOS!$B257="COMPRA",MOVIMIENTOS!$B257="REPROCESO",AND(MOVIMIENTOS!$B257="AJUSTE",MOVIMIENTOS!$C257&lt;&gt;"Chancho",N(MOVIMIENTOS!$F257)&gt;=0))),N(MOVIMIENTOS!$F257),"")</f>
        <v/>
      </c>
      <c r="N258" t="str">
        <f>IF(AND(AND(MOVIMIENTOS!$B257&lt;&gt;"",NOT(AND(MOVIMIENTOS!$B257="PROCESO",MOVIMIENTOS!$C257&lt;&gt;"Chancho")),NOT(AND(MOVIMIENTOS!$B257="SALDO INICIAL",MOVIMIENTOS!$C257="Chancho"))),OR(MOVIMIENTOS!$B257="ENVÍO A SUPESA",MOVIMIENTOS!$B257="MALOGRADO",MOVIMIENTOS!$B257="OTRA SALIDA",MOVIMIENTOS!$B257="TRASIEGO",AND(MOVIMIENTOS!$B257="PROCESO",MOVIMIENTOS!$C257="Chancho"),AND(MOVIMIENTOS!$B257="REGALO",MOVIMIENTOS!$C257&lt;&gt;"Chancho"),AND(MOVIMIENTOS!$B257="VENTA",MOVIMIENTOS!$C257&lt;&gt;"Chancho"),AND(MOVIMIENTOS!$B257="AJUSTE",MOVIMIENTOS!$C257&lt;&gt;"Chancho",N(MOVIMIENTOS!$F257)&lt;0))),IF(MOVIMIENTOS!$B257="AJUSTE",-N(MOVIMIENTOS!$F257),N(MOVIMIENTOS!$F257)),"")</f>
        <v/>
      </c>
      <c r="O258" t="str">
        <f>IF(AND(MOVIMIENTOS!$B257&lt;&gt;"",NOT(AND(MOVIMIENTOS!$B257="PROCESO",MOVIMIENTOS!$C257&lt;&gt;"Chancho")),NOT(AND(MOVIMIENTOS!$B257="SALDO INICIAL",MOVIMIENTOS!$C257="Chancho"))),TRIM(IF(MOVIMIENTOS!$G257&lt;&gt;"",IF(MOVIMIENTOS!$B257="ENVÍO A SUPESA","G-"&amp;MOVIMIENTOS!$G257,MOVIMIENTOS!$G257)&amp;"  ","")&amp;IF(N(MOVIMIENTOS!$E257)&gt;0,MOVIMIENTOS!$E257&amp;" "&amp;MOVIMIENTOS!$D257,"")),"")</f>
        <v/>
      </c>
      <c r="P258">
        <f t="shared" si="27"/>
        <v>6138.5</v>
      </c>
    </row>
    <row r="259" spans="1:16" x14ac:dyDescent="0.2">
      <c r="A259" s="7" t="str">
        <f t="shared" si="21"/>
        <v/>
      </c>
      <c r="B259" s="8" t="str">
        <f t="shared" si="22"/>
        <v/>
      </c>
      <c r="C259" s="9" t="str">
        <f t="shared" si="23"/>
        <v/>
      </c>
      <c r="D259" s="9" t="str">
        <f t="shared" si="24"/>
        <v/>
      </c>
      <c r="E259" s="8" t="str">
        <f t="shared" si="25"/>
        <v/>
      </c>
      <c r="F259" s="9" t="str">
        <f t="shared" si="26"/>
        <v/>
      </c>
      <c r="J259" t="str">
        <f>IF(AND(MOVIMIENTOS!$B258&lt;&gt;"",NOT(AND(MOVIMIENTOS!$B258="PROCESO",MOVIMIENTOS!$C258&lt;&gt;"Chancho")),NOT(AND(MOVIMIENTOS!$B258="SALDO INICIAL",MOVIMIENTOS!$C258="Chancho"))),COUNT(J$5:J258)+1,"")</f>
        <v/>
      </c>
      <c r="K259" t="str">
        <f>IF(AND(MOVIMIENTOS!$B258&lt;&gt;"",NOT(AND(MOVIMIENTOS!$B258="PROCESO",MOVIMIENTOS!$C258&lt;&gt;"Chancho")),NOT(AND(MOVIMIENTOS!$B258="SALDO INICIAL",MOVIMIENTOS!$C258="Chancho"))),MOVIMIENTOS!$A258,"")</f>
        <v/>
      </c>
      <c r="L259" t="str">
        <f>IF(AND(MOVIMIENTOS!$B258&lt;&gt;"",NOT(AND(MOVIMIENTOS!$B258="PROCESO",MOVIMIENTOS!$C258&lt;&gt;"Chancho")),NOT(AND(MOVIMIENTOS!$B258="SALDO INICIAL",MOVIMIENTOS!$C258="Chancho"))),IF(MOVIMIENTOS!$B258="SALDO INICIAL","APERTURA ("&amp;MOVIMIENTOS!$C258&amp;")",IF(MOVIMIENTOS!$B258="COMPRA","INGRESO (compra)",IF(MOVIMIENTOS!$B258="PROCESO","CHANCHO (proceso)",IF(MOVIMIENTOS!$B258="ENVÍO A SUPESA","ENVÍO SUPESA cal. "&amp;MOVIMIENTOS!$C258,IF(MOVIMIENTOS!$B258="VENTA CHANCHO","VENTA CHANCHO",IF(MOVIMIENTOS!$B258="DEVOLUCIÓN","DEVOLUCIÓN cal. "&amp;MOVIMIENTOS!$C258,IF(MOVIMIENTOS!$B258="TRASIEGO","TRASIEGO cal. "&amp;MOVIMIENTOS!$C258,IF(MOVIMIENTOS!$B258="REGALO","REGALO "&amp;MOVIMIENTOS!$C258,IF(MOVIMIENTOS!$B258="VENTA","VENTA "&amp;MOVIMIENTOS!$C258,IF(MOVIMIENTOS!$B258="AJUSTE","AJUSTE inventario ("&amp;MOVIMIENTOS!$C258&amp;")",MOVIMIENTOS!$B258)))))))))),"")</f>
        <v/>
      </c>
      <c r="M259" t="str">
        <f>IF(AND(AND(MOVIMIENTOS!$B258&lt;&gt;"",NOT(AND(MOVIMIENTOS!$B258="PROCESO",MOVIMIENTOS!$C258&lt;&gt;"Chancho")),NOT(AND(MOVIMIENTOS!$B258="SALDO INICIAL",MOVIMIENTOS!$C258="Chancho"))),OR(MOVIMIENTOS!$B258="SALDO INICIAL",MOVIMIENTOS!$B258="COMPRA",MOVIMIENTOS!$B258="REPROCESO",AND(MOVIMIENTOS!$B258="AJUSTE",MOVIMIENTOS!$C258&lt;&gt;"Chancho",N(MOVIMIENTOS!$F258)&gt;=0))),N(MOVIMIENTOS!$F258),"")</f>
        <v/>
      </c>
      <c r="N259" t="str">
        <f>IF(AND(AND(MOVIMIENTOS!$B258&lt;&gt;"",NOT(AND(MOVIMIENTOS!$B258="PROCESO",MOVIMIENTOS!$C258&lt;&gt;"Chancho")),NOT(AND(MOVIMIENTOS!$B258="SALDO INICIAL",MOVIMIENTOS!$C258="Chancho"))),OR(MOVIMIENTOS!$B258="ENVÍO A SUPESA",MOVIMIENTOS!$B258="MALOGRADO",MOVIMIENTOS!$B258="OTRA SALIDA",MOVIMIENTOS!$B258="TRASIEGO",AND(MOVIMIENTOS!$B258="PROCESO",MOVIMIENTOS!$C258="Chancho"),AND(MOVIMIENTOS!$B258="REGALO",MOVIMIENTOS!$C258&lt;&gt;"Chancho"),AND(MOVIMIENTOS!$B258="VENTA",MOVIMIENTOS!$C258&lt;&gt;"Chancho"),AND(MOVIMIENTOS!$B258="AJUSTE",MOVIMIENTOS!$C258&lt;&gt;"Chancho",N(MOVIMIENTOS!$F258)&lt;0))),IF(MOVIMIENTOS!$B258="AJUSTE",-N(MOVIMIENTOS!$F258),N(MOVIMIENTOS!$F258)),"")</f>
        <v/>
      </c>
      <c r="O259" t="str">
        <f>IF(AND(MOVIMIENTOS!$B258&lt;&gt;"",NOT(AND(MOVIMIENTOS!$B258="PROCESO",MOVIMIENTOS!$C258&lt;&gt;"Chancho")),NOT(AND(MOVIMIENTOS!$B258="SALDO INICIAL",MOVIMIENTOS!$C258="Chancho"))),TRIM(IF(MOVIMIENTOS!$G258&lt;&gt;"",IF(MOVIMIENTOS!$B258="ENVÍO A SUPESA","G-"&amp;MOVIMIENTOS!$G258,MOVIMIENTOS!$G258)&amp;"  ","")&amp;IF(N(MOVIMIENTOS!$E258)&gt;0,MOVIMIENTOS!$E258&amp;" "&amp;MOVIMIENTOS!$D258,"")),"")</f>
        <v/>
      </c>
      <c r="P259">
        <f t="shared" si="27"/>
        <v>6138.5</v>
      </c>
    </row>
    <row r="260" spans="1:16" x14ac:dyDescent="0.2">
      <c r="A260" s="7" t="str">
        <f t="shared" si="21"/>
        <v/>
      </c>
      <c r="B260" s="8" t="str">
        <f t="shared" si="22"/>
        <v/>
      </c>
      <c r="C260" s="9" t="str">
        <f t="shared" si="23"/>
        <v/>
      </c>
      <c r="D260" s="9" t="str">
        <f t="shared" si="24"/>
        <v/>
      </c>
      <c r="E260" s="8" t="str">
        <f t="shared" si="25"/>
        <v/>
      </c>
      <c r="F260" s="9" t="str">
        <f t="shared" si="26"/>
        <v/>
      </c>
      <c r="J260" t="str">
        <f>IF(AND(MOVIMIENTOS!$B259&lt;&gt;"",NOT(AND(MOVIMIENTOS!$B259="PROCESO",MOVIMIENTOS!$C259&lt;&gt;"Chancho")),NOT(AND(MOVIMIENTOS!$B259="SALDO INICIAL",MOVIMIENTOS!$C259="Chancho"))),COUNT(J$5:J259)+1,"")</f>
        <v/>
      </c>
      <c r="K260" t="str">
        <f>IF(AND(MOVIMIENTOS!$B259&lt;&gt;"",NOT(AND(MOVIMIENTOS!$B259="PROCESO",MOVIMIENTOS!$C259&lt;&gt;"Chancho")),NOT(AND(MOVIMIENTOS!$B259="SALDO INICIAL",MOVIMIENTOS!$C259="Chancho"))),MOVIMIENTOS!$A259,"")</f>
        <v/>
      </c>
      <c r="L260" t="str">
        <f>IF(AND(MOVIMIENTOS!$B259&lt;&gt;"",NOT(AND(MOVIMIENTOS!$B259="PROCESO",MOVIMIENTOS!$C259&lt;&gt;"Chancho")),NOT(AND(MOVIMIENTOS!$B259="SALDO INICIAL",MOVIMIENTOS!$C259="Chancho"))),IF(MOVIMIENTOS!$B259="SALDO INICIAL","APERTURA ("&amp;MOVIMIENTOS!$C259&amp;")",IF(MOVIMIENTOS!$B259="COMPRA","INGRESO (compra)",IF(MOVIMIENTOS!$B259="PROCESO","CHANCHO (proceso)",IF(MOVIMIENTOS!$B259="ENVÍO A SUPESA","ENVÍO SUPESA cal. "&amp;MOVIMIENTOS!$C259,IF(MOVIMIENTOS!$B259="VENTA CHANCHO","VENTA CHANCHO",IF(MOVIMIENTOS!$B259="DEVOLUCIÓN","DEVOLUCIÓN cal. "&amp;MOVIMIENTOS!$C259,IF(MOVIMIENTOS!$B259="TRASIEGO","TRASIEGO cal. "&amp;MOVIMIENTOS!$C259,IF(MOVIMIENTOS!$B259="REGALO","REGALO "&amp;MOVIMIENTOS!$C259,IF(MOVIMIENTOS!$B259="VENTA","VENTA "&amp;MOVIMIENTOS!$C259,IF(MOVIMIENTOS!$B259="AJUSTE","AJUSTE inventario ("&amp;MOVIMIENTOS!$C259&amp;")",MOVIMIENTOS!$B259)))))))))),"")</f>
        <v/>
      </c>
      <c r="M260" t="str">
        <f>IF(AND(AND(MOVIMIENTOS!$B259&lt;&gt;"",NOT(AND(MOVIMIENTOS!$B259="PROCESO",MOVIMIENTOS!$C259&lt;&gt;"Chancho")),NOT(AND(MOVIMIENTOS!$B259="SALDO INICIAL",MOVIMIENTOS!$C259="Chancho"))),OR(MOVIMIENTOS!$B259="SALDO INICIAL",MOVIMIENTOS!$B259="COMPRA",MOVIMIENTOS!$B259="REPROCESO",AND(MOVIMIENTOS!$B259="AJUSTE",MOVIMIENTOS!$C259&lt;&gt;"Chancho",N(MOVIMIENTOS!$F259)&gt;=0))),N(MOVIMIENTOS!$F259),"")</f>
        <v/>
      </c>
      <c r="N260" t="str">
        <f>IF(AND(AND(MOVIMIENTOS!$B259&lt;&gt;"",NOT(AND(MOVIMIENTOS!$B259="PROCESO",MOVIMIENTOS!$C259&lt;&gt;"Chancho")),NOT(AND(MOVIMIENTOS!$B259="SALDO INICIAL",MOVIMIENTOS!$C259="Chancho"))),OR(MOVIMIENTOS!$B259="ENVÍO A SUPESA",MOVIMIENTOS!$B259="MALOGRADO",MOVIMIENTOS!$B259="OTRA SALIDA",MOVIMIENTOS!$B259="TRASIEGO",AND(MOVIMIENTOS!$B259="PROCESO",MOVIMIENTOS!$C259="Chancho"),AND(MOVIMIENTOS!$B259="REGALO",MOVIMIENTOS!$C259&lt;&gt;"Chancho"),AND(MOVIMIENTOS!$B259="VENTA",MOVIMIENTOS!$C259&lt;&gt;"Chancho"),AND(MOVIMIENTOS!$B259="AJUSTE",MOVIMIENTOS!$C259&lt;&gt;"Chancho",N(MOVIMIENTOS!$F259)&lt;0))),IF(MOVIMIENTOS!$B259="AJUSTE",-N(MOVIMIENTOS!$F259),N(MOVIMIENTOS!$F259)),"")</f>
        <v/>
      </c>
      <c r="O260" t="str">
        <f>IF(AND(MOVIMIENTOS!$B259&lt;&gt;"",NOT(AND(MOVIMIENTOS!$B259="PROCESO",MOVIMIENTOS!$C259&lt;&gt;"Chancho")),NOT(AND(MOVIMIENTOS!$B259="SALDO INICIAL",MOVIMIENTOS!$C259="Chancho"))),TRIM(IF(MOVIMIENTOS!$G259&lt;&gt;"",IF(MOVIMIENTOS!$B259="ENVÍO A SUPESA","G-"&amp;MOVIMIENTOS!$G259,MOVIMIENTOS!$G259)&amp;"  ","")&amp;IF(N(MOVIMIENTOS!$E259)&gt;0,MOVIMIENTOS!$E259&amp;" "&amp;MOVIMIENTOS!$D259,"")),"")</f>
        <v/>
      </c>
      <c r="P260">
        <f t="shared" si="27"/>
        <v>6138.5</v>
      </c>
    </row>
    <row r="261" spans="1:16" x14ac:dyDescent="0.2">
      <c r="A261" s="7" t="str">
        <f t="shared" si="21"/>
        <v/>
      </c>
      <c r="B261" s="8" t="str">
        <f t="shared" si="22"/>
        <v/>
      </c>
      <c r="C261" s="9" t="str">
        <f t="shared" si="23"/>
        <v/>
      </c>
      <c r="D261" s="9" t="str">
        <f t="shared" si="24"/>
        <v/>
      </c>
      <c r="E261" s="8" t="str">
        <f t="shared" si="25"/>
        <v/>
      </c>
      <c r="F261" s="9" t="str">
        <f t="shared" si="26"/>
        <v/>
      </c>
      <c r="J261" t="str">
        <f>IF(AND(MOVIMIENTOS!$B260&lt;&gt;"",NOT(AND(MOVIMIENTOS!$B260="PROCESO",MOVIMIENTOS!$C260&lt;&gt;"Chancho")),NOT(AND(MOVIMIENTOS!$B260="SALDO INICIAL",MOVIMIENTOS!$C260="Chancho"))),COUNT(J$5:J260)+1,"")</f>
        <v/>
      </c>
      <c r="K261" t="str">
        <f>IF(AND(MOVIMIENTOS!$B260&lt;&gt;"",NOT(AND(MOVIMIENTOS!$B260="PROCESO",MOVIMIENTOS!$C260&lt;&gt;"Chancho")),NOT(AND(MOVIMIENTOS!$B260="SALDO INICIAL",MOVIMIENTOS!$C260="Chancho"))),MOVIMIENTOS!$A260,"")</f>
        <v/>
      </c>
      <c r="L261" t="str">
        <f>IF(AND(MOVIMIENTOS!$B260&lt;&gt;"",NOT(AND(MOVIMIENTOS!$B260="PROCESO",MOVIMIENTOS!$C260&lt;&gt;"Chancho")),NOT(AND(MOVIMIENTOS!$B260="SALDO INICIAL",MOVIMIENTOS!$C260="Chancho"))),IF(MOVIMIENTOS!$B260="SALDO INICIAL","APERTURA ("&amp;MOVIMIENTOS!$C260&amp;")",IF(MOVIMIENTOS!$B260="COMPRA","INGRESO (compra)",IF(MOVIMIENTOS!$B260="PROCESO","CHANCHO (proceso)",IF(MOVIMIENTOS!$B260="ENVÍO A SUPESA","ENVÍO SUPESA cal. "&amp;MOVIMIENTOS!$C260,IF(MOVIMIENTOS!$B260="VENTA CHANCHO","VENTA CHANCHO",IF(MOVIMIENTOS!$B260="DEVOLUCIÓN","DEVOLUCIÓN cal. "&amp;MOVIMIENTOS!$C260,IF(MOVIMIENTOS!$B260="TRASIEGO","TRASIEGO cal. "&amp;MOVIMIENTOS!$C260,IF(MOVIMIENTOS!$B260="REGALO","REGALO "&amp;MOVIMIENTOS!$C260,IF(MOVIMIENTOS!$B260="VENTA","VENTA "&amp;MOVIMIENTOS!$C260,IF(MOVIMIENTOS!$B260="AJUSTE","AJUSTE inventario ("&amp;MOVIMIENTOS!$C260&amp;")",MOVIMIENTOS!$B260)))))))))),"")</f>
        <v/>
      </c>
      <c r="M261" t="str">
        <f>IF(AND(AND(MOVIMIENTOS!$B260&lt;&gt;"",NOT(AND(MOVIMIENTOS!$B260="PROCESO",MOVIMIENTOS!$C260&lt;&gt;"Chancho")),NOT(AND(MOVIMIENTOS!$B260="SALDO INICIAL",MOVIMIENTOS!$C260="Chancho"))),OR(MOVIMIENTOS!$B260="SALDO INICIAL",MOVIMIENTOS!$B260="COMPRA",MOVIMIENTOS!$B260="REPROCESO",AND(MOVIMIENTOS!$B260="AJUSTE",MOVIMIENTOS!$C260&lt;&gt;"Chancho",N(MOVIMIENTOS!$F260)&gt;=0))),N(MOVIMIENTOS!$F260),"")</f>
        <v/>
      </c>
      <c r="N261" t="str">
        <f>IF(AND(AND(MOVIMIENTOS!$B260&lt;&gt;"",NOT(AND(MOVIMIENTOS!$B260="PROCESO",MOVIMIENTOS!$C260&lt;&gt;"Chancho")),NOT(AND(MOVIMIENTOS!$B260="SALDO INICIAL",MOVIMIENTOS!$C260="Chancho"))),OR(MOVIMIENTOS!$B260="ENVÍO A SUPESA",MOVIMIENTOS!$B260="MALOGRADO",MOVIMIENTOS!$B260="OTRA SALIDA",MOVIMIENTOS!$B260="TRASIEGO",AND(MOVIMIENTOS!$B260="PROCESO",MOVIMIENTOS!$C260="Chancho"),AND(MOVIMIENTOS!$B260="REGALO",MOVIMIENTOS!$C260&lt;&gt;"Chancho"),AND(MOVIMIENTOS!$B260="VENTA",MOVIMIENTOS!$C260&lt;&gt;"Chancho"),AND(MOVIMIENTOS!$B260="AJUSTE",MOVIMIENTOS!$C260&lt;&gt;"Chancho",N(MOVIMIENTOS!$F260)&lt;0))),IF(MOVIMIENTOS!$B260="AJUSTE",-N(MOVIMIENTOS!$F260),N(MOVIMIENTOS!$F260)),"")</f>
        <v/>
      </c>
      <c r="O261" t="str">
        <f>IF(AND(MOVIMIENTOS!$B260&lt;&gt;"",NOT(AND(MOVIMIENTOS!$B260="PROCESO",MOVIMIENTOS!$C260&lt;&gt;"Chancho")),NOT(AND(MOVIMIENTOS!$B260="SALDO INICIAL",MOVIMIENTOS!$C260="Chancho"))),TRIM(IF(MOVIMIENTOS!$G260&lt;&gt;"",IF(MOVIMIENTOS!$B260="ENVÍO A SUPESA","G-"&amp;MOVIMIENTOS!$G260,MOVIMIENTOS!$G260)&amp;"  ","")&amp;IF(N(MOVIMIENTOS!$E260)&gt;0,MOVIMIENTOS!$E260&amp;" "&amp;MOVIMIENTOS!$D260,"")),"")</f>
        <v/>
      </c>
      <c r="P261">
        <f t="shared" si="27"/>
        <v>6138.5</v>
      </c>
    </row>
    <row r="262" spans="1:16" x14ac:dyDescent="0.2">
      <c r="A262" s="7" t="str">
        <f t="shared" ref="A262:A325" si="28">IFERROR(INDEX(K$6:K$401,MATCH(ROW()-5,J$6:J$401,0)),"")</f>
        <v/>
      </c>
      <c r="B262" s="8" t="str">
        <f t="shared" ref="B262:B325" si="29">IFERROR(INDEX(L$6:L$401,MATCH(ROW()-5,J$6:J$401,0)),"")</f>
        <v/>
      </c>
      <c r="C262" s="9" t="str">
        <f t="shared" ref="C262:C325" si="30">IFERROR(INDEX(M$6:M$401,MATCH(ROW()-5,J$6:J$401,0)),"")</f>
        <v/>
      </c>
      <c r="D262" s="9" t="str">
        <f t="shared" ref="D262:D325" si="31">IFERROR(INDEX(N$6:N$401,MATCH(ROW()-5,J$6:J$401,0)),"")</f>
        <v/>
      </c>
      <c r="E262" s="8" t="str">
        <f t="shared" ref="E262:E325" si="32">IFERROR(INDEX(O$6:O$401,MATCH(ROW()-5,J$6:J$401,0)),"")</f>
        <v/>
      </c>
      <c r="F262" s="9" t="str">
        <f t="shared" ref="F262:F325" si="33">IFERROR(INDEX(P$6:P$401,MATCH(ROW()-5,J$6:J$401,0)),"")</f>
        <v/>
      </c>
      <c r="J262" t="str">
        <f>IF(AND(MOVIMIENTOS!$B261&lt;&gt;"",NOT(AND(MOVIMIENTOS!$B261="PROCESO",MOVIMIENTOS!$C261&lt;&gt;"Chancho")),NOT(AND(MOVIMIENTOS!$B261="SALDO INICIAL",MOVIMIENTOS!$C261="Chancho"))),COUNT(J$5:J261)+1,"")</f>
        <v/>
      </c>
      <c r="K262" t="str">
        <f>IF(AND(MOVIMIENTOS!$B261&lt;&gt;"",NOT(AND(MOVIMIENTOS!$B261="PROCESO",MOVIMIENTOS!$C261&lt;&gt;"Chancho")),NOT(AND(MOVIMIENTOS!$B261="SALDO INICIAL",MOVIMIENTOS!$C261="Chancho"))),MOVIMIENTOS!$A261,"")</f>
        <v/>
      </c>
      <c r="L262" t="str">
        <f>IF(AND(MOVIMIENTOS!$B261&lt;&gt;"",NOT(AND(MOVIMIENTOS!$B261="PROCESO",MOVIMIENTOS!$C261&lt;&gt;"Chancho")),NOT(AND(MOVIMIENTOS!$B261="SALDO INICIAL",MOVIMIENTOS!$C261="Chancho"))),IF(MOVIMIENTOS!$B261="SALDO INICIAL","APERTURA ("&amp;MOVIMIENTOS!$C261&amp;")",IF(MOVIMIENTOS!$B261="COMPRA","INGRESO (compra)",IF(MOVIMIENTOS!$B261="PROCESO","CHANCHO (proceso)",IF(MOVIMIENTOS!$B261="ENVÍO A SUPESA","ENVÍO SUPESA cal. "&amp;MOVIMIENTOS!$C261,IF(MOVIMIENTOS!$B261="VENTA CHANCHO","VENTA CHANCHO",IF(MOVIMIENTOS!$B261="DEVOLUCIÓN","DEVOLUCIÓN cal. "&amp;MOVIMIENTOS!$C261,IF(MOVIMIENTOS!$B261="TRASIEGO","TRASIEGO cal. "&amp;MOVIMIENTOS!$C261,IF(MOVIMIENTOS!$B261="REGALO","REGALO "&amp;MOVIMIENTOS!$C261,IF(MOVIMIENTOS!$B261="VENTA","VENTA "&amp;MOVIMIENTOS!$C261,IF(MOVIMIENTOS!$B261="AJUSTE","AJUSTE inventario ("&amp;MOVIMIENTOS!$C261&amp;")",MOVIMIENTOS!$B261)))))))))),"")</f>
        <v/>
      </c>
      <c r="M262" t="str">
        <f>IF(AND(AND(MOVIMIENTOS!$B261&lt;&gt;"",NOT(AND(MOVIMIENTOS!$B261="PROCESO",MOVIMIENTOS!$C261&lt;&gt;"Chancho")),NOT(AND(MOVIMIENTOS!$B261="SALDO INICIAL",MOVIMIENTOS!$C261="Chancho"))),OR(MOVIMIENTOS!$B261="SALDO INICIAL",MOVIMIENTOS!$B261="COMPRA",MOVIMIENTOS!$B261="REPROCESO",AND(MOVIMIENTOS!$B261="AJUSTE",MOVIMIENTOS!$C261&lt;&gt;"Chancho",N(MOVIMIENTOS!$F261)&gt;=0))),N(MOVIMIENTOS!$F261),"")</f>
        <v/>
      </c>
      <c r="N262" t="str">
        <f>IF(AND(AND(MOVIMIENTOS!$B261&lt;&gt;"",NOT(AND(MOVIMIENTOS!$B261="PROCESO",MOVIMIENTOS!$C261&lt;&gt;"Chancho")),NOT(AND(MOVIMIENTOS!$B261="SALDO INICIAL",MOVIMIENTOS!$C261="Chancho"))),OR(MOVIMIENTOS!$B261="ENVÍO A SUPESA",MOVIMIENTOS!$B261="MALOGRADO",MOVIMIENTOS!$B261="OTRA SALIDA",MOVIMIENTOS!$B261="TRASIEGO",AND(MOVIMIENTOS!$B261="PROCESO",MOVIMIENTOS!$C261="Chancho"),AND(MOVIMIENTOS!$B261="REGALO",MOVIMIENTOS!$C261&lt;&gt;"Chancho"),AND(MOVIMIENTOS!$B261="VENTA",MOVIMIENTOS!$C261&lt;&gt;"Chancho"),AND(MOVIMIENTOS!$B261="AJUSTE",MOVIMIENTOS!$C261&lt;&gt;"Chancho",N(MOVIMIENTOS!$F261)&lt;0))),IF(MOVIMIENTOS!$B261="AJUSTE",-N(MOVIMIENTOS!$F261),N(MOVIMIENTOS!$F261)),"")</f>
        <v/>
      </c>
      <c r="O262" t="str">
        <f>IF(AND(MOVIMIENTOS!$B261&lt;&gt;"",NOT(AND(MOVIMIENTOS!$B261="PROCESO",MOVIMIENTOS!$C261&lt;&gt;"Chancho")),NOT(AND(MOVIMIENTOS!$B261="SALDO INICIAL",MOVIMIENTOS!$C261="Chancho"))),TRIM(IF(MOVIMIENTOS!$G261&lt;&gt;"",IF(MOVIMIENTOS!$B261="ENVÍO A SUPESA","G-"&amp;MOVIMIENTOS!$G261,MOVIMIENTOS!$G261)&amp;"  ","")&amp;IF(N(MOVIMIENTOS!$E261)&gt;0,MOVIMIENTOS!$E261&amp;" "&amp;MOVIMIENTOS!$D261,"")),"")</f>
        <v/>
      </c>
      <c r="P262">
        <f t="shared" ref="P262:P325" si="34">N(P261)+N(M262)-N(N262)</f>
        <v>6138.5</v>
      </c>
    </row>
    <row r="263" spans="1:16" x14ac:dyDescent="0.2">
      <c r="A263" s="7" t="str">
        <f t="shared" si="28"/>
        <v/>
      </c>
      <c r="B263" s="8" t="str">
        <f t="shared" si="29"/>
        <v/>
      </c>
      <c r="C263" s="9" t="str">
        <f t="shared" si="30"/>
        <v/>
      </c>
      <c r="D263" s="9" t="str">
        <f t="shared" si="31"/>
        <v/>
      </c>
      <c r="E263" s="8" t="str">
        <f t="shared" si="32"/>
        <v/>
      </c>
      <c r="F263" s="9" t="str">
        <f t="shared" si="33"/>
        <v/>
      </c>
      <c r="J263" t="str">
        <f>IF(AND(MOVIMIENTOS!$B262&lt;&gt;"",NOT(AND(MOVIMIENTOS!$B262="PROCESO",MOVIMIENTOS!$C262&lt;&gt;"Chancho")),NOT(AND(MOVIMIENTOS!$B262="SALDO INICIAL",MOVIMIENTOS!$C262="Chancho"))),COUNT(J$5:J262)+1,"")</f>
        <v/>
      </c>
      <c r="K263" t="str">
        <f>IF(AND(MOVIMIENTOS!$B262&lt;&gt;"",NOT(AND(MOVIMIENTOS!$B262="PROCESO",MOVIMIENTOS!$C262&lt;&gt;"Chancho")),NOT(AND(MOVIMIENTOS!$B262="SALDO INICIAL",MOVIMIENTOS!$C262="Chancho"))),MOVIMIENTOS!$A262,"")</f>
        <v/>
      </c>
      <c r="L263" t="str">
        <f>IF(AND(MOVIMIENTOS!$B262&lt;&gt;"",NOT(AND(MOVIMIENTOS!$B262="PROCESO",MOVIMIENTOS!$C262&lt;&gt;"Chancho")),NOT(AND(MOVIMIENTOS!$B262="SALDO INICIAL",MOVIMIENTOS!$C262="Chancho"))),IF(MOVIMIENTOS!$B262="SALDO INICIAL","APERTURA ("&amp;MOVIMIENTOS!$C262&amp;")",IF(MOVIMIENTOS!$B262="COMPRA","INGRESO (compra)",IF(MOVIMIENTOS!$B262="PROCESO","CHANCHO (proceso)",IF(MOVIMIENTOS!$B262="ENVÍO A SUPESA","ENVÍO SUPESA cal. "&amp;MOVIMIENTOS!$C262,IF(MOVIMIENTOS!$B262="VENTA CHANCHO","VENTA CHANCHO",IF(MOVIMIENTOS!$B262="DEVOLUCIÓN","DEVOLUCIÓN cal. "&amp;MOVIMIENTOS!$C262,IF(MOVIMIENTOS!$B262="TRASIEGO","TRASIEGO cal. "&amp;MOVIMIENTOS!$C262,IF(MOVIMIENTOS!$B262="REGALO","REGALO "&amp;MOVIMIENTOS!$C262,IF(MOVIMIENTOS!$B262="VENTA","VENTA "&amp;MOVIMIENTOS!$C262,IF(MOVIMIENTOS!$B262="AJUSTE","AJUSTE inventario ("&amp;MOVIMIENTOS!$C262&amp;")",MOVIMIENTOS!$B262)))))))))),"")</f>
        <v/>
      </c>
      <c r="M263" t="str">
        <f>IF(AND(AND(MOVIMIENTOS!$B262&lt;&gt;"",NOT(AND(MOVIMIENTOS!$B262="PROCESO",MOVIMIENTOS!$C262&lt;&gt;"Chancho")),NOT(AND(MOVIMIENTOS!$B262="SALDO INICIAL",MOVIMIENTOS!$C262="Chancho"))),OR(MOVIMIENTOS!$B262="SALDO INICIAL",MOVIMIENTOS!$B262="COMPRA",MOVIMIENTOS!$B262="REPROCESO",AND(MOVIMIENTOS!$B262="AJUSTE",MOVIMIENTOS!$C262&lt;&gt;"Chancho",N(MOVIMIENTOS!$F262)&gt;=0))),N(MOVIMIENTOS!$F262),"")</f>
        <v/>
      </c>
      <c r="N263" t="str">
        <f>IF(AND(AND(MOVIMIENTOS!$B262&lt;&gt;"",NOT(AND(MOVIMIENTOS!$B262="PROCESO",MOVIMIENTOS!$C262&lt;&gt;"Chancho")),NOT(AND(MOVIMIENTOS!$B262="SALDO INICIAL",MOVIMIENTOS!$C262="Chancho"))),OR(MOVIMIENTOS!$B262="ENVÍO A SUPESA",MOVIMIENTOS!$B262="MALOGRADO",MOVIMIENTOS!$B262="OTRA SALIDA",MOVIMIENTOS!$B262="TRASIEGO",AND(MOVIMIENTOS!$B262="PROCESO",MOVIMIENTOS!$C262="Chancho"),AND(MOVIMIENTOS!$B262="REGALO",MOVIMIENTOS!$C262&lt;&gt;"Chancho"),AND(MOVIMIENTOS!$B262="VENTA",MOVIMIENTOS!$C262&lt;&gt;"Chancho"),AND(MOVIMIENTOS!$B262="AJUSTE",MOVIMIENTOS!$C262&lt;&gt;"Chancho",N(MOVIMIENTOS!$F262)&lt;0))),IF(MOVIMIENTOS!$B262="AJUSTE",-N(MOVIMIENTOS!$F262),N(MOVIMIENTOS!$F262)),"")</f>
        <v/>
      </c>
      <c r="O263" t="str">
        <f>IF(AND(MOVIMIENTOS!$B262&lt;&gt;"",NOT(AND(MOVIMIENTOS!$B262="PROCESO",MOVIMIENTOS!$C262&lt;&gt;"Chancho")),NOT(AND(MOVIMIENTOS!$B262="SALDO INICIAL",MOVIMIENTOS!$C262="Chancho"))),TRIM(IF(MOVIMIENTOS!$G262&lt;&gt;"",IF(MOVIMIENTOS!$B262="ENVÍO A SUPESA","G-"&amp;MOVIMIENTOS!$G262,MOVIMIENTOS!$G262)&amp;"  ","")&amp;IF(N(MOVIMIENTOS!$E262)&gt;0,MOVIMIENTOS!$E262&amp;" "&amp;MOVIMIENTOS!$D262,"")),"")</f>
        <v/>
      </c>
      <c r="P263">
        <f t="shared" si="34"/>
        <v>6138.5</v>
      </c>
    </row>
    <row r="264" spans="1:16" x14ac:dyDescent="0.2">
      <c r="A264" s="7" t="str">
        <f t="shared" si="28"/>
        <v/>
      </c>
      <c r="B264" s="8" t="str">
        <f t="shared" si="29"/>
        <v/>
      </c>
      <c r="C264" s="9" t="str">
        <f t="shared" si="30"/>
        <v/>
      </c>
      <c r="D264" s="9" t="str">
        <f t="shared" si="31"/>
        <v/>
      </c>
      <c r="E264" s="8" t="str">
        <f t="shared" si="32"/>
        <v/>
      </c>
      <c r="F264" s="9" t="str">
        <f t="shared" si="33"/>
        <v/>
      </c>
      <c r="J264" t="str">
        <f>IF(AND(MOVIMIENTOS!$B263&lt;&gt;"",NOT(AND(MOVIMIENTOS!$B263="PROCESO",MOVIMIENTOS!$C263&lt;&gt;"Chancho")),NOT(AND(MOVIMIENTOS!$B263="SALDO INICIAL",MOVIMIENTOS!$C263="Chancho"))),COUNT(J$5:J263)+1,"")</f>
        <v/>
      </c>
      <c r="K264" t="str">
        <f>IF(AND(MOVIMIENTOS!$B263&lt;&gt;"",NOT(AND(MOVIMIENTOS!$B263="PROCESO",MOVIMIENTOS!$C263&lt;&gt;"Chancho")),NOT(AND(MOVIMIENTOS!$B263="SALDO INICIAL",MOVIMIENTOS!$C263="Chancho"))),MOVIMIENTOS!$A263,"")</f>
        <v/>
      </c>
      <c r="L264" t="str">
        <f>IF(AND(MOVIMIENTOS!$B263&lt;&gt;"",NOT(AND(MOVIMIENTOS!$B263="PROCESO",MOVIMIENTOS!$C263&lt;&gt;"Chancho")),NOT(AND(MOVIMIENTOS!$B263="SALDO INICIAL",MOVIMIENTOS!$C263="Chancho"))),IF(MOVIMIENTOS!$B263="SALDO INICIAL","APERTURA ("&amp;MOVIMIENTOS!$C263&amp;")",IF(MOVIMIENTOS!$B263="COMPRA","INGRESO (compra)",IF(MOVIMIENTOS!$B263="PROCESO","CHANCHO (proceso)",IF(MOVIMIENTOS!$B263="ENVÍO A SUPESA","ENVÍO SUPESA cal. "&amp;MOVIMIENTOS!$C263,IF(MOVIMIENTOS!$B263="VENTA CHANCHO","VENTA CHANCHO",IF(MOVIMIENTOS!$B263="DEVOLUCIÓN","DEVOLUCIÓN cal. "&amp;MOVIMIENTOS!$C263,IF(MOVIMIENTOS!$B263="TRASIEGO","TRASIEGO cal. "&amp;MOVIMIENTOS!$C263,IF(MOVIMIENTOS!$B263="REGALO","REGALO "&amp;MOVIMIENTOS!$C263,IF(MOVIMIENTOS!$B263="VENTA","VENTA "&amp;MOVIMIENTOS!$C263,IF(MOVIMIENTOS!$B263="AJUSTE","AJUSTE inventario ("&amp;MOVIMIENTOS!$C263&amp;")",MOVIMIENTOS!$B263)))))))))),"")</f>
        <v/>
      </c>
      <c r="M264" t="str">
        <f>IF(AND(AND(MOVIMIENTOS!$B263&lt;&gt;"",NOT(AND(MOVIMIENTOS!$B263="PROCESO",MOVIMIENTOS!$C263&lt;&gt;"Chancho")),NOT(AND(MOVIMIENTOS!$B263="SALDO INICIAL",MOVIMIENTOS!$C263="Chancho"))),OR(MOVIMIENTOS!$B263="SALDO INICIAL",MOVIMIENTOS!$B263="COMPRA",MOVIMIENTOS!$B263="REPROCESO",AND(MOVIMIENTOS!$B263="AJUSTE",MOVIMIENTOS!$C263&lt;&gt;"Chancho",N(MOVIMIENTOS!$F263)&gt;=0))),N(MOVIMIENTOS!$F263),"")</f>
        <v/>
      </c>
      <c r="N264" t="str">
        <f>IF(AND(AND(MOVIMIENTOS!$B263&lt;&gt;"",NOT(AND(MOVIMIENTOS!$B263="PROCESO",MOVIMIENTOS!$C263&lt;&gt;"Chancho")),NOT(AND(MOVIMIENTOS!$B263="SALDO INICIAL",MOVIMIENTOS!$C263="Chancho"))),OR(MOVIMIENTOS!$B263="ENVÍO A SUPESA",MOVIMIENTOS!$B263="MALOGRADO",MOVIMIENTOS!$B263="OTRA SALIDA",MOVIMIENTOS!$B263="TRASIEGO",AND(MOVIMIENTOS!$B263="PROCESO",MOVIMIENTOS!$C263="Chancho"),AND(MOVIMIENTOS!$B263="REGALO",MOVIMIENTOS!$C263&lt;&gt;"Chancho"),AND(MOVIMIENTOS!$B263="VENTA",MOVIMIENTOS!$C263&lt;&gt;"Chancho"),AND(MOVIMIENTOS!$B263="AJUSTE",MOVIMIENTOS!$C263&lt;&gt;"Chancho",N(MOVIMIENTOS!$F263)&lt;0))),IF(MOVIMIENTOS!$B263="AJUSTE",-N(MOVIMIENTOS!$F263),N(MOVIMIENTOS!$F263)),"")</f>
        <v/>
      </c>
      <c r="O264" t="str">
        <f>IF(AND(MOVIMIENTOS!$B263&lt;&gt;"",NOT(AND(MOVIMIENTOS!$B263="PROCESO",MOVIMIENTOS!$C263&lt;&gt;"Chancho")),NOT(AND(MOVIMIENTOS!$B263="SALDO INICIAL",MOVIMIENTOS!$C263="Chancho"))),TRIM(IF(MOVIMIENTOS!$G263&lt;&gt;"",IF(MOVIMIENTOS!$B263="ENVÍO A SUPESA","G-"&amp;MOVIMIENTOS!$G263,MOVIMIENTOS!$G263)&amp;"  ","")&amp;IF(N(MOVIMIENTOS!$E263)&gt;0,MOVIMIENTOS!$E263&amp;" "&amp;MOVIMIENTOS!$D263,"")),"")</f>
        <v/>
      </c>
      <c r="P264">
        <f t="shared" si="34"/>
        <v>6138.5</v>
      </c>
    </row>
    <row r="265" spans="1:16" x14ac:dyDescent="0.2">
      <c r="A265" s="7" t="str">
        <f t="shared" si="28"/>
        <v/>
      </c>
      <c r="B265" s="8" t="str">
        <f t="shared" si="29"/>
        <v/>
      </c>
      <c r="C265" s="9" t="str">
        <f t="shared" si="30"/>
        <v/>
      </c>
      <c r="D265" s="9" t="str">
        <f t="shared" si="31"/>
        <v/>
      </c>
      <c r="E265" s="8" t="str">
        <f t="shared" si="32"/>
        <v/>
      </c>
      <c r="F265" s="9" t="str">
        <f t="shared" si="33"/>
        <v/>
      </c>
      <c r="J265" t="str">
        <f>IF(AND(MOVIMIENTOS!$B264&lt;&gt;"",NOT(AND(MOVIMIENTOS!$B264="PROCESO",MOVIMIENTOS!$C264&lt;&gt;"Chancho")),NOT(AND(MOVIMIENTOS!$B264="SALDO INICIAL",MOVIMIENTOS!$C264="Chancho"))),COUNT(J$5:J264)+1,"")</f>
        <v/>
      </c>
      <c r="K265" t="str">
        <f>IF(AND(MOVIMIENTOS!$B264&lt;&gt;"",NOT(AND(MOVIMIENTOS!$B264="PROCESO",MOVIMIENTOS!$C264&lt;&gt;"Chancho")),NOT(AND(MOVIMIENTOS!$B264="SALDO INICIAL",MOVIMIENTOS!$C264="Chancho"))),MOVIMIENTOS!$A264,"")</f>
        <v/>
      </c>
      <c r="L265" t="str">
        <f>IF(AND(MOVIMIENTOS!$B264&lt;&gt;"",NOT(AND(MOVIMIENTOS!$B264="PROCESO",MOVIMIENTOS!$C264&lt;&gt;"Chancho")),NOT(AND(MOVIMIENTOS!$B264="SALDO INICIAL",MOVIMIENTOS!$C264="Chancho"))),IF(MOVIMIENTOS!$B264="SALDO INICIAL","APERTURA ("&amp;MOVIMIENTOS!$C264&amp;")",IF(MOVIMIENTOS!$B264="COMPRA","INGRESO (compra)",IF(MOVIMIENTOS!$B264="PROCESO","CHANCHO (proceso)",IF(MOVIMIENTOS!$B264="ENVÍO A SUPESA","ENVÍO SUPESA cal. "&amp;MOVIMIENTOS!$C264,IF(MOVIMIENTOS!$B264="VENTA CHANCHO","VENTA CHANCHO",IF(MOVIMIENTOS!$B264="DEVOLUCIÓN","DEVOLUCIÓN cal. "&amp;MOVIMIENTOS!$C264,IF(MOVIMIENTOS!$B264="TRASIEGO","TRASIEGO cal. "&amp;MOVIMIENTOS!$C264,IF(MOVIMIENTOS!$B264="REGALO","REGALO "&amp;MOVIMIENTOS!$C264,IF(MOVIMIENTOS!$B264="VENTA","VENTA "&amp;MOVIMIENTOS!$C264,IF(MOVIMIENTOS!$B264="AJUSTE","AJUSTE inventario ("&amp;MOVIMIENTOS!$C264&amp;")",MOVIMIENTOS!$B264)))))))))),"")</f>
        <v/>
      </c>
      <c r="M265" t="str">
        <f>IF(AND(AND(MOVIMIENTOS!$B264&lt;&gt;"",NOT(AND(MOVIMIENTOS!$B264="PROCESO",MOVIMIENTOS!$C264&lt;&gt;"Chancho")),NOT(AND(MOVIMIENTOS!$B264="SALDO INICIAL",MOVIMIENTOS!$C264="Chancho"))),OR(MOVIMIENTOS!$B264="SALDO INICIAL",MOVIMIENTOS!$B264="COMPRA",MOVIMIENTOS!$B264="REPROCESO",AND(MOVIMIENTOS!$B264="AJUSTE",MOVIMIENTOS!$C264&lt;&gt;"Chancho",N(MOVIMIENTOS!$F264)&gt;=0))),N(MOVIMIENTOS!$F264),"")</f>
        <v/>
      </c>
      <c r="N265" t="str">
        <f>IF(AND(AND(MOVIMIENTOS!$B264&lt;&gt;"",NOT(AND(MOVIMIENTOS!$B264="PROCESO",MOVIMIENTOS!$C264&lt;&gt;"Chancho")),NOT(AND(MOVIMIENTOS!$B264="SALDO INICIAL",MOVIMIENTOS!$C264="Chancho"))),OR(MOVIMIENTOS!$B264="ENVÍO A SUPESA",MOVIMIENTOS!$B264="MALOGRADO",MOVIMIENTOS!$B264="OTRA SALIDA",MOVIMIENTOS!$B264="TRASIEGO",AND(MOVIMIENTOS!$B264="PROCESO",MOVIMIENTOS!$C264="Chancho"),AND(MOVIMIENTOS!$B264="REGALO",MOVIMIENTOS!$C264&lt;&gt;"Chancho"),AND(MOVIMIENTOS!$B264="VENTA",MOVIMIENTOS!$C264&lt;&gt;"Chancho"),AND(MOVIMIENTOS!$B264="AJUSTE",MOVIMIENTOS!$C264&lt;&gt;"Chancho",N(MOVIMIENTOS!$F264)&lt;0))),IF(MOVIMIENTOS!$B264="AJUSTE",-N(MOVIMIENTOS!$F264),N(MOVIMIENTOS!$F264)),"")</f>
        <v/>
      </c>
      <c r="O265" t="str">
        <f>IF(AND(MOVIMIENTOS!$B264&lt;&gt;"",NOT(AND(MOVIMIENTOS!$B264="PROCESO",MOVIMIENTOS!$C264&lt;&gt;"Chancho")),NOT(AND(MOVIMIENTOS!$B264="SALDO INICIAL",MOVIMIENTOS!$C264="Chancho"))),TRIM(IF(MOVIMIENTOS!$G264&lt;&gt;"",IF(MOVIMIENTOS!$B264="ENVÍO A SUPESA","G-"&amp;MOVIMIENTOS!$G264,MOVIMIENTOS!$G264)&amp;"  ","")&amp;IF(N(MOVIMIENTOS!$E264)&gt;0,MOVIMIENTOS!$E264&amp;" "&amp;MOVIMIENTOS!$D264,"")),"")</f>
        <v/>
      </c>
      <c r="P265">
        <f t="shared" si="34"/>
        <v>6138.5</v>
      </c>
    </row>
    <row r="266" spans="1:16" x14ac:dyDescent="0.2">
      <c r="A266" s="7" t="str">
        <f t="shared" si="28"/>
        <v/>
      </c>
      <c r="B266" s="8" t="str">
        <f t="shared" si="29"/>
        <v/>
      </c>
      <c r="C266" s="9" t="str">
        <f t="shared" si="30"/>
        <v/>
      </c>
      <c r="D266" s="9" t="str">
        <f t="shared" si="31"/>
        <v/>
      </c>
      <c r="E266" s="8" t="str">
        <f t="shared" si="32"/>
        <v/>
      </c>
      <c r="F266" s="9" t="str">
        <f t="shared" si="33"/>
        <v/>
      </c>
      <c r="J266" t="str">
        <f>IF(AND(MOVIMIENTOS!$B265&lt;&gt;"",NOT(AND(MOVIMIENTOS!$B265="PROCESO",MOVIMIENTOS!$C265&lt;&gt;"Chancho")),NOT(AND(MOVIMIENTOS!$B265="SALDO INICIAL",MOVIMIENTOS!$C265="Chancho"))),COUNT(J$5:J265)+1,"")</f>
        <v/>
      </c>
      <c r="K266" t="str">
        <f>IF(AND(MOVIMIENTOS!$B265&lt;&gt;"",NOT(AND(MOVIMIENTOS!$B265="PROCESO",MOVIMIENTOS!$C265&lt;&gt;"Chancho")),NOT(AND(MOVIMIENTOS!$B265="SALDO INICIAL",MOVIMIENTOS!$C265="Chancho"))),MOVIMIENTOS!$A265,"")</f>
        <v/>
      </c>
      <c r="L266" t="str">
        <f>IF(AND(MOVIMIENTOS!$B265&lt;&gt;"",NOT(AND(MOVIMIENTOS!$B265="PROCESO",MOVIMIENTOS!$C265&lt;&gt;"Chancho")),NOT(AND(MOVIMIENTOS!$B265="SALDO INICIAL",MOVIMIENTOS!$C265="Chancho"))),IF(MOVIMIENTOS!$B265="SALDO INICIAL","APERTURA ("&amp;MOVIMIENTOS!$C265&amp;")",IF(MOVIMIENTOS!$B265="COMPRA","INGRESO (compra)",IF(MOVIMIENTOS!$B265="PROCESO","CHANCHO (proceso)",IF(MOVIMIENTOS!$B265="ENVÍO A SUPESA","ENVÍO SUPESA cal. "&amp;MOVIMIENTOS!$C265,IF(MOVIMIENTOS!$B265="VENTA CHANCHO","VENTA CHANCHO",IF(MOVIMIENTOS!$B265="DEVOLUCIÓN","DEVOLUCIÓN cal. "&amp;MOVIMIENTOS!$C265,IF(MOVIMIENTOS!$B265="TRASIEGO","TRASIEGO cal. "&amp;MOVIMIENTOS!$C265,IF(MOVIMIENTOS!$B265="REGALO","REGALO "&amp;MOVIMIENTOS!$C265,IF(MOVIMIENTOS!$B265="VENTA","VENTA "&amp;MOVIMIENTOS!$C265,IF(MOVIMIENTOS!$B265="AJUSTE","AJUSTE inventario ("&amp;MOVIMIENTOS!$C265&amp;")",MOVIMIENTOS!$B265)))))))))),"")</f>
        <v/>
      </c>
      <c r="M266" t="str">
        <f>IF(AND(AND(MOVIMIENTOS!$B265&lt;&gt;"",NOT(AND(MOVIMIENTOS!$B265="PROCESO",MOVIMIENTOS!$C265&lt;&gt;"Chancho")),NOT(AND(MOVIMIENTOS!$B265="SALDO INICIAL",MOVIMIENTOS!$C265="Chancho"))),OR(MOVIMIENTOS!$B265="SALDO INICIAL",MOVIMIENTOS!$B265="COMPRA",MOVIMIENTOS!$B265="REPROCESO",AND(MOVIMIENTOS!$B265="AJUSTE",MOVIMIENTOS!$C265&lt;&gt;"Chancho",N(MOVIMIENTOS!$F265)&gt;=0))),N(MOVIMIENTOS!$F265),"")</f>
        <v/>
      </c>
      <c r="N266" t="str">
        <f>IF(AND(AND(MOVIMIENTOS!$B265&lt;&gt;"",NOT(AND(MOVIMIENTOS!$B265="PROCESO",MOVIMIENTOS!$C265&lt;&gt;"Chancho")),NOT(AND(MOVIMIENTOS!$B265="SALDO INICIAL",MOVIMIENTOS!$C265="Chancho"))),OR(MOVIMIENTOS!$B265="ENVÍO A SUPESA",MOVIMIENTOS!$B265="MALOGRADO",MOVIMIENTOS!$B265="OTRA SALIDA",MOVIMIENTOS!$B265="TRASIEGO",AND(MOVIMIENTOS!$B265="PROCESO",MOVIMIENTOS!$C265="Chancho"),AND(MOVIMIENTOS!$B265="REGALO",MOVIMIENTOS!$C265&lt;&gt;"Chancho"),AND(MOVIMIENTOS!$B265="VENTA",MOVIMIENTOS!$C265&lt;&gt;"Chancho"),AND(MOVIMIENTOS!$B265="AJUSTE",MOVIMIENTOS!$C265&lt;&gt;"Chancho",N(MOVIMIENTOS!$F265)&lt;0))),IF(MOVIMIENTOS!$B265="AJUSTE",-N(MOVIMIENTOS!$F265),N(MOVIMIENTOS!$F265)),"")</f>
        <v/>
      </c>
      <c r="O266" t="str">
        <f>IF(AND(MOVIMIENTOS!$B265&lt;&gt;"",NOT(AND(MOVIMIENTOS!$B265="PROCESO",MOVIMIENTOS!$C265&lt;&gt;"Chancho")),NOT(AND(MOVIMIENTOS!$B265="SALDO INICIAL",MOVIMIENTOS!$C265="Chancho"))),TRIM(IF(MOVIMIENTOS!$G265&lt;&gt;"",IF(MOVIMIENTOS!$B265="ENVÍO A SUPESA","G-"&amp;MOVIMIENTOS!$G265,MOVIMIENTOS!$G265)&amp;"  ","")&amp;IF(N(MOVIMIENTOS!$E265)&gt;0,MOVIMIENTOS!$E265&amp;" "&amp;MOVIMIENTOS!$D265,"")),"")</f>
        <v/>
      </c>
      <c r="P266">
        <f t="shared" si="34"/>
        <v>6138.5</v>
      </c>
    </row>
    <row r="267" spans="1:16" x14ac:dyDescent="0.2">
      <c r="A267" s="7" t="str">
        <f t="shared" si="28"/>
        <v/>
      </c>
      <c r="B267" s="8" t="str">
        <f t="shared" si="29"/>
        <v/>
      </c>
      <c r="C267" s="9" t="str">
        <f t="shared" si="30"/>
        <v/>
      </c>
      <c r="D267" s="9" t="str">
        <f t="shared" si="31"/>
        <v/>
      </c>
      <c r="E267" s="8" t="str">
        <f t="shared" si="32"/>
        <v/>
      </c>
      <c r="F267" s="9" t="str">
        <f t="shared" si="33"/>
        <v/>
      </c>
      <c r="J267" t="str">
        <f>IF(AND(MOVIMIENTOS!$B266&lt;&gt;"",NOT(AND(MOVIMIENTOS!$B266="PROCESO",MOVIMIENTOS!$C266&lt;&gt;"Chancho")),NOT(AND(MOVIMIENTOS!$B266="SALDO INICIAL",MOVIMIENTOS!$C266="Chancho"))),COUNT(J$5:J266)+1,"")</f>
        <v/>
      </c>
      <c r="K267" t="str">
        <f>IF(AND(MOVIMIENTOS!$B266&lt;&gt;"",NOT(AND(MOVIMIENTOS!$B266="PROCESO",MOVIMIENTOS!$C266&lt;&gt;"Chancho")),NOT(AND(MOVIMIENTOS!$B266="SALDO INICIAL",MOVIMIENTOS!$C266="Chancho"))),MOVIMIENTOS!$A266,"")</f>
        <v/>
      </c>
      <c r="L267" t="str">
        <f>IF(AND(MOVIMIENTOS!$B266&lt;&gt;"",NOT(AND(MOVIMIENTOS!$B266="PROCESO",MOVIMIENTOS!$C266&lt;&gt;"Chancho")),NOT(AND(MOVIMIENTOS!$B266="SALDO INICIAL",MOVIMIENTOS!$C266="Chancho"))),IF(MOVIMIENTOS!$B266="SALDO INICIAL","APERTURA ("&amp;MOVIMIENTOS!$C266&amp;")",IF(MOVIMIENTOS!$B266="COMPRA","INGRESO (compra)",IF(MOVIMIENTOS!$B266="PROCESO","CHANCHO (proceso)",IF(MOVIMIENTOS!$B266="ENVÍO A SUPESA","ENVÍO SUPESA cal. "&amp;MOVIMIENTOS!$C266,IF(MOVIMIENTOS!$B266="VENTA CHANCHO","VENTA CHANCHO",IF(MOVIMIENTOS!$B266="DEVOLUCIÓN","DEVOLUCIÓN cal. "&amp;MOVIMIENTOS!$C266,IF(MOVIMIENTOS!$B266="TRASIEGO","TRASIEGO cal. "&amp;MOVIMIENTOS!$C266,IF(MOVIMIENTOS!$B266="REGALO","REGALO "&amp;MOVIMIENTOS!$C266,IF(MOVIMIENTOS!$B266="VENTA","VENTA "&amp;MOVIMIENTOS!$C266,IF(MOVIMIENTOS!$B266="AJUSTE","AJUSTE inventario ("&amp;MOVIMIENTOS!$C266&amp;")",MOVIMIENTOS!$B266)))))))))),"")</f>
        <v/>
      </c>
      <c r="M267" t="str">
        <f>IF(AND(AND(MOVIMIENTOS!$B266&lt;&gt;"",NOT(AND(MOVIMIENTOS!$B266="PROCESO",MOVIMIENTOS!$C266&lt;&gt;"Chancho")),NOT(AND(MOVIMIENTOS!$B266="SALDO INICIAL",MOVIMIENTOS!$C266="Chancho"))),OR(MOVIMIENTOS!$B266="SALDO INICIAL",MOVIMIENTOS!$B266="COMPRA",MOVIMIENTOS!$B266="REPROCESO",AND(MOVIMIENTOS!$B266="AJUSTE",MOVIMIENTOS!$C266&lt;&gt;"Chancho",N(MOVIMIENTOS!$F266)&gt;=0))),N(MOVIMIENTOS!$F266),"")</f>
        <v/>
      </c>
      <c r="N267" t="str">
        <f>IF(AND(AND(MOVIMIENTOS!$B266&lt;&gt;"",NOT(AND(MOVIMIENTOS!$B266="PROCESO",MOVIMIENTOS!$C266&lt;&gt;"Chancho")),NOT(AND(MOVIMIENTOS!$B266="SALDO INICIAL",MOVIMIENTOS!$C266="Chancho"))),OR(MOVIMIENTOS!$B266="ENVÍO A SUPESA",MOVIMIENTOS!$B266="MALOGRADO",MOVIMIENTOS!$B266="OTRA SALIDA",MOVIMIENTOS!$B266="TRASIEGO",AND(MOVIMIENTOS!$B266="PROCESO",MOVIMIENTOS!$C266="Chancho"),AND(MOVIMIENTOS!$B266="REGALO",MOVIMIENTOS!$C266&lt;&gt;"Chancho"),AND(MOVIMIENTOS!$B266="VENTA",MOVIMIENTOS!$C266&lt;&gt;"Chancho"),AND(MOVIMIENTOS!$B266="AJUSTE",MOVIMIENTOS!$C266&lt;&gt;"Chancho",N(MOVIMIENTOS!$F266)&lt;0))),IF(MOVIMIENTOS!$B266="AJUSTE",-N(MOVIMIENTOS!$F266),N(MOVIMIENTOS!$F266)),"")</f>
        <v/>
      </c>
      <c r="O267" t="str">
        <f>IF(AND(MOVIMIENTOS!$B266&lt;&gt;"",NOT(AND(MOVIMIENTOS!$B266="PROCESO",MOVIMIENTOS!$C266&lt;&gt;"Chancho")),NOT(AND(MOVIMIENTOS!$B266="SALDO INICIAL",MOVIMIENTOS!$C266="Chancho"))),TRIM(IF(MOVIMIENTOS!$G266&lt;&gt;"",IF(MOVIMIENTOS!$B266="ENVÍO A SUPESA","G-"&amp;MOVIMIENTOS!$G266,MOVIMIENTOS!$G266)&amp;"  ","")&amp;IF(N(MOVIMIENTOS!$E266)&gt;0,MOVIMIENTOS!$E266&amp;" "&amp;MOVIMIENTOS!$D266,"")),"")</f>
        <v/>
      </c>
      <c r="P267">
        <f t="shared" si="34"/>
        <v>6138.5</v>
      </c>
    </row>
    <row r="268" spans="1:16" x14ac:dyDescent="0.2">
      <c r="A268" s="7" t="str">
        <f t="shared" si="28"/>
        <v/>
      </c>
      <c r="B268" s="8" t="str">
        <f t="shared" si="29"/>
        <v/>
      </c>
      <c r="C268" s="9" t="str">
        <f t="shared" si="30"/>
        <v/>
      </c>
      <c r="D268" s="9" t="str">
        <f t="shared" si="31"/>
        <v/>
      </c>
      <c r="E268" s="8" t="str">
        <f t="shared" si="32"/>
        <v/>
      </c>
      <c r="F268" s="9" t="str">
        <f t="shared" si="33"/>
        <v/>
      </c>
      <c r="J268" t="str">
        <f>IF(AND(MOVIMIENTOS!$B267&lt;&gt;"",NOT(AND(MOVIMIENTOS!$B267="PROCESO",MOVIMIENTOS!$C267&lt;&gt;"Chancho")),NOT(AND(MOVIMIENTOS!$B267="SALDO INICIAL",MOVIMIENTOS!$C267="Chancho"))),COUNT(J$5:J267)+1,"")</f>
        <v/>
      </c>
      <c r="K268" t="str">
        <f>IF(AND(MOVIMIENTOS!$B267&lt;&gt;"",NOT(AND(MOVIMIENTOS!$B267="PROCESO",MOVIMIENTOS!$C267&lt;&gt;"Chancho")),NOT(AND(MOVIMIENTOS!$B267="SALDO INICIAL",MOVIMIENTOS!$C267="Chancho"))),MOVIMIENTOS!$A267,"")</f>
        <v/>
      </c>
      <c r="L268" t="str">
        <f>IF(AND(MOVIMIENTOS!$B267&lt;&gt;"",NOT(AND(MOVIMIENTOS!$B267="PROCESO",MOVIMIENTOS!$C267&lt;&gt;"Chancho")),NOT(AND(MOVIMIENTOS!$B267="SALDO INICIAL",MOVIMIENTOS!$C267="Chancho"))),IF(MOVIMIENTOS!$B267="SALDO INICIAL","APERTURA ("&amp;MOVIMIENTOS!$C267&amp;")",IF(MOVIMIENTOS!$B267="COMPRA","INGRESO (compra)",IF(MOVIMIENTOS!$B267="PROCESO","CHANCHO (proceso)",IF(MOVIMIENTOS!$B267="ENVÍO A SUPESA","ENVÍO SUPESA cal. "&amp;MOVIMIENTOS!$C267,IF(MOVIMIENTOS!$B267="VENTA CHANCHO","VENTA CHANCHO",IF(MOVIMIENTOS!$B267="DEVOLUCIÓN","DEVOLUCIÓN cal. "&amp;MOVIMIENTOS!$C267,IF(MOVIMIENTOS!$B267="TRASIEGO","TRASIEGO cal. "&amp;MOVIMIENTOS!$C267,IF(MOVIMIENTOS!$B267="REGALO","REGALO "&amp;MOVIMIENTOS!$C267,IF(MOVIMIENTOS!$B267="VENTA","VENTA "&amp;MOVIMIENTOS!$C267,IF(MOVIMIENTOS!$B267="AJUSTE","AJUSTE inventario ("&amp;MOVIMIENTOS!$C267&amp;")",MOVIMIENTOS!$B267)))))))))),"")</f>
        <v/>
      </c>
      <c r="M268" t="str">
        <f>IF(AND(AND(MOVIMIENTOS!$B267&lt;&gt;"",NOT(AND(MOVIMIENTOS!$B267="PROCESO",MOVIMIENTOS!$C267&lt;&gt;"Chancho")),NOT(AND(MOVIMIENTOS!$B267="SALDO INICIAL",MOVIMIENTOS!$C267="Chancho"))),OR(MOVIMIENTOS!$B267="SALDO INICIAL",MOVIMIENTOS!$B267="COMPRA",MOVIMIENTOS!$B267="REPROCESO",AND(MOVIMIENTOS!$B267="AJUSTE",MOVIMIENTOS!$C267&lt;&gt;"Chancho",N(MOVIMIENTOS!$F267)&gt;=0))),N(MOVIMIENTOS!$F267),"")</f>
        <v/>
      </c>
      <c r="N268" t="str">
        <f>IF(AND(AND(MOVIMIENTOS!$B267&lt;&gt;"",NOT(AND(MOVIMIENTOS!$B267="PROCESO",MOVIMIENTOS!$C267&lt;&gt;"Chancho")),NOT(AND(MOVIMIENTOS!$B267="SALDO INICIAL",MOVIMIENTOS!$C267="Chancho"))),OR(MOVIMIENTOS!$B267="ENVÍO A SUPESA",MOVIMIENTOS!$B267="MALOGRADO",MOVIMIENTOS!$B267="OTRA SALIDA",MOVIMIENTOS!$B267="TRASIEGO",AND(MOVIMIENTOS!$B267="PROCESO",MOVIMIENTOS!$C267="Chancho"),AND(MOVIMIENTOS!$B267="REGALO",MOVIMIENTOS!$C267&lt;&gt;"Chancho"),AND(MOVIMIENTOS!$B267="VENTA",MOVIMIENTOS!$C267&lt;&gt;"Chancho"),AND(MOVIMIENTOS!$B267="AJUSTE",MOVIMIENTOS!$C267&lt;&gt;"Chancho",N(MOVIMIENTOS!$F267)&lt;0))),IF(MOVIMIENTOS!$B267="AJUSTE",-N(MOVIMIENTOS!$F267),N(MOVIMIENTOS!$F267)),"")</f>
        <v/>
      </c>
      <c r="O268" t="str">
        <f>IF(AND(MOVIMIENTOS!$B267&lt;&gt;"",NOT(AND(MOVIMIENTOS!$B267="PROCESO",MOVIMIENTOS!$C267&lt;&gt;"Chancho")),NOT(AND(MOVIMIENTOS!$B267="SALDO INICIAL",MOVIMIENTOS!$C267="Chancho"))),TRIM(IF(MOVIMIENTOS!$G267&lt;&gt;"",IF(MOVIMIENTOS!$B267="ENVÍO A SUPESA","G-"&amp;MOVIMIENTOS!$G267,MOVIMIENTOS!$G267)&amp;"  ","")&amp;IF(N(MOVIMIENTOS!$E267)&gt;0,MOVIMIENTOS!$E267&amp;" "&amp;MOVIMIENTOS!$D267,"")),"")</f>
        <v/>
      </c>
      <c r="P268">
        <f t="shared" si="34"/>
        <v>6138.5</v>
      </c>
    </row>
    <row r="269" spans="1:16" x14ac:dyDescent="0.2">
      <c r="A269" s="7" t="str">
        <f t="shared" si="28"/>
        <v/>
      </c>
      <c r="B269" s="8" t="str">
        <f t="shared" si="29"/>
        <v/>
      </c>
      <c r="C269" s="9" t="str">
        <f t="shared" si="30"/>
        <v/>
      </c>
      <c r="D269" s="9" t="str">
        <f t="shared" si="31"/>
        <v/>
      </c>
      <c r="E269" s="8" t="str">
        <f t="shared" si="32"/>
        <v/>
      </c>
      <c r="F269" s="9" t="str">
        <f t="shared" si="33"/>
        <v/>
      </c>
      <c r="J269" t="str">
        <f>IF(AND(MOVIMIENTOS!$B268&lt;&gt;"",NOT(AND(MOVIMIENTOS!$B268="PROCESO",MOVIMIENTOS!$C268&lt;&gt;"Chancho")),NOT(AND(MOVIMIENTOS!$B268="SALDO INICIAL",MOVIMIENTOS!$C268="Chancho"))),COUNT(J$5:J268)+1,"")</f>
        <v/>
      </c>
      <c r="K269" t="str">
        <f>IF(AND(MOVIMIENTOS!$B268&lt;&gt;"",NOT(AND(MOVIMIENTOS!$B268="PROCESO",MOVIMIENTOS!$C268&lt;&gt;"Chancho")),NOT(AND(MOVIMIENTOS!$B268="SALDO INICIAL",MOVIMIENTOS!$C268="Chancho"))),MOVIMIENTOS!$A268,"")</f>
        <v/>
      </c>
      <c r="L269" t="str">
        <f>IF(AND(MOVIMIENTOS!$B268&lt;&gt;"",NOT(AND(MOVIMIENTOS!$B268="PROCESO",MOVIMIENTOS!$C268&lt;&gt;"Chancho")),NOT(AND(MOVIMIENTOS!$B268="SALDO INICIAL",MOVIMIENTOS!$C268="Chancho"))),IF(MOVIMIENTOS!$B268="SALDO INICIAL","APERTURA ("&amp;MOVIMIENTOS!$C268&amp;")",IF(MOVIMIENTOS!$B268="COMPRA","INGRESO (compra)",IF(MOVIMIENTOS!$B268="PROCESO","CHANCHO (proceso)",IF(MOVIMIENTOS!$B268="ENVÍO A SUPESA","ENVÍO SUPESA cal. "&amp;MOVIMIENTOS!$C268,IF(MOVIMIENTOS!$B268="VENTA CHANCHO","VENTA CHANCHO",IF(MOVIMIENTOS!$B268="DEVOLUCIÓN","DEVOLUCIÓN cal. "&amp;MOVIMIENTOS!$C268,IF(MOVIMIENTOS!$B268="TRASIEGO","TRASIEGO cal. "&amp;MOVIMIENTOS!$C268,IF(MOVIMIENTOS!$B268="REGALO","REGALO "&amp;MOVIMIENTOS!$C268,IF(MOVIMIENTOS!$B268="VENTA","VENTA "&amp;MOVIMIENTOS!$C268,IF(MOVIMIENTOS!$B268="AJUSTE","AJUSTE inventario ("&amp;MOVIMIENTOS!$C268&amp;")",MOVIMIENTOS!$B268)))))))))),"")</f>
        <v/>
      </c>
      <c r="M269" t="str">
        <f>IF(AND(AND(MOVIMIENTOS!$B268&lt;&gt;"",NOT(AND(MOVIMIENTOS!$B268="PROCESO",MOVIMIENTOS!$C268&lt;&gt;"Chancho")),NOT(AND(MOVIMIENTOS!$B268="SALDO INICIAL",MOVIMIENTOS!$C268="Chancho"))),OR(MOVIMIENTOS!$B268="SALDO INICIAL",MOVIMIENTOS!$B268="COMPRA",MOVIMIENTOS!$B268="REPROCESO",AND(MOVIMIENTOS!$B268="AJUSTE",MOVIMIENTOS!$C268&lt;&gt;"Chancho",N(MOVIMIENTOS!$F268)&gt;=0))),N(MOVIMIENTOS!$F268),"")</f>
        <v/>
      </c>
      <c r="N269" t="str">
        <f>IF(AND(AND(MOVIMIENTOS!$B268&lt;&gt;"",NOT(AND(MOVIMIENTOS!$B268="PROCESO",MOVIMIENTOS!$C268&lt;&gt;"Chancho")),NOT(AND(MOVIMIENTOS!$B268="SALDO INICIAL",MOVIMIENTOS!$C268="Chancho"))),OR(MOVIMIENTOS!$B268="ENVÍO A SUPESA",MOVIMIENTOS!$B268="MALOGRADO",MOVIMIENTOS!$B268="OTRA SALIDA",MOVIMIENTOS!$B268="TRASIEGO",AND(MOVIMIENTOS!$B268="PROCESO",MOVIMIENTOS!$C268="Chancho"),AND(MOVIMIENTOS!$B268="REGALO",MOVIMIENTOS!$C268&lt;&gt;"Chancho"),AND(MOVIMIENTOS!$B268="VENTA",MOVIMIENTOS!$C268&lt;&gt;"Chancho"),AND(MOVIMIENTOS!$B268="AJUSTE",MOVIMIENTOS!$C268&lt;&gt;"Chancho",N(MOVIMIENTOS!$F268)&lt;0))),IF(MOVIMIENTOS!$B268="AJUSTE",-N(MOVIMIENTOS!$F268),N(MOVIMIENTOS!$F268)),"")</f>
        <v/>
      </c>
      <c r="O269" t="str">
        <f>IF(AND(MOVIMIENTOS!$B268&lt;&gt;"",NOT(AND(MOVIMIENTOS!$B268="PROCESO",MOVIMIENTOS!$C268&lt;&gt;"Chancho")),NOT(AND(MOVIMIENTOS!$B268="SALDO INICIAL",MOVIMIENTOS!$C268="Chancho"))),TRIM(IF(MOVIMIENTOS!$G268&lt;&gt;"",IF(MOVIMIENTOS!$B268="ENVÍO A SUPESA","G-"&amp;MOVIMIENTOS!$G268,MOVIMIENTOS!$G268)&amp;"  ","")&amp;IF(N(MOVIMIENTOS!$E268)&gt;0,MOVIMIENTOS!$E268&amp;" "&amp;MOVIMIENTOS!$D268,"")),"")</f>
        <v/>
      </c>
      <c r="P269">
        <f t="shared" si="34"/>
        <v>6138.5</v>
      </c>
    </row>
    <row r="270" spans="1:16" x14ac:dyDescent="0.2">
      <c r="A270" s="7" t="str">
        <f t="shared" si="28"/>
        <v/>
      </c>
      <c r="B270" s="8" t="str">
        <f t="shared" si="29"/>
        <v/>
      </c>
      <c r="C270" s="9" t="str">
        <f t="shared" si="30"/>
        <v/>
      </c>
      <c r="D270" s="9" t="str">
        <f t="shared" si="31"/>
        <v/>
      </c>
      <c r="E270" s="8" t="str">
        <f t="shared" si="32"/>
        <v/>
      </c>
      <c r="F270" s="9" t="str">
        <f t="shared" si="33"/>
        <v/>
      </c>
      <c r="J270" t="str">
        <f>IF(AND(MOVIMIENTOS!$B269&lt;&gt;"",NOT(AND(MOVIMIENTOS!$B269="PROCESO",MOVIMIENTOS!$C269&lt;&gt;"Chancho")),NOT(AND(MOVIMIENTOS!$B269="SALDO INICIAL",MOVIMIENTOS!$C269="Chancho"))),COUNT(J$5:J269)+1,"")</f>
        <v/>
      </c>
      <c r="K270" t="str">
        <f>IF(AND(MOVIMIENTOS!$B269&lt;&gt;"",NOT(AND(MOVIMIENTOS!$B269="PROCESO",MOVIMIENTOS!$C269&lt;&gt;"Chancho")),NOT(AND(MOVIMIENTOS!$B269="SALDO INICIAL",MOVIMIENTOS!$C269="Chancho"))),MOVIMIENTOS!$A269,"")</f>
        <v/>
      </c>
      <c r="L270" t="str">
        <f>IF(AND(MOVIMIENTOS!$B269&lt;&gt;"",NOT(AND(MOVIMIENTOS!$B269="PROCESO",MOVIMIENTOS!$C269&lt;&gt;"Chancho")),NOT(AND(MOVIMIENTOS!$B269="SALDO INICIAL",MOVIMIENTOS!$C269="Chancho"))),IF(MOVIMIENTOS!$B269="SALDO INICIAL","APERTURA ("&amp;MOVIMIENTOS!$C269&amp;")",IF(MOVIMIENTOS!$B269="COMPRA","INGRESO (compra)",IF(MOVIMIENTOS!$B269="PROCESO","CHANCHO (proceso)",IF(MOVIMIENTOS!$B269="ENVÍO A SUPESA","ENVÍO SUPESA cal. "&amp;MOVIMIENTOS!$C269,IF(MOVIMIENTOS!$B269="VENTA CHANCHO","VENTA CHANCHO",IF(MOVIMIENTOS!$B269="DEVOLUCIÓN","DEVOLUCIÓN cal. "&amp;MOVIMIENTOS!$C269,IF(MOVIMIENTOS!$B269="TRASIEGO","TRASIEGO cal. "&amp;MOVIMIENTOS!$C269,IF(MOVIMIENTOS!$B269="REGALO","REGALO "&amp;MOVIMIENTOS!$C269,IF(MOVIMIENTOS!$B269="VENTA","VENTA "&amp;MOVIMIENTOS!$C269,IF(MOVIMIENTOS!$B269="AJUSTE","AJUSTE inventario ("&amp;MOVIMIENTOS!$C269&amp;")",MOVIMIENTOS!$B269)))))))))),"")</f>
        <v/>
      </c>
      <c r="M270" t="str">
        <f>IF(AND(AND(MOVIMIENTOS!$B269&lt;&gt;"",NOT(AND(MOVIMIENTOS!$B269="PROCESO",MOVIMIENTOS!$C269&lt;&gt;"Chancho")),NOT(AND(MOVIMIENTOS!$B269="SALDO INICIAL",MOVIMIENTOS!$C269="Chancho"))),OR(MOVIMIENTOS!$B269="SALDO INICIAL",MOVIMIENTOS!$B269="COMPRA",MOVIMIENTOS!$B269="REPROCESO",AND(MOVIMIENTOS!$B269="AJUSTE",MOVIMIENTOS!$C269&lt;&gt;"Chancho",N(MOVIMIENTOS!$F269)&gt;=0))),N(MOVIMIENTOS!$F269),"")</f>
        <v/>
      </c>
      <c r="N270" t="str">
        <f>IF(AND(AND(MOVIMIENTOS!$B269&lt;&gt;"",NOT(AND(MOVIMIENTOS!$B269="PROCESO",MOVIMIENTOS!$C269&lt;&gt;"Chancho")),NOT(AND(MOVIMIENTOS!$B269="SALDO INICIAL",MOVIMIENTOS!$C269="Chancho"))),OR(MOVIMIENTOS!$B269="ENVÍO A SUPESA",MOVIMIENTOS!$B269="MALOGRADO",MOVIMIENTOS!$B269="OTRA SALIDA",MOVIMIENTOS!$B269="TRASIEGO",AND(MOVIMIENTOS!$B269="PROCESO",MOVIMIENTOS!$C269="Chancho"),AND(MOVIMIENTOS!$B269="REGALO",MOVIMIENTOS!$C269&lt;&gt;"Chancho"),AND(MOVIMIENTOS!$B269="VENTA",MOVIMIENTOS!$C269&lt;&gt;"Chancho"),AND(MOVIMIENTOS!$B269="AJUSTE",MOVIMIENTOS!$C269&lt;&gt;"Chancho",N(MOVIMIENTOS!$F269)&lt;0))),IF(MOVIMIENTOS!$B269="AJUSTE",-N(MOVIMIENTOS!$F269),N(MOVIMIENTOS!$F269)),"")</f>
        <v/>
      </c>
      <c r="O270" t="str">
        <f>IF(AND(MOVIMIENTOS!$B269&lt;&gt;"",NOT(AND(MOVIMIENTOS!$B269="PROCESO",MOVIMIENTOS!$C269&lt;&gt;"Chancho")),NOT(AND(MOVIMIENTOS!$B269="SALDO INICIAL",MOVIMIENTOS!$C269="Chancho"))),TRIM(IF(MOVIMIENTOS!$G269&lt;&gt;"",IF(MOVIMIENTOS!$B269="ENVÍO A SUPESA","G-"&amp;MOVIMIENTOS!$G269,MOVIMIENTOS!$G269)&amp;"  ","")&amp;IF(N(MOVIMIENTOS!$E269)&gt;0,MOVIMIENTOS!$E269&amp;" "&amp;MOVIMIENTOS!$D269,"")),"")</f>
        <v/>
      </c>
      <c r="P270">
        <f t="shared" si="34"/>
        <v>6138.5</v>
      </c>
    </row>
    <row r="271" spans="1:16" x14ac:dyDescent="0.2">
      <c r="A271" s="7" t="str">
        <f t="shared" si="28"/>
        <v/>
      </c>
      <c r="B271" s="8" t="str">
        <f t="shared" si="29"/>
        <v/>
      </c>
      <c r="C271" s="9" t="str">
        <f t="shared" si="30"/>
        <v/>
      </c>
      <c r="D271" s="9" t="str">
        <f t="shared" si="31"/>
        <v/>
      </c>
      <c r="E271" s="8" t="str">
        <f t="shared" si="32"/>
        <v/>
      </c>
      <c r="F271" s="9" t="str">
        <f t="shared" si="33"/>
        <v/>
      </c>
      <c r="J271" t="str">
        <f>IF(AND(MOVIMIENTOS!$B270&lt;&gt;"",NOT(AND(MOVIMIENTOS!$B270="PROCESO",MOVIMIENTOS!$C270&lt;&gt;"Chancho")),NOT(AND(MOVIMIENTOS!$B270="SALDO INICIAL",MOVIMIENTOS!$C270="Chancho"))),COUNT(J$5:J270)+1,"")</f>
        <v/>
      </c>
      <c r="K271" t="str">
        <f>IF(AND(MOVIMIENTOS!$B270&lt;&gt;"",NOT(AND(MOVIMIENTOS!$B270="PROCESO",MOVIMIENTOS!$C270&lt;&gt;"Chancho")),NOT(AND(MOVIMIENTOS!$B270="SALDO INICIAL",MOVIMIENTOS!$C270="Chancho"))),MOVIMIENTOS!$A270,"")</f>
        <v/>
      </c>
      <c r="L271" t="str">
        <f>IF(AND(MOVIMIENTOS!$B270&lt;&gt;"",NOT(AND(MOVIMIENTOS!$B270="PROCESO",MOVIMIENTOS!$C270&lt;&gt;"Chancho")),NOT(AND(MOVIMIENTOS!$B270="SALDO INICIAL",MOVIMIENTOS!$C270="Chancho"))),IF(MOVIMIENTOS!$B270="SALDO INICIAL","APERTURA ("&amp;MOVIMIENTOS!$C270&amp;")",IF(MOVIMIENTOS!$B270="COMPRA","INGRESO (compra)",IF(MOVIMIENTOS!$B270="PROCESO","CHANCHO (proceso)",IF(MOVIMIENTOS!$B270="ENVÍO A SUPESA","ENVÍO SUPESA cal. "&amp;MOVIMIENTOS!$C270,IF(MOVIMIENTOS!$B270="VENTA CHANCHO","VENTA CHANCHO",IF(MOVIMIENTOS!$B270="DEVOLUCIÓN","DEVOLUCIÓN cal. "&amp;MOVIMIENTOS!$C270,IF(MOVIMIENTOS!$B270="TRASIEGO","TRASIEGO cal. "&amp;MOVIMIENTOS!$C270,IF(MOVIMIENTOS!$B270="REGALO","REGALO "&amp;MOVIMIENTOS!$C270,IF(MOVIMIENTOS!$B270="VENTA","VENTA "&amp;MOVIMIENTOS!$C270,IF(MOVIMIENTOS!$B270="AJUSTE","AJUSTE inventario ("&amp;MOVIMIENTOS!$C270&amp;")",MOVIMIENTOS!$B270)))))))))),"")</f>
        <v/>
      </c>
      <c r="M271" t="str">
        <f>IF(AND(AND(MOVIMIENTOS!$B270&lt;&gt;"",NOT(AND(MOVIMIENTOS!$B270="PROCESO",MOVIMIENTOS!$C270&lt;&gt;"Chancho")),NOT(AND(MOVIMIENTOS!$B270="SALDO INICIAL",MOVIMIENTOS!$C270="Chancho"))),OR(MOVIMIENTOS!$B270="SALDO INICIAL",MOVIMIENTOS!$B270="COMPRA",MOVIMIENTOS!$B270="REPROCESO",AND(MOVIMIENTOS!$B270="AJUSTE",MOVIMIENTOS!$C270&lt;&gt;"Chancho",N(MOVIMIENTOS!$F270)&gt;=0))),N(MOVIMIENTOS!$F270),"")</f>
        <v/>
      </c>
      <c r="N271" t="str">
        <f>IF(AND(AND(MOVIMIENTOS!$B270&lt;&gt;"",NOT(AND(MOVIMIENTOS!$B270="PROCESO",MOVIMIENTOS!$C270&lt;&gt;"Chancho")),NOT(AND(MOVIMIENTOS!$B270="SALDO INICIAL",MOVIMIENTOS!$C270="Chancho"))),OR(MOVIMIENTOS!$B270="ENVÍO A SUPESA",MOVIMIENTOS!$B270="MALOGRADO",MOVIMIENTOS!$B270="OTRA SALIDA",MOVIMIENTOS!$B270="TRASIEGO",AND(MOVIMIENTOS!$B270="PROCESO",MOVIMIENTOS!$C270="Chancho"),AND(MOVIMIENTOS!$B270="REGALO",MOVIMIENTOS!$C270&lt;&gt;"Chancho"),AND(MOVIMIENTOS!$B270="VENTA",MOVIMIENTOS!$C270&lt;&gt;"Chancho"),AND(MOVIMIENTOS!$B270="AJUSTE",MOVIMIENTOS!$C270&lt;&gt;"Chancho",N(MOVIMIENTOS!$F270)&lt;0))),IF(MOVIMIENTOS!$B270="AJUSTE",-N(MOVIMIENTOS!$F270),N(MOVIMIENTOS!$F270)),"")</f>
        <v/>
      </c>
      <c r="O271" t="str">
        <f>IF(AND(MOVIMIENTOS!$B270&lt;&gt;"",NOT(AND(MOVIMIENTOS!$B270="PROCESO",MOVIMIENTOS!$C270&lt;&gt;"Chancho")),NOT(AND(MOVIMIENTOS!$B270="SALDO INICIAL",MOVIMIENTOS!$C270="Chancho"))),TRIM(IF(MOVIMIENTOS!$G270&lt;&gt;"",IF(MOVIMIENTOS!$B270="ENVÍO A SUPESA","G-"&amp;MOVIMIENTOS!$G270,MOVIMIENTOS!$G270)&amp;"  ","")&amp;IF(N(MOVIMIENTOS!$E270)&gt;0,MOVIMIENTOS!$E270&amp;" "&amp;MOVIMIENTOS!$D270,"")),"")</f>
        <v/>
      </c>
      <c r="P271">
        <f t="shared" si="34"/>
        <v>6138.5</v>
      </c>
    </row>
    <row r="272" spans="1:16" x14ac:dyDescent="0.2">
      <c r="A272" s="7" t="str">
        <f t="shared" si="28"/>
        <v/>
      </c>
      <c r="B272" s="8" t="str">
        <f t="shared" si="29"/>
        <v/>
      </c>
      <c r="C272" s="9" t="str">
        <f t="shared" si="30"/>
        <v/>
      </c>
      <c r="D272" s="9" t="str">
        <f t="shared" si="31"/>
        <v/>
      </c>
      <c r="E272" s="8" t="str">
        <f t="shared" si="32"/>
        <v/>
      </c>
      <c r="F272" s="9" t="str">
        <f t="shared" si="33"/>
        <v/>
      </c>
      <c r="J272" t="str">
        <f>IF(AND(MOVIMIENTOS!$B271&lt;&gt;"",NOT(AND(MOVIMIENTOS!$B271="PROCESO",MOVIMIENTOS!$C271&lt;&gt;"Chancho")),NOT(AND(MOVIMIENTOS!$B271="SALDO INICIAL",MOVIMIENTOS!$C271="Chancho"))),COUNT(J$5:J271)+1,"")</f>
        <v/>
      </c>
      <c r="K272" t="str">
        <f>IF(AND(MOVIMIENTOS!$B271&lt;&gt;"",NOT(AND(MOVIMIENTOS!$B271="PROCESO",MOVIMIENTOS!$C271&lt;&gt;"Chancho")),NOT(AND(MOVIMIENTOS!$B271="SALDO INICIAL",MOVIMIENTOS!$C271="Chancho"))),MOVIMIENTOS!$A271,"")</f>
        <v/>
      </c>
      <c r="L272" t="str">
        <f>IF(AND(MOVIMIENTOS!$B271&lt;&gt;"",NOT(AND(MOVIMIENTOS!$B271="PROCESO",MOVIMIENTOS!$C271&lt;&gt;"Chancho")),NOT(AND(MOVIMIENTOS!$B271="SALDO INICIAL",MOVIMIENTOS!$C271="Chancho"))),IF(MOVIMIENTOS!$B271="SALDO INICIAL","APERTURA ("&amp;MOVIMIENTOS!$C271&amp;")",IF(MOVIMIENTOS!$B271="COMPRA","INGRESO (compra)",IF(MOVIMIENTOS!$B271="PROCESO","CHANCHO (proceso)",IF(MOVIMIENTOS!$B271="ENVÍO A SUPESA","ENVÍO SUPESA cal. "&amp;MOVIMIENTOS!$C271,IF(MOVIMIENTOS!$B271="VENTA CHANCHO","VENTA CHANCHO",IF(MOVIMIENTOS!$B271="DEVOLUCIÓN","DEVOLUCIÓN cal. "&amp;MOVIMIENTOS!$C271,IF(MOVIMIENTOS!$B271="TRASIEGO","TRASIEGO cal. "&amp;MOVIMIENTOS!$C271,IF(MOVIMIENTOS!$B271="REGALO","REGALO "&amp;MOVIMIENTOS!$C271,IF(MOVIMIENTOS!$B271="VENTA","VENTA "&amp;MOVIMIENTOS!$C271,IF(MOVIMIENTOS!$B271="AJUSTE","AJUSTE inventario ("&amp;MOVIMIENTOS!$C271&amp;")",MOVIMIENTOS!$B271)))))))))),"")</f>
        <v/>
      </c>
      <c r="M272" t="str">
        <f>IF(AND(AND(MOVIMIENTOS!$B271&lt;&gt;"",NOT(AND(MOVIMIENTOS!$B271="PROCESO",MOVIMIENTOS!$C271&lt;&gt;"Chancho")),NOT(AND(MOVIMIENTOS!$B271="SALDO INICIAL",MOVIMIENTOS!$C271="Chancho"))),OR(MOVIMIENTOS!$B271="SALDO INICIAL",MOVIMIENTOS!$B271="COMPRA",MOVIMIENTOS!$B271="REPROCESO",AND(MOVIMIENTOS!$B271="AJUSTE",MOVIMIENTOS!$C271&lt;&gt;"Chancho",N(MOVIMIENTOS!$F271)&gt;=0))),N(MOVIMIENTOS!$F271),"")</f>
        <v/>
      </c>
      <c r="N272" t="str">
        <f>IF(AND(AND(MOVIMIENTOS!$B271&lt;&gt;"",NOT(AND(MOVIMIENTOS!$B271="PROCESO",MOVIMIENTOS!$C271&lt;&gt;"Chancho")),NOT(AND(MOVIMIENTOS!$B271="SALDO INICIAL",MOVIMIENTOS!$C271="Chancho"))),OR(MOVIMIENTOS!$B271="ENVÍO A SUPESA",MOVIMIENTOS!$B271="MALOGRADO",MOVIMIENTOS!$B271="OTRA SALIDA",MOVIMIENTOS!$B271="TRASIEGO",AND(MOVIMIENTOS!$B271="PROCESO",MOVIMIENTOS!$C271="Chancho"),AND(MOVIMIENTOS!$B271="REGALO",MOVIMIENTOS!$C271&lt;&gt;"Chancho"),AND(MOVIMIENTOS!$B271="VENTA",MOVIMIENTOS!$C271&lt;&gt;"Chancho"),AND(MOVIMIENTOS!$B271="AJUSTE",MOVIMIENTOS!$C271&lt;&gt;"Chancho",N(MOVIMIENTOS!$F271)&lt;0))),IF(MOVIMIENTOS!$B271="AJUSTE",-N(MOVIMIENTOS!$F271),N(MOVIMIENTOS!$F271)),"")</f>
        <v/>
      </c>
      <c r="O272" t="str">
        <f>IF(AND(MOVIMIENTOS!$B271&lt;&gt;"",NOT(AND(MOVIMIENTOS!$B271="PROCESO",MOVIMIENTOS!$C271&lt;&gt;"Chancho")),NOT(AND(MOVIMIENTOS!$B271="SALDO INICIAL",MOVIMIENTOS!$C271="Chancho"))),TRIM(IF(MOVIMIENTOS!$G271&lt;&gt;"",IF(MOVIMIENTOS!$B271="ENVÍO A SUPESA","G-"&amp;MOVIMIENTOS!$G271,MOVIMIENTOS!$G271)&amp;"  ","")&amp;IF(N(MOVIMIENTOS!$E271)&gt;0,MOVIMIENTOS!$E271&amp;" "&amp;MOVIMIENTOS!$D271,"")),"")</f>
        <v/>
      </c>
      <c r="P272">
        <f t="shared" si="34"/>
        <v>6138.5</v>
      </c>
    </row>
    <row r="273" spans="1:16" x14ac:dyDescent="0.2">
      <c r="A273" s="7" t="str">
        <f t="shared" si="28"/>
        <v/>
      </c>
      <c r="B273" s="8" t="str">
        <f t="shared" si="29"/>
        <v/>
      </c>
      <c r="C273" s="9" t="str">
        <f t="shared" si="30"/>
        <v/>
      </c>
      <c r="D273" s="9" t="str">
        <f t="shared" si="31"/>
        <v/>
      </c>
      <c r="E273" s="8" t="str">
        <f t="shared" si="32"/>
        <v/>
      </c>
      <c r="F273" s="9" t="str">
        <f t="shared" si="33"/>
        <v/>
      </c>
      <c r="J273" t="str">
        <f>IF(AND(MOVIMIENTOS!$B272&lt;&gt;"",NOT(AND(MOVIMIENTOS!$B272="PROCESO",MOVIMIENTOS!$C272&lt;&gt;"Chancho")),NOT(AND(MOVIMIENTOS!$B272="SALDO INICIAL",MOVIMIENTOS!$C272="Chancho"))),COUNT(J$5:J272)+1,"")</f>
        <v/>
      </c>
      <c r="K273" t="str">
        <f>IF(AND(MOVIMIENTOS!$B272&lt;&gt;"",NOT(AND(MOVIMIENTOS!$B272="PROCESO",MOVIMIENTOS!$C272&lt;&gt;"Chancho")),NOT(AND(MOVIMIENTOS!$B272="SALDO INICIAL",MOVIMIENTOS!$C272="Chancho"))),MOVIMIENTOS!$A272,"")</f>
        <v/>
      </c>
      <c r="L273" t="str">
        <f>IF(AND(MOVIMIENTOS!$B272&lt;&gt;"",NOT(AND(MOVIMIENTOS!$B272="PROCESO",MOVIMIENTOS!$C272&lt;&gt;"Chancho")),NOT(AND(MOVIMIENTOS!$B272="SALDO INICIAL",MOVIMIENTOS!$C272="Chancho"))),IF(MOVIMIENTOS!$B272="SALDO INICIAL","APERTURA ("&amp;MOVIMIENTOS!$C272&amp;")",IF(MOVIMIENTOS!$B272="COMPRA","INGRESO (compra)",IF(MOVIMIENTOS!$B272="PROCESO","CHANCHO (proceso)",IF(MOVIMIENTOS!$B272="ENVÍO A SUPESA","ENVÍO SUPESA cal. "&amp;MOVIMIENTOS!$C272,IF(MOVIMIENTOS!$B272="VENTA CHANCHO","VENTA CHANCHO",IF(MOVIMIENTOS!$B272="DEVOLUCIÓN","DEVOLUCIÓN cal. "&amp;MOVIMIENTOS!$C272,IF(MOVIMIENTOS!$B272="TRASIEGO","TRASIEGO cal. "&amp;MOVIMIENTOS!$C272,IF(MOVIMIENTOS!$B272="REGALO","REGALO "&amp;MOVIMIENTOS!$C272,IF(MOVIMIENTOS!$B272="VENTA","VENTA "&amp;MOVIMIENTOS!$C272,IF(MOVIMIENTOS!$B272="AJUSTE","AJUSTE inventario ("&amp;MOVIMIENTOS!$C272&amp;")",MOVIMIENTOS!$B272)))))))))),"")</f>
        <v/>
      </c>
      <c r="M273" t="str">
        <f>IF(AND(AND(MOVIMIENTOS!$B272&lt;&gt;"",NOT(AND(MOVIMIENTOS!$B272="PROCESO",MOVIMIENTOS!$C272&lt;&gt;"Chancho")),NOT(AND(MOVIMIENTOS!$B272="SALDO INICIAL",MOVIMIENTOS!$C272="Chancho"))),OR(MOVIMIENTOS!$B272="SALDO INICIAL",MOVIMIENTOS!$B272="COMPRA",MOVIMIENTOS!$B272="REPROCESO",AND(MOVIMIENTOS!$B272="AJUSTE",MOVIMIENTOS!$C272&lt;&gt;"Chancho",N(MOVIMIENTOS!$F272)&gt;=0))),N(MOVIMIENTOS!$F272),"")</f>
        <v/>
      </c>
      <c r="N273" t="str">
        <f>IF(AND(AND(MOVIMIENTOS!$B272&lt;&gt;"",NOT(AND(MOVIMIENTOS!$B272="PROCESO",MOVIMIENTOS!$C272&lt;&gt;"Chancho")),NOT(AND(MOVIMIENTOS!$B272="SALDO INICIAL",MOVIMIENTOS!$C272="Chancho"))),OR(MOVIMIENTOS!$B272="ENVÍO A SUPESA",MOVIMIENTOS!$B272="MALOGRADO",MOVIMIENTOS!$B272="OTRA SALIDA",MOVIMIENTOS!$B272="TRASIEGO",AND(MOVIMIENTOS!$B272="PROCESO",MOVIMIENTOS!$C272="Chancho"),AND(MOVIMIENTOS!$B272="REGALO",MOVIMIENTOS!$C272&lt;&gt;"Chancho"),AND(MOVIMIENTOS!$B272="VENTA",MOVIMIENTOS!$C272&lt;&gt;"Chancho"),AND(MOVIMIENTOS!$B272="AJUSTE",MOVIMIENTOS!$C272&lt;&gt;"Chancho",N(MOVIMIENTOS!$F272)&lt;0))),IF(MOVIMIENTOS!$B272="AJUSTE",-N(MOVIMIENTOS!$F272),N(MOVIMIENTOS!$F272)),"")</f>
        <v/>
      </c>
      <c r="O273" t="str">
        <f>IF(AND(MOVIMIENTOS!$B272&lt;&gt;"",NOT(AND(MOVIMIENTOS!$B272="PROCESO",MOVIMIENTOS!$C272&lt;&gt;"Chancho")),NOT(AND(MOVIMIENTOS!$B272="SALDO INICIAL",MOVIMIENTOS!$C272="Chancho"))),TRIM(IF(MOVIMIENTOS!$G272&lt;&gt;"",IF(MOVIMIENTOS!$B272="ENVÍO A SUPESA","G-"&amp;MOVIMIENTOS!$G272,MOVIMIENTOS!$G272)&amp;"  ","")&amp;IF(N(MOVIMIENTOS!$E272)&gt;0,MOVIMIENTOS!$E272&amp;" "&amp;MOVIMIENTOS!$D272,"")),"")</f>
        <v/>
      </c>
      <c r="P273">
        <f t="shared" si="34"/>
        <v>6138.5</v>
      </c>
    </row>
    <row r="274" spans="1:16" x14ac:dyDescent="0.2">
      <c r="A274" s="7" t="str">
        <f t="shared" si="28"/>
        <v/>
      </c>
      <c r="B274" s="8" t="str">
        <f t="shared" si="29"/>
        <v/>
      </c>
      <c r="C274" s="9" t="str">
        <f t="shared" si="30"/>
        <v/>
      </c>
      <c r="D274" s="9" t="str">
        <f t="shared" si="31"/>
        <v/>
      </c>
      <c r="E274" s="8" t="str">
        <f t="shared" si="32"/>
        <v/>
      </c>
      <c r="F274" s="9" t="str">
        <f t="shared" si="33"/>
        <v/>
      </c>
      <c r="J274" t="str">
        <f>IF(AND(MOVIMIENTOS!$B273&lt;&gt;"",NOT(AND(MOVIMIENTOS!$B273="PROCESO",MOVIMIENTOS!$C273&lt;&gt;"Chancho")),NOT(AND(MOVIMIENTOS!$B273="SALDO INICIAL",MOVIMIENTOS!$C273="Chancho"))),COUNT(J$5:J273)+1,"")</f>
        <v/>
      </c>
      <c r="K274" t="str">
        <f>IF(AND(MOVIMIENTOS!$B273&lt;&gt;"",NOT(AND(MOVIMIENTOS!$B273="PROCESO",MOVIMIENTOS!$C273&lt;&gt;"Chancho")),NOT(AND(MOVIMIENTOS!$B273="SALDO INICIAL",MOVIMIENTOS!$C273="Chancho"))),MOVIMIENTOS!$A273,"")</f>
        <v/>
      </c>
      <c r="L274" t="str">
        <f>IF(AND(MOVIMIENTOS!$B273&lt;&gt;"",NOT(AND(MOVIMIENTOS!$B273="PROCESO",MOVIMIENTOS!$C273&lt;&gt;"Chancho")),NOT(AND(MOVIMIENTOS!$B273="SALDO INICIAL",MOVIMIENTOS!$C273="Chancho"))),IF(MOVIMIENTOS!$B273="SALDO INICIAL","APERTURA ("&amp;MOVIMIENTOS!$C273&amp;")",IF(MOVIMIENTOS!$B273="COMPRA","INGRESO (compra)",IF(MOVIMIENTOS!$B273="PROCESO","CHANCHO (proceso)",IF(MOVIMIENTOS!$B273="ENVÍO A SUPESA","ENVÍO SUPESA cal. "&amp;MOVIMIENTOS!$C273,IF(MOVIMIENTOS!$B273="VENTA CHANCHO","VENTA CHANCHO",IF(MOVIMIENTOS!$B273="DEVOLUCIÓN","DEVOLUCIÓN cal. "&amp;MOVIMIENTOS!$C273,IF(MOVIMIENTOS!$B273="TRASIEGO","TRASIEGO cal. "&amp;MOVIMIENTOS!$C273,IF(MOVIMIENTOS!$B273="REGALO","REGALO "&amp;MOVIMIENTOS!$C273,IF(MOVIMIENTOS!$B273="VENTA","VENTA "&amp;MOVIMIENTOS!$C273,IF(MOVIMIENTOS!$B273="AJUSTE","AJUSTE inventario ("&amp;MOVIMIENTOS!$C273&amp;")",MOVIMIENTOS!$B273)))))))))),"")</f>
        <v/>
      </c>
      <c r="M274" t="str">
        <f>IF(AND(AND(MOVIMIENTOS!$B273&lt;&gt;"",NOT(AND(MOVIMIENTOS!$B273="PROCESO",MOVIMIENTOS!$C273&lt;&gt;"Chancho")),NOT(AND(MOVIMIENTOS!$B273="SALDO INICIAL",MOVIMIENTOS!$C273="Chancho"))),OR(MOVIMIENTOS!$B273="SALDO INICIAL",MOVIMIENTOS!$B273="COMPRA",MOVIMIENTOS!$B273="REPROCESO",AND(MOVIMIENTOS!$B273="AJUSTE",MOVIMIENTOS!$C273&lt;&gt;"Chancho",N(MOVIMIENTOS!$F273)&gt;=0))),N(MOVIMIENTOS!$F273),"")</f>
        <v/>
      </c>
      <c r="N274" t="str">
        <f>IF(AND(AND(MOVIMIENTOS!$B273&lt;&gt;"",NOT(AND(MOVIMIENTOS!$B273="PROCESO",MOVIMIENTOS!$C273&lt;&gt;"Chancho")),NOT(AND(MOVIMIENTOS!$B273="SALDO INICIAL",MOVIMIENTOS!$C273="Chancho"))),OR(MOVIMIENTOS!$B273="ENVÍO A SUPESA",MOVIMIENTOS!$B273="MALOGRADO",MOVIMIENTOS!$B273="OTRA SALIDA",MOVIMIENTOS!$B273="TRASIEGO",AND(MOVIMIENTOS!$B273="PROCESO",MOVIMIENTOS!$C273="Chancho"),AND(MOVIMIENTOS!$B273="REGALO",MOVIMIENTOS!$C273&lt;&gt;"Chancho"),AND(MOVIMIENTOS!$B273="VENTA",MOVIMIENTOS!$C273&lt;&gt;"Chancho"),AND(MOVIMIENTOS!$B273="AJUSTE",MOVIMIENTOS!$C273&lt;&gt;"Chancho",N(MOVIMIENTOS!$F273)&lt;0))),IF(MOVIMIENTOS!$B273="AJUSTE",-N(MOVIMIENTOS!$F273),N(MOVIMIENTOS!$F273)),"")</f>
        <v/>
      </c>
      <c r="O274" t="str">
        <f>IF(AND(MOVIMIENTOS!$B273&lt;&gt;"",NOT(AND(MOVIMIENTOS!$B273="PROCESO",MOVIMIENTOS!$C273&lt;&gt;"Chancho")),NOT(AND(MOVIMIENTOS!$B273="SALDO INICIAL",MOVIMIENTOS!$C273="Chancho"))),TRIM(IF(MOVIMIENTOS!$G273&lt;&gt;"",IF(MOVIMIENTOS!$B273="ENVÍO A SUPESA","G-"&amp;MOVIMIENTOS!$G273,MOVIMIENTOS!$G273)&amp;"  ","")&amp;IF(N(MOVIMIENTOS!$E273)&gt;0,MOVIMIENTOS!$E273&amp;" "&amp;MOVIMIENTOS!$D273,"")),"")</f>
        <v/>
      </c>
      <c r="P274">
        <f t="shared" si="34"/>
        <v>6138.5</v>
      </c>
    </row>
    <row r="275" spans="1:16" x14ac:dyDescent="0.2">
      <c r="A275" s="7" t="str">
        <f t="shared" si="28"/>
        <v/>
      </c>
      <c r="B275" s="8" t="str">
        <f t="shared" si="29"/>
        <v/>
      </c>
      <c r="C275" s="9" t="str">
        <f t="shared" si="30"/>
        <v/>
      </c>
      <c r="D275" s="9" t="str">
        <f t="shared" si="31"/>
        <v/>
      </c>
      <c r="E275" s="8" t="str">
        <f t="shared" si="32"/>
        <v/>
      </c>
      <c r="F275" s="9" t="str">
        <f t="shared" si="33"/>
        <v/>
      </c>
      <c r="J275" t="str">
        <f>IF(AND(MOVIMIENTOS!$B274&lt;&gt;"",NOT(AND(MOVIMIENTOS!$B274="PROCESO",MOVIMIENTOS!$C274&lt;&gt;"Chancho")),NOT(AND(MOVIMIENTOS!$B274="SALDO INICIAL",MOVIMIENTOS!$C274="Chancho"))),COUNT(J$5:J274)+1,"")</f>
        <v/>
      </c>
      <c r="K275" t="str">
        <f>IF(AND(MOVIMIENTOS!$B274&lt;&gt;"",NOT(AND(MOVIMIENTOS!$B274="PROCESO",MOVIMIENTOS!$C274&lt;&gt;"Chancho")),NOT(AND(MOVIMIENTOS!$B274="SALDO INICIAL",MOVIMIENTOS!$C274="Chancho"))),MOVIMIENTOS!$A274,"")</f>
        <v/>
      </c>
      <c r="L275" t="str">
        <f>IF(AND(MOVIMIENTOS!$B274&lt;&gt;"",NOT(AND(MOVIMIENTOS!$B274="PROCESO",MOVIMIENTOS!$C274&lt;&gt;"Chancho")),NOT(AND(MOVIMIENTOS!$B274="SALDO INICIAL",MOVIMIENTOS!$C274="Chancho"))),IF(MOVIMIENTOS!$B274="SALDO INICIAL","APERTURA ("&amp;MOVIMIENTOS!$C274&amp;")",IF(MOVIMIENTOS!$B274="COMPRA","INGRESO (compra)",IF(MOVIMIENTOS!$B274="PROCESO","CHANCHO (proceso)",IF(MOVIMIENTOS!$B274="ENVÍO A SUPESA","ENVÍO SUPESA cal. "&amp;MOVIMIENTOS!$C274,IF(MOVIMIENTOS!$B274="VENTA CHANCHO","VENTA CHANCHO",IF(MOVIMIENTOS!$B274="DEVOLUCIÓN","DEVOLUCIÓN cal. "&amp;MOVIMIENTOS!$C274,IF(MOVIMIENTOS!$B274="TRASIEGO","TRASIEGO cal. "&amp;MOVIMIENTOS!$C274,IF(MOVIMIENTOS!$B274="REGALO","REGALO "&amp;MOVIMIENTOS!$C274,IF(MOVIMIENTOS!$B274="VENTA","VENTA "&amp;MOVIMIENTOS!$C274,IF(MOVIMIENTOS!$B274="AJUSTE","AJUSTE inventario ("&amp;MOVIMIENTOS!$C274&amp;")",MOVIMIENTOS!$B274)))))))))),"")</f>
        <v/>
      </c>
      <c r="M275" t="str">
        <f>IF(AND(AND(MOVIMIENTOS!$B274&lt;&gt;"",NOT(AND(MOVIMIENTOS!$B274="PROCESO",MOVIMIENTOS!$C274&lt;&gt;"Chancho")),NOT(AND(MOVIMIENTOS!$B274="SALDO INICIAL",MOVIMIENTOS!$C274="Chancho"))),OR(MOVIMIENTOS!$B274="SALDO INICIAL",MOVIMIENTOS!$B274="COMPRA",MOVIMIENTOS!$B274="REPROCESO",AND(MOVIMIENTOS!$B274="AJUSTE",MOVIMIENTOS!$C274&lt;&gt;"Chancho",N(MOVIMIENTOS!$F274)&gt;=0))),N(MOVIMIENTOS!$F274),"")</f>
        <v/>
      </c>
      <c r="N275" t="str">
        <f>IF(AND(AND(MOVIMIENTOS!$B274&lt;&gt;"",NOT(AND(MOVIMIENTOS!$B274="PROCESO",MOVIMIENTOS!$C274&lt;&gt;"Chancho")),NOT(AND(MOVIMIENTOS!$B274="SALDO INICIAL",MOVIMIENTOS!$C274="Chancho"))),OR(MOVIMIENTOS!$B274="ENVÍO A SUPESA",MOVIMIENTOS!$B274="MALOGRADO",MOVIMIENTOS!$B274="OTRA SALIDA",MOVIMIENTOS!$B274="TRASIEGO",AND(MOVIMIENTOS!$B274="PROCESO",MOVIMIENTOS!$C274="Chancho"),AND(MOVIMIENTOS!$B274="REGALO",MOVIMIENTOS!$C274&lt;&gt;"Chancho"),AND(MOVIMIENTOS!$B274="VENTA",MOVIMIENTOS!$C274&lt;&gt;"Chancho"),AND(MOVIMIENTOS!$B274="AJUSTE",MOVIMIENTOS!$C274&lt;&gt;"Chancho",N(MOVIMIENTOS!$F274)&lt;0))),IF(MOVIMIENTOS!$B274="AJUSTE",-N(MOVIMIENTOS!$F274),N(MOVIMIENTOS!$F274)),"")</f>
        <v/>
      </c>
      <c r="O275" t="str">
        <f>IF(AND(MOVIMIENTOS!$B274&lt;&gt;"",NOT(AND(MOVIMIENTOS!$B274="PROCESO",MOVIMIENTOS!$C274&lt;&gt;"Chancho")),NOT(AND(MOVIMIENTOS!$B274="SALDO INICIAL",MOVIMIENTOS!$C274="Chancho"))),TRIM(IF(MOVIMIENTOS!$G274&lt;&gt;"",IF(MOVIMIENTOS!$B274="ENVÍO A SUPESA","G-"&amp;MOVIMIENTOS!$G274,MOVIMIENTOS!$G274)&amp;"  ","")&amp;IF(N(MOVIMIENTOS!$E274)&gt;0,MOVIMIENTOS!$E274&amp;" "&amp;MOVIMIENTOS!$D274,"")),"")</f>
        <v/>
      </c>
      <c r="P275">
        <f t="shared" si="34"/>
        <v>6138.5</v>
      </c>
    </row>
    <row r="276" spans="1:16" x14ac:dyDescent="0.2">
      <c r="A276" s="7" t="str">
        <f t="shared" si="28"/>
        <v/>
      </c>
      <c r="B276" s="8" t="str">
        <f t="shared" si="29"/>
        <v/>
      </c>
      <c r="C276" s="9" t="str">
        <f t="shared" si="30"/>
        <v/>
      </c>
      <c r="D276" s="9" t="str">
        <f t="shared" si="31"/>
        <v/>
      </c>
      <c r="E276" s="8" t="str">
        <f t="shared" si="32"/>
        <v/>
      </c>
      <c r="F276" s="9" t="str">
        <f t="shared" si="33"/>
        <v/>
      </c>
      <c r="J276" t="str">
        <f>IF(AND(MOVIMIENTOS!$B275&lt;&gt;"",NOT(AND(MOVIMIENTOS!$B275="PROCESO",MOVIMIENTOS!$C275&lt;&gt;"Chancho")),NOT(AND(MOVIMIENTOS!$B275="SALDO INICIAL",MOVIMIENTOS!$C275="Chancho"))),COUNT(J$5:J275)+1,"")</f>
        <v/>
      </c>
      <c r="K276" t="str">
        <f>IF(AND(MOVIMIENTOS!$B275&lt;&gt;"",NOT(AND(MOVIMIENTOS!$B275="PROCESO",MOVIMIENTOS!$C275&lt;&gt;"Chancho")),NOT(AND(MOVIMIENTOS!$B275="SALDO INICIAL",MOVIMIENTOS!$C275="Chancho"))),MOVIMIENTOS!$A275,"")</f>
        <v/>
      </c>
      <c r="L276" t="str">
        <f>IF(AND(MOVIMIENTOS!$B275&lt;&gt;"",NOT(AND(MOVIMIENTOS!$B275="PROCESO",MOVIMIENTOS!$C275&lt;&gt;"Chancho")),NOT(AND(MOVIMIENTOS!$B275="SALDO INICIAL",MOVIMIENTOS!$C275="Chancho"))),IF(MOVIMIENTOS!$B275="SALDO INICIAL","APERTURA ("&amp;MOVIMIENTOS!$C275&amp;")",IF(MOVIMIENTOS!$B275="COMPRA","INGRESO (compra)",IF(MOVIMIENTOS!$B275="PROCESO","CHANCHO (proceso)",IF(MOVIMIENTOS!$B275="ENVÍO A SUPESA","ENVÍO SUPESA cal. "&amp;MOVIMIENTOS!$C275,IF(MOVIMIENTOS!$B275="VENTA CHANCHO","VENTA CHANCHO",IF(MOVIMIENTOS!$B275="DEVOLUCIÓN","DEVOLUCIÓN cal. "&amp;MOVIMIENTOS!$C275,IF(MOVIMIENTOS!$B275="TRASIEGO","TRASIEGO cal. "&amp;MOVIMIENTOS!$C275,IF(MOVIMIENTOS!$B275="REGALO","REGALO "&amp;MOVIMIENTOS!$C275,IF(MOVIMIENTOS!$B275="VENTA","VENTA "&amp;MOVIMIENTOS!$C275,IF(MOVIMIENTOS!$B275="AJUSTE","AJUSTE inventario ("&amp;MOVIMIENTOS!$C275&amp;")",MOVIMIENTOS!$B275)))))))))),"")</f>
        <v/>
      </c>
      <c r="M276" t="str">
        <f>IF(AND(AND(MOVIMIENTOS!$B275&lt;&gt;"",NOT(AND(MOVIMIENTOS!$B275="PROCESO",MOVIMIENTOS!$C275&lt;&gt;"Chancho")),NOT(AND(MOVIMIENTOS!$B275="SALDO INICIAL",MOVIMIENTOS!$C275="Chancho"))),OR(MOVIMIENTOS!$B275="SALDO INICIAL",MOVIMIENTOS!$B275="COMPRA",MOVIMIENTOS!$B275="REPROCESO",AND(MOVIMIENTOS!$B275="AJUSTE",MOVIMIENTOS!$C275&lt;&gt;"Chancho",N(MOVIMIENTOS!$F275)&gt;=0))),N(MOVIMIENTOS!$F275),"")</f>
        <v/>
      </c>
      <c r="N276" t="str">
        <f>IF(AND(AND(MOVIMIENTOS!$B275&lt;&gt;"",NOT(AND(MOVIMIENTOS!$B275="PROCESO",MOVIMIENTOS!$C275&lt;&gt;"Chancho")),NOT(AND(MOVIMIENTOS!$B275="SALDO INICIAL",MOVIMIENTOS!$C275="Chancho"))),OR(MOVIMIENTOS!$B275="ENVÍO A SUPESA",MOVIMIENTOS!$B275="MALOGRADO",MOVIMIENTOS!$B275="OTRA SALIDA",MOVIMIENTOS!$B275="TRASIEGO",AND(MOVIMIENTOS!$B275="PROCESO",MOVIMIENTOS!$C275="Chancho"),AND(MOVIMIENTOS!$B275="REGALO",MOVIMIENTOS!$C275&lt;&gt;"Chancho"),AND(MOVIMIENTOS!$B275="VENTA",MOVIMIENTOS!$C275&lt;&gt;"Chancho"),AND(MOVIMIENTOS!$B275="AJUSTE",MOVIMIENTOS!$C275&lt;&gt;"Chancho",N(MOVIMIENTOS!$F275)&lt;0))),IF(MOVIMIENTOS!$B275="AJUSTE",-N(MOVIMIENTOS!$F275),N(MOVIMIENTOS!$F275)),"")</f>
        <v/>
      </c>
      <c r="O276" t="str">
        <f>IF(AND(MOVIMIENTOS!$B275&lt;&gt;"",NOT(AND(MOVIMIENTOS!$B275="PROCESO",MOVIMIENTOS!$C275&lt;&gt;"Chancho")),NOT(AND(MOVIMIENTOS!$B275="SALDO INICIAL",MOVIMIENTOS!$C275="Chancho"))),TRIM(IF(MOVIMIENTOS!$G275&lt;&gt;"",IF(MOVIMIENTOS!$B275="ENVÍO A SUPESA","G-"&amp;MOVIMIENTOS!$G275,MOVIMIENTOS!$G275)&amp;"  ","")&amp;IF(N(MOVIMIENTOS!$E275)&gt;0,MOVIMIENTOS!$E275&amp;" "&amp;MOVIMIENTOS!$D275,"")),"")</f>
        <v/>
      </c>
      <c r="P276">
        <f t="shared" si="34"/>
        <v>6138.5</v>
      </c>
    </row>
    <row r="277" spans="1:16" x14ac:dyDescent="0.2">
      <c r="A277" s="7" t="str">
        <f t="shared" si="28"/>
        <v/>
      </c>
      <c r="B277" s="8" t="str">
        <f t="shared" si="29"/>
        <v/>
      </c>
      <c r="C277" s="9" t="str">
        <f t="shared" si="30"/>
        <v/>
      </c>
      <c r="D277" s="9" t="str">
        <f t="shared" si="31"/>
        <v/>
      </c>
      <c r="E277" s="8" t="str">
        <f t="shared" si="32"/>
        <v/>
      </c>
      <c r="F277" s="9" t="str">
        <f t="shared" si="33"/>
        <v/>
      </c>
      <c r="J277" t="str">
        <f>IF(AND(MOVIMIENTOS!$B276&lt;&gt;"",NOT(AND(MOVIMIENTOS!$B276="PROCESO",MOVIMIENTOS!$C276&lt;&gt;"Chancho")),NOT(AND(MOVIMIENTOS!$B276="SALDO INICIAL",MOVIMIENTOS!$C276="Chancho"))),COUNT(J$5:J276)+1,"")</f>
        <v/>
      </c>
      <c r="K277" t="str">
        <f>IF(AND(MOVIMIENTOS!$B276&lt;&gt;"",NOT(AND(MOVIMIENTOS!$B276="PROCESO",MOVIMIENTOS!$C276&lt;&gt;"Chancho")),NOT(AND(MOVIMIENTOS!$B276="SALDO INICIAL",MOVIMIENTOS!$C276="Chancho"))),MOVIMIENTOS!$A276,"")</f>
        <v/>
      </c>
      <c r="L277" t="str">
        <f>IF(AND(MOVIMIENTOS!$B276&lt;&gt;"",NOT(AND(MOVIMIENTOS!$B276="PROCESO",MOVIMIENTOS!$C276&lt;&gt;"Chancho")),NOT(AND(MOVIMIENTOS!$B276="SALDO INICIAL",MOVIMIENTOS!$C276="Chancho"))),IF(MOVIMIENTOS!$B276="SALDO INICIAL","APERTURA ("&amp;MOVIMIENTOS!$C276&amp;")",IF(MOVIMIENTOS!$B276="COMPRA","INGRESO (compra)",IF(MOVIMIENTOS!$B276="PROCESO","CHANCHO (proceso)",IF(MOVIMIENTOS!$B276="ENVÍO A SUPESA","ENVÍO SUPESA cal. "&amp;MOVIMIENTOS!$C276,IF(MOVIMIENTOS!$B276="VENTA CHANCHO","VENTA CHANCHO",IF(MOVIMIENTOS!$B276="DEVOLUCIÓN","DEVOLUCIÓN cal. "&amp;MOVIMIENTOS!$C276,IF(MOVIMIENTOS!$B276="TRASIEGO","TRASIEGO cal. "&amp;MOVIMIENTOS!$C276,IF(MOVIMIENTOS!$B276="REGALO","REGALO "&amp;MOVIMIENTOS!$C276,IF(MOVIMIENTOS!$B276="VENTA","VENTA "&amp;MOVIMIENTOS!$C276,IF(MOVIMIENTOS!$B276="AJUSTE","AJUSTE inventario ("&amp;MOVIMIENTOS!$C276&amp;")",MOVIMIENTOS!$B276)))))))))),"")</f>
        <v/>
      </c>
      <c r="M277" t="str">
        <f>IF(AND(AND(MOVIMIENTOS!$B276&lt;&gt;"",NOT(AND(MOVIMIENTOS!$B276="PROCESO",MOVIMIENTOS!$C276&lt;&gt;"Chancho")),NOT(AND(MOVIMIENTOS!$B276="SALDO INICIAL",MOVIMIENTOS!$C276="Chancho"))),OR(MOVIMIENTOS!$B276="SALDO INICIAL",MOVIMIENTOS!$B276="COMPRA",MOVIMIENTOS!$B276="REPROCESO",AND(MOVIMIENTOS!$B276="AJUSTE",MOVIMIENTOS!$C276&lt;&gt;"Chancho",N(MOVIMIENTOS!$F276)&gt;=0))),N(MOVIMIENTOS!$F276),"")</f>
        <v/>
      </c>
      <c r="N277" t="str">
        <f>IF(AND(AND(MOVIMIENTOS!$B276&lt;&gt;"",NOT(AND(MOVIMIENTOS!$B276="PROCESO",MOVIMIENTOS!$C276&lt;&gt;"Chancho")),NOT(AND(MOVIMIENTOS!$B276="SALDO INICIAL",MOVIMIENTOS!$C276="Chancho"))),OR(MOVIMIENTOS!$B276="ENVÍO A SUPESA",MOVIMIENTOS!$B276="MALOGRADO",MOVIMIENTOS!$B276="OTRA SALIDA",MOVIMIENTOS!$B276="TRASIEGO",AND(MOVIMIENTOS!$B276="PROCESO",MOVIMIENTOS!$C276="Chancho"),AND(MOVIMIENTOS!$B276="REGALO",MOVIMIENTOS!$C276&lt;&gt;"Chancho"),AND(MOVIMIENTOS!$B276="VENTA",MOVIMIENTOS!$C276&lt;&gt;"Chancho"),AND(MOVIMIENTOS!$B276="AJUSTE",MOVIMIENTOS!$C276&lt;&gt;"Chancho",N(MOVIMIENTOS!$F276)&lt;0))),IF(MOVIMIENTOS!$B276="AJUSTE",-N(MOVIMIENTOS!$F276),N(MOVIMIENTOS!$F276)),"")</f>
        <v/>
      </c>
      <c r="O277" t="str">
        <f>IF(AND(MOVIMIENTOS!$B276&lt;&gt;"",NOT(AND(MOVIMIENTOS!$B276="PROCESO",MOVIMIENTOS!$C276&lt;&gt;"Chancho")),NOT(AND(MOVIMIENTOS!$B276="SALDO INICIAL",MOVIMIENTOS!$C276="Chancho"))),TRIM(IF(MOVIMIENTOS!$G276&lt;&gt;"",IF(MOVIMIENTOS!$B276="ENVÍO A SUPESA","G-"&amp;MOVIMIENTOS!$G276,MOVIMIENTOS!$G276)&amp;"  ","")&amp;IF(N(MOVIMIENTOS!$E276)&gt;0,MOVIMIENTOS!$E276&amp;" "&amp;MOVIMIENTOS!$D276,"")),"")</f>
        <v/>
      </c>
      <c r="P277">
        <f t="shared" si="34"/>
        <v>6138.5</v>
      </c>
    </row>
    <row r="278" spans="1:16" x14ac:dyDescent="0.2">
      <c r="A278" s="7" t="str">
        <f t="shared" si="28"/>
        <v/>
      </c>
      <c r="B278" s="8" t="str">
        <f t="shared" si="29"/>
        <v/>
      </c>
      <c r="C278" s="9" t="str">
        <f t="shared" si="30"/>
        <v/>
      </c>
      <c r="D278" s="9" t="str">
        <f t="shared" si="31"/>
        <v/>
      </c>
      <c r="E278" s="8" t="str">
        <f t="shared" si="32"/>
        <v/>
      </c>
      <c r="F278" s="9" t="str">
        <f t="shared" si="33"/>
        <v/>
      </c>
      <c r="J278" t="str">
        <f>IF(AND(MOVIMIENTOS!$B277&lt;&gt;"",NOT(AND(MOVIMIENTOS!$B277="PROCESO",MOVIMIENTOS!$C277&lt;&gt;"Chancho")),NOT(AND(MOVIMIENTOS!$B277="SALDO INICIAL",MOVIMIENTOS!$C277="Chancho"))),COUNT(J$5:J277)+1,"")</f>
        <v/>
      </c>
      <c r="K278" t="str">
        <f>IF(AND(MOVIMIENTOS!$B277&lt;&gt;"",NOT(AND(MOVIMIENTOS!$B277="PROCESO",MOVIMIENTOS!$C277&lt;&gt;"Chancho")),NOT(AND(MOVIMIENTOS!$B277="SALDO INICIAL",MOVIMIENTOS!$C277="Chancho"))),MOVIMIENTOS!$A277,"")</f>
        <v/>
      </c>
      <c r="L278" t="str">
        <f>IF(AND(MOVIMIENTOS!$B277&lt;&gt;"",NOT(AND(MOVIMIENTOS!$B277="PROCESO",MOVIMIENTOS!$C277&lt;&gt;"Chancho")),NOT(AND(MOVIMIENTOS!$B277="SALDO INICIAL",MOVIMIENTOS!$C277="Chancho"))),IF(MOVIMIENTOS!$B277="SALDO INICIAL","APERTURA ("&amp;MOVIMIENTOS!$C277&amp;")",IF(MOVIMIENTOS!$B277="COMPRA","INGRESO (compra)",IF(MOVIMIENTOS!$B277="PROCESO","CHANCHO (proceso)",IF(MOVIMIENTOS!$B277="ENVÍO A SUPESA","ENVÍO SUPESA cal. "&amp;MOVIMIENTOS!$C277,IF(MOVIMIENTOS!$B277="VENTA CHANCHO","VENTA CHANCHO",IF(MOVIMIENTOS!$B277="DEVOLUCIÓN","DEVOLUCIÓN cal. "&amp;MOVIMIENTOS!$C277,IF(MOVIMIENTOS!$B277="TRASIEGO","TRASIEGO cal. "&amp;MOVIMIENTOS!$C277,IF(MOVIMIENTOS!$B277="REGALO","REGALO "&amp;MOVIMIENTOS!$C277,IF(MOVIMIENTOS!$B277="VENTA","VENTA "&amp;MOVIMIENTOS!$C277,IF(MOVIMIENTOS!$B277="AJUSTE","AJUSTE inventario ("&amp;MOVIMIENTOS!$C277&amp;")",MOVIMIENTOS!$B277)))))))))),"")</f>
        <v/>
      </c>
      <c r="M278" t="str">
        <f>IF(AND(AND(MOVIMIENTOS!$B277&lt;&gt;"",NOT(AND(MOVIMIENTOS!$B277="PROCESO",MOVIMIENTOS!$C277&lt;&gt;"Chancho")),NOT(AND(MOVIMIENTOS!$B277="SALDO INICIAL",MOVIMIENTOS!$C277="Chancho"))),OR(MOVIMIENTOS!$B277="SALDO INICIAL",MOVIMIENTOS!$B277="COMPRA",MOVIMIENTOS!$B277="REPROCESO",AND(MOVIMIENTOS!$B277="AJUSTE",MOVIMIENTOS!$C277&lt;&gt;"Chancho",N(MOVIMIENTOS!$F277)&gt;=0))),N(MOVIMIENTOS!$F277),"")</f>
        <v/>
      </c>
      <c r="N278" t="str">
        <f>IF(AND(AND(MOVIMIENTOS!$B277&lt;&gt;"",NOT(AND(MOVIMIENTOS!$B277="PROCESO",MOVIMIENTOS!$C277&lt;&gt;"Chancho")),NOT(AND(MOVIMIENTOS!$B277="SALDO INICIAL",MOVIMIENTOS!$C277="Chancho"))),OR(MOVIMIENTOS!$B277="ENVÍO A SUPESA",MOVIMIENTOS!$B277="MALOGRADO",MOVIMIENTOS!$B277="OTRA SALIDA",MOVIMIENTOS!$B277="TRASIEGO",AND(MOVIMIENTOS!$B277="PROCESO",MOVIMIENTOS!$C277="Chancho"),AND(MOVIMIENTOS!$B277="REGALO",MOVIMIENTOS!$C277&lt;&gt;"Chancho"),AND(MOVIMIENTOS!$B277="VENTA",MOVIMIENTOS!$C277&lt;&gt;"Chancho"),AND(MOVIMIENTOS!$B277="AJUSTE",MOVIMIENTOS!$C277&lt;&gt;"Chancho",N(MOVIMIENTOS!$F277)&lt;0))),IF(MOVIMIENTOS!$B277="AJUSTE",-N(MOVIMIENTOS!$F277),N(MOVIMIENTOS!$F277)),"")</f>
        <v/>
      </c>
      <c r="O278" t="str">
        <f>IF(AND(MOVIMIENTOS!$B277&lt;&gt;"",NOT(AND(MOVIMIENTOS!$B277="PROCESO",MOVIMIENTOS!$C277&lt;&gt;"Chancho")),NOT(AND(MOVIMIENTOS!$B277="SALDO INICIAL",MOVIMIENTOS!$C277="Chancho"))),TRIM(IF(MOVIMIENTOS!$G277&lt;&gt;"",IF(MOVIMIENTOS!$B277="ENVÍO A SUPESA","G-"&amp;MOVIMIENTOS!$G277,MOVIMIENTOS!$G277)&amp;"  ","")&amp;IF(N(MOVIMIENTOS!$E277)&gt;0,MOVIMIENTOS!$E277&amp;" "&amp;MOVIMIENTOS!$D277,"")),"")</f>
        <v/>
      </c>
      <c r="P278">
        <f t="shared" si="34"/>
        <v>6138.5</v>
      </c>
    </row>
    <row r="279" spans="1:16" x14ac:dyDescent="0.2">
      <c r="A279" s="7" t="str">
        <f t="shared" si="28"/>
        <v/>
      </c>
      <c r="B279" s="8" t="str">
        <f t="shared" si="29"/>
        <v/>
      </c>
      <c r="C279" s="9" t="str">
        <f t="shared" si="30"/>
        <v/>
      </c>
      <c r="D279" s="9" t="str">
        <f t="shared" si="31"/>
        <v/>
      </c>
      <c r="E279" s="8" t="str">
        <f t="shared" si="32"/>
        <v/>
      </c>
      <c r="F279" s="9" t="str">
        <f t="shared" si="33"/>
        <v/>
      </c>
      <c r="J279" t="str">
        <f>IF(AND(MOVIMIENTOS!$B278&lt;&gt;"",NOT(AND(MOVIMIENTOS!$B278="PROCESO",MOVIMIENTOS!$C278&lt;&gt;"Chancho")),NOT(AND(MOVIMIENTOS!$B278="SALDO INICIAL",MOVIMIENTOS!$C278="Chancho"))),COUNT(J$5:J278)+1,"")</f>
        <v/>
      </c>
      <c r="K279" t="str">
        <f>IF(AND(MOVIMIENTOS!$B278&lt;&gt;"",NOT(AND(MOVIMIENTOS!$B278="PROCESO",MOVIMIENTOS!$C278&lt;&gt;"Chancho")),NOT(AND(MOVIMIENTOS!$B278="SALDO INICIAL",MOVIMIENTOS!$C278="Chancho"))),MOVIMIENTOS!$A278,"")</f>
        <v/>
      </c>
      <c r="L279" t="str">
        <f>IF(AND(MOVIMIENTOS!$B278&lt;&gt;"",NOT(AND(MOVIMIENTOS!$B278="PROCESO",MOVIMIENTOS!$C278&lt;&gt;"Chancho")),NOT(AND(MOVIMIENTOS!$B278="SALDO INICIAL",MOVIMIENTOS!$C278="Chancho"))),IF(MOVIMIENTOS!$B278="SALDO INICIAL","APERTURA ("&amp;MOVIMIENTOS!$C278&amp;")",IF(MOVIMIENTOS!$B278="COMPRA","INGRESO (compra)",IF(MOVIMIENTOS!$B278="PROCESO","CHANCHO (proceso)",IF(MOVIMIENTOS!$B278="ENVÍO A SUPESA","ENVÍO SUPESA cal. "&amp;MOVIMIENTOS!$C278,IF(MOVIMIENTOS!$B278="VENTA CHANCHO","VENTA CHANCHO",IF(MOVIMIENTOS!$B278="DEVOLUCIÓN","DEVOLUCIÓN cal. "&amp;MOVIMIENTOS!$C278,IF(MOVIMIENTOS!$B278="TRASIEGO","TRASIEGO cal. "&amp;MOVIMIENTOS!$C278,IF(MOVIMIENTOS!$B278="REGALO","REGALO "&amp;MOVIMIENTOS!$C278,IF(MOVIMIENTOS!$B278="VENTA","VENTA "&amp;MOVIMIENTOS!$C278,IF(MOVIMIENTOS!$B278="AJUSTE","AJUSTE inventario ("&amp;MOVIMIENTOS!$C278&amp;")",MOVIMIENTOS!$B278)))))))))),"")</f>
        <v/>
      </c>
      <c r="M279" t="str">
        <f>IF(AND(AND(MOVIMIENTOS!$B278&lt;&gt;"",NOT(AND(MOVIMIENTOS!$B278="PROCESO",MOVIMIENTOS!$C278&lt;&gt;"Chancho")),NOT(AND(MOVIMIENTOS!$B278="SALDO INICIAL",MOVIMIENTOS!$C278="Chancho"))),OR(MOVIMIENTOS!$B278="SALDO INICIAL",MOVIMIENTOS!$B278="COMPRA",MOVIMIENTOS!$B278="REPROCESO",AND(MOVIMIENTOS!$B278="AJUSTE",MOVIMIENTOS!$C278&lt;&gt;"Chancho",N(MOVIMIENTOS!$F278)&gt;=0))),N(MOVIMIENTOS!$F278),"")</f>
        <v/>
      </c>
      <c r="N279" t="str">
        <f>IF(AND(AND(MOVIMIENTOS!$B278&lt;&gt;"",NOT(AND(MOVIMIENTOS!$B278="PROCESO",MOVIMIENTOS!$C278&lt;&gt;"Chancho")),NOT(AND(MOVIMIENTOS!$B278="SALDO INICIAL",MOVIMIENTOS!$C278="Chancho"))),OR(MOVIMIENTOS!$B278="ENVÍO A SUPESA",MOVIMIENTOS!$B278="MALOGRADO",MOVIMIENTOS!$B278="OTRA SALIDA",MOVIMIENTOS!$B278="TRASIEGO",AND(MOVIMIENTOS!$B278="PROCESO",MOVIMIENTOS!$C278="Chancho"),AND(MOVIMIENTOS!$B278="REGALO",MOVIMIENTOS!$C278&lt;&gt;"Chancho"),AND(MOVIMIENTOS!$B278="VENTA",MOVIMIENTOS!$C278&lt;&gt;"Chancho"),AND(MOVIMIENTOS!$B278="AJUSTE",MOVIMIENTOS!$C278&lt;&gt;"Chancho",N(MOVIMIENTOS!$F278)&lt;0))),IF(MOVIMIENTOS!$B278="AJUSTE",-N(MOVIMIENTOS!$F278),N(MOVIMIENTOS!$F278)),"")</f>
        <v/>
      </c>
      <c r="O279" t="str">
        <f>IF(AND(MOVIMIENTOS!$B278&lt;&gt;"",NOT(AND(MOVIMIENTOS!$B278="PROCESO",MOVIMIENTOS!$C278&lt;&gt;"Chancho")),NOT(AND(MOVIMIENTOS!$B278="SALDO INICIAL",MOVIMIENTOS!$C278="Chancho"))),TRIM(IF(MOVIMIENTOS!$G278&lt;&gt;"",IF(MOVIMIENTOS!$B278="ENVÍO A SUPESA","G-"&amp;MOVIMIENTOS!$G278,MOVIMIENTOS!$G278)&amp;"  ","")&amp;IF(N(MOVIMIENTOS!$E278)&gt;0,MOVIMIENTOS!$E278&amp;" "&amp;MOVIMIENTOS!$D278,"")),"")</f>
        <v/>
      </c>
      <c r="P279">
        <f t="shared" si="34"/>
        <v>6138.5</v>
      </c>
    </row>
    <row r="280" spans="1:16" x14ac:dyDescent="0.2">
      <c r="A280" s="7" t="str">
        <f t="shared" si="28"/>
        <v/>
      </c>
      <c r="B280" s="8" t="str">
        <f t="shared" si="29"/>
        <v/>
      </c>
      <c r="C280" s="9" t="str">
        <f t="shared" si="30"/>
        <v/>
      </c>
      <c r="D280" s="9" t="str">
        <f t="shared" si="31"/>
        <v/>
      </c>
      <c r="E280" s="8" t="str">
        <f t="shared" si="32"/>
        <v/>
      </c>
      <c r="F280" s="9" t="str">
        <f t="shared" si="33"/>
        <v/>
      </c>
      <c r="J280" t="str">
        <f>IF(AND(MOVIMIENTOS!$B279&lt;&gt;"",NOT(AND(MOVIMIENTOS!$B279="PROCESO",MOVIMIENTOS!$C279&lt;&gt;"Chancho")),NOT(AND(MOVIMIENTOS!$B279="SALDO INICIAL",MOVIMIENTOS!$C279="Chancho"))),COUNT(J$5:J279)+1,"")</f>
        <v/>
      </c>
      <c r="K280" t="str">
        <f>IF(AND(MOVIMIENTOS!$B279&lt;&gt;"",NOT(AND(MOVIMIENTOS!$B279="PROCESO",MOVIMIENTOS!$C279&lt;&gt;"Chancho")),NOT(AND(MOVIMIENTOS!$B279="SALDO INICIAL",MOVIMIENTOS!$C279="Chancho"))),MOVIMIENTOS!$A279,"")</f>
        <v/>
      </c>
      <c r="L280" t="str">
        <f>IF(AND(MOVIMIENTOS!$B279&lt;&gt;"",NOT(AND(MOVIMIENTOS!$B279="PROCESO",MOVIMIENTOS!$C279&lt;&gt;"Chancho")),NOT(AND(MOVIMIENTOS!$B279="SALDO INICIAL",MOVIMIENTOS!$C279="Chancho"))),IF(MOVIMIENTOS!$B279="SALDO INICIAL","APERTURA ("&amp;MOVIMIENTOS!$C279&amp;")",IF(MOVIMIENTOS!$B279="COMPRA","INGRESO (compra)",IF(MOVIMIENTOS!$B279="PROCESO","CHANCHO (proceso)",IF(MOVIMIENTOS!$B279="ENVÍO A SUPESA","ENVÍO SUPESA cal. "&amp;MOVIMIENTOS!$C279,IF(MOVIMIENTOS!$B279="VENTA CHANCHO","VENTA CHANCHO",IF(MOVIMIENTOS!$B279="DEVOLUCIÓN","DEVOLUCIÓN cal. "&amp;MOVIMIENTOS!$C279,IF(MOVIMIENTOS!$B279="TRASIEGO","TRASIEGO cal. "&amp;MOVIMIENTOS!$C279,IF(MOVIMIENTOS!$B279="REGALO","REGALO "&amp;MOVIMIENTOS!$C279,IF(MOVIMIENTOS!$B279="VENTA","VENTA "&amp;MOVIMIENTOS!$C279,IF(MOVIMIENTOS!$B279="AJUSTE","AJUSTE inventario ("&amp;MOVIMIENTOS!$C279&amp;")",MOVIMIENTOS!$B279)))))))))),"")</f>
        <v/>
      </c>
      <c r="M280" t="str">
        <f>IF(AND(AND(MOVIMIENTOS!$B279&lt;&gt;"",NOT(AND(MOVIMIENTOS!$B279="PROCESO",MOVIMIENTOS!$C279&lt;&gt;"Chancho")),NOT(AND(MOVIMIENTOS!$B279="SALDO INICIAL",MOVIMIENTOS!$C279="Chancho"))),OR(MOVIMIENTOS!$B279="SALDO INICIAL",MOVIMIENTOS!$B279="COMPRA",MOVIMIENTOS!$B279="REPROCESO",AND(MOVIMIENTOS!$B279="AJUSTE",MOVIMIENTOS!$C279&lt;&gt;"Chancho",N(MOVIMIENTOS!$F279)&gt;=0))),N(MOVIMIENTOS!$F279),"")</f>
        <v/>
      </c>
      <c r="N280" t="str">
        <f>IF(AND(AND(MOVIMIENTOS!$B279&lt;&gt;"",NOT(AND(MOVIMIENTOS!$B279="PROCESO",MOVIMIENTOS!$C279&lt;&gt;"Chancho")),NOT(AND(MOVIMIENTOS!$B279="SALDO INICIAL",MOVIMIENTOS!$C279="Chancho"))),OR(MOVIMIENTOS!$B279="ENVÍO A SUPESA",MOVIMIENTOS!$B279="MALOGRADO",MOVIMIENTOS!$B279="OTRA SALIDA",MOVIMIENTOS!$B279="TRASIEGO",AND(MOVIMIENTOS!$B279="PROCESO",MOVIMIENTOS!$C279="Chancho"),AND(MOVIMIENTOS!$B279="REGALO",MOVIMIENTOS!$C279&lt;&gt;"Chancho"),AND(MOVIMIENTOS!$B279="VENTA",MOVIMIENTOS!$C279&lt;&gt;"Chancho"),AND(MOVIMIENTOS!$B279="AJUSTE",MOVIMIENTOS!$C279&lt;&gt;"Chancho",N(MOVIMIENTOS!$F279)&lt;0))),IF(MOVIMIENTOS!$B279="AJUSTE",-N(MOVIMIENTOS!$F279),N(MOVIMIENTOS!$F279)),"")</f>
        <v/>
      </c>
      <c r="O280" t="str">
        <f>IF(AND(MOVIMIENTOS!$B279&lt;&gt;"",NOT(AND(MOVIMIENTOS!$B279="PROCESO",MOVIMIENTOS!$C279&lt;&gt;"Chancho")),NOT(AND(MOVIMIENTOS!$B279="SALDO INICIAL",MOVIMIENTOS!$C279="Chancho"))),TRIM(IF(MOVIMIENTOS!$G279&lt;&gt;"",IF(MOVIMIENTOS!$B279="ENVÍO A SUPESA","G-"&amp;MOVIMIENTOS!$G279,MOVIMIENTOS!$G279)&amp;"  ","")&amp;IF(N(MOVIMIENTOS!$E279)&gt;0,MOVIMIENTOS!$E279&amp;" "&amp;MOVIMIENTOS!$D279,"")),"")</f>
        <v/>
      </c>
      <c r="P280">
        <f t="shared" si="34"/>
        <v>6138.5</v>
      </c>
    </row>
    <row r="281" spans="1:16" x14ac:dyDescent="0.2">
      <c r="A281" s="7" t="str">
        <f t="shared" si="28"/>
        <v/>
      </c>
      <c r="B281" s="8" t="str">
        <f t="shared" si="29"/>
        <v/>
      </c>
      <c r="C281" s="9" t="str">
        <f t="shared" si="30"/>
        <v/>
      </c>
      <c r="D281" s="9" t="str">
        <f t="shared" si="31"/>
        <v/>
      </c>
      <c r="E281" s="8" t="str">
        <f t="shared" si="32"/>
        <v/>
      </c>
      <c r="F281" s="9" t="str">
        <f t="shared" si="33"/>
        <v/>
      </c>
      <c r="J281" t="str">
        <f>IF(AND(MOVIMIENTOS!$B280&lt;&gt;"",NOT(AND(MOVIMIENTOS!$B280="PROCESO",MOVIMIENTOS!$C280&lt;&gt;"Chancho")),NOT(AND(MOVIMIENTOS!$B280="SALDO INICIAL",MOVIMIENTOS!$C280="Chancho"))),COUNT(J$5:J280)+1,"")</f>
        <v/>
      </c>
      <c r="K281" t="str">
        <f>IF(AND(MOVIMIENTOS!$B280&lt;&gt;"",NOT(AND(MOVIMIENTOS!$B280="PROCESO",MOVIMIENTOS!$C280&lt;&gt;"Chancho")),NOT(AND(MOVIMIENTOS!$B280="SALDO INICIAL",MOVIMIENTOS!$C280="Chancho"))),MOVIMIENTOS!$A280,"")</f>
        <v/>
      </c>
      <c r="L281" t="str">
        <f>IF(AND(MOVIMIENTOS!$B280&lt;&gt;"",NOT(AND(MOVIMIENTOS!$B280="PROCESO",MOVIMIENTOS!$C280&lt;&gt;"Chancho")),NOT(AND(MOVIMIENTOS!$B280="SALDO INICIAL",MOVIMIENTOS!$C280="Chancho"))),IF(MOVIMIENTOS!$B280="SALDO INICIAL","APERTURA ("&amp;MOVIMIENTOS!$C280&amp;")",IF(MOVIMIENTOS!$B280="COMPRA","INGRESO (compra)",IF(MOVIMIENTOS!$B280="PROCESO","CHANCHO (proceso)",IF(MOVIMIENTOS!$B280="ENVÍO A SUPESA","ENVÍO SUPESA cal. "&amp;MOVIMIENTOS!$C280,IF(MOVIMIENTOS!$B280="VENTA CHANCHO","VENTA CHANCHO",IF(MOVIMIENTOS!$B280="DEVOLUCIÓN","DEVOLUCIÓN cal. "&amp;MOVIMIENTOS!$C280,IF(MOVIMIENTOS!$B280="TRASIEGO","TRASIEGO cal. "&amp;MOVIMIENTOS!$C280,IF(MOVIMIENTOS!$B280="REGALO","REGALO "&amp;MOVIMIENTOS!$C280,IF(MOVIMIENTOS!$B280="VENTA","VENTA "&amp;MOVIMIENTOS!$C280,IF(MOVIMIENTOS!$B280="AJUSTE","AJUSTE inventario ("&amp;MOVIMIENTOS!$C280&amp;")",MOVIMIENTOS!$B280)))))))))),"")</f>
        <v/>
      </c>
      <c r="M281" t="str">
        <f>IF(AND(AND(MOVIMIENTOS!$B280&lt;&gt;"",NOT(AND(MOVIMIENTOS!$B280="PROCESO",MOVIMIENTOS!$C280&lt;&gt;"Chancho")),NOT(AND(MOVIMIENTOS!$B280="SALDO INICIAL",MOVIMIENTOS!$C280="Chancho"))),OR(MOVIMIENTOS!$B280="SALDO INICIAL",MOVIMIENTOS!$B280="COMPRA",MOVIMIENTOS!$B280="REPROCESO",AND(MOVIMIENTOS!$B280="AJUSTE",MOVIMIENTOS!$C280&lt;&gt;"Chancho",N(MOVIMIENTOS!$F280)&gt;=0))),N(MOVIMIENTOS!$F280),"")</f>
        <v/>
      </c>
      <c r="N281" t="str">
        <f>IF(AND(AND(MOVIMIENTOS!$B280&lt;&gt;"",NOT(AND(MOVIMIENTOS!$B280="PROCESO",MOVIMIENTOS!$C280&lt;&gt;"Chancho")),NOT(AND(MOVIMIENTOS!$B280="SALDO INICIAL",MOVIMIENTOS!$C280="Chancho"))),OR(MOVIMIENTOS!$B280="ENVÍO A SUPESA",MOVIMIENTOS!$B280="MALOGRADO",MOVIMIENTOS!$B280="OTRA SALIDA",MOVIMIENTOS!$B280="TRASIEGO",AND(MOVIMIENTOS!$B280="PROCESO",MOVIMIENTOS!$C280="Chancho"),AND(MOVIMIENTOS!$B280="REGALO",MOVIMIENTOS!$C280&lt;&gt;"Chancho"),AND(MOVIMIENTOS!$B280="VENTA",MOVIMIENTOS!$C280&lt;&gt;"Chancho"),AND(MOVIMIENTOS!$B280="AJUSTE",MOVIMIENTOS!$C280&lt;&gt;"Chancho",N(MOVIMIENTOS!$F280)&lt;0))),IF(MOVIMIENTOS!$B280="AJUSTE",-N(MOVIMIENTOS!$F280),N(MOVIMIENTOS!$F280)),"")</f>
        <v/>
      </c>
      <c r="O281" t="str">
        <f>IF(AND(MOVIMIENTOS!$B280&lt;&gt;"",NOT(AND(MOVIMIENTOS!$B280="PROCESO",MOVIMIENTOS!$C280&lt;&gt;"Chancho")),NOT(AND(MOVIMIENTOS!$B280="SALDO INICIAL",MOVIMIENTOS!$C280="Chancho"))),TRIM(IF(MOVIMIENTOS!$G280&lt;&gt;"",IF(MOVIMIENTOS!$B280="ENVÍO A SUPESA","G-"&amp;MOVIMIENTOS!$G280,MOVIMIENTOS!$G280)&amp;"  ","")&amp;IF(N(MOVIMIENTOS!$E280)&gt;0,MOVIMIENTOS!$E280&amp;" "&amp;MOVIMIENTOS!$D280,"")),"")</f>
        <v/>
      </c>
      <c r="P281">
        <f t="shared" si="34"/>
        <v>6138.5</v>
      </c>
    </row>
    <row r="282" spans="1:16" x14ac:dyDescent="0.2">
      <c r="A282" s="7" t="str">
        <f t="shared" si="28"/>
        <v/>
      </c>
      <c r="B282" s="8" t="str">
        <f t="shared" si="29"/>
        <v/>
      </c>
      <c r="C282" s="9" t="str">
        <f t="shared" si="30"/>
        <v/>
      </c>
      <c r="D282" s="9" t="str">
        <f t="shared" si="31"/>
        <v/>
      </c>
      <c r="E282" s="8" t="str">
        <f t="shared" si="32"/>
        <v/>
      </c>
      <c r="F282" s="9" t="str">
        <f t="shared" si="33"/>
        <v/>
      </c>
      <c r="J282" t="str">
        <f>IF(AND(MOVIMIENTOS!$B281&lt;&gt;"",NOT(AND(MOVIMIENTOS!$B281="PROCESO",MOVIMIENTOS!$C281&lt;&gt;"Chancho")),NOT(AND(MOVIMIENTOS!$B281="SALDO INICIAL",MOVIMIENTOS!$C281="Chancho"))),COUNT(J$5:J281)+1,"")</f>
        <v/>
      </c>
      <c r="K282" t="str">
        <f>IF(AND(MOVIMIENTOS!$B281&lt;&gt;"",NOT(AND(MOVIMIENTOS!$B281="PROCESO",MOVIMIENTOS!$C281&lt;&gt;"Chancho")),NOT(AND(MOVIMIENTOS!$B281="SALDO INICIAL",MOVIMIENTOS!$C281="Chancho"))),MOVIMIENTOS!$A281,"")</f>
        <v/>
      </c>
      <c r="L282" t="str">
        <f>IF(AND(MOVIMIENTOS!$B281&lt;&gt;"",NOT(AND(MOVIMIENTOS!$B281="PROCESO",MOVIMIENTOS!$C281&lt;&gt;"Chancho")),NOT(AND(MOVIMIENTOS!$B281="SALDO INICIAL",MOVIMIENTOS!$C281="Chancho"))),IF(MOVIMIENTOS!$B281="SALDO INICIAL","APERTURA ("&amp;MOVIMIENTOS!$C281&amp;")",IF(MOVIMIENTOS!$B281="COMPRA","INGRESO (compra)",IF(MOVIMIENTOS!$B281="PROCESO","CHANCHO (proceso)",IF(MOVIMIENTOS!$B281="ENVÍO A SUPESA","ENVÍO SUPESA cal. "&amp;MOVIMIENTOS!$C281,IF(MOVIMIENTOS!$B281="VENTA CHANCHO","VENTA CHANCHO",IF(MOVIMIENTOS!$B281="DEVOLUCIÓN","DEVOLUCIÓN cal. "&amp;MOVIMIENTOS!$C281,IF(MOVIMIENTOS!$B281="TRASIEGO","TRASIEGO cal. "&amp;MOVIMIENTOS!$C281,IF(MOVIMIENTOS!$B281="REGALO","REGALO "&amp;MOVIMIENTOS!$C281,IF(MOVIMIENTOS!$B281="VENTA","VENTA "&amp;MOVIMIENTOS!$C281,IF(MOVIMIENTOS!$B281="AJUSTE","AJUSTE inventario ("&amp;MOVIMIENTOS!$C281&amp;")",MOVIMIENTOS!$B281)))))))))),"")</f>
        <v/>
      </c>
      <c r="M282" t="str">
        <f>IF(AND(AND(MOVIMIENTOS!$B281&lt;&gt;"",NOT(AND(MOVIMIENTOS!$B281="PROCESO",MOVIMIENTOS!$C281&lt;&gt;"Chancho")),NOT(AND(MOVIMIENTOS!$B281="SALDO INICIAL",MOVIMIENTOS!$C281="Chancho"))),OR(MOVIMIENTOS!$B281="SALDO INICIAL",MOVIMIENTOS!$B281="COMPRA",MOVIMIENTOS!$B281="REPROCESO",AND(MOVIMIENTOS!$B281="AJUSTE",MOVIMIENTOS!$C281&lt;&gt;"Chancho",N(MOVIMIENTOS!$F281)&gt;=0))),N(MOVIMIENTOS!$F281),"")</f>
        <v/>
      </c>
      <c r="N282" t="str">
        <f>IF(AND(AND(MOVIMIENTOS!$B281&lt;&gt;"",NOT(AND(MOVIMIENTOS!$B281="PROCESO",MOVIMIENTOS!$C281&lt;&gt;"Chancho")),NOT(AND(MOVIMIENTOS!$B281="SALDO INICIAL",MOVIMIENTOS!$C281="Chancho"))),OR(MOVIMIENTOS!$B281="ENVÍO A SUPESA",MOVIMIENTOS!$B281="MALOGRADO",MOVIMIENTOS!$B281="OTRA SALIDA",MOVIMIENTOS!$B281="TRASIEGO",AND(MOVIMIENTOS!$B281="PROCESO",MOVIMIENTOS!$C281="Chancho"),AND(MOVIMIENTOS!$B281="REGALO",MOVIMIENTOS!$C281&lt;&gt;"Chancho"),AND(MOVIMIENTOS!$B281="VENTA",MOVIMIENTOS!$C281&lt;&gt;"Chancho"),AND(MOVIMIENTOS!$B281="AJUSTE",MOVIMIENTOS!$C281&lt;&gt;"Chancho",N(MOVIMIENTOS!$F281)&lt;0))),IF(MOVIMIENTOS!$B281="AJUSTE",-N(MOVIMIENTOS!$F281),N(MOVIMIENTOS!$F281)),"")</f>
        <v/>
      </c>
      <c r="O282" t="str">
        <f>IF(AND(MOVIMIENTOS!$B281&lt;&gt;"",NOT(AND(MOVIMIENTOS!$B281="PROCESO",MOVIMIENTOS!$C281&lt;&gt;"Chancho")),NOT(AND(MOVIMIENTOS!$B281="SALDO INICIAL",MOVIMIENTOS!$C281="Chancho"))),TRIM(IF(MOVIMIENTOS!$G281&lt;&gt;"",IF(MOVIMIENTOS!$B281="ENVÍO A SUPESA","G-"&amp;MOVIMIENTOS!$G281,MOVIMIENTOS!$G281)&amp;"  ","")&amp;IF(N(MOVIMIENTOS!$E281)&gt;0,MOVIMIENTOS!$E281&amp;" "&amp;MOVIMIENTOS!$D281,"")),"")</f>
        <v/>
      </c>
      <c r="P282">
        <f t="shared" si="34"/>
        <v>6138.5</v>
      </c>
    </row>
    <row r="283" spans="1:16" x14ac:dyDescent="0.2">
      <c r="A283" s="7" t="str">
        <f t="shared" si="28"/>
        <v/>
      </c>
      <c r="B283" s="8" t="str">
        <f t="shared" si="29"/>
        <v/>
      </c>
      <c r="C283" s="9" t="str">
        <f t="shared" si="30"/>
        <v/>
      </c>
      <c r="D283" s="9" t="str">
        <f t="shared" si="31"/>
        <v/>
      </c>
      <c r="E283" s="8" t="str">
        <f t="shared" si="32"/>
        <v/>
      </c>
      <c r="F283" s="9" t="str">
        <f t="shared" si="33"/>
        <v/>
      </c>
      <c r="J283" t="str">
        <f>IF(AND(MOVIMIENTOS!$B282&lt;&gt;"",NOT(AND(MOVIMIENTOS!$B282="PROCESO",MOVIMIENTOS!$C282&lt;&gt;"Chancho")),NOT(AND(MOVIMIENTOS!$B282="SALDO INICIAL",MOVIMIENTOS!$C282="Chancho"))),COUNT(J$5:J282)+1,"")</f>
        <v/>
      </c>
      <c r="K283" t="str">
        <f>IF(AND(MOVIMIENTOS!$B282&lt;&gt;"",NOT(AND(MOVIMIENTOS!$B282="PROCESO",MOVIMIENTOS!$C282&lt;&gt;"Chancho")),NOT(AND(MOVIMIENTOS!$B282="SALDO INICIAL",MOVIMIENTOS!$C282="Chancho"))),MOVIMIENTOS!$A282,"")</f>
        <v/>
      </c>
      <c r="L283" t="str">
        <f>IF(AND(MOVIMIENTOS!$B282&lt;&gt;"",NOT(AND(MOVIMIENTOS!$B282="PROCESO",MOVIMIENTOS!$C282&lt;&gt;"Chancho")),NOT(AND(MOVIMIENTOS!$B282="SALDO INICIAL",MOVIMIENTOS!$C282="Chancho"))),IF(MOVIMIENTOS!$B282="SALDO INICIAL","APERTURA ("&amp;MOVIMIENTOS!$C282&amp;")",IF(MOVIMIENTOS!$B282="COMPRA","INGRESO (compra)",IF(MOVIMIENTOS!$B282="PROCESO","CHANCHO (proceso)",IF(MOVIMIENTOS!$B282="ENVÍO A SUPESA","ENVÍO SUPESA cal. "&amp;MOVIMIENTOS!$C282,IF(MOVIMIENTOS!$B282="VENTA CHANCHO","VENTA CHANCHO",IF(MOVIMIENTOS!$B282="DEVOLUCIÓN","DEVOLUCIÓN cal. "&amp;MOVIMIENTOS!$C282,IF(MOVIMIENTOS!$B282="TRASIEGO","TRASIEGO cal. "&amp;MOVIMIENTOS!$C282,IF(MOVIMIENTOS!$B282="REGALO","REGALO "&amp;MOVIMIENTOS!$C282,IF(MOVIMIENTOS!$B282="VENTA","VENTA "&amp;MOVIMIENTOS!$C282,IF(MOVIMIENTOS!$B282="AJUSTE","AJUSTE inventario ("&amp;MOVIMIENTOS!$C282&amp;")",MOVIMIENTOS!$B282)))))))))),"")</f>
        <v/>
      </c>
      <c r="M283" t="str">
        <f>IF(AND(AND(MOVIMIENTOS!$B282&lt;&gt;"",NOT(AND(MOVIMIENTOS!$B282="PROCESO",MOVIMIENTOS!$C282&lt;&gt;"Chancho")),NOT(AND(MOVIMIENTOS!$B282="SALDO INICIAL",MOVIMIENTOS!$C282="Chancho"))),OR(MOVIMIENTOS!$B282="SALDO INICIAL",MOVIMIENTOS!$B282="COMPRA",MOVIMIENTOS!$B282="REPROCESO",AND(MOVIMIENTOS!$B282="AJUSTE",MOVIMIENTOS!$C282&lt;&gt;"Chancho",N(MOVIMIENTOS!$F282)&gt;=0))),N(MOVIMIENTOS!$F282),"")</f>
        <v/>
      </c>
      <c r="N283" t="str">
        <f>IF(AND(AND(MOVIMIENTOS!$B282&lt;&gt;"",NOT(AND(MOVIMIENTOS!$B282="PROCESO",MOVIMIENTOS!$C282&lt;&gt;"Chancho")),NOT(AND(MOVIMIENTOS!$B282="SALDO INICIAL",MOVIMIENTOS!$C282="Chancho"))),OR(MOVIMIENTOS!$B282="ENVÍO A SUPESA",MOVIMIENTOS!$B282="MALOGRADO",MOVIMIENTOS!$B282="OTRA SALIDA",MOVIMIENTOS!$B282="TRASIEGO",AND(MOVIMIENTOS!$B282="PROCESO",MOVIMIENTOS!$C282="Chancho"),AND(MOVIMIENTOS!$B282="REGALO",MOVIMIENTOS!$C282&lt;&gt;"Chancho"),AND(MOVIMIENTOS!$B282="VENTA",MOVIMIENTOS!$C282&lt;&gt;"Chancho"),AND(MOVIMIENTOS!$B282="AJUSTE",MOVIMIENTOS!$C282&lt;&gt;"Chancho",N(MOVIMIENTOS!$F282)&lt;0))),IF(MOVIMIENTOS!$B282="AJUSTE",-N(MOVIMIENTOS!$F282),N(MOVIMIENTOS!$F282)),"")</f>
        <v/>
      </c>
      <c r="O283" t="str">
        <f>IF(AND(MOVIMIENTOS!$B282&lt;&gt;"",NOT(AND(MOVIMIENTOS!$B282="PROCESO",MOVIMIENTOS!$C282&lt;&gt;"Chancho")),NOT(AND(MOVIMIENTOS!$B282="SALDO INICIAL",MOVIMIENTOS!$C282="Chancho"))),TRIM(IF(MOVIMIENTOS!$G282&lt;&gt;"",IF(MOVIMIENTOS!$B282="ENVÍO A SUPESA","G-"&amp;MOVIMIENTOS!$G282,MOVIMIENTOS!$G282)&amp;"  ","")&amp;IF(N(MOVIMIENTOS!$E282)&gt;0,MOVIMIENTOS!$E282&amp;" "&amp;MOVIMIENTOS!$D282,"")),"")</f>
        <v/>
      </c>
      <c r="P283">
        <f t="shared" si="34"/>
        <v>6138.5</v>
      </c>
    </row>
    <row r="284" spans="1:16" x14ac:dyDescent="0.2">
      <c r="A284" s="7" t="str">
        <f t="shared" si="28"/>
        <v/>
      </c>
      <c r="B284" s="8" t="str">
        <f t="shared" si="29"/>
        <v/>
      </c>
      <c r="C284" s="9" t="str">
        <f t="shared" si="30"/>
        <v/>
      </c>
      <c r="D284" s="9" t="str">
        <f t="shared" si="31"/>
        <v/>
      </c>
      <c r="E284" s="8" t="str">
        <f t="shared" si="32"/>
        <v/>
      </c>
      <c r="F284" s="9" t="str">
        <f t="shared" si="33"/>
        <v/>
      </c>
      <c r="J284" t="str">
        <f>IF(AND(MOVIMIENTOS!$B283&lt;&gt;"",NOT(AND(MOVIMIENTOS!$B283="PROCESO",MOVIMIENTOS!$C283&lt;&gt;"Chancho")),NOT(AND(MOVIMIENTOS!$B283="SALDO INICIAL",MOVIMIENTOS!$C283="Chancho"))),COUNT(J$5:J283)+1,"")</f>
        <v/>
      </c>
      <c r="K284" t="str">
        <f>IF(AND(MOVIMIENTOS!$B283&lt;&gt;"",NOT(AND(MOVIMIENTOS!$B283="PROCESO",MOVIMIENTOS!$C283&lt;&gt;"Chancho")),NOT(AND(MOVIMIENTOS!$B283="SALDO INICIAL",MOVIMIENTOS!$C283="Chancho"))),MOVIMIENTOS!$A283,"")</f>
        <v/>
      </c>
      <c r="L284" t="str">
        <f>IF(AND(MOVIMIENTOS!$B283&lt;&gt;"",NOT(AND(MOVIMIENTOS!$B283="PROCESO",MOVIMIENTOS!$C283&lt;&gt;"Chancho")),NOT(AND(MOVIMIENTOS!$B283="SALDO INICIAL",MOVIMIENTOS!$C283="Chancho"))),IF(MOVIMIENTOS!$B283="SALDO INICIAL","APERTURA ("&amp;MOVIMIENTOS!$C283&amp;")",IF(MOVIMIENTOS!$B283="COMPRA","INGRESO (compra)",IF(MOVIMIENTOS!$B283="PROCESO","CHANCHO (proceso)",IF(MOVIMIENTOS!$B283="ENVÍO A SUPESA","ENVÍO SUPESA cal. "&amp;MOVIMIENTOS!$C283,IF(MOVIMIENTOS!$B283="VENTA CHANCHO","VENTA CHANCHO",IF(MOVIMIENTOS!$B283="DEVOLUCIÓN","DEVOLUCIÓN cal. "&amp;MOVIMIENTOS!$C283,IF(MOVIMIENTOS!$B283="TRASIEGO","TRASIEGO cal. "&amp;MOVIMIENTOS!$C283,IF(MOVIMIENTOS!$B283="REGALO","REGALO "&amp;MOVIMIENTOS!$C283,IF(MOVIMIENTOS!$B283="VENTA","VENTA "&amp;MOVIMIENTOS!$C283,IF(MOVIMIENTOS!$B283="AJUSTE","AJUSTE inventario ("&amp;MOVIMIENTOS!$C283&amp;")",MOVIMIENTOS!$B283)))))))))),"")</f>
        <v/>
      </c>
      <c r="M284" t="str">
        <f>IF(AND(AND(MOVIMIENTOS!$B283&lt;&gt;"",NOT(AND(MOVIMIENTOS!$B283="PROCESO",MOVIMIENTOS!$C283&lt;&gt;"Chancho")),NOT(AND(MOVIMIENTOS!$B283="SALDO INICIAL",MOVIMIENTOS!$C283="Chancho"))),OR(MOVIMIENTOS!$B283="SALDO INICIAL",MOVIMIENTOS!$B283="COMPRA",MOVIMIENTOS!$B283="REPROCESO",AND(MOVIMIENTOS!$B283="AJUSTE",MOVIMIENTOS!$C283&lt;&gt;"Chancho",N(MOVIMIENTOS!$F283)&gt;=0))),N(MOVIMIENTOS!$F283),"")</f>
        <v/>
      </c>
      <c r="N284" t="str">
        <f>IF(AND(AND(MOVIMIENTOS!$B283&lt;&gt;"",NOT(AND(MOVIMIENTOS!$B283="PROCESO",MOVIMIENTOS!$C283&lt;&gt;"Chancho")),NOT(AND(MOVIMIENTOS!$B283="SALDO INICIAL",MOVIMIENTOS!$C283="Chancho"))),OR(MOVIMIENTOS!$B283="ENVÍO A SUPESA",MOVIMIENTOS!$B283="MALOGRADO",MOVIMIENTOS!$B283="OTRA SALIDA",MOVIMIENTOS!$B283="TRASIEGO",AND(MOVIMIENTOS!$B283="PROCESO",MOVIMIENTOS!$C283="Chancho"),AND(MOVIMIENTOS!$B283="REGALO",MOVIMIENTOS!$C283&lt;&gt;"Chancho"),AND(MOVIMIENTOS!$B283="VENTA",MOVIMIENTOS!$C283&lt;&gt;"Chancho"),AND(MOVIMIENTOS!$B283="AJUSTE",MOVIMIENTOS!$C283&lt;&gt;"Chancho",N(MOVIMIENTOS!$F283)&lt;0))),IF(MOVIMIENTOS!$B283="AJUSTE",-N(MOVIMIENTOS!$F283),N(MOVIMIENTOS!$F283)),"")</f>
        <v/>
      </c>
      <c r="O284" t="str">
        <f>IF(AND(MOVIMIENTOS!$B283&lt;&gt;"",NOT(AND(MOVIMIENTOS!$B283="PROCESO",MOVIMIENTOS!$C283&lt;&gt;"Chancho")),NOT(AND(MOVIMIENTOS!$B283="SALDO INICIAL",MOVIMIENTOS!$C283="Chancho"))),TRIM(IF(MOVIMIENTOS!$G283&lt;&gt;"",IF(MOVIMIENTOS!$B283="ENVÍO A SUPESA","G-"&amp;MOVIMIENTOS!$G283,MOVIMIENTOS!$G283)&amp;"  ","")&amp;IF(N(MOVIMIENTOS!$E283)&gt;0,MOVIMIENTOS!$E283&amp;" "&amp;MOVIMIENTOS!$D283,"")),"")</f>
        <v/>
      </c>
      <c r="P284">
        <f t="shared" si="34"/>
        <v>6138.5</v>
      </c>
    </row>
    <row r="285" spans="1:16" x14ac:dyDescent="0.2">
      <c r="A285" s="7" t="str">
        <f t="shared" si="28"/>
        <v/>
      </c>
      <c r="B285" s="8" t="str">
        <f t="shared" si="29"/>
        <v/>
      </c>
      <c r="C285" s="9" t="str">
        <f t="shared" si="30"/>
        <v/>
      </c>
      <c r="D285" s="9" t="str">
        <f t="shared" si="31"/>
        <v/>
      </c>
      <c r="E285" s="8" t="str">
        <f t="shared" si="32"/>
        <v/>
      </c>
      <c r="F285" s="9" t="str">
        <f t="shared" si="33"/>
        <v/>
      </c>
      <c r="J285" t="str">
        <f>IF(AND(MOVIMIENTOS!$B284&lt;&gt;"",NOT(AND(MOVIMIENTOS!$B284="PROCESO",MOVIMIENTOS!$C284&lt;&gt;"Chancho")),NOT(AND(MOVIMIENTOS!$B284="SALDO INICIAL",MOVIMIENTOS!$C284="Chancho"))),COUNT(J$5:J284)+1,"")</f>
        <v/>
      </c>
      <c r="K285" t="str">
        <f>IF(AND(MOVIMIENTOS!$B284&lt;&gt;"",NOT(AND(MOVIMIENTOS!$B284="PROCESO",MOVIMIENTOS!$C284&lt;&gt;"Chancho")),NOT(AND(MOVIMIENTOS!$B284="SALDO INICIAL",MOVIMIENTOS!$C284="Chancho"))),MOVIMIENTOS!$A284,"")</f>
        <v/>
      </c>
      <c r="L285" t="str">
        <f>IF(AND(MOVIMIENTOS!$B284&lt;&gt;"",NOT(AND(MOVIMIENTOS!$B284="PROCESO",MOVIMIENTOS!$C284&lt;&gt;"Chancho")),NOT(AND(MOVIMIENTOS!$B284="SALDO INICIAL",MOVIMIENTOS!$C284="Chancho"))),IF(MOVIMIENTOS!$B284="SALDO INICIAL","APERTURA ("&amp;MOVIMIENTOS!$C284&amp;")",IF(MOVIMIENTOS!$B284="COMPRA","INGRESO (compra)",IF(MOVIMIENTOS!$B284="PROCESO","CHANCHO (proceso)",IF(MOVIMIENTOS!$B284="ENVÍO A SUPESA","ENVÍO SUPESA cal. "&amp;MOVIMIENTOS!$C284,IF(MOVIMIENTOS!$B284="VENTA CHANCHO","VENTA CHANCHO",IF(MOVIMIENTOS!$B284="DEVOLUCIÓN","DEVOLUCIÓN cal. "&amp;MOVIMIENTOS!$C284,IF(MOVIMIENTOS!$B284="TRASIEGO","TRASIEGO cal. "&amp;MOVIMIENTOS!$C284,IF(MOVIMIENTOS!$B284="REGALO","REGALO "&amp;MOVIMIENTOS!$C284,IF(MOVIMIENTOS!$B284="VENTA","VENTA "&amp;MOVIMIENTOS!$C284,IF(MOVIMIENTOS!$B284="AJUSTE","AJUSTE inventario ("&amp;MOVIMIENTOS!$C284&amp;")",MOVIMIENTOS!$B284)))))))))),"")</f>
        <v/>
      </c>
      <c r="M285" t="str">
        <f>IF(AND(AND(MOVIMIENTOS!$B284&lt;&gt;"",NOT(AND(MOVIMIENTOS!$B284="PROCESO",MOVIMIENTOS!$C284&lt;&gt;"Chancho")),NOT(AND(MOVIMIENTOS!$B284="SALDO INICIAL",MOVIMIENTOS!$C284="Chancho"))),OR(MOVIMIENTOS!$B284="SALDO INICIAL",MOVIMIENTOS!$B284="COMPRA",MOVIMIENTOS!$B284="REPROCESO",AND(MOVIMIENTOS!$B284="AJUSTE",MOVIMIENTOS!$C284&lt;&gt;"Chancho",N(MOVIMIENTOS!$F284)&gt;=0))),N(MOVIMIENTOS!$F284),"")</f>
        <v/>
      </c>
      <c r="N285" t="str">
        <f>IF(AND(AND(MOVIMIENTOS!$B284&lt;&gt;"",NOT(AND(MOVIMIENTOS!$B284="PROCESO",MOVIMIENTOS!$C284&lt;&gt;"Chancho")),NOT(AND(MOVIMIENTOS!$B284="SALDO INICIAL",MOVIMIENTOS!$C284="Chancho"))),OR(MOVIMIENTOS!$B284="ENVÍO A SUPESA",MOVIMIENTOS!$B284="MALOGRADO",MOVIMIENTOS!$B284="OTRA SALIDA",MOVIMIENTOS!$B284="TRASIEGO",AND(MOVIMIENTOS!$B284="PROCESO",MOVIMIENTOS!$C284="Chancho"),AND(MOVIMIENTOS!$B284="REGALO",MOVIMIENTOS!$C284&lt;&gt;"Chancho"),AND(MOVIMIENTOS!$B284="VENTA",MOVIMIENTOS!$C284&lt;&gt;"Chancho"),AND(MOVIMIENTOS!$B284="AJUSTE",MOVIMIENTOS!$C284&lt;&gt;"Chancho",N(MOVIMIENTOS!$F284)&lt;0))),IF(MOVIMIENTOS!$B284="AJUSTE",-N(MOVIMIENTOS!$F284),N(MOVIMIENTOS!$F284)),"")</f>
        <v/>
      </c>
      <c r="O285" t="str">
        <f>IF(AND(MOVIMIENTOS!$B284&lt;&gt;"",NOT(AND(MOVIMIENTOS!$B284="PROCESO",MOVIMIENTOS!$C284&lt;&gt;"Chancho")),NOT(AND(MOVIMIENTOS!$B284="SALDO INICIAL",MOVIMIENTOS!$C284="Chancho"))),TRIM(IF(MOVIMIENTOS!$G284&lt;&gt;"",IF(MOVIMIENTOS!$B284="ENVÍO A SUPESA","G-"&amp;MOVIMIENTOS!$G284,MOVIMIENTOS!$G284)&amp;"  ","")&amp;IF(N(MOVIMIENTOS!$E284)&gt;0,MOVIMIENTOS!$E284&amp;" "&amp;MOVIMIENTOS!$D284,"")),"")</f>
        <v/>
      </c>
      <c r="P285">
        <f t="shared" si="34"/>
        <v>6138.5</v>
      </c>
    </row>
    <row r="286" spans="1:16" x14ac:dyDescent="0.2">
      <c r="A286" s="7" t="str">
        <f t="shared" si="28"/>
        <v/>
      </c>
      <c r="B286" s="8" t="str">
        <f t="shared" si="29"/>
        <v/>
      </c>
      <c r="C286" s="9" t="str">
        <f t="shared" si="30"/>
        <v/>
      </c>
      <c r="D286" s="9" t="str">
        <f t="shared" si="31"/>
        <v/>
      </c>
      <c r="E286" s="8" t="str">
        <f t="shared" si="32"/>
        <v/>
      </c>
      <c r="F286" s="9" t="str">
        <f t="shared" si="33"/>
        <v/>
      </c>
      <c r="J286" t="str">
        <f>IF(AND(MOVIMIENTOS!$B285&lt;&gt;"",NOT(AND(MOVIMIENTOS!$B285="PROCESO",MOVIMIENTOS!$C285&lt;&gt;"Chancho")),NOT(AND(MOVIMIENTOS!$B285="SALDO INICIAL",MOVIMIENTOS!$C285="Chancho"))),COUNT(J$5:J285)+1,"")</f>
        <v/>
      </c>
      <c r="K286" t="str">
        <f>IF(AND(MOVIMIENTOS!$B285&lt;&gt;"",NOT(AND(MOVIMIENTOS!$B285="PROCESO",MOVIMIENTOS!$C285&lt;&gt;"Chancho")),NOT(AND(MOVIMIENTOS!$B285="SALDO INICIAL",MOVIMIENTOS!$C285="Chancho"))),MOVIMIENTOS!$A285,"")</f>
        <v/>
      </c>
      <c r="L286" t="str">
        <f>IF(AND(MOVIMIENTOS!$B285&lt;&gt;"",NOT(AND(MOVIMIENTOS!$B285="PROCESO",MOVIMIENTOS!$C285&lt;&gt;"Chancho")),NOT(AND(MOVIMIENTOS!$B285="SALDO INICIAL",MOVIMIENTOS!$C285="Chancho"))),IF(MOVIMIENTOS!$B285="SALDO INICIAL","APERTURA ("&amp;MOVIMIENTOS!$C285&amp;")",IF(MOVIMIENTOS!$B285="COMPRA","INGRESO (compra)",IF(MOVIMIENTOS!$B285="PROCESO","CHANCHO (proceso)",IF(MOVIMIENTOS!$B285="ENVÍO A SUPESA","ENVÍO SUPESA cal. "&amp;MOVIMIENTOS!$C285,IF(MOVIMIENTOS!$B285="VENTA CHANCHO","VENTA CHANCHO",IF(MOVIMIENTOS!$B285="DEVOLUCIÓN","DEVOLUCIÓN cal. "&amp;MOVIMIENTOS!$C285,IF(MOVIMIENTOS!$B285="TRASIEGO","TRASIEGO cal. "&amp;MOVIMIENTOS!$C285,IF(MOVIMIENTOS!$B285="REGALO","REGALO "&amp;MOVIMIENTOS!$C285,IF(MOVIMIENTOS!$B285="VENTA","VENTA "&amp;MOVIMIENTOS!$C285,IF(MOVIMIENTOS!$B285="AJUSTE","AJUSTE inventario ("&amp;MOVIMIENTOS!$C285&amp;")",MOVIMIENTOS!$B285)))))))))),"")</f>
        <v/>
      </c>
      <c r="M286" t="str">
        <f>IF(AND(AND(MOVIMIENTOS!$B285&lt;&gt;"",NOT(AND(MOVIMIENTOS!$B285="PROCESO",MOVIMIENTOS!$C285&lt;&gt;"Chancho")),NOT(AND(MOVIMIENTOS!$B285="SALDO INICIAL",MOVIMIENTOS!$C285="Chancho"))),OR(MOVIMIENTOS!$B285="SALDO INICIAL",MOVIMIENTOS!$B285="COMPRA",MOVIMIENTOS!$B285="REPROCESO",AND(MOVIMIENTOS!$B285="AJUSTE",MOVIMIENTOS!$C285&lt;&gt;"Chancho",N(MOVIMIENTOS!$F285)&gt;=0))),N(MOVIMIENTOS!$F285),"")</f>
        <v/>
      </c>
      <c r="N286" t="str">
        <f>IF(AND(AND(MOVIMIENTOS!$B285&lt;&gt;"",NOT(AND(MOVIMIENTOS!$B285="PROCESO",MOVIMIENTOS!$C285&lt;&gt;"Chancho")),NOT(AND(MOVIMIENTOS!$B285="SALDO INICIAL",MOVIMIENTOS!$C285="Chancho"))),OR(MOVIMIENTOS!$B285="ENVÍO A SUPESA",MOVIMIENTOS!$B285="MALOGRADO",MOVIMIENTOS!$B285="OTRA SALIDA",MOVIMIENTOS!$B285="TRASIEGO",AND(MOVIMIENTOS!$B285="PROCESO",MOVIMIENTOS!$C285="Chancho"),AND(MOVIMIENTOS!$B285="REGALO",MOVIMIENTOS!$C285&lt;&gt;"Chancho"),AND(MOVIMIENTOS!$B285="VENTA",MOVIMIENTOS!$C285&lt;&gt;"Chancho"),AND(MOVIMIENTOS!$B285="AJUSTE",MOVIMIENTOS!$C285&lt;&gt;"Chancho",N(MOVIMIENTOS!$F285)&lt;0))),IF(MOVIMIENTOS!$B285="AJUSTE",-N(MOVIMIENTOS!$F285),N(MOVIMIENTOS!$F285)),"")</f>
        <v/>
      </c>
      <c r="O286" t="str">
        <f>IF(AND(MOVIMIENTOS!$B285&lt;&gt;"",NOT(AND(MOVIMIENTOS!$B285="PROCESO",MOVIMIENTOS!$C285&lt;&gt;"Chancho")),NOT(AND(MOVIMIENTOS!$B285="SALDO INICIAL",MOVIMIENTOS!$C285="Chancho"))),TRIM(IF(MOVIMIENTOS!$G285&lt;&gt;"",IF(MOVIMIENTOS!$B285="ENVÍO A SUPESA","G-"&amp;MOVIMIENTOS!$G285,MOVIMIENTOS!$G285)&amp;"  ","")&amp;IF(N(MOVIMIENTOS!$E285)&gt;0,MOVIMIENTOS!$E285&amp;" "&amp;MOVIMIENTOS!$D285,"")),"")</f>
        <v/>
      </c>
      <c r="P286">
        <f t="shared" si="34"/>
        <v>6138.5</v>
      </c>
    </row>
    <row r="287" spans="1:16" x14ac:dyDescent="0.2">
      <c r="A287" s="7" t="str">
        <f t="shared" si="28"/>
        <v/>
      </c>
      <c r="B287" s="8" t="str">
        <f t="shared" si="29"/>
        <v/>
      </c>
      <c r="C287" s="9" t="str">
        <f t="shared" si="30"/>
        <v/>
      </c>
      <c r="D287" s="9" t="str">
        <f t="shared" si="31"/>
        <v/>
      </c>
      <c r="E287" s="8" t="str">
        <f t="shared" si="32"/>
        <v/>
      </c>
      <c r="F287" s="9" t="str">
        <f t="shared" si="33"/>
        <v/>
      </c>
      <c r="J287" t="str">
        <f>IF(AND(MOVIMIENTOS!$B286&lt;&gt;"",NOT(AND(MOVIMIENTOS!$B286="PROCESO",MOVIMIENTOS!$C286&lt;&gt;"Chancho")),NOT(AND(MOVIMIENTOS!$B286="SALDO INICIAL",MOVIMIENTOS!$C286="Chancho"))),COUNT(J$5:J286)+1,"")</f>
        <v/>
      </c>
      <c r="K287" t="str">
        <f>IF(AND(MOVIMIENTOS!$B286&lt;&gt;"",NOT(AND(MOVIMIENTOS!$B286="PROCESO",MOVIMIENTOS!$C286&lt;&gt;"Chancho")),NOT(AND(MOVIMIENTOS!$B286="SALDO INICIAL",MOVIMIENTOS!$C286="Chancho"))),MOVIMIENTOS!$A286,"")</f>
        <v/>
      </c>
      <c r="L287" t="str">
        <f>IF(AND(MOVIMIENTOS!$B286&lt;&gt;"",NOT(AND(MOVIMIENTOS!$B286="PROCESO",MOVIMIENTOS!$C286&lt;&gt;"Chancho")),NOT(AND(MOVIMIENTOS!$B286="SALDO INICIAL",MOVIMIENTOS!$C286="Chancho"))),IF(MOVIMIENTOS!$B286="SALDO INICIAL","APERTURA ("&amp;MOVIMIENTOS!$C286&amp;")",IF(MOVIMIENTOS!$B286="COMPRA","INGRESO (compra)",IF(MOVIMIENTOS!$B286="PROCESO","CHANCHO (proceso)",IF(MOVIMIENTOS!$B286="ENVÍO A SUPESA","ENVÍO SUPESA cal. "&amp;MOVIMIENTOS!$C286,IF(MOVIMIENTOS!$B286="VENTA CHANCHO","VENTA CHANCHO",IF(MOVIMIENTOS!$B286="DEVOLUCIÓN","DEVOLUCIÓN cal. "&amp;MOVIMIENTOS!$C286,IF(MOVIMIENTOS!$B286="TRASIEGO","TRASIEGO cal. "&amp;MOVIMIENTOS!$C286,IF(MOVIMIENTOS!$B286="REGALO","REGALO "&amp;MOVIMIENTOS!$C286,IF(MOVIMIENTOS!$B286="VENTA","VENTA "&amp;MOVIMIENTOS!$C286,IF(MOVIMIENTOS!$B286="AJUSTE","AJUSTE inventario ("&amp;MOVIMIENTOS!$C286&amp;")",MOVIMIENTOS!$B286)))))))))),"")</f>
        <v/>
      </c>
      <c r="M287" t="str">
        <f>IF(AND(AND(MOVIMIENTOS!$B286&lt;&gt;"",NOT(AND(MOVIMIENTOS!$B286="PROCESO",MOVIMIENTOS!$C286&lt;&gt;"Chancho")),NOT(AND(MOVIMIENTOS!$B286="SALDO INICIAL",MOVIMIENTOS!$C286="Chancho"))),OR(MOVIMIENTOS!$B286="SALDO INICIAL",MOVIMIENTOS!$B286="COMPRA",MOVIMIENTOS!$B286="REPROCESO",AND(MOVIMIENTOS!$B286="AJUSTE",MOVIMIENTOS!$C286&lt;&gt;"Chancho",N(MOVIMIENTOS!$F286)&gt;=0))),N(MOVIMIENTOS!$F286),"")</f>
        <v/>
      </c>
      <c r="N287" t="str">
        <f>IF(AND(AND(MOVIMIENTOS!$B286&lt;&gt;"",NOT(AND(MOVIMIENTOS!$B286="PROCESO",MOVIMIENTOS!$C286&lt;&gt;"Chancho")),NOT(AND(MOVIMIENTOS!$B286="SALDO INICIAL",MOVIMIENTOS!$C286="Chancho"))),OR(MOVIMIENTOS!$B286="ENVÍO A SUPESA",MOVIMIENTOS!$B286="MALOGRADO",MOVIMIENTOS!$B286="OTRA SALIDA",MOVIMIENTOS!$B286="TRASIEGO",AND(MOVIMIENTOS!$B286="PROCESO",MOVIMIENTOS!$C286="Chancho"),AND(MOVIMIENTOS!$B286="REGALO",MOVIMIENTOS!$C286&lt;&gt;"Chancho"),AND(MOVIMIENTOS!$B286="VENTA",MOVIMIENTOS!$C286&lt;&gt;"Chancho"),AND(MOVIMIENTOS!$B286="AJUSTE",MOVIMIENTOS!$C286&lt;&gt;"Chancho",N(MOVIMIENTOS!$F286)&lt;0))),IF(MOVIMIENTOS!$B286="AJUSTE",-N(MOVIMIENTOS!$F286),N(MOVIMIENTOS!$F286)),"")</f>
        <v/>
      </c>
      <c r="O287" t="str">
        <f>IF(AND(MOVIMIENTOS!$B286&lt;&gt;"",NOT(AND(MOVIMIENTOS!$B286="PROCESO",MOVIMIENTOS!$C286&lt;&gt;"Chancho")),NOT(AND(MOVIMIENTOS!$B286="SALDO INICIAL",MOVIMIENTOS!$C286="Chancho"))),TRIM(IF(MOVIMIENTOS!$G286&lt;&gt;"",IF(MOVIMIENTOS!$B286="ENVÍO A SUPESA","G-"&amp;MOVIMIENTOS!$G286,MOVIMIENTOS!$G286)&amp;"  ","")&amp;IF(N(MOVIMIENTOS!$E286)&gt;0,MOVIMIENTOS!$E286&amp;" "&amp;MOVIMIENTOS!$D286,"")),"")</f>
        <v/>
      </c>
      <c r="P287">
        <f t="shared" si="34"/>
        <v>6138.5</v>
      </c>
    </row>
    <row r="288" spans="1:16" x14ac:dyDescent="0.2">
      <c r="A288" s="7" t="str">
        <f t="shared" si="28"/>
        <v/>
      </c>
      <c r="B288" s="8" t="str">
        <f t="shared" si="29"/>
        <v/>
      </c>
      <c r="C288" s="9" t="str">
        <f t="shared" si="30"/>
        <v/>
      </c>
      <c r="D288" s="9" t="str">
        <f t="shared" si="31"/>
        <v/>
      </c>
      <c r="E288" s="8" t="str">
        <f t="shared" si="32"/>
        <v/>
      </c>
      <c r="F288" s="9" t="str">
        <f t="shared" si="33"/>
        <v/>
      </c>
      <c r="J288" t="str">
        <f>IF(AND(MOVIMIENTOS!$B287&lt;&gt;"",NOT(AND(MOVIMIENTOS!$B287="PROCESO",MOVIMIENTOS!$C287&lt;&gt;"Chancho")),NOT(AND(MOVIMIENTOS!$B287="SALDO INICIAL",MOVIMIENTOS!$C287="Chancho"))),COUNT(J$5:J287)+1,"")</f>
        <v/>
      </c>
      <c r="K288" t="str">
        <f>IF(AND(MOVIMIENTOS!$B287&lt;&gt;"",NOT(AND(MOVIMIENTOS!$B287="PROCESO",MOVIMIENTOS!$C287&lt;&gt;"Chancho")),NOT(AND(MOVIMIENTOS!$B287="SALDO INICIAL",MOVIMIENTOS!$C287="Chancho"))),MOVIMIENTOS!$A287,"")</f>
        <v/>
      </c>
      <c r="L288" t="str">
        <f>IF(AND(MOVIMIENTOS!$B287&lt;&gt;"",NOT(AND(MOVIMIENTOS!$B287="PROCESO",MOVIMIENTOS!$C287&lt;&gt;"Chancho")),NOT(AND(MOVIMIENTOS!$B287="SALDO INICIAL",MOVIMIENTOS!$C287="Chancho"))),IF(MOVIMIENTOS!$B287="SALDO INICIAL","APERTURA ("&amp;MOVIMIENTOS!$C287&amp;")",IF(MOVIMIENTOS!$B287="COMPRA","INGRESO (compra)",IF(MOVIMIENTOS!$B287="PROCESO","CHANCHO (proceso)",IF(MOVIMIENTOS!$B287="ENVÍO A SUPESA","ENVÍO SUPESA cal. "&amp;MOVIMIENTOS!$C287,IF(MOVIMIENTOS!$B287="VENTA CHANCHO","VENTA CHANCHO",IF(MOVIMIENTOS!$B287="DEVOLUCIÓN","DEVOLUCIÓN cal. "&amp;MOVIMIENTOS!$C287,IF(MOVIMIENTOS!$B287="TRASIEGO","TRASIEGO cal. "&amp;MOVIMIENTOS!$C287,IF(MOVIMIENTOS!$B287="REGALO","REGALO "&amp;MOVIMIENTOS!$C287,IF(MOVIMIENTOS!$B287="VENTA","VENTA "&amp;MOVIMIENTOS!$C287,IF(MOVIMIENTOS!$B287="AJUSTE","AJUSTE inventario ("&amp;MOVIMIENTOS!$C287&amp;")",MOVIMIENTOS!$B287)))))))))),"")</f>
        <v/>
      </c>
      <c r="M288" t="str">
        <f>IF(AND(AND(MOVIMIENTOS!$B287&lt;&gt;"",NOT(AND(MOVIMIENTOS!$B287="PROCESO",MOVIMIENTOS!$C287&lt;&gt;"Chancho")),NOT(AND(MOVIMIENTOS!$B287="SALDO INICIAL",MOVIMIENTOS!$C287="Chancho"))),OR(MOVIMIENTOS!$B287="SALDO INICIAL",MOVIMIENTOS!$B287="COMPRA",MOVIMIENTOS!$B287="REPROCESO",AND(MOVIMIENTOS!$B287="AJUSTE",MOVIMIENTOS!$C287&lt;&gt;"Chancho",N(MOVIMIENTOS!$F287)&gt;=0))),N(MOVIMIENTOS!$F287),"")</f>
        <v/>
      </c>
      <c r="N288" t="str">
        <f>IF(AND(AND(MOVIMIENTOS!$B287&lt;&gt;"",NOT(AND(MOVIMIENTOS!$B287="PROCESO",MOVIMIENTOS!$C287&lt;&gt;"Chancho")),NOT(AND(MOVIMIENTOS!$B287="SALDO INICIAL",MOVIMIENTOS!$C287="Chancho"))),OR(MOVIMIENTOS!$B287="ENVÍO A SUPESA",MOVIMIENTOS!$B287="MALOGRADO",MOVIMIENTOS!$B287="OTRA SALIDA",MOVIMIENTOS!$B287="TRASIEGO",AND(MOVIMIENTOS!$B287="PROCESO",MOVIMIENTOS!$C287="Chancho"),AND(MOVIMIENTOS!$B287="REGALO",MOVIMIENTOS!$C287&lt;&gt;"Chancho"),AND(MOVIMIENTOS!$B287="VENTA",MOVIMIENTOS!$C287&lt;&gt;"Chancho"),AND(MOVIMIENTOS!$B287="AJUSTE",MOVIMIENTOS!$C287&lt;&gt;"Chancho",N(MOVIMIENTOS!$F287)&lt;0))),IF(MOVIMIENTOS!$B287="AJUSTE",-N(MOVIMIENTOS!$F287),N(MOVIMIENTOS!$F287)),"")</f>
        <v/>
      </c>
      <c r="O288" t="str">
        <f>IF(AND(MOVIMIENTOS!$B287&lt;&gt;"",NOT(AND(MOVIMIENTOS!$B287="PROCESO",MOVIMIENTOS!$C287&lt;&gt;"Chancho")),NOT(AND(MOVIMIENTOS!$B287="SALDO INICIAL",MOVIMIENTOS!$C287="Chancho"))),TRIM(IF(MOVIMIENTOS!$G287&lt;&gt;"",IF(MOVIMIENTOS!$B287="ENVÍO A SUPESA","G-"&amp;MOVIMIENTOS!$G287,MOVIMIENTOS!$G287)&amp;"  ","")&amp;IF(N(MOVIMIENTOS!$E287)&gt;0,MOVIMIENTOS!$E287&amp;" "&amp;MOVIMIENTOS!$D287,"")),"")</f>
        <v/>
      </c>
      <c r="P288">
        <f t="shared" si="34"/>
        <v>6138.5</v>
      </c>
    </row>
    <row r="289" spans="1:16" x14ac:dyDescent="0.2">
      <c r="A289" s="7" t="str">
        <f t="shared" si="28"/>
        <v/>
      </c>
      <c r="B289" s="8" t="str">
        <f t="shared" si="29"/>
        <v/>
      </c>
      <c r="C289" s="9" t="str">
        <f t="shared" si="30"/>
        <v/>
      </c>
      <c r="D289" s="9" t="str">
        <f t="shared" si="31"/>
        <v/>
      </c>
      <c r="E289" s="8" t="str">
        <f t="shared" si="32"/>
        <v/>
      </c>
      <c r="F289" s="9" t="str">
        <f t="shared" si="33"/>
        <v/>
      </c>
      <c r="J289" t="str">
        <f>IF(AND(MOVIMIENTOS!$B288&lt;&gt;"",NOT(AND(MOVIMIENTOS!$B288="PROCESO",MOVIMIENTOS!$C288&lt;&gt;"Chancho")),NOT(AND(MOVIMIENTOS!$B288="SALDO INICIAL",MOVIMIENTOS!$C288="Chancho"))),COUNT(J$5:J288)+1,"")</f>
        <v/>
      </c>
      <c r="K289" t="str">
        <f>IF(AND(MOVIMIENTOS!$B288&lt;&gt;"",NOT(AND(MOVIMIENTOS!$B288="PROCESO",MOVIMIENTOS!$C288&lt;&gt;"Chancho")),NOT(AND(MOVIMIENTOS!$B288="SALDO INICIAL",MOVIMIENTOS!$C288="Chancho"))),MOVIMIENTOS!$A288,"")</f>
        <v/>
      </c>
      <c r="L289" t="str">
        <f>IF(AND(MOVIMIENTOS!$B288&lt;&gt;"",NOT(AND(MOVIMIENTOS!$B288="PROCESO",MOVIMIENTOS!$C288&lt;&gt;"Chancho")),NOT(AND(MOVIMIENTOS!$B288="SALDO INICIAL",MOVIMIENTOS!$C288="Chancho"))),IF(MOVIMIENTOS!$B288="SALDO INICIAL","APERTURA ("&amp;MOVIMIENTOS!$C288&amp;")",IF(MOVIMIENTOS!$B288="COMPRA","INGRESO (compra)",IF(MOVIMIENTOS!$B288="PROCESO","CHANCHO (proceso)",IF(MOVIMIENTOS!$B288="ENVÍO A SUPESA","ENVÍO SUPESA cal. "&amp;MOVIMIENTOS!$C288,IF(MOVIMIENTOS!$B288="VENTA CHANCHO","VENTA CHANCHO",IF(MOVIMIENTOS!$B288="DEVOLUCIÓN","DEVOLUCIÓN cal. "&amp;MOVIMIENTOS!$C288,IF(MOVIMIENTOS!$B288="TRASIEGO","TRASIEGO cal. "&amp;MOVIMIENTOS!$C288,IF(MOVIMIENTOS!$B288="REGALO","REGALO "&amp;MOVIMIENTOS!$C288,IF(MOVIMIENTOS!$B288="VENTA","VENTA "&amp;MOVIMIENTOS!$C288,IF(MOVIMIENTOS!$B288="AJUSTE","AJUSTE inventario ("&amp;MOVIMIENTOS!$C288&amp;")",MOVIMIENTOS!$B288)))))))))),"")</f>
        <v/>
      </c>
      <c r="M289" t="str">
        <f>IF(AND(AND(MOVIMIENTOS!$B288&lt;&gt;"",NOT(AND(MOVIMIENTOS!$B288="PROCESO",MOVIMIENTOS!$C288&lt;&gt;"Chancho")),NOT(AND(MOVIMIENTOS!$B288="SALDO INICIAL",MOVIMIENTOS!$C288="Chancho"))),OR(MOVIMIENTOS!$B288="SALDO INICIAL",MOVIMIENTOS!$B288="COMPRA",MOVIMIENTOS!$B288="REPROCESO",AND(MOVIMIENTOS!$B288="AJUSTE",MOVIMIENTOS!$C288&lt;&gt;"Chancho",N(MOVIMIENTOS!$F288)&gt;=0))),N(MOVIMIENTOS!$F288),"")</f>
        <v/>
      </c>
      <c r="N289" t="str">
        <f>IF(AND(AND(MOVIMIENTOS!$B288&lt;&gt;"",NOT(AND(MOVIMIENTOS!$B288="PROCESO",MOVIMIENTOS!$C288&lt;&gt;"Chancho")),NOT(AND(MOVIMIENTOS!$B288="SALDO INICIAL",MOVIMIENTOS!$C288="Chancho"))),OR(MOVIMIENTOS!$B288="ENVÍO A SUPESA",MOVIMIENTOS!$B288="MALOGRADO",MOVIMIENTOS!$B288="OTRA SALIDA",MOVIMIENTOS!$B288="TRASIEGO",AND(MOVIMIENTOS!$B288="PROCESO",MOVIMIENTOS!$C288="Chancho"),AND(MOVIMIENTOS!$B288="REGALO",MOVIMIENTOS!$C288&lt;&gt;"Chancho"),AND(MOVIMIENTOS!$B288="VENTA",MOVIMIENTOS!$C288&lt;&gt;"Chancho"),AND(MOVIMIENTOS!$B288="AJUSTE",MOVIMIENTOS!$C288&lt;&gt;"Chancho",N(MOVIMIENTOS!$F288)&lt;0))),IF(MOVIMIENTOS!$B288="AJUSTE",-N(MOVIMIENTOS!$F288),N(MOVIMIENTOS!$F288)),"")</f>
        <v/>
      </c>
      <c r="O289" t="str">
        <f>IF(AND(MOVIMIENTOS!$B288&lt;&gt;"",NOT(AND(MOVIMIENTOS!$B288="PROCESO",MOVIMIENTOS!$C288&lt;&gt;"Chancho")),NOT(AND(MOVIMIENTOS!$B288="SALDO INICIAL",MOVIMIENTOS!$C288="Chancho"))),TRIM(IF(MOVIMIENTOS!$G288&lt;&gt;"",IF(MOVIMIENTOS!$B288="ENVÍO A SUPESA","G-"&amp;MOVIMIENTOS!$G288,MOVIMIENTOS!$G288)&amp;"  ","")&amp;IF(N(MOVIMIENTOS!$E288)&gt;0,MOVIMIENTOS!$E288&amp;" "&amp;MOVIMIENTOS!$D288,"")),"")</f>
        <v/>
      </c>
      <c r="P289">
        <f t="shared" si="34"/>
        <v>6138.5</v>
      </c>
    </row>
    <row r="290" spans="1:16" x14ac:dyDescent="0.2">
      <c r="A290" s="7" t="str">
        <f t="shared" si="28"/>
        <v/>
      </c>
      <c r="B290" s="8" t="str">
        <f t="shared" si="29"/>
        <v/>
      </c>
      <c r="C290" s="9" t="str">
        <f t="shared" si="30"/>
        <v/>
      </c>
      <c r="D290" s="9" t="str">
        <f t="shared" si="31"/>
        <v/>
      </c>
      <c r="E290" s="8" t="str">
        <f t="shared" si="32"/>
        <v/>
      </c>
      <c r="F290" s="9" t="str">
        <f t="shared" si="33"/>
        <v/>
      </c>
      <c r="J290" t="str">
        <f>IF(AND(MOVIMIENTOS!$B289&lt;&gt;"",NOT(AND(MOVIMIENTOS!$B289="PROCESO",MOVIMIENTOS!$C289&lt;&gt;"Chancho")),NOT(AND(MOVIMIENTOS!$B289="SALDO INICIAL",MOVIMIENTOS!$C289="Chancho"))),COUNT(J$5:J289)+1,"")</f>
        <v/>
      </c>
      <c r="K290" t="str">
        <f>IF(AND(MOVIMIENTOS!$B289&lt;&gt;"",NOT(AND(MOVIMIENTOS!$B289="PROCESO",MOVIMIENTOS!$C289&lt;&gt;"Chancho")),NOT(AND(MOVIMIENTOS!$B289="SALDO INICIAL",MOVIMIENTOS!$C289="Chancho"))),MOVIMIENTOS!$A289,"")</f>
        <v/>
      </c>
      <c r="L290" t="str">
        <f>IF(AND(MOVIMIENTOS!$B289&lt;&gt;"",NOT(AND(MOVIMIENTOS!$B289="PROCESO",MOVIMIENTOS!$C289&lt;&gt;"Chancho")),NOT(AND(MOVIMIENTOS!$B289="SALDO INICIAL",MOVIMIENTOS!$C289="Chancho"))),IF(MOVIMIENTOS!$B289="SALDO INICIAL","APERTURA ("&amp;MOVIMIENTOS!$C289&amp;")",IF(MOVIMIENTOS!$B289="COMPRA","INGRESO (compra)",IF(MOVIMIENTOS!$B289="PROCESO","CHANCHO (proceso)",IF(MOVIMIENTOS!$B289="ENVÍO A SUPESA","ENVÍO SUPESA cal. "&amp;MOVIMIENTOS!$C289,IF(MOVIMIENTOS!$B289="VENTA CHANCHO","VENTA CHANCHO",IF(MOVIMIENTOS!$B289="DEVOLUCIÓN","DEVOLUCIÓN cal. "&amp;MOVIMIENTOS!$C289,IF(MOVIMIENTOS!$B289="TRASIEGO","TRASIEGO cal. "&amp;MOVIMIENTOS!$C289,IF(MOVIMIENTOS!$B289="REGALO","REGALO "&amp;MOVIMIENTOS!$C289,IF(MOVIMIENTOS!$B289="VENTA","VENTA "&amp;MOVIMIENTOS!$C289,IF(MOVIMIENTOS!$B289="AJUSTE","AJUSTE inventario ("&amp;MOVIMIENTOS!$C289&amp;")",MOVIMIENTOS!$B289)))))))))),"")</f>
        <v/>
      </c>
      <c r="M290" t="str">
        <f>IF(AND(AND(MOVIMIENTOS!$B289&lt;&gt;"",NOT(AND(MOVIMIENTOS!$B289="PROCESO",MOVIMIENTOS!$C289&lt;&gt;"Chancho")),NOT(AND(MOVIMIENTOS!$B289="SALDO INICIAL",MOVIMIENTOS!$C289="Chancho"))),OR(MOVIMIENTOS!$B289="SALDO INICIAL",MOVIMIENTOS!$B289="COMPRA",MOVIMIENTOS!$B289="REPROCESO",AND(MOVIMIENTOS!$B289="AJUSTE",MOVIMIENTOS!$C289&lt;&gt;"Chancho",N(MOVIMIENTOS!$F289)&gt;=0))),N(MOVIMIENTOS!$F289),"")</f>
        <v/>
      </c>
      <c r="N290" t="str">
        <f>IF(AND(AND(MOVIMIENTOS!$B289&lt;&gt;"",NOT(AND(MOVIMIENTOS!$B289="PROCESO",MOVIMIENTOS!$C289&lt;&gt;"Chancho")),NOT(AND(MOVIMIENTOS!$B289="SALDO INICIAL",MOVIMIENTOS!$C289="Chancho"))),OR(MOVIMIENTOS!$B289="ENVÍO A SUPESA",MOVIMIENTOS!$B289="MALOGRADO",MOVIMIENTOS!$B289="OTRA SALIDA",MOVIMIENTOS!$B289="TRASIEGO",AND(MOVIMIENTOS!$B289="PROCESO",MOVIMIENTOS!$C289="Chancho"),AND(MOVIMIENTOS!$B289="REGALO",MOVIMIENTOS!$C289&lt;&gt;"Chancho"),AND(MOVIMIENTOS!$B289="VENTA",MOVIMIENTOS!$C289&lt;&gt;"Chancho"),AND(MOVIMIENTOS!$B289="AJUSTE",MOVIMIENTOS!$C289&lt;&gt;"Chancho",N(MOVIMIENTOS!$F289)&lt;0))),IF(MOVIMIENTOS!$B289="AJUSTE",-N(MOVIMIENTOS!$F289),N(MOVIMIENTOS!$F289)),"")</f>
        <v/>
      </c>
      <c r="O290" t="str">
        <f>IF(AND(MOVIMIENTOS!$B289&lt;&gt;"",NOT(AND(MOVIMIENTOS!$B289="PROCESO",MOVIMIENTOS!$C289&lt;&gt;"Chancho")),NOT(AND(MOVIMIENTOS!$B289="SALDO INICIAL",MOVIMIENTOS!$C289="Chancho"))),TRIM(IF(MOVIMIENTOS!$G289&lt;&gt;"",IF(MOVIMIENTOS!$B289="ENVÍO A SUPESA","G-"&amp;MOVIMIENTOS!$G289,MOVIMIENTOS!$G289)&amp;"  ","")&amp;IF(N(MOVIMIENTOS!$E289)&gt;0,MOVIMIENTOS!$E289&amp;" "&amp;MOVIMIENTOS!$D289,"")),"")</f>
        <v/>
      </c>
      <c r="P290">
        <f t="shared" si="34"/>
        <v>6138.5</v>
      </c>
    </row>
    <row r="291" spans="1:16" x14ac:dyDescent="0.2">
      <c r="A291" s="7" t="str">
        <f t="shared" si="28"/>
        <v/>
      </c>
      <c r="B291" s="8" t="str">
        <f t="shared" si="29"/>
        <v/>
      </c>
      <c r="C291" s="9" t="str">
        <f t="shared" si="30"/>
        <v/>
      </c>
      <c r="D291" s="9" t="str">
        <f t="shared" si="31"/>
        <v/>
      </c>
      <c r="E291" s="8" t="str">
        <f t="shared" si="32"/>
        <v/>
      </c>
      <c r="F291" s="9" t="str">
        <f t="shared" si="33"/>
        <v/>
      </c>
      <c r="J291" t="str">
        <f>IF(AND(MOVIMIENTOS!$B290&lt;&gt;"",NOT(AND(MOVIMIENTOS!$B290="PROCESO",MOVIMIENTOS!$C290&lt;&gt;"Chancho")),NOT(AND(MOVIMIENTOS!$B290="SALDO INICIAL",MOVIMIENTOS!$C290="Chancho"))),COUNT(J$5:J290)+1,"")</f>
        <v/>
      </c>
      <c r="K291" t="str">
        <f>IF(AND(MOVIMIENTOS!$B290&lt;&gt;"",NOT(AND(MOVIMIENTOS!$B290="PROCESO",MOVIMIENTOS!$C290&lt;&gt;"Chancho")),NOT(AND(MOVIMIENTOS!$B290="SALDO INICIAL",MOVIMIENTOS!$C290="Chancho"))),MOVIMIENTOS!$A290,"")</f>
        <v/>
      </c>
      <c r="L291" t="str">
        <f>IF(AND(MOVIMIENTOS!$B290&lt;&gt;"",NOT(AND(MOVIMIENTOS!$B290="PROCESO",MOVIMIENTOS!$C290&lt;&gt;"Chancho")),NOT(AND(MOVIMIENTOS!$B290="SALDO INICIAL",MOVIMIENTOS!$C290="Chancho"))),IF(MOVIMIENTOS!$B290="SALDO INICIAL","APERTURA ("&amp;MOVIMIENTOS!$C290&amp;")",IF(MOVIMIENTOS!$B290="COMPRA","INGRESO (compra)",IF(MOVIMIENTOS!$B290="PROCESO","CHANCHO (proceso)",IF(MOVIMIENTOS!$B290="ENVÍO A SUPESA","ENVÍO SUPESA cal. "&amp;MOVIMIENTOS!$C290,IF(MOVIMIENTOS!$B290="VENTA CHANCHO","VENTA CHANCHO",IF(MOVIMIENTOS!$B290="DEVOLUCIÓN","DEVOLUCIÓN cal. "&amp;MOVIMIENTOS!$C290,IF(MOVIMIENTOS!$B290="TRASIEGO","TRASIEGO cal. "&amp;MOVIMIENTOS!$C290,IF(MOVIMIENTOS!$B290="REGALO","REGALO "&amp;MOVIMIENTOS!$C290,IF(MOVIMIENTOS!$B290="VENTA","VENTA "&amp;MOVIMIENTOS!$C290,IF(MOVIMIENTOS!$B290="AJUSTE","AJUSTE inventario ("&amp;MOVIMIENTOS!$C290&amp;")",MOVIMIENTOS!$B290)))))))))),"")</f>
        <v/>
      </c>
      <c r="M291" t="str">
        <f>IF(AND(AND(MOVIMIENTOS!$B290&lt;&gt;"",NOT(AND(MOVIMIENTOS!$B290="PROCESO",MOVIMIENTOS!$C290&lt;&gt;"Chancho")),NOT(AND(MOVIMIENTOS!$B290="SALDO INICIAL",MOVIMIENTOS!$C290="Chancho"))),OR(MOVIMIENTOS!$B290="SALDO INICIAL",MOVIMIENTOS!$B290="COMPRA",MOVIMIENTOS!$B290="REPROCESO",AND(MOVIMIENTOS!$B290="AJUSTE",MOVIMIENTOS!$C290&lt;&gt;"Chancho",N(MOVIMIENTOS!$F290)&gt;=0))),N(MOVIMIENTOS!$F290),"")</f>
        <v/>
      </c>
      <c r="N291" t="str">
        <f>IF(AND(AND(MOVIMIENTOS!$B290&lt;&gt;"",NOT(AND(MOVIMIENTOS!$B290="PROCESO",MOVIMIENTOS!$C290&lt;&gt;"Chancho")),NOT(AND(MOVIMIENTOS!$B290="SALDO INICIAL",MOVIMIENTOS!$C290="Chancho"))),OR(MOVIMIENTOS!$B290="ENVÍO A SUPESA",MOVIMIENTOS!$B290="MALOGRADO",MOVIMIENTOS!$B290="OTRA SALIDA",MOVIMIENTOS!$B290="TRASIEGO",AND(MOVIMIENTOS!$B290="PROCESO",MOVIMIENTOS!$C290="Chancho"),AND(MOVIMIENTOS!$B290="REGALO",MOVIMIENTOS!$C290&lt;&gt;"Chancho"),AND(MOVIMIENTOS!$B290="VENTA",MOVIMIENTOS!$C290&lt;&gt;"Chancho"),AND(MOVIMIENTOS!$B290="AJUSTE",MOVIMIENTOS!$C290&lt;&gt;"Chancho",N(MOVIMIENTOS!$F290)&lt;0))),IF(MOVIMIENTOS!$B290="AJUSTE",-N(MOVIMIENTOS!$F290),N(MOVIMIENTOS!$F290)),"")</f>
        <v/>
      </c>
      <c r="O291" t="str">
        <f>IF(AND(MOVIMIENTOS!$B290&lt;&gt;"",NOT(AND(MOVIMIENTOS!$B290="PROCESO",MOVIMIENTOS!$C290&lt;&gt;"Chancho")),NOT(AND(MOVIMIENTOS!$B290="SALDO INICIAL",MOVIMIENTOS!$C290="Chancho"))),TRIM(IF(MOVIMIENTOS!$G290&lt;&gt;"",IF(MOVIMIENTOS!$B290="ENVÍO A SUPESA","G-"&amp;MOVIMIENTOS!$G290,MOVIMIENTOS!$G290)&amp;"  ","")&amp;IF(N(MOVIMIENTOS!$E290)&gt;0,MOVIMIENTOS!$E290&amp;" "&amp;MOVIMIENTOS!$D290,"")),"")</f>
        <v/>
      </c>
      <c r="P291">
        <f t="shared" si="34"/>
        <v>6138.5</v>
      </c>
    </row>
    <row r="292" spans="1:16" x14ac:dyDescent="0.2">
      <c r="A292" s="7" t="str">
        <f t="shared" si="28"/>
        <v/>
      </c>
      <c r="B292" s="8" t="str">
        <f t="shared" si="29"/>
        <v/>
      </c>
      <c r="C292" s="9" t="str">
        <f t="shared" si="30"/>
        <v/>
      </c>
      <c r="D292" s="9" t="str">
        <f t="shared" si="31"/>
        <v/>
      </c>
      <c r="E292" s="8" t="str">
        <f t="shared" si="32"/>
        <v/>
      </c>
      <c r="F292" s="9" t="str">
        <f t="shared" si="33"/>
        <v/>
      </c>
      <c r="J292" t="str">
        <f>IF(AND(MOVIMIENTOS!$B291&lt;&gt;"",NOT(AND(MOVIMIENTOS!$B291="PROCESO",MOVIMIENTOS!$C291&lt;&gt;"Chancho")),NOT(AND(MOVIMIENTOS!$B291="SALDO INICIAL",MOVIMIENTOS!$C291="Chancho"))),COUNT(J$5:J291)+1,"")</f>
        <v/>
      </c>
      <c r="K292" t="str">
        <f>IF(AND(MOVIMIENTOS!$B291&lt;&gt;"",NOT(AND(MOVIMIENTOS!$B291="PROCESO",MOVIMIENTOS!$C291&lt;&gt;"Chancho")),NOT(AND(MOVIMIENTOS!$B291="SALDO INICIAL",MOVIMIENTOS!$C291="Chancho"))),MOVIMIENTOS!$A291,"")</f>
        <v/>
      </c>
      <c r="L292" t="str">
        <f>IF(AND(MOVIMIENTOS!$B291&lt;&gt;"",NOT(AND(MOVIMIENTOS!$B291="PROCESO",MOVIMIENTOS!$C291&lt;&gt;"Chancho")),NOT(AND(MOVIMIENTOS!$B291="SALDO INICIAL",MOVIMIENTOS!$C291="Chancho"))),IF(MOVIMIENTOS!$B291="SALDO INICIAL","APERTURA ("&amp;MOVIMIENTOS!$C291&amp;")",IF(MOVIMIENTOS!$B291="COMPRA","INGRESO (compra)",IF(MOVIMIENTOS!$B291="PROCESO","CHANCHO (proceso)",IF(MOVIMIENTOS!$B291="ENVÍO A SUPESA","ENVÍO SUPESA cal. "&amp;MOVIMIENTOS!$C291,IF(MOVIMIENTOS!$B291="VENTA CHANCHO","VENTA CHANCHO",IF(MOVIMIENTOS!$B291="DEVOLUCIÓN","DEVOLUCIÓN cal. "&amp;MOVIMIENTOS!$C291,IF(MOVIMIENTOS!$B291="TRASIEGO","TRASIEGO cal. "&amp;MOVIMIENTOS!$C291,IF(MOVIMIENTOS!$B291="REGALO","REGALO "&amp;MOVIMIENTOS!$C291,IF(MOVIMIENTOS!$B291="VENTA","VENTA "&amp;MOVIMIENTOS!$C291,IF(MOVIMIENTOS!$B291="AJUSTE","AJUSTE inventario ("&amp;MOVIMIENTOS!$C291&amp;")",MOVIMIENTOS!$B291)))))))))),"")</f>
        <v/>
      </c>
      <c r="M292" t="str">
        <f>IF(AND(AND(MOVIMIENTOS!$B291&lt;&gt;"",NOT(AND(MOVIMIENTOS!$B291="PROCESO",MOVIMIENTOS!$C291&lt;&gt;"Chancho")),NOT(AND(MOVIMIENTOS!$B291="SALDO INICIAL",MOVIMIENTOS!$C291="Chancho"))),OR(MOVIMIENTOS!$B291="SALDO INICIAL",MOVIMIENTOS!$B291="COMPRA",MOVIMIENTOS!$B291="REPROCESO",AND(MOVIMIENTOS!$B291="AJUSTE",MOVIMIENTOS!$C291&lt;&gt;"Chancho",N(MOVIMIENTOS!$F291)&gt;=0))),N(MOVIMIENTOS!$F291),"")</f>
        <v/>
      </c>
      <c r="N292" t="str">
        <f>IF(AND(AND(MOVIMIENTOS!$B291&lt;&gt;"",NOT(AND(MOVIMIENTOS!$B291="PROCESO",MOVIMIENTOS!$C291&lt;&gt;"Chancho")),NOT(AND(MOVIMIENTOS!$B291="SALDO INICIAL",MOVIMIENTOS!$C291="Chancho"))),OR(MOVIMIENTOS!$B291="ENVÍO A SUPESA",MOVIMIENTOS!$B291="MALOGRADO",MOVIMIENTOS!$B291="OTRA SALIDA",MOVIMIENTOS!$B291="TRASIEGO",AND(MOVIMIENTOS!$B291="PROCESO",MOVIMIENTOS!$C291="Chancho"),AND(MOVIMIENTOS!$B291="REGALO",MOVIMIENTOS!$C291&lt;&gt;"Chancho"),AND(MOVIMIENTOS!$B291="VENTA",MOVIMIENTOS!$C291&lt;&gt;"Chancho"),AND(MOVIMIENTOS!$B291="AJUSTE",MOVIMIENTOS!$C291&lt;&gt;"Chancho",N(MOVIMIENTOS!$F291)&lt;0))),IF(MOVIMIENTOS!$B291="AJUSTE",-N(MOVIMIENTOS!$F291),N(MOVIMIENTOS!$F291)),"")</f>
        <v/>
      </c>
      <c r="O292" t="str">
        <f>IF(AND(MOVIMIENTOS!$B291&lt;&gt;"",NOT(AND(MOVIMIENTOS!$B291="PROCESO",MOVIMIENTOS!$C291&lt;&gt;"Chancho")),NOT(AND(MOVIMIENTOS!$B291="SALDO INICIAL",MOVIMIENTOS!$C291="Chancho"))),TRIM(IF(MOVIMIENTOS!$G291&lt;&gt;"",IF(MOVIMIENTOS!$B291="ENVÍO A SUPESA","G-"&amp;MOVIMIENTOS!$G291,MOVIMIENTOS!$G291)&amp;"  ","")&amp;IF(N(MOVIMIENTOS!$E291)&gt;0,MOVIMIENTOS!$E291&amp;" "&amp;MOVIMIENTOS!$D291,"")),"")</f>
        <v/>
      </c>
      <c r="P292">
        <f t="shared" si="34"/>
        <v>6138.5</v>
      </c>
    </row>
    <row r="293" spans="1:16" x14ac:dyDescent="0.2">
      <c r="A293" s="7" t="str">
        <f t="shared" si="28"/>
        <v/>
      </c>
      <c r="B293" s="8" t="str">
        <f t="shared" si="29"/>
        <v/>
      </c>
      <c r="C293" s="9" t="str">
        <f t="shared" si="30"/>
        <v/>
      </c>
      <c r="D293" s="9" t="str">
        <f t="shared" si="31"/>
        <v/>
      </c>
      <c r="E293" s="8" t="str">
        <f t="shared" si="32"/>
        <v/>
      </c>
      <c r="F293" s="9" t="str">
        <f t="shared" si="33"/>
        <v/>
      </c>
      <c r="J293" t="str">
        <f>IF(AND(MOVIMIENTOS!$B292&lt;&gt;"",NOT(AND(MOVIMIENTOS!$B292="PROCESO",MOVIMIENTOS!$C292&lt;&gt;"Chancho")),NOT(AND(MOVIMIENTOS!$B292="SALDO INICIAL",MOVIMIENTOS!$C292="Chancho"))),COUNT(J$5:J292)+1,"")</f>
        <v/>
      </c>
      <c r="K293" t="str">
        <f>IF(AND(MOVIMIENTOS!$B292&lt;&gt;"",NOT(AND(MOVIMIENTOS!$B292="PROCESO",MOVIMIENTOS!$C292&lt;&gt;"Chancho")),NOT(AND(MOVIMIENTOS!$B292="SALDO INICIAL",MOVIMIENTOS!$C292="Chancho"))),MOVIMIENTOS!$A292,"")</f>
        <v/>
      </c>
      <c r="L293" t="str">
        <f>IF(AND(MOVIMIENTOS!$B292&lt;&gt;"",NOT(AND(MOVIMIENTOS!$B292="PROCESO",MOVIMIENTOS!$C292&lt;&gt;"Chancho")),NOT(AND(MOVIMIENTOS!$B292="SALDO INICIAL",MOVIMIENTOS!$C292="Chancho"))),IF(MOVIMIENTOS!$B292="SALDO INICIAL","APERTURA ("&amp;MOVIMIENTOS!$C292&amp;")",IF(MOVIMIENTOS!$B292="COMPRA","INGRESO (compra)",IF(MOVIMIENTOS!$B292="PROCESO","CHANCHO (proceso)",IF(MOVIMIENTOS!$B292="ENVÍO A SUPESA","ENVÍO SUPESA cal. "&amp;MOVIMIENTOS!$C292,IF(MOVIMIENTOS!$B292="VENTA CHANCHO","VENTA CHANCHO",IF(MOVIMIENTOS!$B292="DEVOLUCIÓN","DEVOLUCIÓN cal. "&amp;MOVIMIENTOS!$C292,IF(MOVIMIENTOS!$B292="TRASIEGO","TRASIEGO cal. "&amp;MOVIMIENTOS!$C292,IF(MOVIMIENTOS!$B292="REGALO","REGALO "&amp;MOVIMIENTOS!$C292,IF(MOVIMIENTOS!$B292="VENTA","VENTA "&amp;MOVIMIENTOS!$C292,IF(MOVIMIENTOS!$B292="AJUSTE","AJUSTE inventario ("&amp;MOVIMIENTOS!$C292&amp;")",MOVIMIENTOS!$B292)))))))))),"")</f>
        <v/>
      </c>
      <c r="M293" t="str">
        <f>IF(AND(AND(MOVIMIENTOS!$B292&lt;&gt;"",NOT(AND(MOVIMIENTOS!$B292="PROCESO",MOVIMIENTOS!$C292&lt;&gt;"Chancho")),NOT(AND(MOVIMIENTOS!$B292="SALDO INICIAL",MOVIMIENTOS!$C292="Chancho"))),OR(MOVIMIENTOS!$B292="SALDO INICIAL",MOVIMIENTOS!$B292="COMPRA",MOVIMIENTOS!$B292="REPROCESO",AND(MOVIMIENTOS!$B292="AJUSTE",MOVIMIENTOS!$C292&lt;&gt;"Chancho",N(MOVIMIENTOS!$F292)&gt;=0))),N(MOVIMIENTOS!$F292),"")</f>
        <v/>
      </c>
      <c r="N293" t="str">
        <f>IF(AND(AND(MOVIMIENTOS!$B292&lt;&gt;"",NOT(AND(MOVIMIENTOS!$B292="PROCESO",MOVIMIENTOS!$C292&lt;&gt;"Chancho")),NOT(AND(MOVIMIENTOS!$B292="SALDO INICIAL",MOVIMIENTOS!$C292="Chancho"))),OR(MOVIMIENTOS!$B292="ENVÍO A SUPESA",MOVIMIENTOS!$B292="MALOGRADO",MOVIMIENTOS!$B292="OTRA SALIDA",MOVIMIENTOS!$B292="TRASIEGO",AND(MOVIMIENTOS!$B292="PROCESO",MOVIMIENTOS!$C292="Chancho"),AND(MOVIMIENTOS!$B292="REGALO",MOVIMIENTOS!$C292&lt;&gt;"Chancho"),AND(MOVIMIENTOS!$B292="VENTA",MOVIMIENTOS!$C292&lt;&gt;"Chancho"),AND(MOVIMIENTOS!$B292="AJUSTE",MOVIMIENTOS!$C292&lt;&gt;"Chancho",N(MOVIMIENTOS!$F292)&lt;0))),IF(MOVIMIENTOS!$B292="AJUSTE",-N(MOVIMIENTOS!$F292),N(MOVIMIENTOS!$F292)),"")</f>
        <v/>
      </c>
      <c r="O293" t="str">
        <f>IF(AND(MOVIMIENTOS!$B292&lt;&gt;"",NOT(AND(MOVIMIENTOS!$B292="PROCESO",MOVIMIENTOS!$C292&lt;&gt;"Chancho")),NOT(AND(MOVIMIENTOS!$B292="SALDO INICIAL",MOVIMIENTOS!$C292="Chancho"))),TRIM(IF(MOVIMIENTOS!$G292&lt;&gt;"",IF(MOVIMIENTOS!$B292="ENVÍO A SUPESA","G-"&amp;MOVIMIENTOS!$G292,MOVIMIENTOS!$G292)&amp;"  ","")&amp;IF(N(MOVIMIENTOS!$E292)&gt;0,MOVIMIENTOS!$E292&amp;" "&amp;MOVIMIENTOS!$D292,"")),"")</f>
        <v/>
      </c>
      <c r="P293">
        <f t="shared" si="34"/>
        <v>6138.5</v>
      </c>
    </row>
    <row r="294" spans="1:16" x14ac:dyDescent="0.2">
      <c r="A294" s="7" t="str">
        <f t="shared" si="28"/>
        <v/>
      </c>
      <c r="B294" s="8" t="str">
        <f t="shared" si="29"/>
        <v/>
      </c>
      <c r="C294" s="9" t="str">
        <f t="shared" si="30"/>
        <v/>
      </c>
      <c r="D294" s="9" t="str">
        <f t="shared" si="31"/>
        <v/>
      </c>
      <c r="E294" s="8" t="str">
        <f t="shared" si="32"/>
        <v/>
      </c>
      <c r="F294" s="9" t="str">
        <f t="shared" si="33"/>
        <v/>
      </c>
      <c r="J294" t="str">
        <f>IF(AND(MOVIMIENTOS!$B293&lt;&gt;"",NOT(AND(MOVIMIENTOS!$B293="PROCESO",MOVIMIENTOS!$C293&lt;&gt;"Chancho")),NOT(AND(MOVIMIENTOS!$B293="SALDO INICIAL",MOVIMIENTOS!$C293="Chancho"))),COUNT(J$5:J293)+1,"")</f>
        <v/>
      </c>
      <c r="K294" t="str">
        <f>IF(AND(MOVIMIENTOS!$B293&lt;&gt;"",NOT(AND(MOVIMIENTOS!$B293="PROCESO",MOVIMIENTOS!$C293&lt;&gt;"Chancho")),NOT(AND(MOVIMIENTOS!$B293="SALDO INICIAL",MOVIMIENTOS!$C293="Chancho"))),MOVIMIENTOS!$A293,"")</f>
        <v/>
      </c>
      <c r="L294" t="str">
        <f>IF(AND(MOVIMIENTOS!$B293&lt;&gt;"",NOT(AND(MOVIMIENTOS!$B293="PROCESO",MOVIMIENTOS!$C293&lt;&gt;"Chancho")),NOT(AND(MOVIMIENTOS!$B293="SALDO INICIAL",MOVIMIENTOS!$C293="Chancho"))),IF(MOVIMIENTOS!$B293="SALDO INICIAL","APERTURA ("&amp;MOVIMIENTOS!$C293&amp;")",IF(MOVIMIENTOS!$B293="COMPRA","INGRESO (compra)",IF(MOVIMIENTOS!$B293="PROCESO","CHANCHO (proceso)",IF(MOVIMIENTOS!$B293="ENVÍO A SUPESA","ENVÍO SUPESA cal. "&amp;MOVIMIENTOS!$C293,IF(MOVIMIENTOS!$B293="VENTA CHANCHO","VENTA CHANCHO",IF(MOVIMIENTOS!$B293="DEVOLUCIÓN","DEVOLUCIÓN cal. "&amp;MOVIMIENTOS!$C293,IF(MOVIMIENTOS!$B293="TRASIEGO","TRASIEGO cal. "&amp;MOVIMIENTOS!$C293,IF(MOVIMIENTOS!$B293="REGALO","REGALO "&amp;MOVIMIENTOS!$C293,IF(MOVIMIENTOS!$B293="VENTA","VENTA "&amp;MOVIMIENTOS!$C293,IF(MOVIMIENTOS!$B293="AJUSTE","AJUSTE inventario ("&amp;MOVIMIENTOS!$C293&amp;")",MOVIMIENTOS!$B293)))))))))),"")</f>
        <v/>
      </c>
      <c r="M294" t="str">
        <f>IF(AND(AND(MOVIMIENTOS!$B293&lt;&gt;"",NOT(AND(MOVIMIENTOS!$B293="PROCESO",MOVIMIENTOS!$C293&lt;&gt;"Chancho")),NOT(AND(MOVIMIENTOS!$B293="SALDO INICIAL",MOVIMIENTOS!$C293="Chancho"))),OR(MOVIMIENTOS!$B293="SALDO INICIAL",MOVIMIENTOS!$B293="COMPRA",MOVIMIENTOS!$B293="REPROCESO",AND(MOVIMIENTOS!$B293="AJUSTE",MOVIMIENTOS!$C293&lt;&gt;"Chancho",N(MOVIMIENTOS!$F293)&gt;=0))),N(MOVIMIENTOS!$F293),"")</f>
        <v/>
      </c>
      <c r="N294" t="str">
        <f>IF(AND(AND(MOVIMIENTOS!$B293&lt;&gt;"",NOT(AND(MOVIMIENTOS!$B293="PROCESO",MOVIMIENTOS!$C293&lt;&gt;"Chancho")),NOT(AND(MOVIMIENTOS!$B293="SALDO INICIAL",MOVIMIENTOS!$C293="Chancho"))),OR(MOVIMIENTOS!$B293="ENVÍO A SUPESA",MOVIMIENTOS!$B293="MALOGRADO",MOVIMIENTOS!$B293="OTRA SALIDA",MOVIMIENTOS!$B293="TRASIEGO",AND(MOVIMIENTOS!$B293="PROCESO",MOVIMIENTOS!$C293="Chancho"),AND(MOVIMIENTOS!$B293="REGALO",MOVIMIENTOS!$C293&lt;&gt;"Chancho"),AND(MOVIMIENTOS!$B293="VENTA",MOVIMIENTOS!$C293&lt;&gt;"Chancho"),AND(MOVIMIENTOS!$B293="AJUSTE",MOVIMIENTOS!$C293&lt;&gt;"Chancho",N(MOVIMIENTOS!$F293)&lt;0))),IF(MOVIMIENTOS!$B293="AJUSTE",-N(MOVIMIENTOS!$F293),N(MOVIMIENTOS!$F293)),"")</f>
        <v/>
      </c>
      <c r="O294" t="str">
        <f>IF(AND(MOVIMIENTOS!$B293&lt;&gt;"",NOT(AND(MOVIMIENTOS!$B293="PROCESO",MOVIMIENTOS!$C293&lt;&gt;"Chancho")),NOT(AND(MOVIMIENTOS!$B293="SALDO INICIAL",MOVIMIENTOS!$C293="Chancho"))),TRIM(IF(MOVIMIENTOS!$G293&lt;&gt;"",IF(MOVIMIENTOS!$B293="ENVÍO A SUPESA","G-"&amp;MOVIMIENTOS!$G293,MOVIMIENTOS!$G293)&amp;"  ","")&amp;IF(N(MOVIMIENTOS!$E293)&gt;0,MOVIMIENTOS!$E293&amp;" "&amp;MOVIMIENTOS!$D293,"")),"")</f>
        <v/>
      </c>
      <c r="P294">
        <f t="shared" si="34"/>
        <v>6138.5</v>
      </c>
    </row>
    <row r="295" spans="1:16" x14ac:dyDescent="0.2">
      <c r="A295" s="7" t="str">
        <f t="shared" si="28"/>
        <v/>
      </c>
      <c r="B295" s="8" t="str">
        <f t="shared" si="29"/>
        <v/>
      </c>
      <c r="C295" s="9" t="str">
        <f t="shared" si="30"/>
        <v/>
      </c>
      <c r="D295" s="9" t="str">
        <f t="shared" si="31"/>
        <v/>
      </c>
      <c r="E295" s="8" t="str">
        <f t="shared" si="32"/>
        <v/>
      </c>
      <c r="F295" s="9" t="str">
        <f t="shared" si="33"/>
        <v/>
      </c>
      <c r="J295" t="str">
        <f>IF(AND(MOVIMIENTOS!$B294&lt;&gt;"",NOT(AND(MOVIMIENTOS!$B294="PROCESO",MOVIMIENTOS!$C294&lt;&gt;"Chancho")),NOT(AND(MOVIMIENTOS!$B294="SALDO INICIAL",MOVIMIENTOS!$C294="Chancho"))),COUNT(J$5:J294)+1,"")</f>
        <v/>
      </c>
      <c r="K295" t="str">
        <f>IF(AND(MOVIMIENTOS!$B294&lt;&gt;"",NOT(AND(MOVIMIENTOS!$B294="PROCESO",MOVIMIENTOS!$C294&lt;&gt;"Chancho")),NOT(AND(MOVIMIENTOS!$B294="SALDO INICIAL",MOVIMIENTOS!$C294="Chancho"))),MOVIMIENTOS!$A294,"")</f>
        <v/>
      </c>
      <c r="L295" t="str">
        <f>IF(AND(MOVIMIENTOS!$B294&lt;&gt;"",NOT(AND(MOVIMIENTOS!$B294="PROCESO",MOVIMIENTOS!$C294&lt;&gt;"Chancho")),NOT(AND(MOVIMIENTOS!$B294="SALDO INICIAL",MOVIMIENTOS!$C294="Chancho"))),IF(MOVIMIENTOS!$B294="SALDO INICIAL","APERTURA ("&amp;MOVIMIENTOS!$C294&amp;")",IF(MOVIMIENTOS!$B294="COMPRA","INGRESO (compra)",IF(MOVIMIENTOS!$B294="PROCESO","CHANCHO (proceso)",IF(MOVIMIENTOS!$B294="ENVÍO A SUPESA","ENVÍO SUPESA cal. "&amp;MOVIMIENTOS!$C294,IF(MOVIMIENTOS!$B294="VENTA CHANCHO","VENTA CHANCHO",IF(MOVIMIENTOS!$B294="DEVOLUCIÓN","DEVOLUCIÓN cal. "&amp;MOVIMIENTOS!$C294,IF(MOVIMIENTOS!$B294="TRASIEGO","TRASIEGO cal. "&amp;MOVIMIENTOS!$C294,IF(MOVIMIENTOS!$B294="REGALO","REGALO "&amp;MOVIMIENTOS!$C294,IF(MOVIMIENTOS!$B294="VENTA","VENTA "&amp;MOVIMIENTOS!$C294,IF(MOVIMIENTOS!$B294="AJUSTE","AJUSTE inventario ("&amp;MOVIMIENTOS!$C294&amp;")",MOVIMIENTOS!$B294)))))))))),"")</f>
        <v/>
      </c>
      <c r="M295" t="str">
        <f>IF(AND(AND(MOVIMIENTOS!$B294&lt;&gt;"",NOT(AND(MOVIMIENTOS!$B294="PROCESO",MOVIMIENTOS!$C294&lt;&gt;"Chancho")),NOT(AND(MOVIMIENTOS!$B294="SALDO INICIAL",MOVIMIENTOS!$C294="Chancho"))),OR(MOVIMIENTOS!$B294="SALDO INICIAL",MOVIMIENTOS!$B294="COMPRA",MOVIMIENTOS!$B294="REPROCESO",AND(MOVIMIENTOS!$B294="AJUSTE",MOVIMIENTOS!$C294&lt;&gt;"Chancho",N(MOVIMIENTOS!$F294)&gt;=0))),N(MOVIMIENTOS!$F294),"")</f>
        <v/>
      </c>
      <c r="N295" t="str">
        <f>IF(AND(AND(MOVIMIENTOS!$B294&lt;&gt;"",NOT(AND(MOVIMIENTOS!$B294="PROCESO",MOVIMIENTOS!$C294&lt;&gt;"Chancho")),NOT(AND(MOVIMIENTOS!$B294="SALDO INICIAL",MOVIMIENTOS!$C294="Chancho"))),OR(MOVIMIENTOS!$B294="ENVÍO A SUPESA",MOVIMIENTOS!$B294="MALOGRADO",MOVIMIENTOS!$B294="OTRA SALIDA",MOVIMIENTOS!$B294="TRASIEGO",AND(MOVIMIENTOS!$B294="PROCESO",MOVIMIENTOS!$C294="Chancho"),AND(MOVIMIENTOS!$B294="REGALO",MOVIMIENTOS!$C294&lt;&gt;"Chancho"),AND(MOVIMIENTOS!$B294="VENTA",MOVIMIENTOS!$C294&lt;&gt;"Chancho"),AND(MOVIMIENTOS!$B294="AJUSTE",MOVIMIENTOS!$C294&lt;&gt;"Chancho",N(MOVIMIENTOS!$F294)&lt;0))),IF(MOVIMIENTOS!$B294="AJUSTE",-N(MOVIMIENTOS!$F294),N(MOVIMIENTOS!$F294)),"")</f>
        <v/>
      </c>
      <c r="O295" t="str">
        <f>IF(AND(MOVIMIENTOS!$B294&lt;&gt;"",NOT(AND(MOVIMIENTOS!$B294="PROCESO",MOVIMIENTOS!$C294&lt;&gt;"Chancho")),NOT(AND(MOVIMIENTOS!$B294="SALDO INICIAL",MOVIMIENTOS!$C294="Chancho"))),TRIM(IF(MOVIMIENTOS!$G294&lt;&gt;"",IF(MOVIMIENTOS!$B294="ENVÍO A SUPESA","G-"&amp;MOVIMIENTOS!$G294,MOVIMIENTOS!$G294)&amp;"  ","")&amp;IF(N(MOVIMIENTOS!$E294)&gt;0,MOVIMIENTOS!$E294&amp;" "&amp;MOVIMIENTOS!$D294,"")),"")</f>
        <v/>
      </c>
      <c r="P295">
        <f t="shared" si="34"/>
        <v>6138.5</v>
      </c>
    </row>
    <row r="296" spans="1:16" x14ac:dyDescent="0.2">
      <c r="A296" s="7" t="str">
        <f t="shared" si="28"/>
        <v/>
      </c>
      <c r="B296" s="8" t="str">
        <f t="shared" si="29"/>
        <v/>
      </c>
      <c r="C296" s="9" t="str">
        <f t="shared" si="30"/>
        <v/>
      </c>
      <c r="D296" s="9" t="str">
        <f t="shared" si="31"/>
        <v/>
      </c>
      <c r="E296" s="8" t="str">
        <f t="shared" si="32"/>
        <v/>
      </c>
      <c r="F296" s="9" t="str">
        <f t="shared" si="33"/>
        <v/>
      </c>
      <c r="J296" t="str">
        <f>IF(AND(MOVIMIENTOS!$B295&lt;&gt;"",NOT(AND(MOVIMIENTOS!$B295="PROCESO",MOVIMIENTOS!$C295&lt;&gt;"Chancho")),NOT(AND(MOVIMIENTOS!$B295="SALDO INICIAL",MOVIMIENTOS!$C295="Chancho"))),COUNT(J$5:J295)+1,"")</f>
        <v/>
      </c>
      <c r="K296" t="str">
        <f>IF(AND(MOVIMIENTOS!$B295&lt;&gt;"",NOT(AND(MOVIMIENTOS!$B295="PROCESO",MOVIMIENTOS!$C295&lt;&gt;"Chancho")),NOT(AND(MOVIMIENTOS!$B295="SALDO INICIAL",MOVIMIENTOS!$C295="Chancho"))),MOVIMIENTOS!$A295,"")</f>
        <v/>
      </c>
      <c r="L296" t="str">
        <f>IF(AND(MOVIMIENTOS!$B295&lt;&gt;"",NOT(AND(MOVIMIENTOS!$B295="PROCESO",MOVIMIENTOS!$C295&lt;&gt;"Chancho")),NOT(AND(MOVIMIENTOS!$B295="SALDO INICIAL",MOVIMIENTOS!$C295="Chancho"))),IF(MOVIMIENTOS!$B295="SALDO INICIAL","APERTURA ("&amp;MOVIMIENTOS!$C295&amp;")",IF(MOVIMIENTOS!$B295="COMPRA","INGRESO (compra)",IF(MOVIMIENTOS!$B295="PROCESO","CHANCHO (proceso)",IF(MOVIMIENTOS!$B295="ENVÍO A SUPESA","ENVÍO SUPESA cal. "&amp;MOVIMIENTOS!$C295,IF(MOVIMIENTOS!$B295="VENTA CHANCHO","VENTA CHANCHO",IF(MOVIMIENTOS!$B295="DEVOLUCIÓN","DEVOLUCIÓN cal. "&amp;MOVIMIENTOS!$C295,IF(MOVIMIENTOS!$B295="TRASIEGO","TRASIEGO cal. "&amp;MOVIMIENTOS!$C295,IF(MOVIMIENTOS!$B295="REGALO","REGALO "&amp;MOVIMIENTOS!$C295,IF(MOVIMIENTOS!$B295="VENTA","VENTA "&amp;MOVIMIENTOS!$C295,IF(MOVIMIENTOS!$B295="AJUSTE","AJUSTE inventario ("&amp;MOVIMIENTOS!$C295&amp;")",MOVIMIENTOS!$B295)))))))))),"")</f>
        <v/>
      </c>
      <c r="M296" t="str">
        <f>IF(AND(AND(MOVIMIENTOS!$B295&lt;&gt;"",NOT(AND(MOVIMIENTOS!$B295="PROCESO",MOVIMIENTOS!$C295&lt;&gt;"Chancho")),NOT(AND(MOVIMIENTOS!$B295="SALDO INICIAL",MOVIMIENTOS!$C295="Chancho"))),OR(MOVIMIENTOS!$B295="SALDO INICIAL",MOVIMIENTOS!$B295="COMPRA",MOVIMIENTOS!$B295="REPROCESO",AND(MOVIMIENTOS!$B295="AJUSTE",MOVIMIENTOS!$C295&lt;&gt;"Chancho",N(MOVIMIENTOS!$F295)&gt;=0))),N(MOVIMIENTOS!$F295),"")</f>
        <v/>
      </c>
      <c r="N296" t="str">
        <f>IF(AND(AND(MOVIMIENTOS!$B295&lt;&gt;"",NOT(AND(MOVIMIENTOS!$B295="PROCESO",MOVIMIENTOS!$C295&lt;&gt;"Chancho")),NOT(AND(MOVIMIENTOS!$B295="SALDO INICIAL",MOVIMIENTOS!$C295="Chancho"))),OR(MOVIMIENTOS!$B295="ENVÍO A SUPESA",MOVIMIENTOS!$B295="MALOGRADO",MOVIMIENTOS!$B295="OTRA SALIDA",MOVIMIENTOS!$B295="TRASIEGO",AND(MOVIMIENTOS!$B295="PROCESO",MOVIMIENTOS!$C295="Chancho"),AND(MOVIMIENTOS!$B295="REGALO",MOVIMIENTOS!$C295&lt;&gt;"Chancho"),AND(MOVIMIENTOS!$B295="VENTA",MOVIMIENTOS!$C295&lt;&gt;"Chancho"),AND(MOVIMIENTOS!$B295="AJUSTE",MOVIMIENTOS!$C295&lt;&gt;"Chancho",N(MOVIMIENTOS!$F295)&lt;0))),IF(MOVIMIENTOS!$B295="AJUSTE",-N(MOVIMIENTOS!$F295),N(MOVIMIENTOS!$F295)),"")</f>
        <v/>
      </c>
      <c r="O296" t="str">
        <f>IF(AND(MOVIMIENTOS!$B295&lt;&gt;"",NOT(AND(MOVIMIENTOS!$B295="PROCESO",MOVIMIENTOS!$C295&lt;&gt;"Chancho")),NOT(AND(MOVIMIENTOS!$B295="SALDO INICIAL",MOVIMIENTOS!$C295="Chancho"))),TRIM(IF(MOVIMIENTOS!$G295&lt;&gt;"",IF(MOVIMIENTOS!$B295="ENVÍO A SUPESA","G-"&amp;MOVIMIENTOS!$G295,MOVIMIENTOS!$G295)&amp;"  ","")&amp;IF(N(MOVIMIENTOS!$E295)&gt;0,MOVIMIENTOS!$E295&amp;" "&amp;MOVIMIENTOS!$D295,"")),"")</f>
        <v/>
      </c>
      <c r="P296">
        <f t="shared" si="34"/>
        <v>6138.5</v>
      </c>
    </row>
    <row r="297" spans="1:16" x14ac:dyDescent="0.2">
      <c r="A297" s="7" t="str">
        <f t="shared" si="28"/>
        <v/>
      </c>
      <c r="B297" s="8" t="str">
        <f t="shared" si="29"/>
        <v/>
      </c>
      <c r="C297" s="9" t="str">
        <f t="shared" si="30"/>
        <v/>
      </c>
      <c r="D297" s="9" t="str">
        <f t="shared" si="31"/>
        <v/>
      </c>
      <c r="E297" s="8" t="str">
        <f t="shared" si="32"/>
        <v/>
      </c>
      <c r="F297" s="9" t="str">
        <f t="shared" si="33"/>
        <v/>
      </c>
      <c r="J297" t="str">
        <f>IF(AND(MOVIMIENTOS!$B296&lt;&gt;"",NOT(AND(MOVIMIENTOS!$B296="PROCESO",MOVIMIENTOS!$C296&lt;&gt;"Chancho")),NOT(AND(MOVIMIENTOS!$B296="SALDO INICIAL",MOVIMIENTOS!$C296="Chancho"))),COUNT(J$5:J296)+1,"")</f>
        <v/>
      </c>
      <c r="K297" t="str">
        <f>IF(AND(MOVIMIENTOS!$B296&lt;&gt;"",NOT(AND(MOVIMIENTOS!$B296="PROCESO",MOVIMIENTOS!$C296&lt;&gt;"Chancho")),NOT(AND(MOVIMIENTOS!$B296="SALDO INICIAL",MOVIMIENTOS!$C296="Chancho"))),MOVIMIENTOS!$A296,"")</f>
        <v/>
      </c>
      <c r="L297" t="str">
        <f>IF(AND(MOVIMIENTOS!$B296&lt;&gt;"",NOT(AND(MOVIMIENTOS!$B296="PROCESO",MOVIMIENTOS!$C296&lt;&gt;"Chancho")),NOT(AND(MOVIMIENTOS!$B296="SALDO INICIAL",MOVIMIENTOS!$C296="Chancho"))),IF(MOVIMIENTOS!$B296="SALDO INICIAL","APERTURA ("&amp;MOVIMIENTOS!$C296&amp;")",IF(MOVIMIENTOS!$B296="COMPRA","INGRESO (compra)",IF(MOVIMIENTOS!$B296="PROCESO","CHANCHO (proceso)",IF(MOVIMIENTOS!$B296="ENVÍO A SUPESA","ENVÍO SUPESA cal. "&amp;MOVIMIENTOS!$C296,IF(MOVIMIENTOS!$B296="VENTA CHANCHO","VENTA CHANCHO",IF(MOVIMIENTOS!$B296="DEVOLUCIÓN","DEVOLUCIÓN cal. "&amp;MOVIMIENTOS!$C296,IF(MOVIMIENTOS!$B296="TRASIEGO","TRASIEGO cal. "&amp;MOVIMIENTOS!$C296,IF(MOVIMIENTOS!$B296="REGALO","REGALO "&amp;MOVIMIENTOS!$C296,IF(MOVIMIENTOS!$B296="VENTA","VENTA "&amp;MOVIMIENTOS!$C296,IF(MOVIMIENTOS!$B296="AJUSTE","AJUSTE inventario ("&amp;MOVIMIENTOS!$C296&amp;")",MOVIMIENTOS!$B296)))))))))),"")</f>
        <v/>
      </c>
      <c r="M297" t="str">
        <f>IF(AND(AND(MOVIMIENTOS!$B296&lt;&gt;"",NOT(AND(MOVIMIENTOS!$B296="PROCESO",MOVIMIENTOS!$C296&lt;&gt;"Chancho")),NOT(AND(MOVIMIENTOS!$B296="SALDO INICIAL",MOVIMIENTOS!$C296="Chancho"))),OR(MOVIMIENTOS!$B296="SALDO INICIAL",MOVIMIENTOS!$B296="COMPRA",MOVIMIENTOS!$B296="REPROCESO",AND(MOVIMIENTOS!$B296="AJUSTE",MOVIMIENTOS!$C296&lt;&gt;"Chancho",N(MOVIMIENTOS!$F296)&gt;=0))),N(MOVIMIENTOS!$F296),"")</f>
        <v/>
      </c>
      <c r="N297" t="str">
        <f>IF(AND(AND(MOVIMIENTOS!$B296&lt;&gt;"",NOT(AND(MOVIMIENTOS!$B296="PROCESO",MOVIMIENTOS!$C296&lt;&gt;"Chancho")),NOT(AND(MOVIMIENTOS!$B296="SALDO INICIAL",MOVIMIENTOS!$C296="Chancho"))),OR(MOVIMIENTOS!$B296="ENVÍO A SUPESA",MOVIMIENTOS!$B296="MALOGRADO",MOVIMIENTOS!$B296="OTRA SALIDA",MOVIMIENTOS!$B296="TRASIEGO",AND(MOVIMIENTOS!$B296="PROCESO",MOVIMIENTOS!$C296="Chancho"),AND(MOVIMIENTOS!$B296="REGALO",MOVIMIENTOS!$C296&lt;&gt;"Chancho"),AND(MOVIMIENTOS!$B296="VENTA",MOVIMIENTOS!$C296&lt;&gt;"Chancho"),AND(MOVIMIENTOS!$B296="AJUSTE",MOVIMIENTOS!$C296&lt;&gt;"Chancho",N(MOVIMIENTOS!$F296)&lt;0))),IF(MOVIMIENTOS!$B296="AJUSTE",-N(MOVIMIENTOS!$F296),N(MOVIMIENTOS!$F296)),"")</f>
        <v/>
      </c>
      <c r="O297" t="str">
        <f>IF(AND(MOVIMIENTOS!$B296&lt;&gt;"",NOT(AND(MOVIMIENTOS!$B296="PROCESO",MOVIMIENTOS!$C296&lt;&gt;"Chancho")),NOT(AND(MOVIMIENTOS!$B296="SALDO INICIAL",MOVIMIENTOS!$C296="Chancho"))),TRIM(IF(MOVIMIENTOS!$G296&lt;&gt;"",IF(MOVIMIENTOS!$B296="ENVÍO A SUPESA","G-"&amp;MOVIMIENTOS!$G296,MOVIMIENTOS!$G296)&amp;"  ","")&amp;IF(N(MOVIMIENTOS!$E296)&gt;0,MOVIMIENTOS!$E296&amp;" "&amp;MOVIMIENTOS!$D296,"")),"")</f>
        <v/>
      </c>
      <c r="P297">
        <f t="shared" si="34"/>
        <v>6138.5</v>
      </c>
    </row>
    <row r="298" spans="1:16" x14ac:dyDescent="0.2">
      <c r="A298" s="7" t="str">
        <f t="shared" si="28"/>
        <v/>
      </c>
      <c r="B298" s="8" t="str">
        <f t="shared" si="29"/>
        <v/>
      </c>
      <c r="C298" s="9" t="str">
        <f t="shared" si="30"/>
        <v/>
      </c>
      <c r="D298" s="9" t="str">
        <f t="shared" si="31"/>
        <v/>
      </c>
      <c r="E298" s="8" t="str">
        <f t="shared" si="32"/>
        <v/>
      </c>
      <c r="F298" s="9" t="str">
        <f t="shared" si="33"/>
        <v/>
      </c>
      <c r="J298" t="str">
        <f>IF(AND(MOVIMIENTOS!$B297&lt;&gt;"",NOT(AND(MOVIMIENTOS!$B297="PROCESO",MOVIMIENTOS!$C297&lt;&gt;"Chancho")),NOT(AND(MOVIMIENTOS!$B297="SALDO INICIAL",MOVIMIENTOS!$C297="Chancho"))),COUNT(J$5:J297)+1,"")</f>
        <v/>
      </c>
      <c r="K298" t="str">
        <f>IF(AND(MOVIMIENTOS!$B297&lt;&gt;"",NOT(AND(MOVIMIENTOS!$B297="PROCESO",MOVIMIENTOS!$C297&lt;&gt;"Chancho")),NOT(AND(MOVIMIENTOS!$B297="SALDO INICIAL",MOVIMIENTOS!$C297="Chancho"))),MOVIMIENTOS!$A297,"")</f>
        <v/>
      </c>
      <c r="L298" t="str">
        <f>IF(AND(MOVIMIENTOS!$B297&lt;&gt;"",NOT(AND(MOVIMIENTOS!$B297="PROCESO",MOVIMIENTOS!$C297&lt;&gt;"Chancho")),NOT(AND(MOVIMIENTOS!$B297="SALDO INICIAL",MOVIMIENTOS!$C297="Chancho"))),IF(MOVIMIENTOS!$B297="SALDO INICIAL","APERTURA ("&amp;MOVIMIENTOS!$C297&amp;")",IF(MOVIMIENTOS!$B297="COMPRA","INGRESO (compra)",IF(MOVIMIENTOS!$B297="PROCESO","CHANCHO (proceso)",IF(MOVIMIENTOS!$B297="ENVÍO A SUPESA","ENVÍO SUPESA cal. "&amp;MOVIMIENTOS!$C297,IF(MOVIMIENTOS!$B297="VENTA CHANCHO","VENTA CHANCHO",IF(MOVIMIENTOS!$B297="DEVOLUCIÓN","DEVOLUCIÓN cal. "&amp;MOVIMIENTOS!$C297,IF(MOVIMIENTOS!$B297="TRASIEGO","TRASIEGO cal. "&amp;MOVIMIENTOS!$C297,IF(MOVIMIENTOS!$B297="REGALO","REGALO "&amp;MOVIMIENTOS!$C297,IF(MOVIMIENTOS!$B297="VENTA","VENTA "&amp;MOVIMIENTOS!$C297,IF(MOVIMIENTOS!$B297="AJUSTE","AJUSTE inventario ("&amp;MOVIMIENTOS!$C297&amp;")",MOVIMIENTOS!$B297)))))))))),"")</f>
        <v/>
      </c>
      <c r="M298" t="str">
        <f>IF(AND(AND(MOVIMIENTOS!$B297&lt;&gt;"",NOT(AND(MOVIMIENTOS!$B297="PROCESO",MOVIMIENTOS!$C297&lt;&gt;"Chancho")),NOT(AND(MOVIMIENTOS!$B297="SALDO INICIAL",MOVIMIENTOS!$C297="Chancho"))),OR(MOVIMIENTOS!$B297="SALDO INICIAL",MOVIMIENTOS!$B297="COMPRA",MOVIMIENTOS!$B297="REPROCESO",AND(MOVIMIENTOS!$B297="AJUSTE",MOVIMIENTOS!$C297&lt;&gt;"Chancho",N(MOVIMIENTOS!$F297)&gt;=0))),N(MOVIMIENTOS!$F297),"")</f>
        <v/>
      </c>
      <c r="N298" t="str">
        <f>IF(AND(AND(MOVIMIENTOS!$B297&lt;&gt;"",NOT(AND(MOVIMIENTOS!$B297="PROCESO",MOVIMIENTOS!$C297&lt;&gt;"Chancho")),NOT(AND(MOVIMIENTOS!$B297="SALDO INICIAL",MOVIMIENTOS!$C297="Chancho"))),OR(MOVIMIENTOS!$B297="ENVÍO A SUPESA",MOVIMIENTOS!$B297="MALOGRADO",MOVIMIENTOS!$B297="OTRA SALIDA",MOVIMIENTOS!$B297="TRASIEGO",AND(MOVIMIENTOS!$B297="PROCESO",MOVIMIENTOS!$C297="Chancho"),AND(MOVIMIENTOS!$B297="REGALO",MOVIMIENTOS!$C297&lt;&gt;"Chancho"),AND(MOVIMIENTOS!$B297="VENTA",MOVIMIENTOS!$C297&lt;&gt;"Chancho"),AND(MOVIMIENTOS!$B297="AJUSTE",MOVIMIENTOS!$C297&lt;&gt;"Chancho",N(MOVIMIENTOS!$F297)&lt;0))),IF(MOVIMIENTOS!$B297="AJUSTE",-N(MOVIMIENTOS!$F297),N(MOVIMIENTOS!$F297)),"")</f>
        <v/>
      </c>
      <c r="O298" t="str">
        <f>IF(AND(MOVIMIENTOS!$B297&lt;&gt;"",NOT(AND(MOVIMIENTOS!$B297="PROCESO",MOVIMIENTOS!$C297&lt;&gt;"Chancho")),NOT(AND(MOVIMIENTOS!$B297="SALDO INICIAL",MOVIMIENTOS!$C297="Chancho"))),TRIM(IF(MOVIMIENTOS!$G297&lt;&gt;"",IF(MOVIMIENTOS!$B297="ENVÍO A SUPESA","G-"&amp;MOVIMIENTOS!$G297,MOVIMIENTOS!$G297)&amp;"  ","")&amp;IF(N(MOVIMIENTOS!$E297)&gt;0,MOVIMIENTOS!$E297&amp;" "&amp;MOVIMIENTOS!$D297,"")),"")</f>
        <v/>
      </c>
      <c r="P298">
        <f t="shared" si="34"/>
        <v>6138.5</v>
      </c>
    </row>
    <row r="299" spans="1:16" x14ac:dyDescent="0.2">
      <c r="A299" s="7" t="str">
        <f t="shared" si="28"/>
        <v/>
      </c>
      <c r="B299" s="8" t="str">
        <f t="shared" si="29"/>
        <v/>
      </c>
      <c r="C299" s="9" t="str">
        <f t="shared" si="30"/>
        <v/>
      </c>
      <c r="D299" s="9" t="str">
        <f t="shared" si="31"/>
        <v/>
      </c>
      <c r="E299" s="8" t="str">
        <f t="shared" si="32"/>
        <v/>
      </c>
      <c r="F299" s="9" t="str">
        <f t="shared" si="33"/>
        <v/>
      </c>
      <c r="J299" t="str">
        <f>IF(AND(MOVIMIENTOS!$B298&lt;&gt;"",NOT(AND(MOVIMIENTOS!$B298="PROCESO",MOVIMIENTOS!$C298&lt;&gt;"Chancho")),NOT(AND(MOVIMIENTOS!$B298="SALDO INICIAL",MOVIMIENTOS!$C298="Chancho"))),COUNT(J$5:J298)+1,"")</f>
        <v/>
      </c>
      <c r="K299" t="str">
        <f>IF(AND(MOVIMIENTOS!$B298&lt;&gt;"",NOT(AND(MOVIMIENTOS!$B298="PROCESO",MOVIMIENTOS!$C298&lt;&gt;"Chancho")),NOT(AND(MOVIMIENTOS!$B298="SALDO INICIAL",MOVIMIENTOS!$C298="Chancho"))),MOVIMIENTOS!$A298,"")</f>
        <v/>
      </c>
      <c r="L299" t="str">
        <f>IF(AND(MOVIMIENTOS!$B298&lt;&gt;"",NOT(AND(MOVIMIENTOS!$B298="PROCESO",MOVIMIENTOS!$C298&lt;&gt;"Chancho")),NOT(AND(MOVIMIENTOS!$B298="SALDO INICIAL",MOVIMIENTOS!$C298="Chancho"))),IF(MOVIMIENTOS!$B298="SALDO INICIAL","APERTURA ("&amp;MOVIMIENTOS!$C298&amp;")",IF(MOVIMIENTOS!$B298="COMPRA","INGRESO (compra)",IF(MOVIMIENTOS!$B298="PROCESO","CHANCHO (proceso)",IF(MOVIMIENTOS!$B298="ENVÍO A SUPESA","ENVÍO SUPESA cal. "&amp;MOVIMIENTOS!$C298,IF(MOVIMIENTOS!$B298="VENTA CHANCHO","VENTA CHANCHO",IF(MOVIMIENTOS!$B298="DEVOLUCIÓN","DEVOLUCIÓN cal. "&amp;MOVIMIENTOS!$C298,IF(MOVIMIENTOS!$B298="TRASIEGO","TRASIEGO cal. "&amp;MOVIMIENTOS!$C298,IF(MOVIMIENTOS!$B298="REGALO","REGALO "&amp;MOVIMIENTOS!$C298,IF(MOVIMIENTOS!$B298="VENTA","VENTA "&amp;MOVIMIENTOS!$C298,IF(MOVIMIENTOS!$B298="AJUSTE","AJUSTE inventario ("&amp;MOVIMIENTOS!$C298&amp;")",MOVIMIENTOS!$B298)))))))))),"")</f>
        <v/>
      </c>
      <c r="M299" t="str">
        <f>IF(AND(AND(MOVIMIENTOS!$B298&lt;&gt;"",NOT(AND(MOVIMIENTOS!$B298="PROCESO",MOVIMIENTOS!$C298&lt;&gt;"Chancho")),NOT(AND(MOVIMIENTOS!$B298="SALDO INICIAL",MOVIMIENTOS!$C298="Chancho"))),OR(MOVIMIENTOS!$B298="SALDO INICIAL",MOVIMIENTOS!$B298="COMPRA",MOVIMIENTOS!$B298="REPROCESO",AND(MOVIMIENTOS!$B298="AJUSTE",MOVIMIENTOS!$C298&lt;&gt;"Chancho",N(MOVIMIENTOS!$F298)&gt;=0))),N(MOVIMIENTOS!$F298),"")</f>
        <v/>
      </c>
      <c r="N299" t="str">
        <f>IF(AND(AND(MOVIMIENTOS!$B298&lt;&gt;"",NOT(AND(MOVIMIENTOS!$B298="PROCESO",MOVIMIENTOS!$C298&lt;&gt;"Chancho")),NOT(AND(MOVIMIENTOS!$B298="SALDO INICIAL",MOVIMIENTOS!$C298="Chancho"))),OR(MOVIMIENTOS!$B298="ENVÍO A SUPESA",MOVIMIENTOS!$B298="MALOGRADO",MOVIMIENTOS!$B298="OTRA SALIDA",MOVIMIENTOS!$B298="TRASIEGO",AND(MOVIMIENTOS!$B298="PROCESO",MOVIMIENTOS!$C298="Chancho"),AND(MOVIMIENTOS!$B298="REGALO",MOVIMIENTOS!$C298&lt;&gt;"Chancho"),AND(MOVIMIENTOS!$B298="VENTA",MOVIMIENTOS!$C298&lt;&gt;"Chancho"),AND(MOVIMIENTOS!$B298="AJUSTE",MOVIMIENTOS!$C298&lt;&gt;"Chancho",N(MOVIMIENTOS!$F298)&lt;0))),IF(MOVIMIENTOS!$B298="AJUSTE",-N(MOVIMIENTOS!$F298),N(MOVIMIENTOS!$F298)),"")</f>
        <v/>
      </c>
      <c r="O299" t="str">
        <f>IF(AND(MOVIMIENTOS!$B298&lt;&gt;"",NOT(AND(MOVIMIENTOS!$B298="PROCESO",MOVIMIENTOS!$C298&lt;&gt;"Chancho")),NOT(AND(MOVIMIENTOS!$B298="SALDO INICIAL",MOVIMIENTOS!$C298="Chancho"))),TRIM(IF(MOVIMIENTOS!$G298&lt;&gt;"",IF(MOVIMIENTOS!$B298="ENVÍO A SUPESA","G-"&amp;MOVIMIENTOS!$G298,MOVIMIENTOS!$G298)&amp;"  ","")&amp;IF(N(MOVIMIENTOS!$E298)&gt;0,MOVIMIENTOS!$E298&amp;" "&amp;MOVIMIENTOS!$D298,"")),"")</f>
        <v/>
      </c>
      <c r="P299">
        <f t="shared" si="34"/>
        <v>6138.5</v>
      </c>
    </row>
    <row r="300" spans="1:16" x14ac:dyDescent="0.2">
      <c r="A300" s="7" t="str">
        <f t="shared" si="28"/>
        <v/>
      </c>
      <c r="B300" s="8" t="str">
        <f t="shared" si="29"/>
        <v/>
      </c>
      <c r="C300" s="9" t="str">
        <f t="shared" si="30"/>
        <v/>
      </c>
      <c r="D300" s="9" t="str">
        <f t="shared" si="31"/>
        <v/>
      </c>
      <c r="E300" s="8" t="str">
        <f t="shared" si="32"/>
        <v/>
      </c>
      <c r="F300" s="9" t="str">
        <f t="shared" si="33"/>
        <v/>
      </c>
      <c r="J300" t="str">
        <f>IF(AND(MOVIMIENTOS!$B299&lt;&gt;"",NOT(AND(MOVIMIENTOS!$B299="PROCESO",MOVIMIENTOS!$C299&lt;&gt;"Chancho")),NOT(AND(MOVIMIENTOS!$B299="SALDO INICIAL",MOVIMIENTOS!$C299="Chancho"))),COUNT(J$5:J299)+1,"")</f>
        <v/>
      </c>
      <c r="K300" t="str">
        <f>IF(AND(MOVIMIENTOS!$B299&lt;&gt;"",NOT(AND(MOVIMIENTOS!$B299="PROCESO",MOVIMIENTOS!$C299&lt;&gt;"Chancho")),NOT(AND(MOVIMIENTOS!$B299="SALDO INICIAL",MOVIMIENTOS!$C299="Chancho"))),MOVIMIENTOS!$A299,"")</f>
        <v/>
      </c>
      <c r="L300" t="str">
        <f>IF(AND(MOVIMIENTOS!$B299&lt;&gt;"",NOT(AND(MOVIMIENTOS!$B299="PROCESO",MOVIMIENTOS!$C299&lt;&gt;"Chancho")),NOT(AND(MOVIMIENTOS!$B299="SALDO INICIAL",MOVIMIENTOS!$C299="Chancho"))),IF(MOVIMIENTOS!$B299="SALDO INICIAL","APERTURA ("&amp;MOVIMIENTOS!$C299&amp;")",IF(MOVIMIENTOS!$B299="COMPRA","INGRESO (compra)",IF(MOVIMIENTOS!$B299="PROCESO","CHANCHO (proceso)",IF(MOVIMIENTOS!$B299="ENVÍO A SUPESA","ENVÍO SUPESA cal. "&amp;MOVIMIENTOS!$C299,IF(MOVIMIENTOS!$B299="VENTA CHANCHO","VENTA CHANCHO",IF(MOVIMIENTOS!$B299="DEVOLUCIÓN","DEVOLUCIÓN cal. "&amp;MOVIMIENTOS!$C299,IF(MOVIMIENTOS!$B299="TRASIEGO","TRASIEGO cal. "&amp;MOVIMIENTOS!$C299,IF(MOVIMIENTOS!$B299="REGALO","REGALO "&amp;MOVIMIENTOS!$C299,IF(MOVIMIENTOS!$B299="VENTA","VENTA "&amp;MOVIMIENTOS!$C299,IF(MOVIMIENTOS!$B299="AJUSTE","AJUSTE inventario ("&amp;MOVIMIENTOS!$C299&amp;")",MOVIMIENTOS!$B299)))))))))),"")</f>
        <v/>
      </c>
      <c r="M300" t="str">
        <f>IF(AND(AND(MOVIMIENTOS!$B299&lt;&gt;"",NOT(AND(MOVIMIENTOS!$B299="PROCESO",MOVIMIENTOS!$C299&lt;&gt;"Chancho")),NOT(AND(MOVIMIENTOS!$B299="SALDO INICIAL",MOVIMIENTOS!$C299="Chancho"))),OR(MOVIMIENTOS!$B299="SALDO INICIAL",MOVIMIENTOS!$B299="COMPRA",MOVIMIENTOS!$B299="REPROCESO",AND(MOVIMIENTOS!$B299="AJUSTE",MOVIMIENTOS!$C299&lt;&gt;"Chancho",N(MOVIMIENTOS!$F299)&gt;=0))),N(MOVIMIENTOS!$F299),"")</f>
        <v/>
      </c>
      <c r="N300" t="str">
        <f>IF(AND(AND(MOVIMIENTOS!$B299&lt;&gt;"",NOT(AND(MOVIMIENTOS!$B299="PROCESO",MOVIMIENTOS!$C299&lt;&gt;"Chancho")),NOT(AND(MOVIMIENTOS!$B299="SALDO INICIAL",MOVIMIENTOS!$C299="Chancho"))),OR(MOVIMIENTOS!$B299="ENVÍO A SUPESA",MOVIMIENTOS!$B299="MALOGRADO",MOVIMIENTOS!$B299="OTRA SALIDA",MOVIMIENTOS!$B299="TRASIEGO",AND(MOVIMIENTOS!$B299="PROCESO",MOVIMIENTOS!$C299="Chancho"),AND(MOVIMIENTOS!$B299="REGALO",MOVIMIENTOS!$C299&lt;&gt;"Chancho"),AND(MOVIMIENTOS!$B299="VENTA",MOVIMIENTOS!$C299&lt;&gt;"Chancho"),AND(MOVIMIENTOS!$B299="AJUSTE",MOVIMIENTOS!$C299&lt;&gt;"Chancho",N(MOVIMIENTOS!$F299)&lt;0))),IF(MOVIMIENTOS!$B299="AJUSTE",-N(MOVIMIENTOS!$F299),N(MOVIMIENTOS!$F299)),"")</f>
        <v/>
      </c>
      <c r="O300" t="str">
        <f>IF(AND(MOVIMIENTOS!$B299&lt;&gt;"",NOT(AND(MOVIMIENTOS!$B299="PROCESO",MOVIMIENTOS!$C299&lt;&gt;"Chancho")),NOT(AND(MOVIMIENTOS!$B299="SALDO INICIAL",MOVIMIENTOS!$C299="Chancho"))),TRIM(IF(MOVIMIENTOS!$G299&lt;&gt;"",IF(MOVIMIENTOS!$B299="ENVÍO A SUPESA","G-"&amp;MOVIMIENTOS!$G299,MOVIMIENTOS!$G299)&amp;"  ","")&amp;IF(N(MOVIMIENTOS!$E299)&gt;0,MOVIMIENTOS!$E299&amp;" "&amp;MOVIMIENTOS!$D299,"")),"")</f>
        <v/>
      </c>
      <c r="P300">
        <f t="shared" si="34"/>
        <v>6138.5</v>
      </c>
    </row>
    <row r="301" spans="1:16" x14ac:dyDescent="0.2">
      <c r="A301" s="7" t="str">
        <f t="shared" si="28"/>
        <v/>
      </c>
      <c r="B301" s="8" t="str">
        <f t="shared" si="29"/>
        <v/>
      </c>
      <c r="C301" s="9" t="str">
        <f t="shared" si="30"/>
        <v/>
      </c>
      <c r="D301" s="9" t="str">
        <f t="shared" si="31"/>
        <v/>
      </c>
      <c r="E301" s="8" t="str">
        <f t="shared" si="32"/>
        <v/>
      </c>
      <c r="F301" s="9" t="str">
        <f t="shared" si="33"/>
        <v/>
      </c>
      <c r="J301" t="str">
        <f>IF(AND(MOVIMIENTOS!$B300&lt;&gt;"",NOT(AND(MOVIMIENTOS!$B300="PROCESO",MOVIMIENTOS!$C300&lt;&gt;"Chancho")),NOT(AND(MOVIMIENTOS!$B300="SALDO INICIAL",MOVIMIENTOS!$C300="Chancho"))),COUNT(J$5:J300)+1,"")</f>
        <v/>
      </c>
      <c r="K301" t="str">
        <f>IF(AND(MOVIMIENTOS!$B300&lt;&gt;"",NOT(AND(MOVIMIENTOS!$B300="PROCESO",MOVIMIENTOS!$C300&lt;&gt;"Chancho")),NOT(AND(MOVIMIENTOS!$B300="SALDO INICIAL",MOVIMIENTOS!$C300="Chancho"))),MOVIMIENTOS!$A300,"")</f>
        <v/>
      </c>
      <c r="L301" t="str">
        <f>IF(AND(MOVIMIENTOS!$B300&lt;&gt;"",NOT(AND(MOVIMIENTOS!$B300="PROCESO",MOVIMIENTOS!$C300&lt;&gt;"Chancho")),NOT(AND(MOVIMIENTOS!$B300="SALDO INICIAL",MOVIMIENTOS!$C300="Chancho"))),IF(MOVIMIENTOS!$B300="SALDO INICIAL","APERTURA ("&amp;MOVIMIENTOS!$C300&amp;")",IF(MOVIMIENTOS!$B300="COMPRA","INGRESO (compra)",IF(MOVIMIENTOS!$B300="PROCESO","CHANCHO (proceso)",IF(MOVIMIENTOS!$B300="ENVÍO A SUPESA","ENVÍO SUPESA cal. "&amp;MOVIMIENTOS!$C300,IF(MOVIMIENTOS!$B300="VENTA CHANCHO","VENTA CHANCHO",IF(MOVIMIENTOS!$B300="DEVOLUCIÓN","DEVOLUCIÓN cal. "&amp;MOVIMIENTOS!$C300,IF(MOVIMIENTOS!$B300="TRASIEGO","TRASIEGO cal. "&amp;MOVIMIENTOS!$C300,IF(MOVIMIENTOS!$B300="REGALO","REGALO "&amp;MOVIMIENTOS!$C300,IF(MOVIMIENTOS!$B300="VENTA","VENTA "&amp;MOVIMIENTOS!$C300,IF(MOVIMIENTOS!$B300="AJUSTE","AJUSTE inventario ("&amp;MOVIMIENTOS!$C300&amp;")",MOVIMIENTOS!$B300)))))))))),"")</f>
        <v/>
      </c>
      <c r="M301" t="str">
        <f>IF(AND(AND(MOVIMIENTOS!$B300&lt;&gt;"",NOT(AND(MOVIMIENTOS!$B300="PROCESO",MOVIMIENTOS!$C300&lt;&gt;"Chancho")),NOT(AND(MOVIMIENTOS!$B300="SALDO INICIAL",MOVIMIENTOS!$C300="Chancho"))),OR(MOVIMIENTOS!$B300="SALDO INICIAL",MOVIMIENTOS!$B300="COMPRA",MOVIMIENTOS!$B300="REPROCESO",AND(MOVIMIENTOS!$B300="AJUSTE",MOVIMIENTOS!$C300&lt;&gt;"Chancho",N(MOVIMIENTOS!$F300)&gt;=0))),N(MOVIMIENTOS!$F300),"")</f>
        <v/>
      </c>
      <c r="N301" t="str">
        <f>IF(AND(AND(MOVIMIENTOS!$B300&lt;&gt;"",NOT(AND(MOVIMIENTOS!$B300="PROCESO",MOVIMIENTOS!$C300&lt;&gt;"Chancho")),NOT(AND(MOVIMIENTOS!$B300="SALDO INICIAL",MOVIMIENTOS!$C300="Chancho"))),OR(MOVIMIENTOS!$B300="ENVÍO A SUPESA",MOVIMIENTOS!$B300="MALOGRADO",MOVIMIENTOS!$B300="OTRA SALIDA",MOVIMIENTOS!$B300="TRASIEGO",AND(MOVIMIENTOS!$B300="PROCESO",MOVIMIENTOS!$C300="Chancho"),AND(MOVIMIENTOS!$B300="REGALO",MOVIMIENTOS!$C300&lt;&gt;"Chancho"),AND(MOVIMIENTOS!$B300="VENTA",MOVIMIENTOS!$C300&lt;&gt;"Chancho"),AND(MOVIMIENTOS!$B300="AJUSTE",MOVIMIENTOS!$C300&lt;&gt;"Chancho",N(MOVIMIENTOS!$F300)&lt;0))),IF(MOVIMIENTOS!$B300="AJUSTE",-N(MOVIMIENTOS!$F300),N(MOVIMIENTOS!$F300)),"")</f>
        <v/>
      </c>
      <c r="O301" t="str">
        <f>IF(AND(MOVIMIENTOS!$B300&lt;&gt;"",NOT(AND(MOVIMIENTOS!$B300="PROCESO",MOVIMIENTOS!$C300&lt;&gt;"Chancho")),NOT(AND(MOVIMIENTOS!$B300="SALDO INICIAL",MOVIMIENTOS!$C300="Chancho"))),TRIM(IF(MOVIMIENTOS!$G300&lt;&gt;"",IF(MOVIMIENTOS!$B300="ENVÍO A SUPESA","G-"&amp;MOVIMIENTOS!$G300,MOVIMIENTOS!$G300)&amp;"  ","")&amp;IF(N(MOVIMIENTOS!$E300)&gt;0,MOVIMIENTOS!$E300&amp;" "&amp;MOVIMIENTOS!$D300,"")),"")</f>
        <v/>
      </c>
      <c r="P301">
        <f t="shared" si="34"/>
        <v>6138.5</v>
      </c>
    </row>
    <row r="302" spans="1:16" x14ac:dyDescent="0.2">
      <c r="A302" s="7" t="str">
        <f t="shared" si="28"/>
        <v/>
      </c>
      <c r="B302" s="8" t="str">
        <f t="shared" si="29"/>
        <v/>
      </c>
      <c r="C302" s="9" t="str">
        <f t="shared" si="30"/>
        <v/>
      </c>
      <c r="D302" s="9" t="str">
        <f t="shared" si="31"/>
        <v/>
      </c>
      <c r="E302" s="8" t="str">
        <f t="shared" si="32"/>
        <v/>
      </c>
      <c r="F302" s="9" t="str">
        <f t="shared" si="33"/>
        <v/>
      </c>
      <c r="J302" t="str">
        <f>IF(AND(MOVIMIENTOS!$B301&lt;&gt;"",NOT(AND(MOVIMIENTOS!$B301="PROCESO",MOVIMIENTOS!$C301&lt;&gt;"Chancho")),NOT(AND(MOVIMIENTOS!$B301="SALDO INICIAL",MOVIMIENTOS!$C301="Chancho"))),COUNT(J$5:J301)+1,"")</f>
        <v/>
      </c>
      <c r="K302" t="str">
        <f>IF(AND(MOVIMIENTOS!$B301&lt;&gt;"",NOT(AND(MOVIMIENTOS!$B301="PROCESO",MOVIMIENTOS!$C301&lt;&gt;"Chancho")),NOT(AND(MOVIMIENTOS!$B301="SALDO INICIAL",MOVIMIENTOS!$C301="Chancho"))),MOVIMIENTOS!$A301,"")</f>
        <v/>
      </c>
      <c r="L302" t="str">
        <f>IF(AND(MOVIMIENTOS!$B301&lt;&gt;"",NOT(AND(MOVIMIENTOS!$B301="PROCESO",MOVIMIENTOS!$C301&lt;&gt;"Chancho")),NOT(AND(MOVIMIENTOS!$B301="SALDO INICIAL",MOVIMIENTOS!$C301="Chancho"))),IF(MOVIMIENTOS!$B301="SALDO INICIAL","APERTURA ("&amp;MOVIMIENTOS!$C301&amp;")",IF(MOVIMIENTOS!$B301="COMPRA","INGRESO (compra)",IF(MOVIMIENTOS!$B301="PROCESO","CHANCHO (proceso)",IF(MOVIMIENTOS!$B301="ENVÍO A SUPESA","ENVÍO SUPESA cal. "&amp;MOVIMIENTOS!$C301,IF(MOVIMIENTOS!$B301="VENTA CHANCHO","VENTA CHANCHO",IF(MOVIMIENTOS!$B301="DEVOLUCIÓN","DEVOLUCIÓN cal. "&amp;MOVIMIENTOS!$C301,IF(MOVIMIENTOS!$B301="TRASIEGO","TRASIEGO cal. "&amp;MOVIMIENTOS!$C301,IF(MOVIMIENTOS!$B301="REGALO","REGALO "&amp;MOVIMIENTOS!$C301,IF(MOVIMIENTOS!$B301="VENTA","VENTA "&amp;MOVIMIENTOS!$C301,IF(MOVIMIENTOS!$B301="AJUSTE","AJUSTE inventario ("&amp;MOVIMIENTOS!$C301&amp;")",MOVIMIENTOS!$B301)))))))))),"")</f>
        <v/>
      </c>
      <c r="M302" t="str">
        <f>IF(AND(AND(MOVIMIENTOS!$B301&lt;&gt;"",NOT(AND(MOVIMIENTOS!$B301="PROCESO",MOVIMIENTOS!$C301&lt;&gt;"Chancho")),NOT(AND(MOVIMIENTOS!$B301="SALDO INICIAL",MOVIMIENTOS!$C301="Chancho"))),OR(MOVIMIENTOS!$B301="SALDO INICIAL",MOVIMIENTOS!$B301="COMPRA",MOVIMIENTOS!$B301="REPROCESO",AND(MOVIMIENTOS!$B301="AJUSTE",MOVIMIENTOS!$C301&lt;&gt;"Chancho",N(MOVIMIENTOS!$F301)&gt;=0))),N(MOVIMIENTOS!$F301),"")</f>
        <v/>
      </c>
      <c r="N302" t="str">
        <f>IF(AND(AND(MOVIMIENTOS!$B301&lt;&gt;"",NOT(AND(MOVIMIENTOS!$B301="PROCESO",MOVIMIENTOS!$C301&lt;&gt;"Chancho")),NOT(AND(MOVIMIENTOS!$B301="SALDO INICIAL",MOVIMIENTOS!$C301="Chancho"))),OR(MOVIMIENTOS!$B301="ENVÍO A SUPESA",MOVIMIENTOS!$B301="MALOGRADO",MOVIMIENTOS!$B301="OTRA SALIDA",MOVIMIENTOS!$B301="TRASIEGO",AND(MOVIMIENTOS!$B301="PROCESO",MOVIMIENTOS!$C301="Chancho"),AND(MOVIMIENTOS!$B301="REGALO",MOVIMIENTOS!$C301&lt;&gt;"Chancho"),AND(MOVIMIENTOS!$B301="VENTA",MOVIMIENTOS!$C301&lt;&gt;"Chancho"),AND(MOVIMIENTOS!$B301="AJUSTE",MOVIMIENTOS!$C301&lt;&gt;"Chancho",N(MOVIMIENTOS!$F301)&lt;0))),IF(MOVIMIENTOS!$B301="AJUSTE",-N(MOVIMIENTOS!$F301),N(MOVIMIENTOS!$F301)),"")</f>
        <v/>
      </c>
      <c r="O302" t="str">
        <f>IF(AND(MOVIMIENTOS!$B301&lt;&gt;"",NOT(AND(MOVIMIENTOS!$B301="PROCESO",MOVIMIENTOS!$C301&lt;&gt;"Chancho")),NOT(AND(MOVIMIENTOS!$B301="SALDO INICIAL",MOVIMIENTOS!$C301="Chancho"))),TRIM(IF(MOVIMIENTOS!$G301&lt;&gt;"",IF(MOVIMIENTOS!$B301="ENVÍO A SUPESA","G-"&amp;MOVIMIENTOS!$G301,MOVIMIENTOS!$G301)&amp;"  ","")&amp;IF(N(MOVIMIENTOS!$E301)&gt;0,MOVIMIENTOS!$E301&amp;" "&amp;MOVIMIENTOS!$D301,"")),"")</f>
        <v/>
      </c>
      <c r="P302">
        <f t="shared" si="34"/>
        <v>6138.5</v>
      </c>
    </row>
    <row r="303" spans="1:16" x14ac:dyDescent="0.2">
      <c r="A303" s="7" t="str">
        <f t="shared" si="28"/>
        <v/>
      </c>
      <c r="B303" s="8" t="str">
        <f t="shared" si="29"/>
        <v/>
      </c>
      <c r="C303" s="9" t="str">
        <f t="shared" si="30"/>
        <v/>
      </c>
      <c r="D303" s="9" t="str">
        <f t="shared" si="31"/>
        <v/>
      </c>
      <c r="E303" s="8" t="str">
        <f t="shared" si="32"/>
        <v/>
      </c>
      <c r="F303" s="9" t="str">
        <f t="shared" si="33"/>
        <v/>
      </c>
      <c r="J303" t="str">
        <f>IF(AND(MOVIMIENTOS!$B302&lt;&gt;"",NOT(AND(MOVIMIENTOS!$B302="PROCESO",MOVIMIENTOS!$C302&lt;&gt;"Chancho")),NOT(AND(MOVIMIENTOS!$B302="SALDO INICIAL",MOVIMIENTOS!$C302="Chancho"))),COUNT(J$5:J302)+1,"")</f>
        <v/>
      </c>
      <c r="K303" t="str">
        <f>IF(AND(MOVIMIENTOS!$B302&lt;&gt;"",NOT(AND(MOVIMIENTOS!$B302="PROCESO",MOVIMIENTOS!$C302&lt;&gt;"Chancho")),NOT(AND(MOVIMIENTOS!$B302="SALDO INICIAL",MOVIMIENTOS!$C302="Chancho"))),MOVIMIENTOS!$A302,"")</f>
        <v/>
      </c>
      <c r="L303" t="str">
        <f>IF(AND(MOVIMIENTOS!$B302&lt;&gt;"",NOT(AND(MOVIMIENTOS!$B302="PROCESO",MOVIMIENTOS!$C302&lt;&gt;"Chancho")),NOT(AND(MOVIMIENTOS!$B302="SALDO INICIAL",MOVIMIENTOS!$C302="Chancho"))),IF(MOVIMIENTOS!$B302="SALDO INICIAL","APERTURA ("&amp;MOVIMIENTOS!$C302&amp;")",IF(MOVIMIENTOS!$B302="COMPRA","INGRESO (compra)",IF(MOVIMIENTOS!$B302="PROCESO","CHANCHO (proceso)",IF(MOVIMIENTOS!$B302="ENVÍO A SUPESA","ENVÍO SUPESA cal. "&amp;MOVIMIENTOS!$C302,IF(MOVIMIENTOS!$B302="VENTA CHANCHO","VENTA CHANCHO",IF(MOVIMIENTOS!$B302="DEVOLUCIÓN","DEVOLUCIÓN cal. "&amp;MOVIMIENTOS!$C302,IF(MOVIMIENTOS!$B302="TRASIEGO","TRASIEGO cal. "&amp;MOVIMIENTOS!$C302,IF(MOVIMIENTOS!$B302="REGALO","REGALO "&amp;MOVIMIENTOS!$C302,IF(MOVIMIENTOS!$B302="VENTA","VENTA "&amp;MOVIMIENTOS!$C302,IF(MOVIMIENTOS!$B302="AJUSTE","AJUSTE inventario ("&amp;MOVIMIENTOS!$C302&amp;")",MOVIMIENTOS!$B302)))))))))),"")</f>
        <v/>
      </c>
      <c r="M303" t="str">
        <f>IF(AND(AND(MOVIMIENTOS!$B302&lt;&gt;"",NOT(AND(MOVIMIENTOS!$B302="PROCESO",MOVIMIENTOS!$C302&lt;&gt;"Chancho")),NOT(AND(MOVIMIENTOS!$B302="SALDO INICIAL",MOVIMIENTOS!$C302="Chancho"))),OR(MOVIMIENTOS!$B302="SALDO INICIAL",MOVIMIENTOS!$B302="COMPRA",MOVIMIENTOS!$B302="REPROCESO",AND(MOVIMIENTOS!$B302="AJUSTE",MOVIMIENTOS!$C302&lt;&gt;"Chancho",N(MOVIMIENTOS!$F302)&gt;=0))),N(MOVIMIENTOS!$F302),"")</f>
        <v/>
      </c>
      <c r="N303" t="str">
        <f>IF(AND(AND(MOVIMIENTOS!$B302&lt;&gt;"",NOT(AND(MOVIMIENTOS!$B302="PROCESO",MOVIMIENTOS!$C302&lt;&gt;"Chancho")),NOT(AND(MOVIMIENTOS!$B302="SALDO INICIAL",MOVIMIENTOS!$C302="Chancho"))),OR(MOVIMIENTOS!$B302="ENVÍO A SUPESA",MOVIMIENTOS!$B302="MALOGRADO",MOVIMIENTOS!$B302="OTRA SALIDA",MOVIMIENTOS!$B302="TRASIEGO",AND(MOVIMIENTOS!$B302="PROCESO",MOVIMIENTOS!$C302="Chancho"),AND(MOVIMIENTOS!$B302="REGALO",MOVIMIENTOS!$C302&lt;&gt;"Chancho"),AND(MOVIMIENTOS!$B302="VENTA",MOVIMIENTOS!$C302&lt;&gt;"Chancho"),AND(MOVIMIENTOS!$B302="AJUSTE",MOVIMIENTOS!$C302&lt;&gt;"Chancho",N(MOVIMIENTOS!$F302)&lt;0))),IF(MOVIMIENTOS!$B302="AJUSTE",-N(MOVIMIENTOS!$F302),N(MOVIMIENTOS!$F302)),"")</f>
        <v/>
      </c>
      <c r="O303" t="str">
        <f>IF(AND(MOVIMIENTOS!$B302&lt;&gt;"",NOT(AND(MOVIMIENTOS!$B302="PROCESO",MOVIMIENTOS!$C302&lt;&gt;"Chancho")),NOT(AND(MOVIMIENTOS!$B302="SALDO INICIAL",MOVIMIENTOS!$C302="Chancho"))),TRIM(IF(MOVIMIENTOS!$G302&lt;&gt;"",IF(MOVIMIENTOS!$B302="ENVÍO A SUPESA","G-"&amp;MOVIMIENTOS!$G302,MOVIMIENTOS!$G302)&amp;"  ","")&amp;IF(N(MOVIMIENTOS!$E302)&gt;0,MOVIMIENTOS!$E302&amp;" "&amp;MOVIMIENTOS!$D302,"")),"")</f>
        <v/>
      </c>
      <c r="P303">
        <f t="shared" si="34"/>
        <v>6138.5</v>
      </c>
    </row>
    <row r="304" spans="1:16" x14ac:dyDescent="0.2">
      <c r="A304" s="7" t="str">
        <f t="shared" si="28"/>
        <v/>
      </c>
      <c r="B304" s="8" t="str">
        <f t="shared" si="29"/>
        <v/>
      </c>
      <c r="C304" s="9" t="str">
        <f t="shared" si="30"/>
        <v/>
      </c>
      <c r="D304" s="9" t="str">
        <f t="shared" si="31"/>
        <v/>
      </c>
      <c r="E304" s="8" t="str">
        <f t="shared" si="32"/>
        <v/>
      </c>
      <c r="F304" s="9" t="str">
        <f t="shared" si="33"/>
        <v/>
      </c>
      <c r="J304" t="str">
        <f>IF(AND(MOVIMIENTOS!$B303&lt;&gt;"",NOT(AND(MOVIMIENTOS!$B303="PROCESO",MOVIMIENTOS!$C303&lt;&gt;"Chancho")),NOT(AND(MOVIMIENTOS!$B303="SALDO INICIAL",MOVIMIENTOS!$C303="Chancho"))),COUNT(J$5:J303)+1,"")</f>
        <v/>
      </c>
      <c r="K304" t="str">
        <f>IF(AND(MOVIMIENTOS!$B303&lt;&gt;"",NOT(AND(MOVIMIENTOS!$B303="PROCESO",MOVIMIENTOS!$C303&lt;&gt;"Chancho")),NOT(AND(MOVIMIENTOS!$B303="SALDO INICIAL",MOVIMIENTOS!$C303="Chancho"))),MOVIMIENTOS!$A303,"")</f>
        <v/>
      </c>
      <c r="L304" t="str">
        <f>IF(AND(MOVIMIENTOS!$B303&lt;&gt;"",NOT(AND(MOVIMIENTOS!$B303="PROCESO",MOVIMIENTOS!$C303&lt;&gt;"Chancho")),NOT(AND(MOVIMIENTOS!$B303="SALDO INICIAL",MOVIMIENTOS!$C303="Chancho"))),IF(MOVIMIENTOS!$B303="SALDO INICIAL","APERTURA ("&amp;MOVIMIENTOS!$C303&amp;")",IF(MOVIMIENTOS!$B303="COMPRA","INGRESO (compra)",IF(MOVIMIENTOS!$B303="PROCESO","CHANCHO (proceso)",IF(MOVIMIENTOS!$B303="ENVÍO A SUPESA","ENVÍO SUPESA cal. "&amp;MOVIMIENTOS!$C303,IF(MOVIMIENTOS!$B303="VENTA CHANCHO","VENTA CHANCHO",IF(MOVIMIENTOS!$B303="DEVOLUCIÓN","DEVOLUCIÓN cal. "&amp;MOVIMIENTOS!$C303,IF(MOVIMIENTOS!$B303="TRASIEGO","TRASIEGO cal. "&amp;MOVIMIENTOS!$C303,IF(MOVIMIENTOS!$B303="REGALO","REGALO "&amp;MOVIMIENTOS!$C303,IF(MOVIMIENTOS!$B303="VENTA","VENTA "&amp;MOVIMIENTOS!$C303,IF(MOVIMIENTOS!$B303="AJUSTE","AJUSTE inventario ("&amp;MOVIMIENTOS!$C303&amp;")",MOVIMIENTOS!$B303)))))))))),"")</f>
        <v/>
      </c>
      <c r="M304" t="str">
        <f>IF(AND(AND(MOVIMIENTOS!$B303&lt;&gt;"",NOT(AND(MOVIMIENTOS!$B303="PROCESO",MOVIMIENTOS!$C303&lt;&gt;"Chancho")),NOT(AND(MOVIMIENTOS!$B303="SALDO INICIAL",MOVIMIENTOS!$C303="Chancho"))),OR(MOVIMIENTOS!$B303="SALDO INICIAL",MOVIMIENTOS!$B303="COMPRA",MOVIMIENTOS!$B303="REPROCESO",AND(MOVIMIENTOS!$B303="AJUSTE",MOVIMIENTOS!$C303&lt;&gt;"Chancho",N(MOVIMIENTOS!$F303)&gt;=0))),N(MOVIMIENTOS!$F303),"")</f>
        <v/>
      </c>
      <c r="N304" t="str">
        <f>IF(AND(AND(MOVIMIENTOS!$B303&lt;&gt;"",NOT(AND(MOVIMIENTOS!$B303="PROCESO",MOVIMIENTOS!$C303&lt;&gt;"Chancho")),NOT(AND(MOVIMIENTOS!$B303="SALDO INICIAL",MOVIMIENTOS!$C303="Chancho"))),OR(MOVIMIENTOS!$B303="ENVÍO A SUPESA",MOVIMIENTOS!$B303="MALOGRADO",MOVIMIENTOS!$B303="OTRA SALIDA",MOVIMIENTOS!$B303="TRASIEGO",AND(MOVIMIENTOS!$B303="PROCESO",MOVIMIENTOS!$C303="Chancho"),AND(MOVIMIENTOS!$B303="REGALO",MOVIMIENTOS!$C303&lt;&gt;"Chancho"),AND(MOVIMIENTOS!$B303="VENTA",MOVIMIENTOS!$C303&lt;&gt;"Chancho"),AND(MOVIMIENTOS!$B303="AJUSTE",MOVIMIENTOS!$C303&lt;&gt;"Chancho",N(MOVIMIENTOS!$F303)&lt;0))),IF(MOVIMIENTOS!$B303="AJUSTE",-N(MOVIMIENTOS!$F303),N(MOVIMIENTOS!$F303)),"")</f>
        <v/>
      </c>
      <c r="O304" t="str">
        <f>IF(AND(MOVIMIENTOS!$B303&lt;&gt;"",NOT(AND(MOVIMIENTOS!$B303="PROCESO",MOVIMIENTOS!$C303&lt;&gt;"Chancho")),NOT(AND(MOVIMIENTOS!$B303="SALDO INICIAL",MOVIMIENTOS!$C303="Chancho"))),TRIM(IF(MOVIMIENTOS!$G303&lt;&gt;"",IF(MOVIMIENTOS!$B303="ENVÍO A SUPESA","G-"&amp;MOVIMIENTOS!$G303,MOVIMIENTOS!$G303)&amp;"  ","")&amp;IF(N(MOVIMIENTOS!$E303)&gt;0,MOVIMIENTOS!$E303&amp;" "&amp;MOVIMIENTOS!$D303,"")),"")</f>
        <v/>
      </c>
      <c r="P304">
        <f t="shared" si="34"/>
        <v>6138.5</v>
      </c>
    </row>
    <row r="305" spans="1:16" x14ac:dyDescent="0.2">
      <c r="A305" s="7" t="str">
        <f t="shared" si="28"/>
        <v/>
      </c>
      <c r="B305" s="8" t="str">
        <f t="shared" si="29"/>
        <v/>
      </c>
      <c r="C305" s="9" t="str">
        <f t="shared" si="30"/>
        <v/>
      </c>
      <c r="D305" s="9" t="str">
        <f t="shared" si="31"/>
        <v/>
      </c>
      <c r="E305" s="8" t="str">
        <f t="shared" si="32"/>
        <v/>
      </c>
      <c r="F305" s="9" t="str">
        <f t="shared" si="33"/>
        <v/>
      </c>
      <c r="J305" t="str">
        <f>IF(AND(MOVIMIENTOS!$B304&lt;&gt;"",NOT(AND(MOVIMIENTOS!$B304="PROCESO",MOVIMIENTOS!$C304&lt;&gt;"Chancho")),NOT(AND(MOVIMIENTOS!$B304="SALDO INICIAL",MOVIMIENTOS!$C304="Chancho"))),COUNT(J$5:J304)+1,"")</f>
        <v/>
      </c>
      <c r="K305" t="str">
        <f>IF(AND(MOVIMIENTOS!$B304&lt;&gt;"",NOT(AND(MOVIMIENTOS!$B304="PROCESO",MOVIMIENTOS!$C304&lt;&gt;"Chancho")),NOT(AND(MOVIMIENTOS!$B304="SALDO INICIAL",MOVIMIENTOS!$C304="Chancho"))),MOVIMIENTOS!$A304,"")</f>
        <v/>
      </c>
      <c r="L305" t="str">
        <f>IF(AND(MOVIMIENTOS!$B304&lt;&gt;"",NOT(AND(MOVIMIENTOS!$B304="PROCESO",MOVIMIENTOS!$C304&lt;&gt;"Chancho")),NOT(AND(MOVIMIENTOS!$B304="SALDO INICIAL",MOVIMIENTOS!$C304="Chancho"))),IF(MOVIMIENTOS!$B304="SALDO INICIAL","APERTURA ("&amp;MOVIMIENTOS!$C304&amp;")",IF(MOVIMIENTOS!$B304="COMPRA","INGRESO (compra)",IF(MOVIMIENTOS!$B304="PROCESO","CHANCHO (proceso)",IF(MOVIMIENTOS!$B304="ENVÍO A SUPESA","ENVÍO SUPESA cal. "&amp;MOVIMIENTOS!$C304,IF(MOVIMIENTOS!$B304="VENTA CHANCHO","VENTA CHANCHO",IF(MOVIMIENTOS!$B304="DEVOLUCIÓN","DEVOLUCIÓN cal. "&amp;MOVIMIENTOS!$C304,IF(MOVIMIENTOS!$B304="TRASIEGO","TRASIEGO cal. "&amp;MOVIMIENTOS!$C304,IF(MOVIMIENTOS!$B304="REGALO","REGALO "&amp;MOVIMIENTOS!$C304,IF(MOVIMIENTOS!$B304="VENTA","VENTA "&amp;MOVIMIENTOS!$C304,IF(MOVIMIENTOS!$B304="AJUSTE","AJUSTE inventario ("&amp;MOVIMIENTOS!$C304&amp;")",MOVIMIENTOS!$B304)))))))))),"")</f>
        <v/>
      </c>
      <c r="M305" t="str">
        <f>IF(AND(AND(MOVIMIENTOS!$B304&lt;&gt;"",NOT(AND(MOVIMIENTOS!$B304="PROCESO",MOVIMIENTOS!$C304&lt;&gt;"Chancho")),NOT(AND(MOVIMIENTOS!$B304="SALDO INICIAL",MOVIMIENTOS!$C304="Chancho"))),OR(MOVIMIENTOS!$B304="SALDO INICIAL",MOVIMIENTOS!$B304="COMPRA",MOVIMIENTOS!$B304="REPROCESO",AND(MOVIMIENTOS!$B304="AJUSTE",MOVIMIENTOS!$C304&lt;&gt;"Chancho",N(MOVIMIENTOS!$F304)&gt;=0))),N(MOVIMIENTOS!$F304),"")</f>
        <v/>
      </c>
      <c r="N305" t="str">
        <f>IF(AND(AND(MOVIMIENTOS!$B304&lt;&gt;"",NOT(AND(MOVIMIENTOS!$B304="PROCESO",MOVIMIENTOS!$C304&lt;&gt;"Chancho")),NOT(AND(MOVIMIENTOS!$B304="SALDO INICIAL",MOVIMIENTOS!$C304="Chancho"))),OR(MOVIMIENTOS!$B304="ENVÍO A SUPESA",MOVIMIENTOS!$B304="MALOGRADO",MOVIMIENTOS!$B304="OTRA SALIDA",MOVIMIENTOS!$B304="TRASIEGO",AND(MOVIMIENTOS!$B304="PROCESO",MOVIMIENTOS!$C304="Chancho"),AND(MOVIMIENTOS!$B304="REGALO",MOVIMIENTOS!$C304&lt;&gt;"Chancho"),AND(MOVIMIENTOS!$B304="VENTA",MOVIMIENTOS!$C304&lt;&gt;"Chancho"),AND(MOVIMIENTOS!$B304="AJUSTE",MOVIMIENTOS!$C304&lt;&gt;"Chancho",N(MOVIMIENTOS!$F304)&lt;0))),IF(MOVIMIENTOS!$B304="AJUSTE",-N(MOVIMIENTOS!$F304),N(MOVIMIENTOS!$F304)),"")</f>
        <v/>
      </c>
      <c r="O305" t="str">
        <f>IF(AND(MOVIMIENTOS!$B304&lt;&gt;"",NOT(AND(MOVIMIENTOS!$B304="PROCESO",MOVIMIENTOS!$C304&lt;&gt;"Chancho")),NOT(AND(MOVIMIENTOS!$B304="SALDO INICIAL",MOVIMIENTOS!$C304="Chancho"))),TRIM(IF(MOVIMIENTOS!$G304&lt;&gt;"",IF(MOVIMIENTOS!$B304="ENVÍO A SUPESA","G-"&amp;MOVIMIENTOS!$G304,MOVIMIENTOS!$G304)&amp;"  ","")&amp;IF(N(MOVIMIENTOS!$E304)&gt;0,MOVIMIENTOS!$E304&amp;" "&amp;MOVIMIENTOS!$D304,"")),"")</f>
        <v/>
      </c>
      <c r="P305">
        <f t="shared" si="34"/>
        <v>6138.5</v>
      </c>
    </row>
    <row r="306" spans="1:16" x14ac:dyDescent="0.2">
      <c r="A306" s="7" t="str">
        <f t="shared" si="28"/>
        <v/>
      </c>
      <c r="B306" s="8" t="str">
        <f t="shared" si="29"/>
        <v/>
      </c>
      <c r="C306" s="9" t="str">
        <f t="shared" si="30"/>
        <v/>
      </c>
      <c r="D306" s="9" t="str">
        <f t="shared" si="31"/>
        <v/>
      </c>
      <c r="E306" s="8" t="str">
        <f t="shared" si="32"/>
        <v/>
      </c>
      <c r="F306" s="9" t="str">
        <f t="shared" si="33"/>
        <v/>
      </c>
      <c r="J306" t="str">
        <f>IF(AND(MOVIMIENTOS!$B305&lt;&gt;"",NOT(AND(MOVIMIENTOS!$B305="PROCESO",MOVIMIENTOS!$C305&lt;&gt;"Chancho")),NOT(AND(MOVIMIENTOS!$B305="SALDO INICIAL",MOVIMIENTOS!$C305="Chancho"))),COUNT(J$5:J305)+1,"")</f>
        <v/>
      </c>
      <c r="K306" t="str">
        <f>IF(AND(MOVIMIENTOS!$B305&lt;&gt;"",NOT(AND(MOVIMIENTOS!$B305="PROCESO",MOVIMIENTOS!$C305&lt;&gt;"Chancho")),NOT(AND(MOVIMIENTOS!$B305="SALDO INICIAL",MOVIMIENTOS!$C305="Chancho"))),MOVIMIENTOS!$A305,"")</f>
        <v/>
      </c>
      <c r="L306" t="str">
        <f>IF(AND(MOVIMIENTOS!$B305&lt;&gt;"",NOT(AND(MOVIMIENTOS!$B305="PROCESO",MOVIMIENTOS!$C305&lt;&gt;"Chancho")),NOT(AND(MOVIMIENTOS!$B305="SALDO INICIAL",MOVIMIENTOS!$C305="Chancho"))),IF(MOVIMIENTOS!$B305="SALDO INICIAL","APERTURA ("&amp;MOVIMIENTOS!$C305&amp;")",IF(MOVIMIENTOS!$B305="COMPRA","INGRESO (compra)",IF(MOVIMIENTOS!$B305="PROCESO","CHANCHO (proceso)",IF(MOVIMIENTOS!$B305="ENVÍO A SUPESA","ENVÍO SUPESA cal. "&amp;MOVIMIENTOS!$C305,IF(MOVIMIENTOS!$B305="VENTA CHANCHO","VENTA CHANCHO",IF(MOVIMIENTOS!$B305="DEVOLUCIÓN","DEVOLUCIÓN cal. "&amp;MOVIMIENTOS!$C305,IF(MOVIMIENTOS!$B305="TRASIEGO","TRASIEGO cal. "&amp;MOVIMIENTOS!$C305,IF(MOVIMIENTOS!$B305="REGALO","REGALO "&amp;MOVIMIENTOS!$C305,IF(MOVIMIENTOS!$B305="VENTA","VENTA "&amp;MOVIMIENTOS!$C305,IF(MOVIMIENTOS!$B305="AJUSTE","AJUSTE inventario ("&amp;MOVIMIENTOS!$C305&amp;")",MOVIMIENTOS!$B305)))))))))),"")</f>
        <v/>
      </c>
      <c r="M306" t="str">
        <f>IF(AND(AND(MOVIMIENTOS!$B305&lt;&gt;"",NOT(AND(MOVIMIENTOS!$B305="PROCESO",MOVIMIENTOS!$C305&lt;&gt;"Chancho")),NOT(AND(MOVIMIENTOS!$B305="SALDO INICIAL",MOVIMIENTOS!$C305="Chancho"))),OR(MOVIMIENTOS!$B305="SALDO INICIAL",MOVIMIENTOS!$B305="COMPRA",MOVIMIENTOS!$B305="REPROCESO",AND(MOVIMIENTOS!$B305="AJUSTE",MOVIMIENTOS!$C305&lt;&gt;"Chancho",N(MOVIMIENTOS!$F305)&gt;=0))),N(MOVIMIENTOS!$F305),"")</f>
        <v/>
      </c>
      <c r="N306" t="str">
        <f>IF(AND(AND(MOVIMIENTOS!$B305&lt;&gt;"",NOT(AND(MOVIMIENTOS!$B305="PROCESO",MOVIMIENTOS!$C305&lt;&gt;"Chancho")),NOT(AND(MOVIMIENTOS!$B305="SALDO INICIAL",MOVIMIENTOS!$C305="Chancho"))),OR(MOVIMIENTOS!$B305="ENVÍO A SUPESA",MOVIMIENTOS!$B305="MALOGRADO",MOVIMIENTOS!$B305="OTRA SALIDA",MOVIMIENTOS!$B305="TRASIEGO",AND(MOVIMIENTOS!$B305="PROCESO",MOVIMIENTOS!$C305="Chancho"),AND(MOVIMIENTOS!$B305="REGALO",MOVIMIENTOS!$C305&lt;&gt;"Chancho"),AND(MOVIMIENTOS!$B305="VENTA",MOVIMIENTOS!$C305&lt;&gt;"Chancho"),AND(MOVIMIENTOS!$B305="AJUSTE",MOVIMIENTOS!$C305&lt;&gt;"Chancho",N(MOVIMIENTOS!$F305)&lt;0))),IF(MOVIMIENTOS!$B305="AJUSTE",-N(MOVIMIENTOS!$F305),N(MOVIMIENTOS!$F305)),"")</f>
        <v/>
      </c>
      <c r="O306" t="str">
        <f>IF(AND(MOVIMIENTOS!$B305&lt;&gt;"",NOT(AND(MOVIMIENTOS!$B305="PROCESO",MOVIMIENTOS!$C305&lt;&gt;"Chancho")),NOT(AND(MOVIMIENTOS!$B305="SALDO INICIAL",MOVIMIENTOS!$C305="Chancho"))),TRIM(IF(MOVIMIENTOS!$G305&lt;&gt;"",IF(MOVIMIENTOS!$B305="ENVÍO A SUPESA","G-"&amp;MOVIMIENTOS!$G305,MOVIMIENTOS!$G305)&amp;"  ","")&amp;IF(N(MOVIMIENTOS!$E305)&gt;0,MOVIMIENTOS!$E305&amp;" "&amp;MOVIMIENTOS!$D305,"")),"")</f>
        <v/>
      </c>
      <c r="P306">
        <f t="shared" si="34"/>
        <v>6138.5</v>
      </c>
    </row>
    <row r="307" spans="1:16" x14ac:dyDescent="0.2">
      <c r="A307" s="7" t="str">
        <f t="shared" si="28"/>
        <v/>
      </c>
      <c r="B307" s="8" t="str">
        <f t="shared" si="29"/>
        <v/>
      </c>
      <c r="C307" s="9" t="str">
        <f t="shared" si="30"/>
        <v/>
      </c>
      <c r="D307" s="9" t="str">
        <f t="shared" si="31"/>
        <v/>
      </c>
      <c r="E307" s="8" t="str">
        <f t="shared" si="32"/>
        <v/>
      </c>
      <c r="F307" s="9" t="str">
        <f t="shared" si="33"/>
        <v/>
      </c>
      <c r="J307" t="str">
        <f>IF(AND(MOVIMIENTOS!$B306&lt;&gt;"",NOT(AND(MOVIMIENTOS!$B306="PROCESO",MOVIMIENTOS!$C306&lt;&gt;"Chancho")),NOT(AND(MOVIMIENTOS!$B306="SALDO INICIAL",MOVIMIENTOS!$C306="Chancho"))),COUNT(J$5:J306)+1,"")</f>
        <v/>
      </c>
      <c r="K307" t="str">
        <f>IF(AND(MOVIMIENTOS!$B306&lt;&gt;"",NOT(AND(MOVIMIENTOS!$B306="PROCESO",MOVIMIENTOS!$C306&lt;&gt;"Chancho")),NOT(AND(MOVIMIENTOS!$B306="SALDO INICIAL",MOVIMIENTOS!$C306="Chancho"))),MOVIMIENTOS!$A306,"")</f>
        <v/>
      </c>
      <c r="L307" t="str">
        <f>IF(AND(MOVIMIENTOS!$B306&lt;&gt;"",NOT(AND(MOVIMIENTOS!$B306="PROCESO",MOVIMIENTOS!$C306&lt;&gt;"Chancho")),NOT(AND(MOVIMIENTOS!$B306="SALDO INICIAL",MOVIMIENTOS!$C306="Chancho"))),IF(MOVIMIENTOS!$B306="SALDO INICIAL","APERTURA ("&amp;MOVIMIENTOS!$C306&amp;")",IF(MOVIMIENTOS!$B306="COMPRA","INGRESO (compra)",IF(MOVIMIENTOS!$B306="PROCESO","CHANCHO (proceso)",IF(MOVIMIENTOS!$B306="ENVÍO A SUPESA","ENVÍO SUPESA cal. "&amp;MOVIMIENTOS!$C306,IF(MOVIMIENTOS!$B306="VENTA CHANCHO","VENTA CHANCHO",IF(MOVIMIENTOS!$B306="DEVOLUCIÓN","DEVOLUCIÓN cal. "&amp;MOVIMIENTOS!$C306,IF(MOVIMIENTOS!$B306="TRASIEGO","TRASIEGO cal. "&amp;MOVIMIENTOS!$C306,IF(MOVIMIENTOS!$B306="REGALO","REGALO "&amp;MOVIMIENTOS!$C306,IF(MOVIMIENTOS!$B306="VENTA","VENTA "&amp;MOVIMIENTOS!$C306,IF(MOVIMIENTOS!$B306="AJUSTE","AJUSTE inventario ("&amp;MOVIMIENTOS!$C306&amp;")",MOVIMIENTOS!$B306)))))))))),"")</f>
        <v/>
      </c>
      <c r="M307" t="str">
        <f>IF(AND(AND(MOVIMIENTOS!$B306&lt;&gt;"",NOT(AND(MOVIMIENTOS!$B306="PROCESO",MOVIMIENTOS!$C306&lt;&gt;"Chancho")),NOT(AND(MOVIMIENTOS!$B306="SALDO INICIAL",MOVIMIENTOS!$C306="Chancho"))),OR(MOVIMIENTOS!$B306="SALDO INICIAL",MOVIMIENTOS!$B306="COMPRA",MOVIMIENTOS!$B306="REPROCESO",AND(MOVIMIENTOS!$B306="AJUSTE",MOVIMIENTOS!$C306&lt;&gt;"Chancho",N(MOVIMIENTOS!$F306)&gt;=0))),N(MOVIMIENTOS!$F306),"")</f>
        <v/>
      </c>
      <c r="N307" t="str">
        <f>IF(AND(AND(MOVIMIENTOS!$B306&lt;&gt;"",NOT(AND(MOVIMIENTOS!$B306="PROCESO",MOVIMIENTOS!$C306&lt;&gt;"Chancho")),NOT(AND(MOVIMIENTOS!$B306="SALDO INICIAL",MOVIMIENTOS!$C306="Chancho"))),OR(MOVIMIENTOS!$B306="ENVÍO A SUPESA",MOVIMIENTOS!$B306="MALOGRADO",MOVIMIENTOS!$B306="OTRA SALIDA",MOVIMIENTOS!$B306="TRASIEGO",AND(MOVIMIENTOS!$B306="PROCESO",MOVIMIENTOS!$C306="Chancho"),AND(MOVIMIENTOS!$B306="REGALO",MOVIMIENTOS!$C306&lt;&gt;"Chancho"),AND(MOVIMIENTOS!$B306="VENTA",MOVIMIENTOS!$C306&lt;&gt;"Chancho"),AND(MOVIMIENTOS!$B306="AJUSTE",MOVIMIENTOS!$C306&lt;&gt;"Chancho",N(MOVIMIENTOS!$F306)&lt;0))),IF(MOVIMIENTOS!$B306="AJUSTE",-N(MOVIMIENTOS!$F306),N(MOVIMIENTOS!$F306)),"")</f>
        <v/>
      </c>
      <c r="O307" t="str">
        <f>IF(AND(MOVIMIENTOS!$B306&lt;&gt;"",NOT(AND(MOVIMIENTOS!$B306="PROCESO",MOVIMIENTOS!$C306&lt;&gt;"Chancho")),NOT(AND(MOVIMIENTOS!$B306="SALDO INICIAL",MOVIMIENTOS!$C306="Chancho"))),TRIM(IF(MOVIMIENTOS!$G306&lt;&gt;"",IF(MOVIMIENTOS!$B306="ENVÍO A SUPESA","G-"&amp;MOVIMIENTOS!$G306,MOVIMIENTOS!$G306)&amp;"  ","")&amp;IF(N(MOVIMIENTOS!$E306)&gt;0,MOVIMIENTOS!$E306&amp;" "&amp;MOVIMIENTOS!$D306,"")),"")</f>
        <v/>
      </c>
      <c r="P307">
        <f t="shared" si="34"/>
        <v>6138.5</v>
      </c>
    </row>
    <row r="308" spans="1:16" x14ac:dyDescent="0.2">
      <c r="A308" s="7" t="str">
        <f t="shared" si="28"/>
        <v/>
      </c>
      <c r="B308" s="8" t="str">
        <f t="shared" si="29"/>
        <v/>
      </c>
      <c r="C308" s="9" t="str">
        <f t="shared" si="30"/>
        <v/>
      </c>
      <c r="D308" s="9" t="str">
        <f t="shared" si="31"/>
        <v/>
      </c>
      <c r="E308" s="8" t="str">
        <f t="shared" si="32"/>
        <v/>
      </c>
      <c r="F308" s="9" t="str">
        <f t="shared" si="33"/>
        <v/>
      </c>
      <c r="J308" t="str">
        <f>IF(AND(MOVIMIENTOS!$B307&lt;&gt;"",NOT(AND(MOVIMIENTOS!$B307="PROCESO",MOVIMIENTOS!$C307&lt;&gt;"Chancho")),NOT(AND(MOVIMIENTOS!$B307="SALDO INICIAL",MOVIMIENTOS!$C307="Chancho"))),COUNT(J$5:J307)+1,"")</f>
        <v/>
      </c>
      <c r="K308" t="str">
        <f>IF(AND(MOVIMIENTOS!$B307&lt;&gt;"",NOT(AND(MOVIMIENTOS!$B307="PROCESO",MOVIMIENTOS!$C307&lt;&gt;"Chancho")),NOT(AND(MOVIMIENTOS!$B307="SALDO INICIAL",MOVIMIENTOS!$C307="Chancho"))),MOVIMIENTOS!$A307,"")</f>
        <v/>
      </c>
      <c r="L308" t="str">
        <f>IF(AND(MOVIMIENTOS!$B307&lt;&gt;"",NOT(AND(MOVIMIENTOS!$B307="PROCESO",MOVIMIENTOS!$C307&lt;&gt;"Chancho")),NOT(AND(MOVIMIENTOS!$B307="SALDO INICIAL",MOVIMIENTOS!$C307="Chancho"))),IF(MOVIMIENTOS!$B307="SALDO INICIAL","APERTURA ("&amp;MOVIMIENTOS!$C307&amp;")",IF(MOVIMIENTOS!$B307="COMPRA","INGRESO (compra)",IF(MOVIMIENTOS!$B307="PROCESO","CHANCHO (proceso)",IF(MOVIMIENTOS!$B307="ENVÍO A SUPESA","ENVÍO SUPESA cal. "&amp;MOVIMIENTOS!$C307,IF(MOVIMIENTOS!$B307="VENTA CHANCHO","VENTA CHANCHO",IF(MOVIMIENTOS!$B307="DEVOLUCIÓN","DEVOLUCIÓN cal. "&amp;MOVIMIENTOS!$C307,IF(MOVIMIENTOS!$B307="TRASIEGO","TRASIEGO cal. "&amp;MOVIMIENTOS!$C307,IF(MOVIMIENTOS!$B307="REGALO","REGALO "&amp;MOVIMIENTOS!$C307,IF(MOVIMIENTOS!$B307="VENTA","VENTA "&amp;MOVIMIENTOS!$C307,IF(MOVIMIENTOS!$B307="AJUSTE","AJUSTE inventario ("&amp;MOVIMIENTOS!$C307&amp;")",MOVIMIENTOS!$B307)))))))))),"")</f>
        <v/>
      </c>
      <c r="M308" t="str">
        <f>IF(AND(AND(MOVIMIENTOS!$B307&lt;&gt;"",NOT(AND(MOVIMIENTOS!$B307="PROCESO",MOVIMIENTOS!$C307&lt;&gt;"Chancho")),NOT(AND(MOVIMIENTOS!$B307="SALDO INICIAL",MOVIMIENTOS!$C307="Chancho"))),OR(MOVIMIENTOS!$B307="SALDO INICIAL",MOVIMIENTOS!$B307="COMPRA",MOVIMIENTOS!$B307="REPROCESO",AND(MOVIMIENTOS!$B307="AJUSTE",MOVIMIENTOS!$C307&lt;&gt;"Chancho",N(MOVIMIENTOS!$F307)&gt;=0))),N(MOVIMIENTOS!$F307),"")</f>
        <v/>
      </c>
      <c r="N308" t="str">
        <f>IF(AND(AND(MOVIMIENTOS!$B307&lt;&gt;"",NOT(AND(MOVIMIENTOS!$B307="PROCESO",MOVIMIENTOS!$C307&lt;&gt;"Chancho")),NOT(AND(MOVIMIENTOS!$B307="SALDO INICIAL",MOVIMIENTOS!$C307="Chancho"))),OR(MOVIMIENTOS!$B307="ENVÍO A SUPESA",MOVIMIENTOS!$B307="MALOGRADO",MOVIMIENTOS!$B307="OTRA SALIDA",MOVIMIENTOS!$B307="TRASIEGO",AND(MOVIMIENTOS!$B307="PROCESO",MOVIMIENTOS!$C307="Chancho"),AND(MOVIMIENTOS!$B307="REGALO",MOVIMIENTOS!$C307&lt;&gt;"Chancho"),AND(MOVIMIENTOS!$B307="VENTA",MOVIMIENTOS!$C307&lt;&gt;"Chancho"),AND(MOVIMIENTOS!$B307="AJUSTE",MOVIMIENTOS!$C307&lt;&gt;"Chancho",N(MOVIMIENTOS!$F307)&lt;0))),IF(MOVIMIENTOS!$B307="AJUSTE",-N(MOVIMIENTOS!$F307),N(MOVIMIENTOS!$F307)),"")</f>
        <v/>
      </c>
      <c r="O308" t="str">
        <f>IF(AND(MOVIMIENTOS!$B307&lt;&gt;"",NOT(AND(MOVIMIENTOS!$B307="PROCESO",MOVIMIENTOS!$C307&lt;&gt;"Chancho")),NOT(AND(MOVIMIENTOS!$B307="SALDO INICIAL",MOVIMIENTOS!$C307="Chancho"))),TRIM(IF(MOVIMIENTOS!$G307&lt;&gt;"",IF(MOVIMIENTOS!$B307="ENVÍO A SUPESA","G-"&amp;MOVIMIENTOS!$G307,MOVIMIENTOS!$G307)&amp;"  ","")&amp;IF(N(MOVIMIENTOS!$E307)&gt;0,MOVIMIENTOS!$E307&amp;" "&amp;MOVIMIENTOS!$D307,"")),"")</f>
        <v/>
      </c>
      <c r="P308">
        <f t="shared" si="34"/>
        <v>6138.5</v>
      </c>
    </row>
    <row r="309" spans="1:16" x14ac:dyDescent="0.2">
      <c r="A309" s="7" t="str">
        <f t="shared" si="28"/>
        <v/>
      </c>
      <c r="B309" s="8" t="str">
        <f t="shared" si="29"/>
        <v/>
      </c>
      <c r="C309" s="9" t="str">
        <f t="shared" si="30"/>
        <v/>
      </c>
      <c r="D309" s="9" t="str">
        <f t="shared" si="31"/>
        <v/>
      </c>
      <c r="E309" s="8" t="str">
        <f t="shared" si="32"/>
        <v/>
      </c>
      <c r="F309" s="9" t="str">
        <f t="shared" si="33"/>
        <v/>
      </c>
      <c r="J309" t="str">
        <f>IF(AND(MOVIMIENTOS!$B308&lt;&gt;"",NOT(AND(MOVIMIENTOS!$B308="PROCESO",MOVIMIENTOS!$C308&lt;&gt;"Chancho")),NOT(AND(MOVIMIENTOS!$B308="SALDO INICIAL",MOVIMIENTOS!$C308="Chancho"))),COUNT(J$5:J308)+1,"")</f>
        <v/>
      </c>
      <c r="K309" t="str">
        <f>IF(AND(MOVIMIENTOS!$B308&lt;&gt;"",NOT(AND(MOVIMIENTOS!$B308="PROCESO",MOVIMIENTOS!$C308&lt;&gt;"Chancho")),NOT(AND(MOVIMIENTOS!$B308="SALDO INICIAL",MOVIMIENTOS!$C308="Chancho"))),MOVIMIENTOS!$A308,"")</f>
        <v/>
      </c>
      <c r="L309" t="str">
        <f>IF(AND(MOVIMIENTOS!$B308&lt;&gt;"",NOT(AND(MOVIMIENTOS!$B308="PROCESO",MOVIMIENTOS!$C308&lt;&gt;"Chancho")),NOT(AND(MOVIMIENTOS!$B308="SALDO INICIAL",MOVIMIENTOS!$C308="Chancho"))),IF(MOVIMIENTOS!$B308="SALDO INICIAL","APERTURA ("&amp;MOVIMIENTOS!$C308&amp;")",IF(MOVIMIENTOS!$B308="COMPRA","INGRESO (compra)",IF(MOVIMIENTOS!$B308="PROCESO","CHANCHO (proceso)",IF(MOVIMIENTOS!$B308="ENVÍO A SUPESA","ENVÍO SUPESA cal. "&amp;MOVIMIENTOS!$C308,IF(MOVIMIENTOS!$B308="VENTA CHANCHO","VENTA CHANCHO",IF(MOVIMIENTOS!$B308="DEVOLUCIÓN","DEVOLUCIÓN cal. "&amp;MOVIMIENTOS!$C308,IF(MOVIMIENTOS!$B308="TRASIEGO","TRASIEGO cal. "&amp;MOVIMIENTOS!$C308,IF(MOVIMIENTOS!$B308="REGALO","REGALO "&amp;MOVIMIENTOS!$C308,IF(MOVIMIENTOS!$B308="VENTA","VENTA "&amp;MOVIMIENTOS!$C308,IF(MOVIMIENTOS!$B308="AJUSTE","AJUSTE inventario ("&amp;MOVIMIENTOS!$C308&amp;")",MOVIMIENTOS!$B308)))))))))),"")</f>
        <v/>
      </c>
      <c r="M309" t="str">
        <f>IF(AND(AND(MOVIMIENTOS!$B308&lt;&gt;"",NOT(AND(MOVIMIENTOS!$B308="PROCESO",MOVIMIENTOS!$C308&lt;&gt;"Chancho")),NOT(AND(MOVIMIENTOS!$B308="SALDO INICIAL",MOVIMIENTOS!$C308="Chancho"))),OR(MOVIMIENTOS!$B308="SALDO INICIAL",MOVIMIENTOS!$B308="COMPRA",MOVIMIENTOS!$B308="REPROCESO",AND(MOVIMIENTOS!$B308="AJUSTE",MOVIMIENTOS!$C308&lt;&gt;"Chancho",N(MOVIMIENTOS!$F308)&gt;=0))),N(MOVIMIENTOS!$F308),"")</f>
        <v/>
      </c>
      <c r="N309" t="str">
        <f>IF(AND(AND(MOVIMIENTOS!$B308&lt;&gt;"",NOT(AND(MOVIMIENTOS!$B308="PROCESO",MOVIMIENTOS!$C308&lt;&gt;"Chancho")),NOT(AND(MOVIMIENTOS!$B308="SALDO INICIAL",MOVIMIENTOS!$C308="Chancho"))),OR(MOVIMIENTOS!$B308="ENVÍO A SUPESA",MOVIMIENTOS!$B308="MALOGRADO",MOVIMIENTOS!$B308="OTRA SALIDA",MOVIMIENTOS!$B308="TRASIEGO",AND(MOVIMIENTOS!$B308="PROCESO",MOVIMIENTOS!$C308="Chancho"),AND(MOVIMIENTOS!$B308="REGALO",MOVIMIENTOS!$C308&lt;&gt;"Chancho"),AND(MOVIMIENTOS!$B308="VENTA",MOVIMIENTOS!$C308&lt;&gt;"Chancho"),AND(MOVIMIENTOS!$B308="AJUSTE",MOVIMIENTOS!$C308&lt;&gt;"Chancho",N(MOVIMIENTOS!$F308)&lt;0))),IF(MOVIMIENTOS!$B308="AJUSTE",-N(MOVIMIENTOS!$F308),N(MOVIMIENTOS!$F308)),"")</f>
        <v/>
      </c>
      <c r="O309" t="str">
        <f>IF(AND(MOVIMIENTOS!$B308&lt;&gt;"",NOT(AND(MOVIMIENTOS!$B308="PROCESO",MOVIMIENTOS!$C308&lt;&gt;"Chancho")),NOT(AND(MOVIMIENTOS!$B308="SALDO INICIAL",MOVIMIENTOS!$C308="Chancho"))),TRIM(IF(MOVIMIENTOS!$G308&lt;&gt;"",IF(MOVIMIENTOS!$B308="ENVÍO A SUPESA","G-"&amp;MOVIMIENTOS!$G308,MOVIMIENTOS!$G308)&amp;"  ","")&amp;IF(N(MOVIMIENTOS!$E308)&gt;0,MOVIMIENTOS!$E308&amp;" "&amp;MOVIMIENTOS!$D308,"")),"")</f>
        <v/>
      </c>
      <c r="P309">
        <f t="shared" si="34"/>
        <v>6138.5</v>
      </c>
    </row>
    <row r="310" spans="1:16" x14ac:dyDescent="0.2">
      <c r="A310" s="7" t="str">
        <f t="shared" si="28"/>
        <v/>
      </c>
      <c r="B310" s="8" t="str">
        <f t="shared" si="29"/>
        <v/>
      </c>
      <c r="C310" s="9" t="str">
        <f t="shared" si="30"/>
        <v/>
      </c>
      <c r="D310" s="9" t="str">
        <f t="shared" si="31"/>
        <v/>
      </c>
      <c r="E310" s="8" t="str">
        <f t="shared" si="32"/>
        <v/>
      </c>
      <c r="F310" s="9" t="str">
        <f t="shared" si="33"/>
        <v/>
      </c>
      <c r="J310" t="str">
        <f>IF(AND(MOVIMIENTOS!$B309&lt;&gt;"",NOT(AND(MOVIMIENTOS!$B309="PROCESO",MOVIMIENTOS!$C309&lt;&gt;"Chancho")),NOT(AND(MOVIMIENTOS!$B309="SALDO INICIAL",MOVIMIENTOS!$C309="Chancho"))),COUNT(J$5:J309)+1,"")</f>
        <v/>
      </c>
      <c r="K310" t="str">
        <f>IF(AND(MOVIMIENTOS!$B309&lt;&gt;"",NOT(AND(MOVIMIENTOS!$B309="PROCESO",MOVIMIENTOS!$C309&lt;&gt;"Chancho")),NOT(AND(MOVIMIENTOS!$B309="SALDO INICIAL",MOVIMIENTOS!$C309="Chancho"))),MOVIMIENTOS!$A309,"")</f>
        <v/>
      </c>
      <c r="L310" t="str">
        <f>IF(AND(MOVIMIENTOS!$B309&lt;&gt;"",NOT(AND(MOVIMIENTOS!$B309="PROCESO",MOVIMIENTOS!$C309&lt;&gt;"Chancho")),NOT(AND(MOVIMIENTOS!$B309="SALDO INICIAL",MOVIMIENTOS!$C309="Chancho"))),IF(MOVIMIENTOS!$B309="SALDO INICIAL","APERTURA ("&amp;MOVIMIENTOS!$C309&amp;")",IF(MOVIMIENTOS!$B309="COMPRA","INGRESO (compra)",IF(MOVIMIENTOS!$B309="PROCESO","CHANCHO (proceso)",IF(MOVIMIENTOS!$B309="ENVÍO A SUPESA","ENVÍO SUPESA cal. "&amp;MOVIMIENTOS!$C309,IF(MOVIMIENTOS!$B309="VENTA CHANCHO","VENTA CHANCHO",IF(MOVIMIENTOS!$B309="DEVOLUCIÓN","DEVOLUCIÓN cal. "&amp;MOVIMIENTOS!$C309,IF(MOVIMIENTOS!$B309="TRASIEGO","TRASIEGO cal. "&amp;MOVIMIENTOS!$C309,IF(MOVIMIENTOS!$B309="REGALO","REGALO "&amp;MOVIMIENTOS!$C309,IF(MOVIMIENTOS!$B309="VENTA","VENTA "&amp;MOVIMIENTOS!$C309,IF(MOVIMIENTOS!$B309="AJUSTE","AJUSTE inventario ("&amp;MOVIMIENTOS!$C309&amp;")",MOVIMIENTOS!$B309)))))))))),"")</f>
        <v/>
      </c>
      <c r="M310" t="str">
        <f>IF(AND(AND(MOVIMIENTOS!$B309&lt;&gt;"",NOT(AND(MOVIMIENTOS!$B309="PROCESO",MOVIMIENTOS!$C309&lt;&gt;"Chancho")),NOT(AND(MOVIMIENTOS!$B309="SALDO INICIAL",MOVIMIENTOS!$C309="Chancho"))),OR(MOVIMIENTOS!$B309="SALDO INICIAL",MOVIMIENTOS!$B309="COMPRA",MOVIMIENTOS!$B309="REPROCESO",AND(MOVIMIENTOS!$B309="AJUSTE",MOVIMIENTOS!$C309&lt;&gt;"Chancho",N(MOVIMIENTOS!$F309)&gt;=0))),N(MOVIMIENTOS!$F309),"")</f>
        <v/>
      </c>
      <c r="N310" t="str">
        <f>IF(AND(AND(MOVIMIENTOS!$B309&lt;&gt;"",NOT(AND(MOVIMIENTOS!$B309="PROCESO",MOVIMIENTOS!$C309&lt;&gt;"Chancho")),NOT(AND(MOVIMIENTOS!$B309="SALDO INICIAL",MOVIMIENTOS!$C309="Chancho"))),OR(MOVIMIENTOS!$B309="ENVÍO A SUPESA",MOVIMIENTOS!$B309="MALOGRADO",MOVIMIENTOS!$B309="OTRA SALIDA",MOVIMIENTOS!$B309="TRASIEGO",AND(MOVIMIENTOS!$B309="PROCESO",MOVIMIENTOS!$C309="Chancho"),AND(MOVIMIENTOS!$B309="REGALO",MOVIMIENTOS!$C309&lt;&gt;"Chancho"),AND(MOVIMIENTOS!$B309="VENTA",MOVIMIENTOS!$C309&lt;&gt;"Chancho"),AND(MOVIMIENTOS!$B309="AJUSTE",MOVIMIENTOS!$C309&lt;&gt;"Chancho",N(MOVIMIENTOS!$F309)&lt;0))),IF(MOVIMIENTOS!$B309="AJUSTE",-N(MOVIMIENTOS!$F309),N(MOVIMIENTOS!$F309)),"")</f>
        <v/>
      </c>
      <c r="O310" t="str">
        <f>IF(AND(MOVIMIENTOS!$B309&lt;&gt;"",NOT(AND(MOVIMIENTOS!$B309="PROCESO",MOVIMIENTOS!$C309&lt;&gt;"Chancho")),NOT(AND(MOVIMIENTOS!$B309="SALDO INICIAL",MOVIMIENTOS!$C309="Chancho"))),TRIM(IF(MOVIMIENTOS!$G309&lt;&gt;"",IF(MOVIMIENTOS!$B309="ENVÍO A SUPESA","G-"&amp;MOVIMIENTOS!$G309,MOVIMIENTOS!$G309)&amp;"  ","")&amp;IF(N(MOVIMIENTOS!$E309)&gt;0,MOVIMIENTOS!$E309&amp;" "&amp;MOVIMIENTOS!$D309,"")),"")</f>
        <v/>
      </c>
      <c r="P310">
        <f t="shared" si="34"/>
        <v>6138.5</v>
      </c>
    </row>
    <row r="311" spans="1:16" x14ac:dyDescent="0.2">
      <c r="A311" s="7" t="str">
        <f t="shared" si="28"/>
        <v/>
      </c>
      <c r="B311" s="8" t="str">
        <f t="shared" si="29"/>
        <v/>
      </c>
      <c r="C311" s="9" t="str">
        <f t="shared" si="30"/>
        <v/>
      </c>
      <c r="D311" s="9" t="str">
        <f t="shared" si="31"/>
        <v/>
      </c>
      <c r="E311" s="8" t="str">
        <f t="shared" si="32"/>
        <v/>
      </c>
      <c r="F311" s="9" t="str">
        <f t="shared" si="33"/>
        <v/>
      </c>
      <c r="J311" t="str">
        <f>IF(AND(MOVIMIENTOS!$B310&lt;&gt;"",NOT(AND(MOVIMIENTOS!$B310="PROCESO",MOVIMIENTOS!$C310&lt;&gt;"Chancho")),NOT(AND(MOVIMIENTOS!$B310="SALDO INICIAL",MOVIMIENTOS!$C310="Chancho"))),COUNT(J$5:J310)+1,"")</f>
        <v/>
      </c>
      <c r="K311" t="str">
        <f>IF(AND(MOVIMIENTOS!$B310&lt;&gt;"",NOT(AND(MOVIMIENTOS!$B310="PROCESO",MOVIMIENTOS!$C310&lt;&gt;"Chancho")),NOT(AND(MOVIMIENTOS!$B310="SALDO INICIAL",MOVIMIENTOS!$C310="Chancho"))),MOVIMIENTOS!$A310,"")</f>
        <v/>
      </c>
      <c r="L311" t="str">
        <f>IF(AND(MOVIMIENTOS!$B310&lt;&gt;"",NOT(AND(MOVIMIENTOS!$B310="PROCESO",MOVIMIENTOS!$C310&lt;&gt;"Chancho")),NOT(AND(MOVIMIENTOS!$B310="SALDO INICIAL",MOVIMIENTOS!$C310="Chancho"))),IF(MOVIMIENTOS!$B310="SALDO INICIAL","APERTURA ("&amp;MOVIMIENTOS!$C310&amp;")",IF(MOVIMIENTOS!$B310="COMPRA","INGRESO (compra)",IF(MOVIMIENTOS!$B310="PROCESO","CHANCHO (proceso)",IF(MOVIMIENTOS!$B310="ENVÍO A SUPESA","ENVÍO SUPESA cal. "&amp;MOVIMIENTOS!$C310,IF(MOVIMIENTOS!$B310="VENTA CHANCHO","VENTA CHANCHO",IF(MOVIMIENTOS!$B310="DEVOLUCIÓN","DEVOLUCIÓN cal. "&amp;MOVIMIENTOS!$C310,IF(MOVIMIENTOS!$B310="TRASIEGO","TRASIEGO cal. "&amp;MOVIMIENTOS!$C310,IF(MOVIMIENTOS!$B310="REGALO","REGALO "&amp;MOVIMIENTOS!$C310,IF(MOVIMIENTOS!$B310="VENTA","VENTA "&amp;MOVIMIENTOS!$C310,IF(MOVIMIENTOS!$B310="AJUSTE","AJUSTE inventario ("&amp;MOVIMIENTOS!$C310&amp;")",MOVIMIENTOS!$B310)))))))))),"")</f>
        <v/>
      </c>
      <c r="M311" t="str">
        <f>IF(AND(AND(MOVIMIENTOS!$B310&lt;&gt;"",NOT(AND(MOVIMIENTOS!$B310="PROCESO",MOVIMIENTOS!$C310&lt;&gt;"Chancho")),NOT(AND(MOVIMIENTOS!$B310="SALDO INICIAL",MOVIMIENTOS!$C310="Chancho"))),OR(MOVIMIENTOS!$B310="SALDO INICIAL",MOVIMIENTOS!$B310="COMPRA",MOVIMIENTOS!$B310="REPROCESO",AND(MOVIMIENTOS!$B310="AJUSTE",MOVIMIENTOS!$C310&lt;&gt;"Chancho",N(MOVIMIENTOS!$F310)&gt;=0))),N(MOVIMIENTOS!$F310),"")</f>
        <v/>
      </c>
      <c r="N311" t="str">
        <f>IF(AND(AND(MOVIMIENTOS!$B310&lt;&gt;"",NOT(AND(MOVIMIENTOS!$B310="PROCESO",MOVIMIENTOS!$C310&lt;&gt;"Chancho")),NOT(AND(MOVIMIENTOS!$B310="SALDO INICIAL",MOVIMIENTOS!$C310="Chancho"))),OR(MOVIMIENTOS!$B310="ENVÍO A SUPESA",MOVIMIENTOS!$B310="MALOGRADO",MOVIMIENTOS!$B310="OTRA SALIDA",MOVIMIENTOS!$B310="TRASIEGO",AND(MOVIMIENTOS!$B310="PROCESO",MOVIMIENTOS!$C310="Chancho"),AND(MOVIMIENTOS!$B310="REGALO",MOVIMIENTOS!$C310&lt;&gt;"Chancho"),AND(MOVIMIENTOS!$B310="VENTA",MOVIMIENTOS!$C310&lt;&gt;"Chancho"),AND(MOVIMIENTOS!$B310="AJUSTE",MOVIMIENTOS!$C310&lt;&gt;"Chancho",N(MOVIMIENTOS!$F310)&lt;0))),IF(MOVIMIENTOS!$B310="AJUSTE",-N(MOVIMIENTOS!$F310),N(MOVIMIENTOS!$F310)),"")</f>
        <v/>
      </c>
      <c r="O311" t="str">
        <f>IF(AND(MOVIMIENTOS!$B310&lt;&gt;"",NOT(AND(MOVIMIENTOS!$B310="PROCESO",MOVIMIENTOS!$C310&lt;&gt;"Chancho")),NOT(AND(MOVIMIENTOS!$B310="SALDO INICIAL",MOVIMIENTOS!$C310="Chancho"))),TRIM(IF(MOVIMIENTOS!$G310&lt;&gt;"",IF(MOVIMIENTOS!$B310="ENVÍO A SUPESA","G-"&amp;MOVIMIENTOS!$G310,MOVIMIENTOS!$G310)&amp;"  ","")&amp;IF(N(MOVIMIENTOS!$E310)&gt;0,MOVIMIENTOS!$E310&amp;" "&amp;MOVIMIENTOS!$D310,"")),"")</f>
        <v/>
      </c>
      <c r="P311">
        <f t="shared" si="34"/>
        <v>6138.5</v>
      </c>
    </row>
    <row r="312" spans="1:16" x14ac:dyDescent="0.2">
      <c r="A312" s="7" t="str">
        <f t="shared" si="28"/>
        <v/>
      </c>
      <c r="B312" s="8" t="str">
        <f t="shared" si="29"/>
        <v/>
      </c>
      <c r="C312" s="9" t="str">
        <f t="shared" si="30"/>
        <v/>
      </c>
      <c r="D312" s="9" t="str">
        <f t="shared" si="31"/>
        <v/>
      </c>
      <c r="E312" s="8" t="str">
        <f t="shared" si="32"/>
        <v/>
      </c>
      <c r="F312" s="9" t="str">
        <f t="shared" si="33"/>
        <v/>
      </c>
      <c r="J312" t="str">
        <f>IF(AND(MOVIMIENTOS!$B311&lt;&gt;"",NOT(AND(MOVIMIENTOS!$B311="PROCESO",MOVIMIENTOS!$C311&lt;&gt;"Chancho")),NOT(AND(MOVIMIENTOS!$B311="SALDO INICIAL",MOVIMIENTOS!$C311="Chancho"))),COUNT(J$5:J311)+1,"")</f>
        <v/>
      </c>
      <c r="K312" t="str">
        <f>IF(AND(MOVIMIENTOS!$B311&lt;&gt;"",NOT(AND(MOVIMIENTOS!$B311="PROCESO",MOVIMIENTOS!$C311&lt;&gt;"Chancho")),NOT(AND(MOVIMIENTOS!$B311="SALDO INICIAL",MOVIMIENTOS!$C311="Chancho"))),MOVIMIENTOS!$A311,"")</f>
        <v/>
      </c>
      <c r="L312" t="str">
        <f>IF(AND(MOVIMIENTOS!$B311&lt;&gt;"",NOT(AND(MOVIMIENTOS!$B311="PROCESO",MOVIMIENTOS!$C311&lt;&gt;"Chancho")),NOT(AND(MOVIMIENTOS!$B311="SALDO INICIAL",MOVIMIENTOS!$C311="Chancho"))),IF(MOVIMIENTOS!$B311="SALDO INICIAL","APERTURA ("&amp;MOVIMIENTOS!$C311&amp;")",IF(MOVIMIENTOS!$B311="COMPRA","INGRESO (compra)",IF(MOVIMIENTOS!$B311="PROCESO","CHANCHO (proceso)",IF(MOVIMIENTOS!$B311="ENVÍO A SUPESA","ENVÍO SUPESA cal. "&amp;MOVIMIENTOS!$C311,IF(MOVIMIENTOS!$B311="VENTA CHANCHO","VENTA CHANCHO",IF(MOVIMIENTOS!$B311="DEVOLUCIÓN","DEVOLUCIÓN cal. "&amp;MOVIMIENTOS!$C311,IF(MOVIMIENTOS!$B311="TRASIEGO","TRASIEGO cal. "&amp;MOVIMIENTOS!$C311,IF(MOVIMIENTOS!$B311="REGALO","REGALO "&amp;MOVIMIENTOS!$C311,IF(MOVIMIENTOS!$B311="VENTA","VENTA "&amp;MOVIMIENTOS!$C311,IF(MOVIMIENTOS!$B311="AJUSTE","AJUSTE inventario ("&amp;MOVIMIENTOS!$C311&amp;")",MOVIMIENTOS!$B311)))))))))),"")</f>
        <v/>
      </c>
      <c r="M312" t="str">
        <f>IF(AND(AND(MOVIMIENTOS!$B311&lt;&gt;"",NOT(AND(MOVIMIENTOS!$B311="PROCESO",MOVIMIENTOS!$C311&lt;&gt;"Chancho")),NOT(AND(MOVIMIENTOS!$B311="SALDO INICIAL",MOVIMIENTOS!$C311="Chancho"))),OR(MOVIMIENTOS!$B311="SALDO INICIAL",MOVIMIENTOS!$B311="COMPRA",MOVIMIENTOS!$B311="REPROCESO",AND(MOVIMIENTOS!$B311="AJUSTE",MOVIMIENTOS!$C311&lt;&gt;"Chancho",N(MOVIMIENTOS!$F311)&gt;=0))),N(MOVIMIENTOS!$F311),"")</f>
        <v/>
      </c>
      <c r="N312" t="str">
        <f>IF(AND(AND(MOVIMIENTOS!$B311&lt;&gt;"",NOT(AND(MOVIMIENTOS!$B311="PROCESO",MOVIMIENTOS!$C311&lt;&gt;"Chancho")),NOT(AND(MOVIMIENTOS!$B311="SALDO INICIAL",MOVIMIENTOS!$C311="Chancho"))),OR(MOVIMIENTOS!$B311="ENVÍO A SUPESA",MOVIMIENTOS!$B311="MALOGRADO",MOVIMIENTOS!$B311="OTRA SALIDA",MOVIMIENTOS!$B311="TRASIEGO",AND(MOVIMIENTOS!$B311="PROCESO",MOVIMIENTOS!$C311="Chancho"),AND(MOVIMIENTOS!$B311="REGALO",MOVIMIENTOS!$C311&lt;&gt;"Chancho"),AND(MOVIMIENTOS!$B311="VENTA",MOVIMIENTOS!$C311&lt;&gt;"Chancho"),AND(MOVIMIENTOS!$B311="AJUSTE",MOVIMIENTOS!$C311&lt;&gt;"Chancho",N(MOVIMIENTOS!$F311)&lt;0))),IF(MOVIMIENTOS!$B311="AJUSTE",-N(MOVIMIENTOS!$F311),N(MOVIMIENTOS!$F311)),"")</f>
        <v/>
      </c>
      <c r="O312" t="str">
        <f>IF(AND(MOVIMIENTOS!$B311&lt;&gt;"",NOT(AND(MOVIMIENTOS!$B311="PROCESO",MOVIMIENTOS!$C311&lt;&gt;"Chancho")),NOT(AND(MOVIMIENTOS!$B311="SALDO INICIAL",MOVIMIENTOS!$C311="Chancho"))),TRIM(IF(MOVIMIENTOS!$G311&lt;&gt;"",IF(MOVIMIENTOS!$B311="ENVÍO A SUPESA","G-"&amp;MOVIMIENTOS!$G311,MOVIMIENTOS!$G311)&amp;"  ","")&amp;IF(N(MOVIMIENTOS!$E311)&gt;0,MOVIMIENTOS!$E311&amp;" "&amp;MOVIMIENTOS!$D311,"")),"")</f>
        <v/>
      </c>
      <c r="P312">
        <f t="shared" si="34"/>
        <v>6138.5</v>
      </c>
    </row>
    <row r="313" spans="1:16" x14ac:dyDescent="0.2">
      <c r="A313" s="7" t="str">
        <f t="shared" si="28"/>
        <v/>
      </c>
      <c r="B313" s="8" t="str">
        <f t="shared" si="29"/>
        <v/>
      </c>
      <c r="C313" s="9" t="str">
        <f t="shared" si="30"/>
        <v/>
      </c>
      <c r="D313" s="9" t="str">
        <f t="shared" si="31"/>
        <v/>
      </c>
      <c r="E313" s="8" t="str">
        <f t="shared" si="32"/>
        <v/>
      </c>
      <c r="F313" s="9" t="str">
        <f t="shared" si="33"/>
        <v/>
      </c>
      <c r="J313" t="str">
        <f>IF(AND(MOVIMIENTOS!$B312&lt;&gt;"",NOT(AND(MOVIMIENTOS!$B312="PROCESO",MOVIMIENTOS!$C312&lt;&gt;"Chancho")),NOT(AND(MOVIMIENTOS!$B312="SALDO INICIAL",MOVIMIENTOS!$C312="Chancho"))),COUNT(J$5:J312)+1,"")</f>
        <v/>
      </c>
      <c r="K313" t="str">
        <f>IF(AND(MOVIMIENTOS!$B312&lt;&gt;"",NOT(AND(MOVIMIENTOS!$B312="PROCESO",MOVIMIENTOS!$C312&lt;&gt;"Chancho")),NOT(AND(MOVIMIENTOS!$B312="SALDO INICIAL",MOVIMIENTOS!$C312="Chancho"))),MOVIMIENTOS!$A312,"")</f>
        <v/>
      </c>
      <c r="L313" t="str">
        <f>IF(AND(MOVIMIENTOS!$B312&lt;&gt;"",NOT(AND(MOVIMIENTOS!$B312="PROCESO",MOVIMIENTOS!$C312&lt;&gt;"Chancho")),NOT(AND(MOVIMIENTOS!$B312="SALDO INICIAL",MOVIMIENTOS!$C312="Chancho"))),IF(MOVIMIENTOS!$B312="SALDO INICIAL","APERTURA ("&amp;MOVIMIENTOS!$C312&amp;")",IF(MOVIMIENTOS!$B312="COMPRA","INGRESO (compra)",IF(MOVIMIENTOS!$B312="PROCESO","CHANCHO (proceso)",IF(MOVIMIENTOS!$B312="ENVÍO A SUPESA","ENVÍO SUPESA cal. "&amp;MOVIMIENTOS!$C312,IF(MOVIMIENTOS!$B312="VENTA CHANCHO","VENTA CHANCHO",IF(MOVIMIENTOS!$B312="DEVOLUCIÓN","DEVOLUCIÓN cal. "&amp;MOVIMIENTOS!$C312,IF(MOVIMIENTOS!$B312="TRASIEGO","TRASIEGO cal. "&amp;MOVIMIENTOS!$C312,IF(MOVIMIENTOS!$B312="REGALO","REGALO "&amp;MOVIMIENTOS!$C312,IF(MOVIMIENTOS!$B312="VENTA","VENTA "&amp;MOVIMIENTOS!$C312,IF(MOVIMIENTOS!$B312="AJUSTE","AJUSTE inventario ("&amp;MOVIMIENTOS!$C312&amp;")",MOVIMIENTOS!$B312)))))))))),"")</f>
        <v/>
      </c>
      <c r="M313" t="str">
        <f>IF(AND(AND(MOVIMIENTOS!$B312&lt;&gt;"",NOT(AND(MOVIMIENTOS!$B312="PROCESO",MOVIMIENTOS!$C312&lt;&gt;"Chancho")),NOT(AND(MOVIMIENTOS!$B312="SALDO INICIAL",MOVIMIENTOS!$C312="Chancho"))),OR(MOVIMIENTOS!$B312="SALDO INICIAL",MOVIMIENTOS!$B312="COMPRA",MOVIMIENTOS!$B312="REPROCESO",AND(MOVIMIENTOS!$B312="AJUSTE",MOVIMIENTOS!$C312&lt;&gt;"Chancho",N(MOVIMIENTOS!$F312)&gt;=0))),N(MOVIMIENTOS!$F312),"")</f>
        <v/>
      </c>
      <c r="N313" t="str">
        <f>IF(AND(AND(MOVIMIENTOS!$B312&lt;&gt;"",NOT(AND(MOVIMIENTOS!$B312="PROCESO",MOVIMIENTOS!$C312&lt;&gt;"Chancho")),NOT(AND(MOVIMIENTOS!$B312="SALDO INICIAL",MOVIMIENTOS!$C312="Chancho"))),OR(MOVIMIENTOS!$B312="ENVÍO A SUPESA",MOVIMIENTOS!$B312="MALOGRADO",MOVIMIENTOS!$B312="OTRA SALIDA",MOVIMIENTOS!$B312="TRASIEGO",AND(MOVIMIENTOS!$B312="PROCESO",MOVIMIENTOS!$C312="Chancho"),AND(MOVIMIENTOS!$B312="REGALO",MOVIMIENTOS!$C312&lt;&gt;"Chancho"),AND(MOVIMIENTOS!$B312="VENTA",MOVIMIENTOS!$C312&lt;&gt;"Chancho"),AND(MOVIMIENTOS!$B312="AJUSTE",MOVIMIENTOS!$C312&lt;&gt;"Chancho",N(MOVIMIENTOS!$F312)&lt;0))),IF(MOVIMIENTOS!$B312="AJUSTE",-N(MOVIMIENTOS!$F312),N(MOVIMIENTOS!$F312)),"")</f>
        <v/>
      </c>
      <c r="O313" t="str">
        <f>IF(AND(MOVIMIENTOS!$B312&lt;&gt;"",NOT(AND(MOVIMIENTOS!$B312="PROCESO",MOVIMIENTOS!$C312&lt;&gt;"Chancho")),NOT(AND(MOVIMIENTOS!$B312="SALDO INICIAL",MOVIMIENTOS!$C312="Chancho"))),TRIM(IF(MOVIMIENTOS!$G312&lt;&gt;"",IF(MOVIMIENTOS!$B312="ENVÍO A SUPESA","G-"&amp;MOVIMIENTOS!$G312,MOVIMIENTOS!$G312)&amp;"  ","")&amp;IF(N(MOVIMIENTOS!$E312)&gt;0,MOVIMIENTOS!$E312&amp;" "&amp;MOVIMIENTOS!$D312,"")),"")</f>
        <v/>
      </c>
      <c r="P313">
        <f t="shared" si="34"/>
        <v>6138.5</v>
      </c>
    </row>
    <row r="314" spans="1:16" x14ac:dyDescent="0.2">
      <c r="A314" s="7" t="str">
        <f t="shared" si="28"/>
        <v/>
      </c>
      <c r="B314" s="8" t="str">
        <f t="shared" si="29"/>
        <v/>
      </c>
      <c r="C314" s="9" t="str">
        <f t="shared" si="30"/>
        <v/>
      </c>
      <c r="D314" s="9" t="str">
        <f t="shared" si="31"/>
        <v/>
      </c>
      <c r="E314" s="8" t="str">
        <f t="shared" si="32"/>
        <v/>
      </c>
      <c r="F314" s="9" t="str">
        <f t="shared" si="33"/>
        <v/>
      </c>
      <c r="J314" t="str">
        <f>IF(AND(MOVIMIENTOS!$B313&lt;&gt;"",NOT(AND(MOVIMIENTOS!$B313="PROCESO",MOVIMIENTOS!$C313&lt;&gt;"Chancho")),NOT(AND(MOVIMIENTOS!$B313="SALDO INICIAL",MOVIMIENTOS!$C313="Chancho"))),COUNT(J$5:J313)+1,"")</f>
        <v/>
      </c>
      <c r="K314" t="str">
        <f>IF(AND(MOVIMIENTOS!$B313&lt;&gt;"",NOT(AND(MOVIMIENTOS!$B313="PROCESO",MOVIMIENTOS!$C313&lt;&gt;"Chancho")),NOT(AND(MOVIMIENTOS!$B313="SALDO INICIAL",MOVIMIENTOS!$C313="Chancho"))),MOVIMIENTOS!$A313,"")</f>
        <v/>
      </c>
      <c r="L314" t="str">
        <f>IF(AND(MOVIMIENTOS!$B313&lt;&gt;"",NOT(AND(MOVIMIENTOS!$B313="PROCESO",MOVIMIENTOS!$C313&lt;&gt;"Chancho")),NOT(AND(MOVIMIENTOS!$B313="SALDO INICIAL",MOVIMIENTOS!$C313="Chancho"))),IF(MOVIMIENTOS!$B313="SALDO INICIAL","APERTURA ("&amp;MOVIMIENTOS!$C313&amp;")",IF(MOVIMIENTOS!$B313="COMPRA","INGRESO (compra)",IF(MOVIMIENTOS!$B313="PROCESO","CHANCHO (proceso)",IF(MOVIMIENTOS!$B313="ENVÍO A SUPESA","ENVÍO SUPESA cal. "&amp;MOVIMIENTOS!$C313,IF(MOVIMIENTOS!$B313="VENTA CHANCHO","VENTA CHANCHO",IF(MOVIMIENTOS!$B313="DEVOLUCIÓN","DEVOLUCIÓN cal. "&amp;MOVIMIENTOS!$C313,IF(MOVIMIENTOS!$B313="TRASIEGO","TRASIEGO cal. "&amp;MOVIMIENTOS!$C313,IF(MOVIMIENTOS!$B313="REGALO","REGALO "&amp;MOVIMIENTOS!$C313,IF(MOVIMIENTOS!$B313="VENTA","VENTA "&amp;MOVIMIENTOS!$C313,IF(MOVIMIENTOS!$B313="AJUSTE","AJUSTE inventario ("&amp;MOVIMIENTOS!$C313&amp;")",MOVIMIENTOS!$B313)))))))))),"")</f>
        <v/>
      </c>
      <c r="M314" t="str">
        <f>IF(AND(AND(MOVIMIENTOS!$B313&lt;&gt;"",NOT(AND(MOVIMIENTOS!$B313="PROCESO",MOVIMIENTOS!$C313&lt;&gt;"Chancho")),NOT(AND(MOVIMIENTOS!$B313="SALDO INICIAL",MOVIMIENTOS!$C313="Chancho"))),OR(MOVIMIENTOS!$B313="SALDO INICIAL",MOVIMIENTOS!$B313="COMPRA",MOVIMIENTOS!$B313="REPROCESO",AND(MOVIMIENTOS!$B313="AJUSTE",MOVIMIENTOS!$C313&lt;&gt;"Chancho",N(MOVIMIENTOS!$F313)&gt;=0))),N(MOVIMIENTOS!$F313),"")</f>
        <v/>
      </c>
      <c r="N314" t="str">
        <f>IF(AND(AND(MOVIMIENTOS!$B313&lt;&gt;"",NOT(AND(MOVIMIENTOS!$B313="PROCESO",MOVIMIENTOS!$C313&lt;&gt;"Chancho")),NOT(AND(MOVIMIENTOS!$B313="SALDO INICIAL",MOVIMIENTOS!$C313="Chancho"))),OR(MOVIMIENTOS!$B313="ENVÍO A SUPESA",MOVIMIENTOS!$B313="MALOGRADO",MOVIMIENTOS!$B313="OTRA SALIDA",MOVIMIENTOS!$B313="TRASIEGO",AND(MOVIMIENTOS!$B313="PROCESO",MOVIMIENTOS!$C313="Chancho"),AND(MOVIMIENTOS!$B313="REGALO",MOVIMIENTOS!$C313&lt;&gt;"Chancho"),AND(MOVIMIENTOS!$B313="VENTA",MOVIMIENTOS!$C313&lt;&gt;"Chancho"),AND(MOVIMIENTOS!$B313="AJUSTE",MOVIMIENTOS!$C313&lt;&gt;"Chancho",N(MOVIMIENTOS!$F313)&lt;0))),IF(MOVIMIENTOS!$B313="AJUSTE",-N(MOVIMIENTOS!$F313),N(MOVIMIENTOS!$F313)),"")</f>
        <v/>
      </c>
      <c r="O314" t="str">
        <f>IF(AND(MOVIMIENTOS!$B313&lt;&gt;"",NOT(AND(MOVIMIENTOS!$B313="PROCESO",MOVIMIENTOS!$C313&lt;&gt;"Chancho")),NOT(AND(MOVIMIENTOS!$B313="SALDO INICIAL",MOVIMIENTOS!$C313="Chancho"))),TRIM(IF(MOVIMIENTOS!$G313&lt;&gt;"",IF(MOVIMIENTOS!$B313="ENVÍO A SUPESA","G-"&amp;MOVIMIENTOS!$G313,MOVIMIENTOS!$G313)&amp;"  ","")&amp;IF(N(MOVIMIENTOS!$E313)&gt;0,MOVIMIENTOS!$E313&amp;" "&amp;MOVIMIENTOS!$D313,"")),"")</f>
        <v/>
      </c>
      <c r="P314">
        <f t="shared" si="34"/>
        <v>6138.5</v>
      </c>
    </row>
    <row r="315" spans="1:16" x14ac:dyDescent="0.2">
      <c r="A315" s="7" t="str">
        <f t="shared" si="28"/>
        <v/>
      </c>
      <c r="B315" s="8" t="str">
        <f t="shared" si="29"/>
        <v/>
      </c>
      <c r="C315" s="9" t="str">
        <f t="shared" si="30"/>
        <v/>
      </c>
      <c r="D315" s="9" t="str">
        <f t="shared" si="31"/>
        <v/>
      </c>
      <c r="E315" s="8" t="str">
        <f t="shared" si="32"/>
        <v/>
      </c>
      <c r="F315" s="9" t="str">
        <f t="shared" si="33"/>
        <v/>
      </c>
      <c r="J315" t="str">
        <f>IF(AND(MOVIMIENTOS!$B314&lt;&gt;"",NOT(AND(MOVIMIENTOS!$B314="PROCESO",MOVIMIENTOS!$C314&lt;&gt;"Chancho")),NOT(AND(MOVIMIENTOS!$B314="SALDO INICIAL",MOVIMIENTOS!$C314="Chancho"))),COUNT(J$5:J314)+1,"")</f>
        <v/>
      </c>
      <c r="K315" t="str">
        <f>IF(AND(MOVIMIENTOS!$B314&lt;&gt;"",NOT(AND(MOVIMIENTOS!$B314="PROCESO",MOVIMIENTOS!$C314&lt;&gt;"Chancho")),NOT(AND(MOVIMIENTOS!$B314="SALDO INICIAL",MOVIMIENTOS!$C314="Chancho"))),MOVIMIENTOS!$A314,"")</f>
        <v/>
      </c>
      <c r="L315" t="str">
        <f>IF(AND(MOVIMIENTOS!$B314&lt;&gt;"",NOT(AND(MOVIMIENTOS!$B314="PROCESO",MOVIMIENTOS!$C314&lt;&gt;"Chancho")),NOT(AND(MOVIMIENTOS!$B314="SALDO INICIAL",MOVIMIENTOS!$C314="Chancho"))),IF(MOVIMIENTOS!$B314="SALDO INICIAL","APERTURA ("&amp;MOVIMIENTOS!$C314&amp;")",IF(MOVIMIENTOS!$B314="COMPRA","INGRESO (compra)",IF(MOVIMIENTOS!$B314="PROCESO","CHANCHO (proceso)",IF(MOVIMIENTOS!$B314="ENVÍO A SUPESA","ENVÍO SUPESA cal. "&amp;MOVIMIENTOS!$C314,IF(MOVIMIENTOS!$B314="VENTA CHANCHO","VENTA CHANCHO",IF(MOVIMIENTOS!$B314="DEVOLUCIÓN","DEVOLUCIÓN cal. "&amp;MOVIMIENTOS!$C314,IF(MOVIMIENTOS!$B314="TRASIEGO","TRASIEGO cal. "&amp;MOVIMIENTOS!$C314,IF(MOVIMIENTOS!$B314="REGALO","REGALO "&amp;MOVIMIENTOS!$C314,IF(MOVIMIENTOS!$B314="VENTA","VENTA "&amp;MOVIMIENTOS!$C314,IF(MOVIMIENTOS!$B314="AJUSTE","AJUSTE inventario ("&amp;MOVIMIENTOS!$C314&amp;")",MOVIMIENTOS!$B314)))))))))),"")</f>
        <v/>
      </c>
      <c r="M315" t="str">
        <f>IF(AND(AND(MOVIMIENTOS!$B314&lt;&gt;"",NOT(AND(MOVIMIENTOS!$B314="PROCESO",MOVIMIENTOS!$C314&lt;&gt;"Chancho")),NOT(AND(MOVIMIENTOS!$B314="SALDO INICIAL",MOVIMIENTOS!$C314="Chancho"))),OR(MOVIMIENTOS!$B314="SALDO INICIAL",MOVIMIENTOS!$B314="COMPRA",MOVIMIENTOS!$B314="REPROCESO",AND(MOVIMIENTOS!$B314="AJUSTE",MOVIMIENTOS!$C314&lt;&gt;"Chancho",N(MOVIMIENTOS!$F314)&gt;=0))),N(MOVIMIENTOS!$F314),"")</f>
        <v/>
      </c>
      <c r="N315" t="str">
        <f>IF(AND(AND(MOVIMIENTOS!$B314&lt;&gt;"",NOT(AND(MOVIMIENTOS!$B314="PROCESO",MOVIMIENTOS!$C314&lt;&gt;"Chancho")),NOT(AND(MOVIMIENTOS!$B314="SALDO INICIAL",MOVIMIENTOS!$C314="Chancho"))),OR(MOVIMIENTOS!$B314="ENVÍO A SUPESA",MOVIMIENTOS!$B314="MALOGRADO",MOVIMIENTOS!$B314="OTRA SALIDA",MOVIMIENTOS!$B314="TRASIEGO",AND(MOVIMIENTOS!$B314="PROCESO",MOVIMIENTOS!$C314="Chancho"),AND(MOVIMIENTOS!$B314="REGALO",MOVIMIENTOS!$C314&lt;&gt;"Chancho"),AND(MOVIMIENTOS!$B314="VENTA",MOVIMIENTOS!$C314&lt;&gt;"Chancho"),AND(MOVIMIENTOS!$B314="AJUSTE",MOVIMIENTOS!$C314&lt;&gt;"Chancho",N(MOVIMIENTOS!$F314)&lt;0))),IF(MOVIMIENTOS!$B314="AJUSTE",-N(MOVIMIENTOS!$F314),N(MOVIMIENTOS!$F314)),"")</f>
        <v/>
      </c>
      <c r="O315" t="str">
        <f>IF(AND(MOVIMIENTOS!$B314&lt;&gt;"",NOT(AND(MOVIMIENTOS!$B314="PROCESO",MOVIMIENTOS!$C314&lt;&gt;"Chancho")),NOT(AND(MOVIMIENTOS!$B314="SALDO INICIAL",MOVIMIENTOS!$C314="Chancho"))),TRIM(IF(MOVIMIENTOS!$G314&lt;&gt;"",IF(MOVIMIENTOS!$B314="ENVÍO A SUPESA","G-"&amp;MOVIMIENTOS!$G314,MOVIMIENTOS!$G314)&amp;"  ","")&amp;IF(N(MOVIMIENTOS!$E314)&gt;0,MOVIMIENTOS!$E314&amp;" "&amp;MOVIMIENTOS!$D314,"")),"")</f>
        <v/>
      </c>
      <c r="P315">
        <f t="shared" si="34"/>
        <v>6138.5</v>
      </c>
    </row>
    <row r="316" spans="1:16" x14ac:dyDescent="0.2">
      <c r="A316" s="7" t="str">
        <f t="shared" si="28"/>
        <v/>
      </c>
      <c r="B316" s="8" t="str">
        <f t="shared" si="29"/>
        <v/>
      </c>
      <c r="C316" s="9" t="str">
        <f t="shared" si="30"/>
        <v/>
      </c>
      <c r="D316" s="9" t="str">
        <f t="shared" si="31"/>
        <v/>
      </c>
      <c r="E316" s="8" t="str">
        <f t="shared" si="32"/>
        <v/>
      </c>
      <c r="F316" s="9" t="str">
        <f t="shared" si="33"/>
        <v/>
      </c>
      <c r="J316" t="str">
        <f>IF(AND(MOVIMIENTOS!$B315&lt;&gt;"",NOT(AND(MOVIMIENTOS!$B315="PROCESO",MOVIMIENTOS!$C315&lt;&gt;"Chancho")),NOT(AND(MOVIMIENTOS!$B315="SALDO INICIAL",MOVIMIENTOS!$C315="Chancho"))),COUNT(J$5:J315)+1,"")</f>
        <v/>
      </c>
      <c r="K316" t="str">
        <f>IF(AND(MOVIMIENTOS!$B315&lt;&gt;"",NOT(AND(MOVIMIENTOS!$B315="PROCESO",MOVIMIENTOS!$C315&lt;&gt;"Chancho")),NOT(AND(MOVIMIENTOS!$B315="SALDO INICIAL",MOVIMIENTOS!$C315="Chancho"))),MOVIMIENTOS!$A315,"")</f>
        <v/>
      </c>
      <c r="L316" t="str">
        <f>IF(AND(MOVIMIENTOS!$B315&lt;&gt;"",NOT(AND(MOVIMIENTOS!$B315="PROCESO",MOVIMIENTOS!$C315&lt;&gt;"Chancho")),NOT(AND(MOVIMIENTOS!$B315="SALDO INICIAL",MOVIMIENTOS!$C315="Chancho"))),IF(MOVIMIENTOS!$B315="SALDO INICIAL","APERTURA ("&amp;MOVIMIENTOS!$C315&amp;")",IF(MOVIMIENTOS!$B315="COMPRA","INGRESO (compra)",IF(MOVIMIENTOS!$B315="PROCESO","CHANCHO (proceso)",IF(MOVIMIENTOS!$B315="ENVÍO A SUPESA","ENVÍO SUPESA cal. "&amp;MOVIMIENTOS!$C315,IF(MOVIMIENTOS!$B315="VENTA CHANCHO","VENTA CHANCHO",IF(MOVIMIENTOS!$B315="DEVOLUCIÓN","DEVOLUCIÓN cal. "&amp;MOVIMIENTOS!$C315,IF(MOVIMIENTOS!$B315="TRASIEGO","TRASIEGO cal. "&amp;MOVIMIENTOS!$C315,IF(MOVIMIENTOS!$B315="REGALO","REGALO "&amp;MOVIMIENTOS!$C315,IF(MOVIMIENTOS!$B315="VENTA","VENTA "&amp;MOVIMIENTOS!$C315,IF(MOVIMIENTOS!$B315="AJUSTE","AJUSTE inventario ("&amp;MOVIMIENTOS!$C315&amp;")",MOVIMIENTOS!$B315)))))))))),"")</f>
        <v/>
      </c>
      <c r="M316" t="str">
        <f>IF(AND(AND(MOVIMIENTOS!$B315&lt;&gt;"",NOT(AND(MOVIMIENTOS!$B315="PROCESO",MOVIMIENTOS!$C315&lt;&gt;"Chancho")),NOT(AND(MOVIMIENTOS!$B315="SALDO INICIAL",MOVIMIENTOS!$C315="Chancho"))),OR(MOVIMIENTOS!$B315="SALDO INICIAL",MOVIMIENTOS!$B315="COMPRA",MOVIMIENTOS!$B315="REPROCESO",AND(MOVIMIENTOS!$B315="AJUSTE",MOVIMIENTOS!$C315&lt;&gt;"Chancho",N(MOVIMIENTOS!$F315)&gt;=0))),N(MOVIMIENTOS!$F315),"")</f>
        <v/>
      </c>
      <c r="N316" t="str">
        <f>IF(AND(AND(MOVIMIENTOS!$B315&lt;&gt;"",NOT(AND(MOVIMIENTOS!$B315="PROCESO",MOVIMIENTOS!$C315&lt;&gt;"Chancho")),NOT(AND(MOVIMIENTOS!$B315="SALDO INICIAL",MOVIMIENTOS!$C315="Chancho"))),OR(MOVIMIENTOS!$B315="ENVÍO A SUPESA",MOVIMIENTOS!$B315="MALOGRADO",MOVIMIENTOS!$B315="OTRA SALIDA",MOVIMIENTOS!$B315="TRASIEGO",AND(MOVIMIENTOS!$B315="PROCESO",MOVIMIENTOS!$C315="Chancho"),AND(MOVIMIENTOS!$B315="REGALO",MOVIMIENTOS!$C315&lt;&gt;"Chancho"),AND(MOVIMIENTOS!$B315="VENTA",MOVIMIENTOS!$C315&lt;&gt;"Chancho"),AND(MOVIMIENTOS!$B315="AJUSTE",MOVIMIENTOS!$C315&lt;&gt;"Chancho",N(MOVIMIENTOS!$F315)&lt;0))),IF(MOVIMIENTOS!$B315="AJUSTE",-N(MOVIMIENTOS!$F315),N(MOVIMIENTOS!$F315)),"")</f>
        <v/>
      </c>
      <c r="O316" t="str">
        <f>IF(AND(MOVIMIENTOS!$B315&lt;&gt;"",NOT(AND(MOVIMIENTOS!$B315="PROCESO",MOVIMIENTOS!$C315&lt;&gt;"Chancho")),NOT(AND(MOVIMIENTOS!$B315="SALDO INICIAL",MOVIMIENTOS!$C315="Chancho"))),TRIM(IF(MOVIMIENTOS!$G315&lt;&gt;"",IF(MOVIMIENTOS!$B315="ENVÍO A SUPESA","G-"&amp;MOVIMIENTOS!$G315,MOVIMIENTOS!$G315)&amp;"  ","")&amp;IF(N(MOVIMIENTOS!$E315)&gt;0,MOVIMIENTOS!$E315&amp;" "&amp;MOVIMIENTOS!$D315,"")),"")</f>
        <v/>
      </c>
      <c r="P316">
        <f t="shared" si="34"/>
        <v>6138.5</v>
      </c>
    </row>
    <row r="317" spans="1:16" x14ac:dyDescent="0.2">
      <c r="A317" s="7" t="str">
        <f t="shared" si="28"/>
        <v/>
      </c>
      <c r="B317" s="8" t="str">
        <f t="shared" si="29"/>
        <v/>
      </c>
      <c r="C317" s="9" t="str">
        <f t="shared" si="30"/>
        <v/>
      </c>
      <c r="D317" s="9" t="str">
        <f t="shared" si="31"/>
        <v/>
      </c>
      <c r="E317" s="8" t="str">
        <f t="shared" si="32"/>
        <v/>
      </c>
      <c r="F317" s="9" t="str">
        <f t="shared" si="33"/>
        <v/>
      </c>
      <c r="J317" t="str">
        <f>IF(AND(MOVIMIENTOS!$B316&lt;&gt;"",NOT(AND(MOVIMIENTOS!$B316="PROCESO",MOVIMIENTOS!$C316&lt;&gt;"Chancho")),NOT(AND(MOVIMIENTOS!$B316="SALDO INICIAL",MOVIMIENTOS!$C316="Chancho"))),COUNT(J$5:J316)+1,"")</f>
        <v/>
      </c>
      <c r="K317" t="str">
        <f>IF(AND(MOVIMIENTOS!$B316&lt;&gt;"",NOT(AND(MOVIMIENTOS!$B316="PROCESO",MOVIMIENTOS!$C316&lt;&gt;"Chancho")),NOT(AND(MOVIMIENTOS!$B316="SALDO INICIAL",MOVIMIENTOS!$C316="Chancho"))),MOVIMIENTOS!$A316,"")</f>
        <v/>
      </c>
      <c r="L317" t="str">
        <f>IF(AND(MOVIMIENTOS!$B316&lt;&gt;"",NOT(AND(MOVIMIENTOS!$B316="PROCESO",MOVIMIENTOS!$C316&lt;&gt;"Chancho")),NOT(AND(MOVIMIENTOS!$B316="SALDO INICIAL",MOVIMIENTOS!$C316="Chancho"))),IF(MOVIMIENTOS!$B316="SALDO INICIAL","APERTURA ("&amp;MOVIMIENTOS!$C316&amp;")",IF(MOVIMIENTOS!$B316="COMPRA","INGRESO (compra)",IF(MOVIMIENTOS!$B316="PROCESO","CHANCHO (proceso)",IF(MOVIMIENTOS!$B316="ENVÍO A SUPESA","ENVÍO SUPESA cal. "&amp;MOVIMIENTOS!$C316,IF(MOVIMIENTOS!$B316="VENTA CHANCHO","VENTA CHANCHO",IF(MOVIMIENTOS!$B316="DEVOLUCIÓN","DEVOLUCIÓN cal. "&amp;MOVIMIENTOS!$C316,IF(MOVIMIENTOS!$B316="TRASIEGO","TRASIEGO cal. "&amp;MOVIMIENTOS!$C316,IF(MOVIMIENTOS!$B316="REGALO","REGALO "&amp;MOVIMIENTOS!$C316,IF(MOVIMIENTOS!$B316="VENTA","VENTA "&amp;MOVIMIENTOS!$C316,IF(MOVIMIENTOS!$B316="AJUSTE","AJUSTE inventario ("&amp;MOVIMIENTOS!$C316&amp;")",MOVIMIENTOS!$B316)))))))))),"")</f>
        <v/>
      </c>
      <c r="M317" t="str">
        <f>IF(AND(AND(MOVIMIENTOS!$B316&lt;&gt;"",NOT(AND(MOVIMIENTOS!$B316="PROCESO",MOVIMIENTOS!$C316&lt;&gt;"Chancho")),NOT(AND(MOVIMIENTOS!$B316="SALDO INICIAL",MOVIMIENTOS!$C316="Chancho"))),OR(MOVIMIENTOS!$B316="SALDO INICIAL",MOVIMIENTOS!$B316="COMPRA",MOVIMIENTOS!$B316="REPROCESO",AND(MOVIMIENTOS!$B316="AJUSTE",MOVIMIENTOS!$C316&lt;&gt;"Chancho",N(MOVIMIENTOS!$F316)&gt;=0))),N(MOVIMIENTOS!$F316),"")</f>
        <v/>
      </c>
      <c r="N317" t="str">
        <f>IF(AND(AND(MOVIMIENTOS!$B316&lt;&gt;"",NOT(AND(MOVIMIENTOS!$B316="PROCESO",MOVIMIENTOS!$C316&lt;&gt;"Chancho")),NOT(AND(MOVIMIENTOS!$B316="SALDO INICIAL",MOVIMIENTOS!$C316="Chancho"))),OR(MOVIMIENTOS!$B316="ENVÍO A SUPESA",MOVIMIENTOS!$B316="MALOGRADO",MOVIMIENTOS!$B316="OTRA SALIDA",MOVIMIENTOS!$B316="TRASIEGO",AND(MOVIMIENTOS!$B316="PROCESO",MOVIMIENTOS!$C316="Chancho"),AND(MOVIMIENTOS!$B316="REGALO",MOVIMIENTOS!$C316&lt;&gt;"Chancho"),AND(MOVIMIENTOS!$B316="VENTA",MOVIMIENTOS!$C316&lt;&gt;"Chancho"),AND(MOVIMIENTOS!$B316="AJUSTE",MOVIMIENTOS!$C316&lt;&gt;"Chancho",N(MOVIMIENTOS!$F316)&lt;0))),IF(MOVIMIENTOS!$B316="AJUSTE",-N(MOVIMIENTOS!$F316),N(MOVIMIENTOS!$F316)),"")</f>
        <v/>
      </c>
      <c r="O317" t="str">
        <f>IF(AND(MOVIMIENTOS!$B316&lt;&gt;"",NOT(AND(MOVIMIENTOS!$B316="PROCESO",MOVIMIENTOS!$C316&lt;&gt;"Chancho")),NOT(AND(MOVIMIENTOS!$B316="SALDO INICIAL",MOVIMIENTOS!$C316="Chancho"))),TRIM(IF(MOVIMIENTOS!$G316&lt;&gt;"",IF(MOVIMIENTOS!$B316="ENVÍO A SUPESA","G-"&amp;MOVIMIENTOS!$G316,MOVIMIENTOS!$G316)&amp;"  ","")&amp;IF(N(MOVIMIENTOS!$E316)&gt;0,MOVIMIENTOS!$E316&amp;" "&amp;MOVIMIENTOS!$D316,"")),"")</f>
        <v/>
      </c>
      <c r="P317">
        <f t="shared" si="34"/>
        <v>6138.5</v>
      </c>
    </row>
    <row r="318" spans="1:16" x14ac:dyDescent="0.2">
      <c r="A318" s="7" t="str">
        <f t="shared" si="28"/>
        <v/>
      </c>
      <c r="B318" s="8" t="str">
        <f t="shared" si="29"/>
        <v/>
      </c>
      <c r="C318" s="9" t="str">
        <f t="shared" si="30"/>
        <v/>
      </c>
      <c r="D318" s="9" t="str">
        <f t="shared" si="31"/>
        <v/>
      </c>
      <c r="E318" s="8" t="str">
        <f t="shared" si="32"/>
        <v/>
      </c>
      <c r="F318" s="9" t="str">
        <f t="shared" si="33"/>
        <v/>
      </c>
      <c r="J318" t="str">
        <f>IF(AND(MOVIMIENTOS!$B317&lt;&gt;"",NOT(AND(MOVIMIENTOS!$B317="PROCESO",MOVIMIENTOS!$C317&lt;&gt;"Chancho")),NOT(AND(MOVIMIENTOS!$B317="SALDO INICIAL",MOVIMIENTOS!$C317="Chancho"))),COUNT(J$5:J317)+1,"")</f>
        <v/>
      </c>
      <c r="K318" t="str">
        <f>IF(AND(MOVIMIENTOS!$B317&lt;&gt;"",NOT(AND(MOVIMIENTOS!$B317="PROCESO",MOVIMIENTOS!$C317&lt;&gt;"Chancho")),NOT(AND(MOVIMIENTOS!$B317="SALDO INICIAL",MOVIMIENTOS!$C317="Chancho"))),MOVIMIENTOS!$A317,"")</f>
        <v/>
      </c>
      <c r="L318" t="str">
        <f>IF(AND(MOVIMIENTOS!$B317&lt;&gt;"",NOT(AND(MOVIMIENTOS!$B317="PROCESO",MOVIMIENTOS!$C317&lt;&gt;"Chancho")),NOT(AND(MOVIMIENTOS!$B317="SALDO INICIAL",MOVIMIENTOS!$C317="Chancho"))),IF(MOVIMIENTOS!$B317="SALDO INICIAL","APERTURA ("&amp;MOVIMIENTOS!$C317&amp;")",IF(MOVIMIENTOS!$B317="COMPRA","INGRESO (compra)",IF(MOVIMIENTOS!$B317="PROCESO","CHANCHO (proceso)",IF(MOVIMIENTOS!$B317="ENVÍO A SUPESA","ENVÍO SUPESA cal. "&amp;MOVIMIENTOS!$C317,IF(MOVIMIENTOS!$B317="VENTA CHANCHO","VENTA CHANCHO",IF(MOVIMIENTOS!$B317="DEVOLUCIÓN","DEVOLUCIÓN cal. "&amp;MOVIMIENTOS!$C317,IF(MOVIMIENTOS!$B317="TRASIEGO","TRASIEGO cal. "&amp;MOVIMIENTOS!$C317,IF(MOVIMIENTOS!$B317="REGALO","REGALO "&amp;MOVIMIENTOS!$C317,IF(MOVIMIENTOS!$B317="VENTA","VENTA "&amp;MOVIMIENTOS!$C317,IF(MOVIMIENTOS!$B317="AJUSTE","AJUSTE inventario ("&amp;MOVIMIENTOS!$C317&amp;")",MOVIMIENTOS!$B317)))))))))),"")</f>
        <v/>
      </c>
      <c r="M318" t="str">
        <f>IF(AND(AND(MOVIMIENTOS!$B317&lt;&gt;"",NOT(AND(MOVIMIENTOS!$B317="PROCESO",MOVIMIENTOS!$C317&lt;&gt;"Chancho")),NOT(AND(MOVIMIENTOS!$B317="SALDO INICIAL",MOVIMIENTOS!$C317="Chancho"))),OR(MOVIMIENTOS!$B317="SALDO INICIAL",MOVIMIENTOS!$B317="COMPRA",MOVIMIENTOS!$B317="REPROCESO",AND(MOVIMIENTOS!$B317="AJUSTE",MOVIMIENTOS!$C317&lt;&gt;"Chancho",N(MOVIMIENTOS!$F317)&gt;=0))),N(MOVIMIENTOS!$F317),"")</f>
        <v/>
      </c>
      <c r="N318" t="str">
        <f>IF(AND(AND(MOVIMIENTOS!$B317&lt;&gt;"",NOT(AND(MOVIMIENTOS!$B317="PROCESO",MOVIMIENTOS!$C317&lt;&gt;"Chancho")),NOT(AND(MOVIMIENTOS!$B317="SALDO INICIAL",MOVIMIENTOS!$C317="Chancho"))),OR(MOVIMIENTOS!$B317="ENVÍO A SUPESA",MOVIMIENTOS!$B317="MALOGRADO",MOVIMIENTOS!$B317="OTRA SALIDA",MOVIMIENTOS!$B317="TRASIEGO",AND(MOVIMIENTOS!$B317="PROCESO",MOVIMIENTOS!$C317="Chancho"),AND(MOVIMIENTOS!$B317="REGALO",MOVIMIENTOS!$C317&lt;&gt;"Chancho"),AND(MOVIMIENTOS!$B317="VENTA",MOVIMIENTOS!$C317&lt;&gt;"Chancho"),AND(MOVIMIENTOS!$B317="AJUSTE",MOVIMIENTOS!$C317&lt;&gt;"Chancho",N(MOVIMIENTOS!$F317)&lt;0))),IF(MOVIMIENTOS!$B317="AJUSTE",-N(MOVIMIENTOS!$F317),N(MOVIMIENTOS!$F317)),"")</f>
        <v/>
      </c>
      <c r="O318" t="str">
        <f>IF(AND(MOVIMIENTOS!$B317&lt;&gt;"",NOT(AND(MOVIMIENTOS!$B317="PROCESO",MOVIMIENTOS!$C317&lt;&gt;"Chancho")),NOT(AND(MOVIMIENTOS!$B317="SALDO INICIAL",MOVIMIENTOS!$C317="Chancho"))),TRIM(IF(MOVIMIENTOS!$G317&lt;&gt;"",IF(MOVIMIENTOS!$B317="ENVÍO A SUPESA","G-"&amp;MOVIMIENTOS!$G317,MOVIMIENTOS!$G317)&amp;"  ","")&amp;IF(N(MOVIMIENTOS!$E317)&gt;0,MOVIMIENTOS!$E317&amp;" "&amp;MOVIMIENTOS!$D317,"")),"")</f>
        <v/>
      </c>
      <c r="P318">
        <f t="shared" si="34"/>
        <v>6138.5</v>
      </c>
    </row>
    <row r="319" spans="1:16" x14ac:dyDescent="0.2">
      <c r="A319" s="7" t="str">
        <f t="shared" si="28"/>
        <v/>
      </c>
      <c r="B319" s="8" t="str">
        <f t="shared" si="29"/>
        <v/>
      </c>
      <c r="C319" s="9" t="str">
        <f t="shared" si="30"/>
        <v/>
      </c>
      <c r="D319" s="9" t="str">
        <f t="shared" si="31"/>
        <v/>
      </c>
      <c r="E319" s="8" t="str">
        <f t="shared" si="32"/>
        <v/>
      </c>
      <c r="F319" s="9" t="str">
        <f t="shared" si="33"/>
        <v/>
      </c>
      <c r="J319" t="str">
        <f>IF(AND(MOVIMIENTOS!$B318&lt;&gt;"",NOT(AND(MOVIMIENTOS!$B318="PROCESO",MOVIMIENTOS!$C318&lt;&gt;"Chancho")),NOT(AND(MOVIMIENTOS!$B318="SALDO INICIAL",MOVIMIENTOS!$C318="Chancho"))),COUNT(J$5:J318)+1,"")</f>
        <v/>
      </c>
      <c r="K319" t="str">
        <f>IF(AND(MOVIMIENTOS!$B318&lt;&gt;"",NOT(AND(MOVIMIENTOS!$B318="PROCESO",MOVIMIENTOS!$C318&lt;&gt;"Chancho")),NOT(AND(MOVIMIENTOS!$B318="SALDO INICIAL",MOVIMIENTOS!$C318="Chancho"))),MOVIMIENTOS!$A318,"")</f>
        <v/>
      </c>
      <c r="L319" t="str">
        <f>IF(AND(MOVIMIENTOS!$B318&lt;&gt;"",NOT(AND(MOVIMIENTOS!$B318="PROCESO",MOVIMIENTOS!$C318&lt;&gt;"Chancho")),NOT(AND(MOVIMIENTOS!$B318="SALDO INICIAL",MOVIMIENTOS!$C318="Chancho"))),IF(MOVIMIENTOS!$B318="SALDO INICIAL","APERTURA ("&amp;MOVIMIENTOS!$C318&amp;")",IF(MOVIMIENTOS!$B318="COMPRA","INGRESO (compra)",IF(MOVIMIENTOS!$B318="PROCESO","CHANCHO (proceso)",IF(MOVIMIENTOS!$B318="ENVÍO A SUPESA","ENVÍO SUPESA cal. "&amp;MOVIMIENTOS!$C318,IF(MOVIMIENTOS!$B318="VENTA CHANCHO","VENTA CHANCHO",IF(MOVIMIENTOS!$B318="DEVOLUCIÓN","DEVOLUCIÓN cal. "&amp;MOVIMIENTOS!$C318,IF(MOVIMIENTOS!$B318="TRASIEGO","TRASIEGO cal. "&amp;MOVIMIENTOS!$C318,IF(MOVIMIENTOS!$B318="REGALO","REGALO "&amp;MOVIMIENTOS!$C318,IF(MOVIMIENTOS!$B318="VENTA","VENTA "&amp;MOVIMIENTOS!$C318,IF(MOVIMIENTOS!$B318="AJUSTE","AJUSTE inventario ("&amp;MOVIMIENTOS!$C318&amp;")",MOVIMIENTOS!$B318)))))))))),"")</f>
        <v/>
      </c>
      <c r="M319" t="str">
        <f>IF(AND(AND(MOVIMIENTOS!$B318&lt;&gt;"",NOT(AND(MOVIMIENTOS!$B318="PROCESO",MOVIMIENTOS!$C318&lt;&gt;"Chancho")),NOT(AND(MOVIMIENTOS!$B318="SALDO INICIAL",MOVIMIENTOS!$C318="Chancho"))),OR(MOVIMIENTOS!$B318="SALDO INICIAL",MOVIMIENTOS!$B318="COMPRA",MOVIMIENTOS!$B318="REPROCESO",AND(MOVIMIENTOS!$B318="AJUSTE",MOVIMIENTOS!$C318&lt;&gt;"Chancho",N(MOVIMIENTOS!$F318)&gt;=0))),N(MOVIMIENTOS!$F318),"")</f>
        <v/>
      </c>
      <c r="N319" t="str">
        <f>IF(AND(AND(MOVIMIENTOS!$B318&lt;&gt;"",NOT(AND(MOVIMIENTOS!$B318="PROCESO",MOVIMIENTOS!$C318&lt;&gt;"Chancho")),NOT(AND(MOVIMIENTOS!$B318="SALDO INICIAL",MOVIMIENTOS!$C318="Chancho"))),OR(MOVIMIENTOS!$B318="ENVÍO A SUPESA",MOVIMIENTOS!$B318="MALOGRADO",MOVIMIENTOS!$B318="OTRA SALIDA",MOVIMIENTOS!$B318="TRASIEGO",AND(MOVIMIENTOS!$B318="PROCESO",MOVIMIENTOS!$C318="Chancho"),AND(MOVIMIENTOS!$B318="REGALO",MOVIMIENTOS!$C318&lt;&gt;"Chancho"),AND(MOVIMIENTOS!$B318="VENTA",MOVIMIENTOS!$C318&lt;&gt;"Chancho"),AND(MOVIMIENTOS!$B318="AJUSTE",MOVIMIENTOS!$C318&lt;&gt;"Chancho",N(MOVIMIENTOS!$F318)&lt;0))),IF(MOVIMIENTOS!$B318="AJUSTE",-N(MOVIMIENTOS!$F318),N(MOVIMIENTOS!$F318)),"")</f>
        <v/>
      </c>
      <c r="O319" t="str">
        <f>IF(AND(MOVIMIENTOS!$B318&lt;&gt;"",NOT(AND(MOVIMIENTOS!$B318="PROCESO",MOVIMIENTOS!$C318&lt;&gt;"Chancho")),NOT(AND(MOVIMIENTOS!$B318="SALDO INICIAL",MOVIMIENTOS!$C318="Chancho"))),TRIM(IF(MOVIMIENTOS!$G318&lt;&gt;"",IF(MOVIMIENTOS!$B318="ENVÍO A SUPESA","G-"&amp;MOVIMIENTOS!$G318,MOVIMIENTOS!$G318)&amp;"  ","")&amp;IF(N(MOVIMIENTOS!$E318)&gt;0,MOVIMIENTOS!$E318&amp;" "&amp;MOVIMIENTOS!$D318,"")),"")</f>
        <v/>
      </c>
      <c r="P319">
        <f t="shared" si="34"/>
        <v>6138.5</v>
      </c>
    </row>
    <row r="320" spans="1:16" x14ac:dyDescent="0.2">
      <c r="A320" s="7" t="str">
        <f t="shared" si="28"/>
        <v/>
      </c>
      <c r="B320" s="8" t="str">
        <f t="shared" si="29"/>
        <v/>
      </c>
      <c r="C320" s="9" t="str">
        <f t="shared" si="30"/>
        <v/>
      </c>
      <c r="D320" s="9" t="str">
        <f t="shared" si="31"/>
        <v/>
      </c>
      <c r="E320" s="8" t="str">
        <f t="shared" si="32"/>
        <v/>
      </c>
      <c r="F320" s="9" t="str">
        <f t="shared" si="33"/>
        <v/>
      </c>
      <c r="J320" t="str">
        <f>IF(AND(MOVIMIENTOS!$B319&lt;&gt;"",NOT(AND(MOVIMIENTOS!$B319="PROCESO",MOVIMIENTOS!$C319&lt;&gt;"Chancho")),NOT(AND(MOVIMIENTOS!$B319="SALDO INICIAL",MOVIMIENTOS!$C319="Chancho"))),COUNT(J$5:J319)+1,"")</f>
        <v/>
      </c>
      <c r="K320" t="str">
        <f>IF(AND(MOVIMIENTOS!$B319&lt;&gt;"",NOT(AND(MOVIMIENTOS!$B319="PROCESO",MOVIMIENTOS!$C319&lt;&gt;"Chancho")),NOT(AND(MOVIMIENTOS!$B319="SALDO INICIAL",MOVIMIENTOS!$C319="Chancho"))),MOVIMIENTOS!$A319,"")</f>
        <v/>
      </c>
      <c r="L320" t="str">
        <f>IF(AND(MOVIMIENTOS!$B319&lt;&gt;"",NOT(AND(MOVIMIENTOS!$B319="PROCESO",MOVIMIENTOS!$C319&lt;&gt;"Chancho")),NOT(AND(MOVIMIENTOS!$B319="SALDO INICIAL",MOVIMIENTOS!$C319="Chancho"))),IF(MOVIMIENTOS!$B319="SALDO INICIAL","APERTURA ("&amp;MOVIMIENTOS!$C319&amp;")",IF(MOVIMIENTOS!$B319="COMPRA","INGRESO (compra)",IF(MOVIMIENTOS!$B319="PROCESO","CHANCHO (proceso)",IF(MOVIMIENTOS!$B319="ENVÍO A SUPESA","ENVÍO SUPESA cal. "&amp;MOVIMIENTOS!$C319,IF(MOVIMIENTOS!$B319="VENTA CHANCHO","VENTA CHANCHO",IF(MOVIMIENTOS!$B319="DEVOLUCIÓN","DEVOLUCIÓN cal. "&amp;MOVIMIENTOS!$C319,IF(MOVIMIENTOS!$B319="TRASIEGO","TRASIEGO cal. "&amp;MOVIMIENTOS!$C319,IF(MOVIMIENTOS!$B319="REGALO","REGALO "&amp;MOVIMIENTOS!$C319,IF(MOVIMIENTOS!$B319="VENTA","VENTA "&amp;MOVIMIENTOS!$C319,IF(MOVIMIENTOS!$B319="AJUSTE","AJUSTE inventario ("&amp;MOVIMIENTOS!$C319&amp;")",MOVIMIENTOS!$B319)))))))))),"")</f>
        <v/>
      </c>
      <c r="M320" t="str">
        <f>IF(AND(AND(MOVIMIENTOS!$B319&lt;&gt;"",NOT(AND(MOVIMIENTOS!$B319="PROCESO",MOVIMIENTOS!$C319&lt;&gt;"Chancho")),NOT(AND(MOVIMIENTOS!$B319="SALDO INICIAL",MOVIMIENTOS!$C319="Chancho"))),OR(MOVIMIENTOS!$B319="SALDO INICIAL",MOVIMIENTOS!$B319="COMPRA",MOVIMIENTOS!$B319="REPROCESO",AND(MOVIMIENTOS!$B319="AJUSTE",MOVIMIENTOS!$C319&lt;&gt;"Chancho",N(MOVIMIENTOS!$F319)&gt;=0))),N(MOVIMIENTOS!$F319),"")</f>
        <v/>
      </c>
      <c r="N320" t="str">
        <f>IF(AND(AND(MOVIMIENTOS!$B319&lt;&gt;"",NOT(AND(MOVIMIENTOS!$B319="PROCESO",MOVIMIENTOS!$C319&lt;&gt;"Chancho")),NOT(AND(MOVIMIENTOS!$B319="SALDO INICIAL",MOVIMIENTOS!$C319="Chancho"))),OR(MOVIMIENTOS!$B319="ENVÍO A SUPESA",MOVIMIENTOS!$B319="MALOGRADO",MOVIMIENTOS!$B319="OTRA SALIDA",MOVIMIENTOS!$B319="TRASIEGO",AND(MOVIMIENTOS!$B319="PROCESO",MOVIMIENTOS!$C319="Chancho"),AND(MOVIMIENTOS!$B319="REGALO",MOVIMIENTOS!$C319&lt;&gt;"Chancho"),AND(MOVIMIENTOS!$B319="VENTA",MOVIMIENTOS!$C319&lt;&gt;"Chancho"),AND(MOVIMIENTOS!$B319="AJUSTE",MOVIMIENTOS!$C319&lt;&gt;"Chancho",N(MOVIMIENTOS!$F319)&lt;0))),IF(MOVIMIENTOS!$B319="AJUSTE",-N(MOVIMIENTOS!$F319),N(MOVIMIENTOS!$F319)),"")</f>
        <v/>
      </c>
      <c r="O320" t="str">
        <f>IF(AND(MOVIMIENTOS!$B319&lt;&gt;"",NOT(AND(MOVIMIENTOS!$B319="PROCESO",MOVIMIENTOS!$C319&lt;&gt;"Chancho")),NOT(AND(MOVIMIENTOS!$B319="SALDO INICIAL",MOVIMIENTOS!$C319="Chancho"))),TRIM(IF(MOVIMIENTOS!$G319&lt;&gt;"",IF(MOVIMIENTOS!$B319="ENVÍO A SUPESA","G-"&amp;MOVIMIENTOS!$G319,MOVIMIENTOS!$G319)&amp;"  ","")&amp;IF(N(MOVIMIENTOS!$E319)&gt;0,MOVIMIENTOS!$E319&amp;" "&amp;MOVIMIENTOS!$D319,"")),"")</f>
        <v/>
      </c>
      <c r="P320">
        <f t="shared" si="34"/>
        <v>6138.5</v>
      </c>
    </row>
    <row r="321" spans="1:16" x14ac:dyDescent="0.2">
      <c r="A321" s="7" t="str">
        <f t="shared" si="28"/>
        <v/>
      </c>
      <c r="B321" s="8" t="str">
        <f t="shared" si="29"/>
        <v/>
      </c>
      <c r="C321" s="9" t="str">
        <f t="shared" si="30"/>
        <v/>
      </c>
      <c r="D321" s="9" t="str">
        <f t="shared" si="31"/>
        <v/>
      </c>
      <c r="E321" s="8" t="str">
        <f t="shared" si="32"/>
        <v/>
      </c>
      <c r="F321" s="9" t="str">
        <f t="shared" si="33"/>
        <v/>
      </c>
      <c r="J321" t="str">
        <f>IF(AND(MOVIMIENTOS!$B320&lt;&gt;"",NOT(AND(MOVIMIENTOS!$B320="PROCESO",MOVIMIENTOS!$C320&lt;&gt;"Chancho")),NOT(AND(MOVIMIENTOS!$B320="SALDO INICIAL",MOVIMIENTOS!$C320="Chancho"))),COUNT(J$5:J320)+1,"")</f>
        <v/>
      </c>
      <c r="K321" t="str">
        <f>IF(AND(MOVIMIENTOS!$B320&lt;&gt;"",NOT(AND(MOVIMIENTOS!$B320="PROCESO",MOVIMIENTOS!$C320&lt;&gt;"Chancho")),NOT(AND(MOVIMIENTOS!$B320="SALDO INICIAL",MOVIMIENTOS!$C320="Chancho"))),MOVIMIENTOS!$A320,"")</f>
        <v/>
      </c>
      <c r="L321" t="str">
        <f>IF(AND(MOVIMIENTOS!$B320&lt;&gt;"",NOT(AND(MOVIMIENTOS!$B320="PROCESO",MOVIMIENTOS!$C320&lt;&gt;"Chancho")),NOT(AND(MOVIMIENTOS!$B320="SALDO INICIAL",MOVIMIENTOS!$C320="Chancho"))),IF(MOVIMIENTOS!$B320="SALDO INICIAL","APERTURA ("&amp;MOVIMIENTOS!$C320&amp;")",IF(MOVIMIENTOS!$B320="COMPRA","INGRESO (compra)",IF(MOVIMIENTOS!$B320="PROCESO","CHANCHO (proceso)",IF(MOVIMIENTOS!$B320="ENVÍO A SUPESA","ENVÍO SUPESA cal. "&amp;MOVIMIENTOS!$C320,IF(MOVIMIENTOS!$B320="VENTA CHANCHO","VENTA CHANCHO",IF(MOVIMIENTOS!$B320="DEVOLUCIÓN","DEVOLUCIÓN cal. "&amp;MOVIMIENTOS!$C320,IF(MOVIMIENTOS!$B320="TRASIEGO","TRASIEGO cal. "&amp;MOVIMIENTOS!$C320,IF(MOVIMIENTOS!$B320="REGALO","REGALO "&amp;MOVIMIENTOS!$C320,IF(MOVIMIENTOS!$B320="VENTA","VENTA "&amp;MOVIMIENTOS!$C320,IF(MOVIMIENTOS!$B320="AJUSTE","AJUSTE inventario ("&amp;MOVIMIENTOS!$C320&amp;")",MOVIMIENTOS!$B320)))))))))),"")</f>
        <v/>
      </c>
      <c r="M321" t="str">
        <f>IF(AND(AND(MOVIMIENTOS!$B320&lt;&gt;"",NOT(AND(MOVIMIENTOS!$B320="PROCESO",MOVIMIENTOS!$C320&lt;&gt;"Chancho")),NOT(AND(MOVIMIENTOS!$B320="SALDO INICIAL",MOVIMIENTOS!$C320="Chancho"))),OR(MOVIMIENTOS!$B320="SALDO INICIAL",MOVIMIENTOS!$B320="COMPRA",MOVIMIENTOS!$B320="REPROCESO",AND(MOVIMIENTOS!$B320="AJUSTE",MOVIMIENTOS!$C320&lt;&gt;"Chancho",N(MOVIMIENTOS!$F320)&gt;=0))),N(MOVIMIENTOS!$F320),"")</f>
        <v/>
      </c>
      <c r="N321" t="str">
        <f>IF(AND(AND(MOVIMIENTOS!$B320&lt;&gt;"",NOT(AND(MOVIMIENTOS!$B320="PROCESO",MOVIMIENTOS!$C320&lt;&gt;"Chancho")),NOT(AND(MOVIMIENTOS!$B320="SALDO INICIAL",MOVIMIENTOS!$C320="Chancho"))),OR(MOVIMIENTOS!$B320="ENVÍO A SUPESA",MOVIMIENTOS!$B320="MALOGRADO",MOVIMIENTOS!$B320="OTRA SALIDA",MOVIMIENTOS!$B320="TRASIEGO",AND(MOVIMIENTOS!$B320="PROCESO",MOVIMIENTOS!$C320="Chancho"),AND(MOVIMIENTOS!$B320="REGALO",MOVIMIENTOS!$C320&lt;&gt;"Chancho"),AND(MOVIMIENTOS!$B320="VENTA",MOVIMIENTOS!$C320&lt;&gt;"Chancho"),AND(MOVIMIENTOS!$B320="AJUSTE",MOVIMIENTOS!$C320&lt;&gt;"Chancho",N(MOVIMIENTOS!$F320)&lt;0))),IF(MOVIMIENTOS!$B320="AJUSTE",-N(MOVIMIENTOS!$F320),N(MOVIMIENTOS!$F320)),"")</f>
        <v/>
      </c>
      <c r="O321" t="str">
        <f>IF(AND(MOVIMIENTOS!$B320&lt;&gt;"",NOT(AND(MOVIMIENTOS!$B320="PROCESO",MOVIMIENTOS!$C320&lt;&gt;"Chancho")),NOT(AND(MOVIMIENTOS!$B320="SALDO INICIAL",MOVIMIENTOS!$C320="Chancho"))),TRIM(IF(MOVIMIENTOS!$G320&lt;&gt;"",IF(MOVIMIENTOS!$B320="ENVÍO A SUPESA","G-"&amp;MOVIMIENTOS!$G320,MOVIMIENTOS!$G320)&amp;"  ","")&amp;IF(N(MOVIMIENTOS!$E320)&gt;0,MOVIMIENTOS!$E320&amp;" "&amp;MOVIMIENTOS!$D320,"")),"")</f>
        <v/>
      </c>
      <c r="P321">
        <f t="shared" si="34"/>
        <v>6138.5</v>
      </c>
    </row>
    <row r="322" spans="1:16" x14ac:dyDescent="0.2">
      <c r="A322" s="7" t="str">
        <f t="shared" si="28"/>
        <v/>
      </c>
      <c r="B322" s="8" t="str">
        <f t="shared" si="29"/>
        <v/>
      </c>
      <c r="C322" s="9" t="str">
        <f t="shared" si="30"/>
        <v/>
      </c>
      <c r="D322" s="9" t="str">
        <f t="shared" si="31"/>
        <v/>
      </c>
      <c r="E322" s="8" t="str">
        <f t="shared" si="32"/>
        <v/>
      </c>
      <c r="F322" s="9" t="str">
        <f t="shared" si="33"/>
        <v/>
      </c>
      <c r="J322" t="str">
        <f>IF(AND(MOVIMIENTOS!$B321&lt;&gt;"",NOT(AND(MOVIMIENTOS!$B321="PROCESO",MOVIMIENTOS!$C321&lt;&gt;"Chancho")),NOT(AND(MOVIMIENTOS!$B321="SALDO INICIAL",MOVIMIENTOS!$C321="Chancho"))),COUNT(J$5:J321)+1,"")</f>
        <v/>
      </c>
      <c r="K322" t="str">
        <f>IF(AND(MOVIMIENTOS!$B321&lt;&gt;"",NOT(AND(MOVIMIENTOS!$B321="PROCESO",MOVIMIENTOS!$C321&lt;&gt;"Chancho")),NOT(AND(MOVIMIENTOS!$B321="SALDO INICIAL",MOVIMIENTOS!$C321="Chancho"))),MOVIMIENTOS!$A321,"")</f>
        <v/>
      </c>
      <c r="L322" t="str">
        <f>IF(AND(MOVIMIENTOS!$B321&lt;&gt;"",NOT(AND(MOVIMIENTOS!$B321="PROCESO",MOVIMIENTOS!$C321&lt;&gt;"Chancho")),NOT(AND(MOVIMIENTOS!$B321="SALDO INICIAL",MOVIMIENTOS!$C321="Chancho"))),IF(MOVIMIENTOS!$B321="SALDO INICIAL","APERTURA ("&amp;MOVIMIENTOS!$C321&amp;")",IF(MOVIMIENTOS!$B321="COMPRA","INGRESO (compra)",IF(MOVIMIENTOS!$B321="PROCESO","CHANCHO (proceso)",IF(MOVIMIENTOS!$B321="ENVÍO A SUPESA","ENVÍO SUPESA cal. "&amp;MOVIMIENTOS!$C321,IF(MOVIMIENTOS!$B321="VENTA CHANCHO","VENTA CHANCHO",IF(MOVIMIENTOS!$B321="DEVOLUCIÓN","DEVOLUCIÓN cal. "&amp;MOVIMIENTOS!$C321,IF(MOVIMIENTOS!$B321="TRASIEGO","TRASIEGO cal. "&amp;MOVIMIENTOS!$C321,IF(MOVIMIENTOS!$B321="REGALO","REGALO "&amp;MOVIMIENTOS!$C321,IF(MOVIMIENTOS!$B321="VENTA","VENTA "&amp;MOVIMIENTOS!$C321,IF(MOVIMIENTOS!$B321="AJUSTE","AJUSTE inventario ("&amp;MOVIMIENTOS!$C321&amp;")",MOVIMIENTOS!$B321)))))))))),"")</f>
        <v/>
      </c>
      <c r="M322" t="str">
        <f>IF(AND(AND(MOVIMIENTOS!$B321&lt;&gt;"",NOT(AND(MOVIMIENTOS!$B321="PROCESO",MOVIMIENTOS!$C321&lt;&gt;"Chancho")),NOT(AND(MOVIMIENTOS!$B321="SALDO INICIAL",MOVIMIENTOS!$C321="Chancho"))),OR(MOVIMIENTOS!$B321="SALDO INICIAL",MOVIMIENTOS!$B321="COMPRA",MOVIMIENTOS!$B321="REPROCESO",AND(MOVIMIENTOS!$B321="AJUSTE",MOVIMIENTOS!$C321&lt;&gt;"Chancho",N(MOVIMIENTOS!$F321)&gt;=0))),N(MOVIMIENTOS!$F321),"")</f>
        <v/>
      </c>
      <c r="N322" t="str">
        <f>IF(AND(AND(MOVIMIENTOS!$B321&lt;&gt;"",NOT(AND(MOVIMIENTOS!$B321="PROCESO",MOVIMIENTOS!$C321&lt;&gt;"Chancho")),NOT(AND(MOVIMIENTOS!$B321="SALDO INICIAL",MOVIMIENTOS!$C321="Chancho"))),OR(MOVIMIENTOS!$B321="ENVÍO A SUPESA",MOVIMIENTOS!$B321="MALOGRADO",MOVIMIENTOS!$B321="OTRA SALIDA",MOVIMIENTOS!$B321="TRASIEGO",AND(MOVIMIENTOS!$B321="PROCESO",MOVIMIENTOS!$C321="Chancho"),AND(MOVIMIENTOS!$B321="REGALO",MOVIMIENTOS!$C321&lt;&gt;"Chancho"),AND(MOVIMIENTOS!$B321="VENTA",MOVIMIENTOS!$C321&lt;&gt;"Chancho"),AND(MOVIMIENTOS!$B321="AJUSTE",MOVIMIENTOS!$C321&lt;&gt;"Chancho",N(MOVIMIENTOS!$F321)&lt;0))),IF(MOVIMIENTOS!$B321="AJUSTE",-N(MOVIMIENTOS!$F321),N(MOVIMIENTOS!$F321)),"")</f>
        <v/>
      </c>
      <c r="O322" t="str">
        <f>IF(AND(MOVIMIENTOS!$B321&lt;&gt;"",NOT(AND(MOVIMIENTOS!$B321="PROCESO",MOVIMIENTOS!$C321&lt;&gt;"Chancho")),NOT(AND(MOVIMIENTOS!$B321="SALDO INICIAL",MOVIMIENTOS!$C321="Chancho"))),TRIM(IF(MOVIMIENTOS!$G321&lt;&gt;"",IF(MOVIMIENTOS!$B321="ENVÍO A SUPESA","G-"&amp;MOVIMIENTOS!$G321,MOVIMIENTOS!$G321)&amp;"  ","")&amp;IF(N(MOVIMIENTOS!$E321)&gt;0,MOVIMIENTOS!$E321&amp;" "&amp;MOVIMIENTOS!$D321,"")),"")</f>
        <v/>
      </c>
      <c r="P322">
        <f t="shared" si="34"/>
        <v>6138.5</v>
      </c>
    </row>
    <row r="323" spans="1:16" x14ac:dyDescent="0.2">
      <c r="A323" s="7" t="str">
        <f t="shared" si="28"/>
        <v/>
      </c>
      <c r="B323" s="8" t="str">
        <f t="shared" si="29"/>
        <v/>
      </c>
      <c r="C323" s="9" t="str">
        <f t="shared" si="30"/>
        <v/>
      </c>
      <c r="D323" s="9" t="str">
        <f t="shared" si="31"/>
        <v/>
      </c>
      <c r="E323" s="8" t="str">
        <f t="shared" si="32"/>
        <v/>
      </c>
      <c r="F323" s="9" t="str">
        <f t="shared" si="33"/>
        <v/>
      </c>
      <c r="J323" t="str">
        <f>IF(AND(MOVIMIENTOS!$B322&lt;&gt;"",NOT(AND(MOVIMIENTOS!$B322="PROCESO",MOVIMIENTOS!$C322&lt;&gt;"Chancho")),NOT(AND(MOVIMIENTOS!$B322="SALDO INICIAL",MOVIMIENTOS!$C322="Chancho"))),COUNT(J$5:J322)+1,"")</f>
        <v/>
      </c>
      <c r="K323" t="str">
        <f>IF(AND(MOVIMIENTOS!$B322&lt;&gt;"",NOT(AND(MOVIMIENTOS!$B322="PROCESO",MOVIMIENTOS!$C322&lt;&gt;"Chancho")),NOT(AND(MOVIMIENTOS!$B322="SALDO INICIAL",MOVIMIENTOS!$C322="Chancho"))),MOVIMIENTOS!$A322,"")</f>
        <v/>
      </c>
      <c r="L323" t="str">
        <f>IF(AND(MOVIMIENTOS!$B322&lt;&gt;"",NOT(AND(MOVIMIENTOS!$B322="PROCESO",MOVIMIENTOS!$C322&lt;&gt;"Chancho")),NOT(AND(MOVIMIENTOS!$B322="SALDO INICIAL",MOVIMIENTOS!$C322="Chancho"))),IF(MOVIMIENTOS!$B322="SALDO INICIAL","APERTURA ("&amp;MOVIMIENTOS!$C322&amp;")",IF(MOVIMIENTOS!$B322="COMPRA","INGRESO (compra)",IF(MOVIMIENTOS!$B322="PROCESO","CHANCHO (proceso)",IF(MOVIMIENTOS!$B322="ENVÍO A SUPESA","ENVÍO SUPESA cal. "&amp;MOVIMIENTOS!$C322,IF(MOVIMIENTOS!$B322="VENTA CHANCHO","VENTA CHANCHO",IF(MOVIMIENTOS!$B322="DEVOLUCIÓN","DEVOLUCIÓN cal. "&amp;MOVIMIENTOS!$C322,IF(MOVIMIENTOS!$B322="TRASIEGO","TRASIEGO cal. "&amp;MOVIMIENTOS!$C322,IF(MOVIMIENTOS!$B322="REGALO","REGALO "&amp;MOVIMIENTOS!$C322,IF(MOVIMIENTOS!$B322="VENTA","VENTA "&amp;MOVIMIENTOS!$C322,IF(MOVIMIENTOS!$B322="AJUSTE","AJUSTE inventario ("&amp;MOVIMIENTOS!$C322&amp;")",MOVIMIENTOS!$B322)))))))))),"")</f>
        <v/>
      </c>
      <c r="M323" t="str">
        <f>IF(AND(AND(MOVIMIENTOS!$B322&lt;&gt;"",NOT(AND(MOVIMIENTOS!$B322="PROCESO",MOVIMIENTOS!$C322&lt;&gt;"Chancho")),NOT(AND(MOVIMIENTOS!$B322="SALDO INICIAL",MOVIMIENTOS!$C322="Chancho"))),OR(MOVIMIENTOS!$B322="SALDO INICIAL",MOVIMIENTOS!$B322="COMPRA",MOVIMIENTOS!$B322="REPROCESO",AND(MOVIMIENTOS!$B322="AJUSTE",MOVIMIENTOS!$C322&lt;&gt;"Chancho",N(MOVIMIENTOS!$F322)&gt;=0))),N(MOVIMIENTOS!$F322),"")</f>
        <v/>
      </c>
      <c r="N323" t="str">
        <f>IF(AND(AND(MOVIMIENTOS!$B322&lt;&gt;"",NOT(AND(MOVIMIENTOS!$B322="PROCESO",MOVIMIENTOS!$C322&lt;&gt;"Chancho")),NOT(AND(MOVIMIENTOS!$B322="SALDO INICIAL",MOVIMIENTOS!$C322="Chancho"))),OR(MOVIMIENTOS!$B322="ENVÍO A SUPESA",MOVIMIENTOS!$B322="MALOGRADO",MOVIMIENTOS!$B322="OTRA SALIDA",MOVIMIENTOS!$B322="TRASIEGO",AND(MOVIMIENTOS!$B322="PROCESO",MOVIMIENTOS!$C322="Chancho"),AND(MOVIMIENTOS!$B322="REGALO",MOVIMIENTOS!$C322&lt;&gt;"Chancho"),AND(MOVIMIENTOS!$B322="VENTA",MOVIMIENTOS!$C322&lt;&gt;"Chancho"),AND(MOVIMIENTOS!$B322="AJUSTE",MOVIMIENTOS!$C322&lt;&gt;"Chancho",N(MOVIMIENTOS!$F322)&lt;0))),IF(MOVIMIENTOS!$B322="AJUSTE",-N(MOVIMIENTOS!$F322),N(MOVIMIENTOS!$F322)),"")</f>
        <v/>
      </c>
      <c r="O323" t="str">
        <f>IF(AND(MOVIMIENTOS!$B322&lt;&gt;"",NOT(AND(MOVIMIENTOS!$B322="PROCESO",MOVIMIENTOS!$C322&lt;&gt;"Chancho")),NOT(AND(MOVIMIENTOS!$B322="SALDO INICIAL",MOVIMIENTOS!$C322="Chancho"))),TRIM(IF(MOVIMIENTOS!$G322&lt;&gt;"",IF(MOVIMIENTOS!$B322="ENVÍO A SUPESA","G-"&amp;MOVIMIENTOS!$G322,MOVIMIENTOS!$G322)&amp;"  ","")&amp;IF(N(MOVIMIENTOS!$E322)&gt;0,MOVIMIENTOS!$E322&amp;" "&amp;MOVIMIENTOS!$D322,"")),"")</f>
        <v/>
      </c>
      <c r="P323">
        <f t="shared" si="34"/>
        <v>6138.5</v>
      </c>
    </row>
    <row r="324" spans="1:16" x14ac:dyDescent="0.2">
      <c r="A324" s="7" t="str">
        <f t="shared" si="28"/>
        <v/>
      </c>
      <c r="B324" s="8" t="str">
        <f t="shared" si="29"/>
        <v/>
      </c>
      <c r="C324" s="9" t="str">
        <f t="shared" si="30"/>
        <v/>
      </c>
      <c r="D324" s="9" t="str">
        <f t="shared" si="31"/>
        <v/>
      </c>
      <c r="E324" s="8" t="str">
        <f t="shared" si="32"/>
        <v/>
      </c>
      <c r="F324" s="9" t="str">
        <f t="shared" si="33"/>
        <v/>
      </c>
      <c r="J324" t="str">
        <f>IF(AND(MOVIMIENTOS!$B323&lt;&gt;"",NOT(AND(MOVIMIENTOS!$B323="PROCESO",MOVIMIENTOS!$C323&lt;&gt;"Chancho")),NOT(AND(MOVIMIENTOS!$B323="SALDO INICIAL",MOVIMIENTOS!$C323="Chancho"))),COUNT(J$5:J323)+1,"")</f>
        <v/>
      </c>
      <c r="K324" t="str">
        <f>IF(AND(MOVIMIENTOS!$B323&lt;&gt;"",NOT(AND(MOVIMIENTOS!$B323="PROCESO",MOVIMIENTOS!$C323&lt;&gt;"Chancho")),NOT(AND(MOVIMIENTOS!$B323="SALDO INICIAL",MOVIMIENTOS!$C323="Chancho"))),MOVIMIENTOS!$A323,"")</f>
        <v/>
      </c>
      <c r="L324" t="str">
        <f>IF(AND(MOVIMIENTOS!$B323&lt;&gt;"",NOT(AND(MOVIMIENTOS!$B323="PROCESO",MOVIMIENTOS!$C323&lt;&gt;"Chancho")),NOT(AND(MOVIMIENTOS!$B323="SALDO INICIAL",MOVIMIENTOS!$C323="Chancho"))),IF(MOVIMIENTOS!$B323="SALDO INICIAL","APERTURA ("&amp;MOVIMIENTOS!$C323&amp;")",IF(MOVIMIENTOS!$B323="COMPRA","INGRESO (compra)",IF(MOVIMIENTOS!$B323="PROCESO","CHANCHO (proceso)",IF(MOVIMIENTOS!$B323="ENVÍO A SUPESA","ENVÍO SUPESA cal. "&amp;MOVIMIENTOS!$C323,IF(MOVIMIENTOS!$B323="VENTA CHANCHO","VENTA CHANCHO",IF(MOVIMIENTOS!$B323="DEVOLUCIÓN","DEVOLUCIÓN cal. "&amp;MOVIMIENTOS!$C323,IF(MOVIMIENTOS!$B323="TRASIEGO","TRASIEGO cal. "&amp;MOVIMIENTOS!$C323,IF(MOVIMIENTOS!$B323="REGALO","REGALO "&amp;MOVIMIENTOS!$C323,IF(MOVIMIENTOS!$B323="VENTA","VENTA "&amp;MOVIMIENTOS!$C323,IF(MOVIMIENTOS!$B323="AJUSTE","AJUSTE inventario ("&amp;MOVIMIENTOS!$C323&amp;")",MOVIMIENTOS!$B323)))))))))),"")</f>
        <v/>
      </c>
      <c r="M324" t="str">
        <f>IF(AND(AND(MOVIMIENTOS!$B323&lt;&gt;"",NOT(AND(MOVIMIENTOS!$B323="PROCESO",MOVIMIENTOS!$C323&lt;&gt;"Chancho")),NOT(AND(MOVIMIENTOS!$B323="SALDO INICIAL",MOVIMIENTOS!$C323="Chancho"))),OR(MOVIMIENTOS!$B323="SALDO INICIAL",MOVIMIENTOS!$B323="COMPRA",MOVIMIENTOS!$B323="REPROCESO",AND(MOVIMIENTOS!$B323="AJUSTE",MOVIMIENTOS!$C323&lt;&gt;"Chancho",N(MOVIMIENTOS!$F323)&gt;=0))),N(MOVIMIENTOS!$F323),"")</f>
        <v/>
      </c>
      <c r="N324" t="str">
        <f>IF(AND(AND(MOVIMIENTOS!$B323&lt;&gt;"",NOT(AND(MOVIMIENTOS!$B323="PROCESO",MOVIMIENTOS!$C323&lt;&gt;"Chancho")),NOT(AND(MOVIMIENTOS!$B323="SALDO INICIAL",MOVIMIENTOS!$C323="Chancho"))),OR(MOVIMIENTOS!$B323="ENVÍO A SUPESA",MOVIMIENTOS!$B323="MALOGRADO",MOVIMIENTOS!$B323="OTRA SALIDA",MOVIMIENTOS!$B323="TRASIEGO",AND(MOVIMIENTOS!$B323="PROCESO",MOVIMIENTOS!$C323="Chancho"),AND(MOVIMIENTOS!$B323="REGALO",MOVIMIENTOS!$C323&lt;&gt;"Chancho"),AND(MOVIMIENTOS!$B323="VENTA",MOVIMIENTOS!$C323&lt;&gt;"Chancho"),AND(MOVIMIENTOS!$B323="AJUSTE",MOVIMIENTOS!$C323&lt;&gt;"Chancho",N(MOVIMIENTOS!$F323)&lt;0))),IF(MOVIMIENTOS!$B323="AJUSTE",-N(MOVIMIENTOS!$F323),N(MOVIMIENTOS!$F323)),"")</f>
        <v/>
      </c>
      <c r="O324" t="str">
        <f>IF(AND(MOVIMIENTOS!$B323&lt;&gt;"",NOT(AND(MOVIMIENTOS!$B323="PROCESO",MOVIMIENTOS!$C323&lt;&gt;"Chancho")),NOT(AND(MOVIMIENTOS!$B323="SALDO INICIAL",MOVIMIENTOS!$C323="Chancho"))),TRIM(IF(MOVIMIENTOS!$G323&lt;&gt;"",IF(MOVIMIENTOS!$B323="ENVÍO A SUPESA","G-"&amp;MOVIMIENTOS!$G323,MOVIMIENTOS!$G323)&amp;"  ","")&amp;IF(N(MOVIMIENTOS!$E323)&gt;0,MOVIMIENTOS!$E323&amp;" "&amp;MOVIMIENTOS!$D323,"")),"")</f>
        <v/>
      </c>
      <c r="P324">
        <f t="shared" si="34"/>
        <v>6138.5</v>
      </c>
    </row>
    <row r="325" spans="1:16" x14ac:dyDescent="0.2">
      <c r="A325" s="7" t="str">
        <f t="shared" si="28"/>
        <v/>
      </c>
      <c r="B325" s="8" t="str">
        <f t="shared" si="29"/>
        <v/>
      </c>
      <c r="C325" s="9" t="str">
        <f t="shared" si="30"/>
        <v/>
      </c>
      <c r="D325" s="9" t="str">
        <f t="shared" si="31"/>
        <v/>
      </c>
      <c r="E325" s="8" t="str">
        <f t="shared" si="32"/>
        <v/>
      </c>
      <c r="F325" s="9" t="str">
        <f t="shared" si="33"/>
        <v/>
      </c>
      <c r="J325" t="str">
        <f>IF(AND(MOVIMIENTOS!$B324&lt;&gt;"",NOT(AND(MOVIMIENTOS!$B324="PROCESO",MOVIMIENTOS!$C324&lt;&gt;"Chancho")),NOT(AND(MOVIMIENTOS!$B324="SALDO INICIAL",MOVIMIENTOS!$C324="Chancho"))),COUNT(J$5:J324)+1,"")</f>
        <v/>
      </c>
      <c r="K325" t="str">
        <f>IF(AND(MOVIMIENTOS!$B324&lt;&gt;"",NOT(AND(MOVIMIENTOS!$B324="PROCESO",MOVIMIENTOS!$C324&lt;&gt;"Chancho")),NOT(AND(MOVIMIENTOS!$B324="SALDO INICIAL",MOVIMIENTOS!$C324="Chancho"))),MOVIMIENTOS!$A324,"")</f>
        <v/>
      </c>
      <c r="L325" t="str">
        <f>IF(AND(MOVIMIENTOS!$B324&lt;&gt;"",NOT(AND(MOVIMIENTOS!$B324="PROCESO",MOVIMIENTOS!$C324&lt;&gt;"Chancho")),NOT(AND(MOVIMIENTOS!$B324="SALDO INICIAL",MOVIMIENTOS!$C324="Chancho"))),IF(MOVIMIENTOS!$B324="SALDO INICIAL","APERTURA ("&amp;MOVIMIENTOS!$C324&amp;")",IF(MOVIMIENTOS!$B324="COMPRA","INGRESO (compra)",IF(MOVIMIENTOS!$B324="PROCESO","CHANCHO (proceso)",IF(MOVIMIENTOS!$B324="ENVÍO A SUPESA","ENVÍO SUPESA cal. "&amp;MOVIMIENTOS!$C324,IF(MOVIMIENTOS!$B324="VENTA CHANCHO","VENTA CHANCHO",IF(MOVIMIENTOS!$B324="DEVOLUCIÓN","DEVOLUCIÓN cal. "&amp;MOVIMIENTOS!$C324,IF(MOVIMIENTOS!$B324="TRASIEGO","TRASIEGO cal. "&amp;MOVIMIENTOS!$C324,IF(MOVIMIENTOS!$B324="REGALO","REGALO "&amp;MOVIMIENTOS!$C324,IF(MOVIMIENTOS!$B324="VENTA","VENTA "&amp;MOVIMIENTOS!$C324,IF(MOVIMIENTOS!$B324="AJUSTE","AJUSTE inventario ("&amp;MOVIMIENTOS!$C324&amp;")",MOVIMIENTOS!$B324)))))))))),"")</f>
        <v/>
      </c>
      <c r="M325" t="str">
        <f>IF(AND(AND(MOVIMIENTOS!$B324&lt;&gt;"",NOT(AND(MOVIMIENTOS!$B324="PROCESO",MOVIMIENTOS!$C324&lt;&gt;"Chancho")),NOT(AND(MOVIMIENTOS!$B324="SALDO INICIAL",MOVIMIENTOS!$C324="Chancho"))),OR(MOVIMIENTOS!$B324="SALDO INICIAL",MOVIMIENTOS!$B324="COMPRA",MOVIMIENTOS!$B324="REPROCESO",AND(MOVIMIENTOS!$B324="AJUSTE",MOVIMIENTOS!$C324&lt;&gt;"Chancho",N(MOVIMIENTOS!$F324)&gt;=0))),N(MOVIMIENTOS!$F324),"")</f>
        <v/>
      </c>
      <c r="N325" t="str">
        <f>IF(AND(AND(MOVIMIENTOS!$B324&lt;&gt;"",NOT(AND(MOVIMIENTOS!$B324="PROCESO",MOVIMIENTOS!$C324&lt;&gt;"Chancho")),NOT(AND(MOVIMIENTOS!$B324="SALDO INICIAL",MOVIMIENTOS!$C324="Chancho"))),OR(MOVIMIENTOS!$B324="ENVÍO A SUPESA",MOVIMIENTOS!$B324="MALOGRADO",MOVIMIENTOS!$B324="OTRA SALIDA",MOVIMIENTOS!$B324="TRASIEGO",AND(MOVIMIENTOS!$B324="PROCESO",MOVIMIENTOS!$C324="Chancho"),AND(MOVIMIENTOS!$B324="REGALO",MOVIMIENTOS!$C324&lt;&gt;"Chancho"),AND(MOVIMIENTOS!$B324="VENTA",MOVIMIENTOS!$C324&lt;&gt;"Chancho"),AND(MOVIMIENTOS!$B324="AJUSTE",MOVIMIENTOS!$C324&lt;&gt;"Chancho",N(MOVIMIENTOS!$F324)&lt;0))),IF(MOVIMIENTOS!$B324="AJUSTE",-N(MOVIMIENTOS!$F324),N(MOVIMIENTOS!$F324)),"")</f>
        <v/>
      </c>
      <c r="O325" t="str">
        <f>IF(AND(MOVIMIENTOS!$B324&lt;&gt;"",NOT(AND(MOVIMIENTOS!$B324="PROCESO",MOVIMIENTOS!$C324&lt;&gt;"Chancho")),NOT(AND(MOVIMIENTOS!$B324="SALDO INICIAL",MOVIMIENTOS!$C324="Chancho"))),TRIM(IF(MOVIMIENTOS!$G324&lt;&gt;"",IF(MOVIMIENTOS!$B324="ENVÍO A SUPESA","G-"&amp;MOVIMIENTOS!$G324,MOVIMIENTOS!$G324)&amp;"  ","")&amp;IF(N(MOVIMIENTOS!$E324)&gt;0,MOVIMIENTOS!$E324&amp;" "&amp;MOVIMIENTOS!$D324,"")),"")</f>
        <v/>
      </c>
      <c r="P325">
        <f t="shared" si="34"/>
        <v>6138.5</v>
      </c>
    </row>
    <row r="326" spans="1:16" x14ac:dyDescent="0.2">
      <c r="A326" s="7" t="str">
        <f t="shared" ref="A326:A389" si="35">IFERROR(INDEX(K$6:K$401,MATCH(ROW()-5,J$6:J$401,0)),"")</f>
        <v/>
      </c>
      <c r="B326" s="8" t="str">
        <f t="shared" ref="B326:B389" si="36">IFERROR(INDEX(L$6:L$401,MATCH(ROW()-5,J$6:J$401,0)),"")</f>
        <v/>
      </c>
      <c r="C326" s="9" t="str">
        <f t="shared" ref="C326:C389" si="37">IFERROR(INDEX(M$6:M$401,MATCH(ROW()-5,J$6:J$401,0)),"")</f>
        <v/>
      </c>
      <c r="D326" s="9" t="str">
        <f t="shared" ref="D326:D389" si="38">IFERROR(INDEX(N$6:N$401,MATCH(ROW()-5,J$6:J$401,0)),"")</f>
        <v/>
      </c>
      <c r="E326" s="8" t="str">
        <f t="shared" ref="E326:E389" si="39">IFERROR(INDEX(O$6:O$401,MATCH(ROW()-5,J$6:J$401,0)),"")</f>
        <v/>
      </c>
      <c r="F326" s="9" t="str">
        <f t="shared" ref="F326:F389" si="40">IFERROR(INDEX(P$6:P$401,MATCH(ROW()-5,J$6:J$401,0)),"")</f>
        <v/>
      </c>
      <c r="J326" t="str">
        <f>IF(AND(MOVIMIENTOS!$B325&lt;&gt;"",NOT(AND(MOVIMIENTOS!$B325="PROCESO",MOVIMIENTOS!$C325&lt;&gt;"Chancho")),NOT(AND(MOVIMIENTOS!$B325="SALDO INICIAL",MOVIMIENTOS!$C325="Chancho"))),COUNT(J$5:J325)+1,"")</f>
        <v/>
      </c>
      <c r="K326" t="str">
        <f>IF(AND(MOVIMIENTOS!$B325&lt;&gt;"",NOT(AND(MOVIMIENTOS!$B325="PROCESO",MOVIMIENTOS!$C325&lt;&gt;"Chancho")),NOT(AND(MOVIMIENTOS!$B325="SALDO INICIAL",MOVIMIENTOS!$C325="Chancho"))),MOVIMIENTOS!$A325,"")</f>
        <v/>
      </c>
      <c r="L326" t="str">
        <f>IF(AND(MOVIMIENTOS!$B325&lt;&gt;"",NOT(AND(MOVIMIENTOS!$B325="PROCESO",MOVIMIENTOS!$C325&lt;&gt;"Chancho")),NOT(AND(MOVIMIENTOS!$B325="SALDO INICIAL",MOVIMIENTOS!$C325="Chancho"))),IF(MOVIMIENTOS!$B325="SALDO INICIAL","APERTURA ("&amp;MOVIMIENTOS!$C325&amp;")",IF(MOVIMIENTOS!$B325="COMPRA","INGRESO (compra)",IF(MOVIMIENTOS!$B325="PROCESO","CHANCHO (proceso)",IF(MOVIMIENTOS!$B325="ENVÍO A SUPESA","ENVÍO SUPESA cal. "&amp;MOVIMIENTOS!$C325,IF(MOVIMIENTOS!$B325="VENTA CHANCHO","VENTA CHANCHO",IF(MOVIMIENTOS!$B325="DEVOLUCIÓN","DEVOLUCIÓN cal. "&amp;MOVIMIENTOS!$C325,IF(MOVIMIENTOS!$B325="TRASIEGO","TRASIEGO cal. "&amp;MOVIMIENTOS!$C325,IF(MOVIMIENTOS!$B325="REGALO","REGALO "&amp;MOVIMIENTOS!$C325,IF(MOVIMIENTOS!$B325="VENTA","VENTA "&amp;MOVIMIENTOS!$C325,IF(MOVIMIENTOS!$B325="AJUSTE","AJUSTE inventario ("&amp;MOVIMIENTOS!$C325&amp;")",MOVIMIENTOS!$B325)))))))))),"")</f>
        <v/>
      </c>
      <c r="M326" t="str">
        <f>IF(AND(AND(MOVIMIENTOS!$B325&lt;&gt;"",NOT(AND(MOVIMIENTOS!$B325="PROCESO",MOVIMIENTOS!$C325&lt;&gt;"Chancho")),NOT(AND(MOVIMIENTOS!$B325="SALDO INICIAL",MOVIMIENTOS!$C325="Chancho"))),OR(MOVIMIENTOS!$B325="SALDO INICIAL",MOVIMIENTOS!$B325="COMPRA",MOVIMIENTOS!$B325="REPROCESO",AND(MOVIMIENTOS!$B325="AJUSTE",MOVIMIENTOS!$C325&lt;&gt;"Chancho",N(MOVIMIENTOS!$F325)&gt;=0))),N(MOVIMIENTOS!$F325),"")</f>
        <v/>
      </c>
      <c r="N326" t="str">
        <f>IF(AND(AND(MOVIMIENTOS!$B325&lt;&gt;"",NOT(AND(MOVIMIENTOS!$B325="PROCESO",MOVIMIENTOS!$C325&lt;&gt;"Chancho")),NOT(AND(MOVIMIENTOS!$B325="SALDO INICIAL",MOVIMIENTOS!$C325="Chancho"))),OR(MOVIMIENTOS!$B325="ENVÍO A SUPESA",MOVIMIENTOS!$B325="MALOGRADO",MOVIMIENTOS!$B325="OTRA SALIDA",MOVIMIENTOS!$B325="TRASIEGO",AND(MOVIMIENTOS!$B325="PROCESO",MOVIMIENTOS!$C325="Chancho"),AND(MOVIMIENTOS!$B325="REGALO",MOVIMIENTOS!$C325&lt;&gt;"Chancho"),AND(MOVIMIENTOS!$B325="VENTA",MOVIMIENTOS!$C325&lt;&gt;"Chancho"),AND(MOVIMIENTOS!$B325="AJUSTE",MOVIMIENTOS!$C325&lt;&gt;"Chancho",N(MOVIMIENTOS!$F325)&lt;0))),IF(MOVIMIENTOS!$B325="AJUSTE",-N(MOVIMIENTOS!$F325),N(MOVIMIENTOS!$F325)),"")</f>
        <v/>
      </c>
      <c r="O326" t="str">
        <f>IF(AND(MOVIMIENTOS!$B325&lt;&gt;"",NOT(AND(MOVIMIENTOS!$B325="PROCESO",MOVIMIENTOS!$C325&lt;&gt;"Chancho")),NOT(AND(MOVIMIENTOS!$B325="SALDO INICIAL",MOVIMIENTOS!$C325="Chancho"))),TRIM(IF(MOVIMIENTOS!$G325&lt;&gt;"",IF(MOVIMIENTOS!$B325="ENVÍO A SUPESA","G-"&amp;MOVIMIENTOS!$G325,MOVIMIENTOS!$G325)&amp;"  ","")&amp;IF(N(MOVIMIENTOS!$E325)&gt;0,MOVIMIENTOS!$E325&amp;" "&amp;MOVIMIENTOS!$D325,"")),"")</f>
        <v/>
      </c>
      <c r="P326">
        <f t="shared" ref="P326:P389" si="41">N(P325)+N(M326)-N(N326)</f>
        <v>6138.5</v>
      </c>
    </row>
    <row r="327" spans="1:16" x14ac:dyDescent="0.2">
      <c r="A327" s="7" t="str">
        <f t="shared" si="35"/>
        <v/>
      </c>
      <c r="B327" s="8" t="str">
        <f t="shared" si="36"/>
        <v/>
      </c>
      <c r="C327" s="9" t="str">
        <f t="shared" si="37"/>
        <v/>
      </c>
      <c r="D327" s="9" t="str">
        <f t="shared" si="38"/>
        <v/>
      </c>
      <c r="E327" s="8" t="str">
        <f t="shared" si="39"/>
        <v/>
      </c>
      <c r="F327" s="9" t="str">
        <f t="shared" si="40"/>
        <v/>
      </c>
      <c r="J327" t="str">
        <f>IF(AND(MOVIMIENTOS!$B326&lt;&gt;"",NOT(AND(MOVIMIENTOS!$B326="PROCESO",MOVIMIENTOS!$C326&lt;&gt;"Chancho")),NOT(AND(MOVIMIENTOS!$B326="SALDO INICIAL",MOVIMIENTOS!$C326="Chancho"))),COUNT(J$5:J326)+1,"")</f>
        <v/>
      </c>
      <c r="K327" t="str">
        <f>IF(AND(MOVIMIENTOS!$B326&lt;&gt;"",NOT(AND(MOVIMIENTOS!$B326="PROCESO",MOVIMIENTOS!$C326&lt;&gt;"Chancho")),NOT(AND(MOVIMIENTOS!$B326="SALDO INICIAL",MOVIMIENTOS!$C326="Chancho"))),MOVIMIENTOS!$A326,"")</f>
        <v/>
      </c>
      <c r="L327" t="str">
        <f>IF(AND(MOVIMIENTOS!$B326&lt;&gt;"",NOT(AND(MOVIMIENTOS!$B326="PROCESO",MOVIMIENTOS!$C326&lt;&gt;"Chancho")),NOT(AND(MOVIMIENTOS!$B326="SALDO INICIAL",MOVIMIENTOS!$C326="Chancho"))),IF(MOVIMIENTOS!$B326="SALDO INICIAL","APERTURA ("&amp;MOVIMIENTOS!$C326&amp;")",IF(MOVIMIENTOS!$B326="COMPRA","INGRESO (compra)",IF(MOVIMIENTOS!$B326="PROCESO","CHANCHO (proceso)",IF(MOVIMIENTOS!$B326="ENVÍO A SUPESA","ENVÍO SUPESA cal. "&amp;MOVIMIENTOS!$C326,IF(MOVIMIENTOS!$B326="VENTA CHANCHO","VENTA CHANCHO",IF(MOVIMIENTOS!$B326="DEVOLUCIÓN","DEVOLUCIÓN cal. "&amp;MOVIMIENTOS!$C326,IF(MOVIMIENTOS!$B326="TRASIEGO","TRASIEGO cal. "&amp;MOVIMIENTOS!$C326,IF(MOVIMIENTOS!$B326="REGALO","REGALO "&amp;MOVIMIENTOS!$C326,IF(MOVIMIENTOS!$B326="VENTA","VENTA "&amp;MOVIMIENTOS!$C326,IF(MOVIMIENTOS!$B326="AJUSTE","AJUSTE inventario ("&amp;MOVIMIENTOS!$C326&amp;")",MOVIMIENTOS!$B326)))))))))),"")</f>
        <v/>
      </c>
      <c r="M327" t="str">
        <f>IF(AND(AND(MOVIMIENTOS!$B326&lt;&gt;"",NOT(AND(MOVIMIENTOS!$B326="PROCESO",MOVIMIENTOS!$C326&lt;&gt;"Chancho")),NOT(AND(MOVIMIENTOS!$B326="SALDO INICIAL",MOVIMIENTOS!$C326="Chancho"))),OR(MOVIMIENTOS!$B326="SALDO INICIAL",MOVIMIENTOS!$B326="COMPRA",MOVIMIENTOS!$B326="REPROCESO",AND(MOVIMIENTOS!$B326="AJUSTE",MOVIMIENTOS!$C326&lt;&gt;"Chancho",N(MOVIMIENTOS!$F326)&gt;=0))),N(MOVIMIENTOS!$F326),"")</f>
        <v/>
      </c>
      <c r="N327" t="str">
        <f>IF(AND(AND(MOVIMIENTOS!$B326&lt;&gt;"",NOT(AND(MOVIMIENTOS!$B326="PROCESO",MOVIMIENTOS!$C326&lt;&gt;"Chancho")),NOT(AND(MOVIMIENTOS!$B326="SALDO INICIAL",MOVIMIENTOS!$C326="Chancho"))),OR(MOVIMIENTOS!$B326="ENVÍO A SUPESA",MOVIMIENTOS!$B326="MALOGRADO",MOVIMIENTOS!$B326="OTRA SALIDA",MOVIMIENTOS!$B326="TRASIEGO",AND(MOVIMIENTOS!$B326="PROCESO",MOVIMIENTOS!$C326="Chancho"),AND(MOVIMIENTOS!$B326="REGALO",MOVIMIENTOS!$C326&lt;&gt;"Chancho"),AND(MOVIMIENTOS!$B326="VENTA",MOVIMIENTOS!$C326&lt;&gt;"Chancho"),AND(MOVIMIENTOS!$B326="AJUSTE",MOVIMIENTOS!$C326&lt;&gt;"Chancho",N(MOVIMIENTOS!$F326)&lt;0))),IF(MOVIMIENTOS!$B326="AJUSTE",-N(MOVIMIENTOS!$F326),N(MOVIMIENTOS!$F326)),"")</f>
        <v/>
      </c>
      <c r="O327" t="str">
        <f>IF(AND(MOVIMIENTOS!$B326&lt;&gt;"",NOT(AND(MOVIMIENTOS!$B326="PROCESO",MOVIMIENTOS!$C326&lt;&gt;"Chancho")),NOT(AND(MOVIMIENTOS!$B326="SALDO INICIAL",MOVIMIENTOS!$C326="Chancho"))),TRIM(IF(MOVIMIENTOS!$G326&lt;&gt;"",IF(MOVIMIENTOS!$B326="ENVÍO A SUPESA","G-"&amp;MOVIMIENTOS!$G326,MOVIMIENTOS!$G326)&amp;"  ","")&amp;IF(N(MOVIMIENTOS!$E326)&gt;0,MOVIMIENTOS!$E326&amp;" "&amp;MOVIMIENTOS!$D326,"")),"")</f>
        <v/>
      </c>
      <c r="P327">
        <f t="shared" si="41"/>
        <v>6138.5</v>
      </c>
    </row>
    <row r="328" spans="1:16" x14ac:dyDescent="0.2">
      <c r="A328" s="7" t="str">
        <f t="shared" si="35"/>
        <v/>
      </c>
      <c r="B328" s="8" t="str">
        <f t="shared" si="36"/>
        <v/>
      </c>
      <c r="C328" s="9" t="str">
        <f t="shared" si="37"/>
        <v/>
      </c>
      <c r="D328" s="9" t="str">
        <f t="shared" si="38"/>
        <v/>
      </c>
      <c r="E328" s="8" t="str">
        <f t="shared" si="39"/>
        <v/>
      </c>
      <c r="F328" s="9" t="str">
        <f t="shared" si="40"/>
        <v/>
      </c>
      <c r="J328" t="str">
        <f>IF(AND(MOVIMIENTOS!$B327&lt;&gt;"",NOT(AND(MOVIMIENTOS!$B327="PROCESO",MOVIMIENTOS!$C327&lt;&gt;"Chancho")),NOT(AND(MOVIMIENTOS!$B327="SALDO INICIAL",MOVIMIENTOS!$C327="Chancho"))),COUNT(J$5:J327)+1,"")</f>
        <v/>
      </c>
      <c r="K328" t="str">
        <f>IF(AND(MOVIMIENTOS!$B327&lt;&gt;"",NOT(AND(MOVIMIENTOS!$B327="PROCESO",MOVIMIENTOS!$C327&lt;&gt;"Chancho")),NOT(AND(MOVIMIENTOS!$B327="SALDO INICIAL",MOVIMIENTOS!$C327="Chancho"))),MOVIMIENTOS!$A327,"")</f>
        <v/>
      </c>
      <c r="L328" t="str">
        <f>IF(AND(MOVIMIENTOS!$B327&lt;&gt;"",NOT(AND(MOVIMIENTOS!$B327="PROCESO",MOVIMIENTOS!$C327&lt;&gt;"Chancho")),NOT(AND(MOVIMIENTOS!$B327="SALDO INICIAL",MOVIMIENTOS!$C327="Chancho"))),IF(MOVIMIENTOS!$B327="SALDO INICIAL","APERTURA ("&amp;MOVIMIENTOS!$C327&amp;")",IF(MOVIMIENTOS!$B327="COMPRA","INGRESO (compra)",IF(MOVIMIENTOS!$B327="PROCESO","CHANCHO (proceso)",IF(MOVIMIENTOS!$B327="ENVÍO A SUPESA","ENVÍO SUPESA cal. "&amp;MOVIMIENTOS!$C327,IF(MOVIMIENTOS!$B327="VENTA CHANCHO","VENTA CHANCHO",IF(MOVIMIENTOS!$B327="DEVOLUCIÓN","DEVOLUCIÓN cal. "&amp;MOVIMIENTOS!$C327,IF(MOVIMIENTOS!$B327="TRASIEGO","TRASIEGO cal. "&amp;MOVIMIENTOS!$C327,IF(MOVIMIENTOS!$B327="REGALO","REGALO "&amp;MOVIMIENTOS!$C327,IF(MOVIMIENTOS!$B327="VENTA","VENTA "&amp;MOVIMIENTOS!$C327,IF(MOVIMIENTOS!$B327="AJUSTE","AJUSTE inventario ("&amp;MOVIMIENTOS!$C327&amp;")",MOVIMIENTOS!$B327)))))))))),"")</f>
        <v/>
      </c>
      <c r="M328" t="str">
        <f>IF(AND(AND(MOVIMIENTOS!$B327&lt;&gt;"",NOT(AND(MOVIMIENTOS!$B327="PROCESO",MOVIMIENTOS!$C327&lt;&gt;"Chancho")),NOT(AND(MOVIMIENTOS!$B327="SALDO INICIAL",MOVIMIENTOS!$C327="Chancho"))),OR(MOVIMIENTOS!$B327="SALDO INICIAL",MOVIMIENTOS!$B327="COMPRA",MOVIMIENTOS!$B327="REPROCESO",AND(MOVIMIENTOS!$B327="AJUSTE",MOVIMIENTOS!$C327&lt;&gt;"Chancho",N(MOVIMIENTOS!$F327)&gt;=0))),N(MOVIMIENTOS!$F327),"")</f>
        <v/>
      </c>
      <c r="N328" t="str">
        <f>IF(AND(AND(MOVIMIENTOS!$B327&lt;&gt;"",NOT(AND(MOVIMIENTOS!$B327="PROCESO",MOVIMIENTOS!$C327&lt;&gt;"Chancho")),NOT(AND(MOVIMIENTOS!$B327="SALDO INICIAL",MOVIMIENTOS!$C327="Chancho"))),OR(MOVIMIENTOS!$B327="ENVÍO A SUPESA",MOVIMIENTOS!$B327="MALOGRADO",MOVIMIENTOS!$B327="OTRA SALIDA",MOVIMIENTOS!$B327="TRASIEGO",AND(MOVIMIENTOS!$B327="PROCESO",MOVIMIENTOS!$C327="Chancho"),AND(MOVIMIENTOS!$B327="REGALO",MOVIMIENTOS!$C327&lt;&gt;"Chancho"),AND(MOVIMIENTOS!$B327="VENTA",MOVIMIENTOS!$C327&lt;&gt;"Chancho"),AND(MOVIMIENTOS!$B327="AJUSTE",MOVIMIENTOS!$C327&lt;&gt;"Chancho",N(MOVIMIENTOS!$F327)&lt;0))),IF(MOVIMIENTOS!$B327="AJUSTE",-N(MOVIMIENTOS!$F327),N(MOVIMIENTOS!$F327)),"")</f>
        <v/>
      </c>
      <c r="O328" t="str">
        <f>IF(AND(MOVIMIENTOS!$B327&lt;&gt;"",NOT(AND(MOVIMIENTOS!$B327="PROCESO",MOVIMIENTOS!$C327&lt;&gt;"Chancho")),NOT(AND(MOVIMIENTOS!$B327="SALDO INICIAL",MOVIMIENTOS!$C327="Chancho"))),TRIM(IF(MOVIMIENTOS!$G327&lt;&gt;"",IF(MOVIMIENTOS!$B327="ENVÍO A SUPESA","G-"&amp;MOVIMIENTOS!$G327,MOVIMIENTOS!$G327)&amp;"  ","")&amp;IF(N(MOVIMIENTOS!$E327)&gt;0,MOVIMIENTOS!$E327&amp;" "&amp;MOVIMIENTOS!$D327,"")),"")</f>
        <v/>
      </c>
      <c r="P328">
        <f t="shared" si="41"/>
        <v>6138.5</v>
      </c>
    </row>
    <row r="329" spans="1:16" x14ac:dyDescent="0.2">
      <c r="A329" s="7" t="str">
        <f t="shared" si="35"/>
        <v/>
      </c>
      <c r="B329" s="8" t="str">
        <f t="shared" si="36"/>
        <v/>
      </c>
      <c r="C329" s="9" t="str">
        <f t="shared" si="37"/>
        <v/>
      </c>
      <c r="D329" s="9" t="str">
        <f t="shared" si="38"/>
        <v/>
      </c>
      <c r="E329" s="8" t="str">
        <f t="shared" si="39"/>
        <v/>
      </c>
      <c r="F329" s="9" t="str">
        <f t="shared" si="40"/>
        <v/>
      </c>
      <c r="J329" t="str">
        <f>IF(AND(MOVIMIENTOS!$B328&lt;&gt;"",NOT(AND(MOVIMIENTOS!$B328="PROCESO",MOVIMIENTOS!$C328&lt;&gt;"Chancho")),NOT(AND(MOVIMIENTOS!$B328="SALDO INICIAL",MOVIMIENTOS!$C328="Chancho"))),COUNT(J$5:J328)+1,"")</f>
        <v/>
      </c>
      <c r="K329" t="str">
        <f>IF(AND(MOVIMIENTOS!$B328&lt;&gt;"",NOT(AND(MOVIMIENTOS!$B328="PROCESO",MOVIMIENTOS!$C328&lt;&gt;"Chancho")),NOT(AND(MOVIMIENTOS!$B328="SALDO INICIAL",MOVIMIENTOS!$C328="Chancho"))),MOVIMIENTOS!$A328,"")</f>
        <v/>
      </c>
      <c r="L329" t="str">
        <f>IF(AND(MOVIMIENTOS!$B328&lt;&gt;"",NOT(AND(MOVIMIENTOS!$B328="PROCESO",MOVIMIENTOS!$C328&lt;&gt;"Chancho")),NOT(AND(MOVIMIENTOS!$B328="SALDO INICIAL",MOVIMIENTOS!$C328="Chancho"))),IF(MOVIMIENTOS!$B328="SALDO INICIAL","APERTURA ("&amp;MOVIMIENTOS!$C328&amp;")",IF(MOVIMIENTOS!$B328="COMPRA","INGRESO (compra)",IF(MOVIMIENTOS!$B328="PROCESO","CHANCHO (proceso)",IF(MOVIMIENTOS!$B328="ENVÍO A SUPESA","ENVÍO SUPESA cal. "&amp;MOVIMIENTOS!$C328,IF(MOVIMIENTOS!$B328="VENTA CHANCHO","VENTA CHANCHO",IF(MOVIMIENTOS!$B328="DEVOLUCIÓN","DEVOLUCIÓN cal. "&amp;MOVIMIENTOS!$C328,IF(MOVIMIENTOS!$B328="TRASIEGO","TRASIEGO cal. "&amp;MOVIMIENTOS!$C328,IF(MOVIMIENTOS!$B328="REGALO","REGALO "&amp;MOVIMIENTOS!$C328,IF(MOVIMIENTOS!$B328="VENTA","VENTA "&amp;MOVIMIENTOS!$C328,IF(MOVIMIENTOS!$B328="AJUSTE","AJUSTE inventario ("&amp;MOVIMIENTOS!$C328&amp;")",MOVIMIENTOS!$B328)))))))))),"")</f>
        <v/>
      </c>
      <c r="M329" t="str">
        <f>IF(AND(AND(MOVIMIENTOS!$B328&lt;&gt;"",NOT(AND(MOVIMIENTOS!$B328="PROCESO",MOVIMIENTOS!$C328&lt;&gt;"Chancho")),NOT(AND(MOVIMIENTOS!$B328="SALDO INICIAL",MOVIMIENTOS!$C328="Chancho"))),OR(MOVIMIENTOS!$B328="SALDO INICIAL",MOVIMIENTOS!$B328="COMPRA",MOVIMIENTOS!$B328="REPROCESO",AND(MOVIMIENTOS!$B328="AJUSTE",MOVIMIENTOS!$C328&lt;&gt;"Chancho",N(MOVIMIENTOS!$F328)&gt;=0))),N(MOVIMIENTOS!$F328),"")</f>
        <v/>
      </c>
      <c r="N329" t="str">
        <f>IF(AND(AND(MOVIMIENTOS!$B328&lt;&gt;"",NOT(AND(MOVIMIENTOS!$B328="PROCESO",MOVIMIENTOS!$C328&lt;&gt;"Chancho")),NOT(AND(MOVIMIENTOS!$B328="SALDO INICIAL",MOVIMIENTOS!$C328="Chancho"))),OR(MOVIMIENTOS!$B328="ENVÍO A SUPESA",MOVIMIENTOS!$B328="MALOGRADO",MOVIMIENTOS!$B328="OTRA SALIDA",MOVIMIENTOS!$B328="TRASIEGO",AND(MOVIMIENTOS!$B328="PROCESO",MOVIMIENTOS!$C328="Chancho"),AND(MOVIMIENTOS!$B328="REGALO",MOVIMIENTOS!$C328&lt;&gt;"Chancho"),AND(MOVIMIENTOS!$B328="VENTA",MOVIMIENTOS!$C328&lt;&gt;"Chancho"),AND(MOVIMIENTOS!$B328="AJUSTE",MOVIMIENTOS!$C328&lt;&gt;"Chancho",N(MOVIMIENTOS!$F328)&lt;0))),IF(MOVIMIENTOS!$B328="AJUSTE",-N(MOVIMIENTOS!$F328),N(MOVIMIENTOS!$F328)),"")</f>
        <v/>
      </c>
      <c r="O329" t="str">
        <f>IF(AND(MOVIMIENTOS!$B328&lt;&gt;"",NOT(AND(MOVIMIENTOS!$B328="PROCESO",MOVIMIENTOS!$C328&lt;&gt;"Chancho")),NOT(AND(MOVIMIENTOS!$B328="SALDO INICIAL",MOVIMIENTOS!$C328="Chancho"))),TRIM(IF(MOVIMIENTOS!$G328&lt;&gt;"",IF(MOVIMIENTOS!$B328="ENVÍO A SUPESA","G-"&amp;MOVIMIENTOS!$G328,MOVIMIENTOS!$G328)&amp;"  ","")&amp;IF(N(MOVIMIENTOS!$E328)&gt;0,MOVIMIENTOS!$E328&amp;" "&amp;MOVIMIENTOS!$D328,"")),"")</f>
        <v/>
      </c>
      <c r="P329">
        <f t="shared" si="41"/>
        <v>6138.5</v>
      </c>
    </row>
    <row r="330" spans="1:16" x14ac:dyDescent="0.2">
      <c r="A330" s="7" t="str">
        <f t="shared" si="35"/>
        <v/>
      </c>
      <c r="B330" s="8" t="str">
        <f t="shared" si="36"/>
        <v/>
      </c>
      <c r="C330" s="9" t="str">
        <f t="shared" si="37"/>
        <v/>
      </c>
      <c r="D330" s="9" t="str">
        <f t="shared" si="38"/>
        <v/>
      </c>
      <c r="E330" s="8" t="str">
        <f t="shared" si="39"/>
        <v/>
      </c>
      <c r="F330" s="9" t="str">
        <f t="shared" si="40"/>
        <v/>
      </c>
      <c r="J330" t="str">
        <f>IF(AND(MOVIMIENTOS!$B329&lt;&gt;"",NOT(AND(MOVIMIENTOS!$B329="PROCESO",MOVIMIENTOS!$C329&lt;&gt;"Chancho")),NOT(AND(MOVIMIENTOS!$B329="SALDO INICIAL",MOVIMIENTOS!$C329="Chancho"))),COUNT(J$5:J329)+1,"")</f>
        <v/>
      </c>
      <c r="K330" t="str">
        <f>IF(AND(MOVIMIENTOS!$B329&lt;&gt;"",NOT(AND(MOVIMIENTOS!$B329="PROCESO",MOVIMIENTOS!$C329&lt;&gt;"Chancho")),NOT(AND(MOVIMIENTOS!$B329="SALDO INICIAL",MOVIMIENTOS!$C329="Chancho"))),MOVIMIENTOS!$A329,"")</f>
        <v/>
      </c>
      <c r="L330" t="str">
        <f>IF(AND(MOVIMIENTOS!$B329&lt;&gt;"",NOT(AND(MOVIMIENTOS!$B329="PROCESO",MOVIMIENTOS!$C329&lt;&gt;"Chancho")),NOT(AND(MOVIMIENTOS!$B329="SALDO INICIAL",MOVIMIENTOS!$C329="Chancho"))),IF(MOVIMIENTOS!$B329="SALDO INICIAL","APERTURA ("&amp;MOVIMIENTOS!$C329&amp;")",IF(MOVIMIENTOS!$B329="COMPRA","INGRESO (compra)",IF(MOVIMIENTOS!$B329="PROCESO","CHANCHO (proceso)",IF(MOVIMIENTOS!$B329="ENVÍO A SUPESA","ENVÍO SUPESA cal. "&amp;MOVIMIENTOS!$C329,IF(MOVIMIENTOS!$B329="VENTA CHANCHO","VENTA CHANCHO",IF(MOVIMIENTOS!$B329="DEVOLUCIÓN","DEVOLUCIÓN cal. "&amp;MOVIMIENTOS!$C329,IF(MOVIMIENTOS!$B329="TRASIEGO","TRASIEGO cal. "&amp;MOVIMIENTOS!$C329,IF(MOVIMIENTOS!$B329="REGALO","REGALO "&amp;MOVIMIENTOS!$C329,IF(MOVIMIENTOS!$B329="VENTA","VENTA "&amp;MOVIMIENTOS!$C329,IF(MOVIMIENTOS!$B329="AJUSTE","AJUSTE inventario ("&amp;MOVIMIENTOS!$C329&amp;")",MOVIMIENTOS!$B329)))))))))),"")</f>
        <v/>
      </c>
      <c r="M330" t="str">
        <f>IF(AND(AND(MOVIMIENTOS!$B329&lt;&gt;"",NOT(AND(MOVIMIENTOS!$B329="PROCESO",MOVIMIENTOS!$C329&lt;&gt;"Chancho")),NOT(AND(MOVIMIENTOS!$B329="SALDO INICIAL",MOVIMIENTOS!$C329="Chancho"))),OR(MOVIMIENTOS!$B329="SALDO INICIAL",MOVIMIENTOS!$B329="COMPRA",MOVIMIENTOS!$B329="REPROCESO",AND(MOVIMIENTOS!$B329="AJUSTE",MOVIMIENTOS!$C329&lt;&gt;"Chancho",N(MOVIMIENTOS!$F329)&gt;=0))),N(MOVIMIENTOS!$F329),"")</f>
        <v/>
      </c>
      <c r="N330" t="str">
        <f>IF(AND(AND(MOVIMIENTOS!$B329&lt;&gt;"",NOT(AND(MOVIMIENTOS!$B329="PROCESO",MOVIMIENTOS!$C329&lt;&gt;"Chancho")),NOT(AND(MOVIMIENTOS!$B329="SALDO INICIAL",MOVIMIENTOS!$C329="Chancho"))),OR(MOVIMIENTOS!$B329="ENVÍO A SUPESA",MOVIMIENTOS!$B329="MALOGRADO",MOVIMIENTOS!$B329="OTRA SALIDA",MOVIMIENTOS!$B329="TRASIEGO",AND(MOVIMIENTOS!$B329="PROCESO",MOVIMIENTOS!$C329="Chancho"),AND(MOVIMIENTOS!$B329="REGALO",MOVIMIENTOS!$C329&lt;&gt;"Chancho"),AND(MOVIMIENTOS!$B329="VENTA",MOVIMIENTOS!$C329&lt;&gt;"Chancho"),AND(MOVIMIENTOS!$B329="AJUSTE",MOVIMIENTOS!$C329&lt;&gt;"Chancho",N(MOVIMIENTOS!$F329)&lt;0))),IF(MOVIMIENTOS!$B329="AJUSTE",-N(MOVIMIENTOS!$F329),N(MOVIMIENTOS!$F329)),"")</f>
        <v/>
      </c>
      <c r="O330" t="str">
        <f>IF(AND(MOVIMIENTOS!$B329&lt;&gt;"",NOT(AND(MOVIMIENTOS!$B329="PROCESO",MOVIMIENTOS!$C329&lt;&gt;"Chancho")),NOT(AND(MOVIMIENTOS!$B329="SALDO INICIAL",MOVIMIENTOS!$C329="Chancho"))),TRIM(IF(MOVIMIENTOS!$G329&lt;&gt;"",IF(MOVIMIENTOS!$B329="ENVÍO A SUPESA","G-"&amp;MOVIMIENTOS!$G329,MOVIMIENTOS!$G329)&amp;"  ","")&amp;IF(N(MOVIMIENTOS!$E329)&gt;0,MOVIMIENTOS!$E329&amp;" "&amp;MOVIMIENTOS!$D329,"")),"")</f>
        <v/>
      </c>
      <c r="P330">
        <f t="shared" si="41"/>
        <v>6138.5</v>
      </c>
    </row>
    <row r="331" spans="1:16" x14ac:dyDescent="0.2">
      <c r="A331" s="7" t="str">
        <f t="shared" si="35"/>
        <v/>
      </c>
      <c r="B331" s="8" t="str">
        <f t="shared" si="36"/>
        <v/>
      </c>
      <c r="C331" s="9" t="str">
        <f t="shared" si="37"/>
        <v/>
      </c>
      <c r="D331" s="9" t="str">
        <f t="shared" si="38"/>
        <v/>
      </c>
      <c r="E331" s="8" t="str">
        <f t="shared" si="39"/>
        <v/>
      </c>
      <c r="F331" s="9" t="str">
        <f t="shared" si="40"/>
        <v/>
      </c>
      <c r="J331" t="str">
        <f>IF(AND(MOVIMIENTOS!$B330&lt;&gt;"",NOT(AND(MOVIMIENTOS!$B330="PROCESO",MOVIMIENTOS!$C330&lt;&gt;"Chancho")),NOT(AND(MOVIMIENTOS!$B330="SALDO INICIAL",MOVIMIENTOS!$C330="Chancho"))),COUNT(J$5:J330)+1,"")</f>
        <v/>
      </c>
      <c r="K331" t="str">
        <f>IF(AND(MOVIMIENTOS!$B330&lt;&gt;"",NOT(AND(MOVIMIENTOS!$B330="PROCESO",MOVIMIENTOS!$C330&lt;&gt;"Chancho")),NOT(AND(MOVIMIENTOS!$B330="SALDO INICIAL",MOVIMIENTOS!$C330="Chancho"))),MOVIMIENTOS!$A330,"")</f>
        <v/>
      </c>
      <c r="L331" t="str">
        <f>IF(AND(MOVIMIENTOS!$B330&lt;&gt;"",NOT(AND(MOVIMIENTOS!$B330="PROCESO",MOVIMIENTOS!$C330&lt;&gt;"Chancho")),NOT(AND(MOVIMIENTOS!$B330="SALDO INICIAL",MOVIMIENTOS!$C330="Chancho"))),IF(MOVIMIENTOS!$B330="SALDO INICIAL","APERTURA ("&amp;MOVIMIENTOS!$C330&amp;")",IF(MOVIMIENTOS!$B330="COMPRA","INGRESO (compra)",IF(MOVIMIENTOS!$B330="PROCESO","CHANCHO (proceso)",IF(MOVIMIENTOS!$B330="ENVÍO A SUPESA","ENVÍO SUPESA cal. "&amp;MOVIMIENTOS!$C330,IF(MOVIMIENTOS!$B330="VENTA CHANCHO","VENTA CHANCHO",IF(MOVIMIENTOS!$B330="DEVOLUCIÓN","DEVOLUCIÓN cal. "&amp;MOVIMIENTOS!$C330,IF(MOVIMIENTOS!$B330="TRASIEGO","TRASIEGO cal. "&amp;MOVIMIENTOS!$C330,IF(MOVIMIENTOS!$B330="REGALO","REGALO "&amp;MOVIMIENTOS!$C330,IF(MOVIMIENTOS!$B330="VENTA","VENTA "&amp;MOVIMIENTOS!$C330,IF(MOVIMIENTOS!$B330="AJUSTE","AJUSTE inventario ("&amp;MOVIMIENTOS!$C330&amp;")",MOVIMIENTOS!$B330)))))))))),"")</f>
        <v/>
      </c>
      <c r="M331" t="str">
        <f>IF(AND(AND(MOVIMIENTOS!$B330&lt;&gt;"",NOT(AND(MOVIMIENTOS!$B330="PROCESO",MOVIMIENTOS!$C330&lt;&gt;"Chancho")),NOT(AND(MOVIMIENTOS!$B330="SALDO INICIAL",MOVIMIENTOS!$C330="Chancho"))),OR(MOVIMIENTOS!$B330="SALDO INICIAL",MOVIMIENTOS!$B330="COMPRA",MOVIMIENTOS!$B330="REPROCESO",AND(MOVIMIENTOS!$B330="AJUSTE",MOVIMIENTOS!$C330&lt;&gt;"Chancho",N(MOVIMIENTOS!$F330)&gt;=0))),N(MOVIMIENTOS!$F330),"")</f>
        <v/>
      </c>
      <c r="N331" t="str">
        <f>IF(AND(AND(MOVIMIENTOS!$B330&lt;&gt;"",NOT(AND(MOVIMIENTOS!$B330="PROCESO",MOVIMIENTOS!$C330&lt;&gt;"Chancho")),NOT(AND(MOVIMIENTOS!$B330="SALDO INICIAL",MOVIMIENTOS!$C330="Chancho"))),OR(MOVIMIENTOS!$B330="ENVÍO A SUPESA",MOVIMIENTOS!$B330="MALOGRADO",MOVIMIENTOS!$B330="OTRA SALIDA",MOVIMIENTOS!$B330="TRASIEGO",AND(MOVIMIENTOS!$B330="PROCESO",MOVIMIENTOS!$C330="Chancho"),AND(MOVIMIENTOS!$B330="REGALO",MOVIMIENTOS!$C330&lt;&gt;"Chancho"),AND(MOVIMIENTOS!$B330="VENTA",MOVIMIENTOS!$C330&lt;&gt;"Chancho"),AND(MOVIMIENTOS!$B330="AJUSTE",MOVIMIENTOS!$C330&lt;&gt;"Chancho",N(MOVIMIENTOS!$F330)&lt;0))),IF(MOVIMIENTOS!$B330="AJUSTE",-N(MOVIMIENTOS!$F330),N(MOVIMIENTOS!$F330)),"")</f>
        <v/>
      </c>
      <c r="O331" t="str">
        <f>IF(AND(MOVIMIENTOS!$B330&lt;&gt;"",NOT(AND(MOVIMIENTOS!$B330="PROCESO",MOVIMIENTOS!$C330&lt;&gt;"Chancho")),NOT(AND(MOVIMIENTOS!$B330="SALDO INICIAL",MOVIMIENTOS!$C330="Chancho"))),TRIM(IF(MOVIMIENTOS!$G330&lt;&gt;"",IF(MOVIMIENTOS!$B330="ENVÍO A SUPESA","G-"&amp;MOVIMIENTOS!$G330,MOVIMIENTOS!$G330)&amp;"  ","")&amp;IF(N(MOVIMIENTOS!$E330)&gt;0,MOVIMIENTOS!$E330&amp;" "&amp;MOVIMIENTOS!$D330,"")),"")</f>
        <v/>
      </c>
      <c r="P331">
        <f t="shared" si="41"/>
        <v>6138.5</v>
      </c>
    </row>
    <row r="332" spans="1:16" x14ac:dyDescent="0.2">
      <c r="A332" s="7" t="str">
        <f t="shared" si="35"/>
        <v/>
      </c>
      <c r="B332" s="8" t="str">
        <f t="shared" si="36"/>
        <v/>
      </c>
      <c r="C332" s="9" t="str">
        <f t="shared" si="37"/>
        <v/>
      </c>
      <c r="D332" s="9" t="str">
        <f t="shared" si="38"/>
        <v/>
      </c>
      <c r="E332" s="8" t="str">
        <f t="shared" si="39"/>
        <v/>
      </c>
      <c r="F332" s="9" t="str">
        <f t="shared" si="40"/>
        <v/>
      </c>
      <c r="J332" t="str">
        <f>IF(AND(MOVIMIENTOS!$B331&lt;&gt;"",NOT(AND(MOVIMIENTOS!$B331="PROCESO",MOVIMIENTOS!$C331&lt;&gt;"Chancho")),NOT(AND(MOVIMIENTOS!$B331="SALDO INICIAL",MOVIMIENTOS!$C331="Chancho"))),COUNT(J$5:J331)+1,"")</f>
        <v/>
      </c>
      <c r="K332" t="str">
        <f>IF(AND(MOVIMIENTOS!$B331&lt;&gt;"",NOT(AND(MOVIMIENTOS!$B331="PROCESO",MOVIMIENTOS!$C331&lt;&gt;"Chancho")),NOT(AND(MOVIMIENTOS!$B331="SALDO INICIAL",MOVIMIENTOS!$C331="Chancho"))),MOVIMIENTOS!$A331,"")</f>
        <v/>
      </c>
      <c r="L332" t="str">
        <f>IF(AND(MOVIMIENTOS!$B331&lt;&gt;"",NOT(AND(MOVIMIENTOS!$B331="PROCESO",MOVIMIENTOS!$C331&lt;&gt;"Chancho")),NOT(AND(MOVIMIENTOS!$B331="SALDO INICIAL",MOVIMIENTOS!$C331="Chancho"))),IF(MOVIMIENTOS!$B331="SALDO INICIAL","APERTURA ("&amp;MOVIMIENTOS!$C331&amp;")",IF(MOVIMIENTOS!$B331="COMPRA","INGRESO (compra)",IF(MOVIMIENTOS!$B331="PROCESO","CHANCHO (proceso)",IF(MOVIMIENTOS!$B331="ENVÍO A SUPESA","ENVÍO SUPESA cal. "&amp;MOVIMIENTOS!$C331,IF(MOVIMIENTOS!$B331="VENTA CHANCHO","VENTA CHANCHO",IF(MOVIMIENTOS!$B331="DEVOLUCIÓN","DEVOLUCIÓN cal. "&amp;MOVIMIENTOS!$C331,IF(MOVIMIENTOS!$B331="TRASIEGO","TRASIEGO cal. "&amp;MOVIMIENTOS!$C331,IF(MOVIMIENTOS!$B331="REGALO","REGALO "&amp;MOVIMIENTOS!$C331,IF(MOVIMIENTOS!$B331="VENTA","VENTA "&amp;MOVIMIENTOS!$C331,IF(MOVIMIENTOS!$B331="AJUSTE","AJUSTE inventario ("&amp;MOVIMIENTOS!$C331&amp;")",MOVIMIENTOS!$B331)))))))))),"")</f>
        <v/>
      </c>
      <c r="M332" t="str">
        <f>IF(AND(AND(MOVIMIENTOS!$B331&lt;&gt;"",NOT(AND(MOVIMIENTOS!$B331="PROCESO",MOVIMIENTOS!$C331&lt;&gt;"Chancho")),NOT(AND(MOVIMIENTOS!$B331="SALDO INICIAL",MOVIMIENTOS!$C331="Chancho"))),OR(MOVIMIENTOS!$B331="SALDO INICIAL",MOVIMIENTOS!$B331="COMPRA",MOVIMIENTOS!$B331="REPROCESO",AND(MOVIMIENTOS!$B331="AJUSTE",MOVIMIENTOS!$C331&lt;&gt;"Chancho",N(MOVIMIENTOS!$F331)&gt;=0))),N(MOVIMIENTOS!$F331),"")</f>
        <v/>
      </c>
      <c r="N332" t="str">
        <f>IF(AND(AND(MOVIMIENTOS!$B331&lt;&gt;"",NOT(AND(MOVIMIENTOS!$B331="PROCESO",MOVIMIENTOS!$C331&lt;&gt;"Chancho")),NOT(AND(MOVIMIENTOS!$B331="SALDO INICIAL",MOVIMIENTOS!$C331="Chancho"))),OR(MOVIMIENTOS!$B331="ENVÍO A SUPESA",MOVIMIENTOS!$B331="MALOGRADO",MOVIMIENTOS!$B331="OTRA SALIDA",MOVIMIENTOS!$B331="TRASIEGO",AND(MOVIMIENTOS!$B331="PROCESO",MOVIMIENTOS!$C331="Chancho"),AND(MOVIMIENTOS!$B331="REGALO",MOVIMIENTOS!$C331&lt;&gt;"Chancho"),AND(MOVIMIENTOS!$B331="VENTA",MOVIMIENTOS!$C331&lt;&gt;"Chancho"),AND(MOVIMIENTOS!$B331="AJUSTE",MOVIMIENTOS!$C331&lt;&gt;"Chancho",N(MOVIMIENTOS!$F331)&lt;0))),IF(MOVIMIENTOS!$B331="AJUSTE",-N(MOVIMIENTOS!$F331),N(MOVIMIENTOS!$F331)),"")</f>
        <v/>
      </c>
      <c r="O332" t="str">
        <f>IF(AND(MOVIMIENTOS!$B331&lt;&gt;"",NOT(AND(MOVIMIENTOS!$B331="PROCESO",MOVIMIENTOS!$C331&lt;&gt;"Chancho")),NOT(AND(MOVIMIENTOS!$B331="SALDO INICIAL",MOVIMIENTOS!$C331="Chancho"))),TRIM(IF(MOVIMIENTOS!$G331&lt;&gt;"",IF(MOVIMIENTOS!$B331="ENVÍO A SUPESA","G-"&amp;MOVIMIENTOS!$G331,MOVIMIENTOS!$G331)&amp;"  ","")&amp;IF(N(MOVIMIENTOS!$E331)&gt;0,MOVIMIENTOS!$E331&amp;" "&amp;MOVIMIENTOS!$D331,"")),"")</f>
        <v/>
      </c>
      <c r="P332">
        <f t="shared" si="41"/>
        <v>6138.5</v>
      </c>
    </row>
    <row r="333" spans="1:16" x14ac:dyDescent="0.2">
      <c r="A333" s="7" t="str">
        <f t="shared" si="35"/>
        <v/>
      </c>
      <c r="B333" s="8" t="str">
        <f t="shared" si="36"/>
        <v/>
      </c>
      <c r="C333" s="9" t="str">
        <f t="shared" si="37"/>
        <v/>
      </c>
      <c r="D333" s="9" t="str">
        <f t="shared" si="38"/>
        <v/>
      </c>
      <c r="E333" s="8" t="str">
        <f t="shared" si="39"/>
        <v/>
      </c>
      <c r="F333" s="9" t="str">
        <f t="shared" si="40"/>
        <v/>
      </c>
      <c r="J333" t="str">
        <f>IF(AND(MOVIMIENTOS!$B332&lt;&gt;"",NOT(AND(MOVIMIENTOS!$B332="PROCESO",MOVIMIENTOS!$C332&lt;&gt;"Chancho")),NOT(AND(MOVIMIENTOS!$B332="SALDO INICIAL",MOVIMIENTOS!$C332="Chancho"))),COUNT(J$5:J332)+1,"")</f>
        <v/>
      </c>
      <c r="K333" t="str">
        <f>IF(AND(MOVIMIENTOS!$B332&lt;&gt;"",NOT(AND(MOVIMIENTOS!$B332="PROCESO",MOVIMIENTOS!$C332&lt;&gt;"Chancho")),NOT(AND(MOVIMIENTOS!$B332="SALDO INICIAL",MOVIMIENTOS!$C332="Chancho"))),MOVIMIENTOS!$A332,"")</f>
        <v/>
      </c>
      <c r="L333" t="str">
        <f>IF(AND(MOVIMIENTOS!$B332&lt;&gt;"",NOT(AND(MOVIMIENTOS!$B332="PROCESO",MOVIMIENTOS!$C332&lt;&gt;"Chancho")),NOT(AND(MOVIMIENTOS!$B332="SALDO INICIAL",MOVIMIENTOS!$C332="Chancho"))),IF(MOVIMIENTOS!$B332="SALDO INICIAL","APERTURA ("&amp;MOVIMIENTOS!$C332&amp;")",IF(MOVIMIENTOS!$B332="COMPRA","INGRESO (compra)",IF(MOVIMIENTOS!$B332="PROCESO","CHANCHO (proceso)",IF(MOVIMIENTOS!$B332="ENVÍO A SUPESA","ENVÍO SUPESA cal. "&amp;MOVIMIENTOS!$C332,IF(MOVIMIENTOS!$B332="VENTA CHANCHO","VENTA CHANCHO",IF(MOVIMIENTOS!$B332="DEVOLUCIÓN","DEVOLUCIÓN cal. "&amp;MOVIMIENTOS!$C332,IF(MOVIMIENTOS!$B332="TRASIEGO","TRASIEGO cal. "&amp;MOVIMIENTOS!$C332,IF(MOVIMIENTOS!$B332="REGALO","REGALO "&amp;MOVIMIENTOS!$C332,IF(MOVIMIENTOS!$B332="VENTA","VENTA "&amp;MOVIMIENTOS!$C332,IF(MOVIMIENTOS!$B332="AJUSTE","AJUSTE inventario ("&amp;MOVIMIENTOS!$C332&amp;")",MOVIMIENTOS!$B332)))))))))),"")</f>
        <v/>
      </c>
      <c r="M333" t="str">
        <f>IF(AND(AND(MOVIMIENTOS!$B332&lt;&gt;"",NOT(AND(MOVIMIENTOS!$B332="PROCESO",MOVIMIENTOS!$C332&lt;&gt;"Chancho")),NOT(AND(MOVIMIENTOS!$B332="SALDO INICIAL",MOVIMIENTOS!$C332="Chancho"))),OR(MOVIMIENTOS!$B332="SALDO INICIAL",MOVIMIENTOS!$B332="COMPRA",MOVIMIENTOS!$B332="REPROCESO",AND(MOVIMIENTOS!$B332="AJUSTE",MOVIMIENTOS!$C332&lt;&gt;"Chancho",N(MOVIMIENTOS!$F332)&gt;=0))),N(MOVIMIENTOS!$F332),"")</f>
        <v/>
      </c>
      <c r="N333" t="str">
        <f>IF(AND(AND(MOVIMIENTOS!$B332&lt;&gt;"",NOT(AND(MOVIMIENTOS!$B332="PROCESO",MOVIMIENTOS!$C332&lt;&gt;"Chancho")),NOT(AND(MOVIMIENTOS!$B332="SALDO INICIAL",MOVIMIENTOS!$C332="Chancho"))),OR(MOVIMIENTOS!$B332="ENVÍO A SUPESA",MOVIMIENTOS!$B332="MALOGRADO",MOVIMIENTOS!$B332="OTRA SALIDA",MOVIMIENTOS!$B332="TRASIEGO",AND(MOVIMIENTOS!$B332="PROCESO",MOVIMIENTOS!$C332="Chancho"),AND(MOVIMIENTOS!$B332="REGALO",MOVIMIENTOS!$C332&lt;&gt;"Chancho"),AND(MOVIMIENTOS!$B332="VENTA",MOVIMIENTOS!$C332&lt;&gt;"Chancho"),AND(MOVIMIENTOS!$B332="AJUSTE",MOVIMIENTOS!$C332&lt;&gt;"Chancho",N(MOVIMIENTOS!$F332)&lt;0))),IF(MOVIMIENTOS!$B332="AJUSTE",-N(MOVIMIENTOS!$F332),N(MOVIMIENTOS!$F332)),"")</f>
        <v/>
      </c>
      <c r="O333" t="str">
        <f>IF(AND(MOVIMIENTOS!$B332&lt;&gt;"",NOT(AND(MOVIMIENTOS!$B332="PROCESO",MOVIMIENTOS!$C332&lt;&gt;"Chancho")),NOT(AND(MOVIMIENTOS!$B332="SALDO INICIAL",MOVIMIENTOS!$C332="Chancho"))),TRIM(IF(MOVIMIENTOS!$G332&lt;&gt;"",IF(MOVIMIENTOS!$B332="ENVÍO A SUPESA","G-"&amp;MOVIMIENTOS!$G332,MOVIMIENTOS!$G332)&amp;"  ","")&amp;IF(N(MOVIMIENTOS!$E332)&gt;0,MOVIMIENTOS!$E332&amp;" "&amp;MOVIMIENTOS!$D332,"")),"")</f>
        <v/>
      </c>
      <c r="P333">
        <f t="shared" si="41"/>
        <v>6138.5</v>
      </c>
    </row>
    <row r="334" spans="1:16" x14ac:dyDescent="0.2">
      <c r="A334" s="7" t="str">
        <f t="shared" si="35"/>
        <v/>
      </c>
      <c r="B334" s="8" t="str">
        <f t="shared" si="36"/>
        <v/>
      </c>
      <c r="C334" s="9" t="str">
        <f t="shared" si="37"/>
        <v/>
      </c>
      <c r="D334" s="9" t="str">
        <f t="shared" si="38"/>
        <v/>
      </c>
      <c r="E334" s="8" t="str">
        <f t="shared" si="39"/>
        <v/>
      </c>
      <c r="F334" s="9" t="str">
        <f t="shared" si="40"/>
        <v/>
      </c>
      <c r="J334" t="str">
        <f>IF(AND(MOVIMIENTOS!$B333&lt;&gt;"",NOT(AND(MOVIMIENTOS!$B333="PROCESO",MOVIMIENTOS!$C333&lt;&gt;"Chancho")),NOT(AND(MOVIMIENTOS!$B333="SALDO INICIAL",MOVIMIENTOS!$C333="Chancho"))),COUNT(J$5:J333)+1,"")</f>
        <v/>
      </c>
      <c r="K334" t="str">
        <f>IF(AND(MOVIMIENTOS!$B333&lt;&gt;"",NOT(AND(MOVIMIENTOS!$B333="PROCESO",MOVIMIENTOS!$C333&lt;&gt;"Chancho")),NOT(AND(MOVIMIENTOS!$B333="SALDO INICIAL",MOVIMIENTOS!$C333="Chancho"))),MOVIMIENTOS!$A333,"")</f>
        <v/>
      </c>
      <c r="L334" t="str">
        <f>IF(AND(MOVIMIENTOS!$B333&lt;&gt;"",NOT(AND(MOVIMIENTOS!$B333="PROCESO",MOVIMIENTOS!$C333&lt;&gt;"Chancho")),NOT(AND(MOVIMIENTOS!$B333="SALDO INICIAL",MOVIMIENTOS!$C333="Chancho"))),IF(MOVIMIENTOS!$B333="SALDO INICIAL","APERTURA ("&amp;MOVIMIENTOS!$C333&amp;")",IF(MOVIMIENTOS!$B333="COMPRA","INGRESO (compra)",IF(MOVIMIENTOS!$B333="PROCESO","CHANCHO (proceso)",IF(MOVIMIENTOS!$B333="ENVÍO A SUPESA","ENVÍO SUPESA cal. "&amp;MOVIMIENTOS!$C333,IF(MOVIMIENTOS!$B333="VENTA CHANCHO","VENTA CHANCHO",IF(MOVIMIENTOS!$B333="DEVOLUCIÓN","DEVOLUCIÓN cal. "&amp;MOVIMIENTOS!$C333,IF(MOVIMIENTOS!$B333="TRASIEGO","TRASIEGO cal. "&amp;MOVIMIENTOS!$C333,IF(MOVIMIENTOS!$B333="REGALO","REGALO "&amp;MOVIMIENTOS!$C333,IF(MOVIMIENTOS!$B333="VENTA","VENTA "&amp;MOVIMIENTOS!$C333,IF(MOVIMIENTOS!$B333="AJUSTE","AJUSTE inventario ("&amp;MOVIMIENTOS!$C333&amp;")",MOVIMIENTOS!$B333)))))))))),"")</f>
        <v/>
      </c>
      <c r="M334" t="str">
        <f>IF(AND(AND(MOVIMIENTOS!$B333&lt;&gt;"",NOT(AND(MOVIMIENTOS!$B333="PROCESO",MOVIMIENTOS!$C333&lt;&gt;"Chancho")),NOT(AND(MOVIMIENTOS!$B333="SALDO INICIAL",MOVIMIENTOS!$C333="Chancho"))),OR(MOVIMIENTOS!$B333="SALDO INICIAL",MOVIMIENTOS!$B333="COMPRA",MOVIMIENTOS!$B333="REPROCESO",AND(MOVIMIENTOS!$B333="AJUSTE",MOVIMIENTOS!$C333&lt;&gt;"Chancho",N(MOVIMIENTOS!$F333)&gt;=0))),N(MOVIMIENTOS!$F333),"")</f>
        <v/>
      </c>
      <c r="N334" t="str">
        <f>IF(AND(AND(MOVIMIENTOS!$B333&lt;&gt;"",NOT(AND(MOVIMIENTOS!$B333="PROCESO",MOVIMIENTOS!$C333&lt;&gt;"Chancho")),NOT(AND(MOVIMIENTOS!$B333="SALDO INICIAL",MOVIMIENTOS!$C333="Chancho"))),OR(MOVIMIENTOS!$B333="ENVÍO A SUPESA",MOVIMIENTOS!$B333="MALOGRADO",MOVIMIENTOS!$B333="OTRA SALIDA",MOVIMIENTOS!$B333="TRASIEGO",AND(MOVIMIENTOS!$B333="PROCESO",MOVIMIENTOS!$C333="Chancho"),AND(MOVIMIENTOS!$B333="REGALO",MOVIMIENTOS!$C333&lt;&gt;"Chancho"),AND(MOVIMIENTOS!$B333="VENTA",MOVIMIENTOS!$C333&lt;&gt;"Chancho"),AND(MOVIMIENTOS!$B333="AJUSTE",MOVIMIENTOS!$C333&lt;&gt;"Chancho",N(MOVIMIENTOS!$F333)&lt;0))),IF(MOVIMIENTOS!$B333="AJUSTE",-N(MOVIMIENTOS!$F333),N(MOVIMIENTOS!$F333)),"")</f>
        <v/>
      </c>
      <c r="O334" t="str">
        <f>IF(AND(MOVIMIENTOS!$B333&lt;&gt;"",NOT(AND(MOVIMIENTOS!$B333="PROCESO",MOVIMIENTOS!$C333&lt;&gt;"Chancho")),NOT(AND(MOVIMIENTOS!$B333="SALDO INICIAL",MOVIMIENTOS!$C333="Chancho"))),TRIM(IF(MOVIMIENTOS!$G333&lt;&gt;"",IF(MOVIMIENTOS!$B333="ENVÍO A SUPESA","G-"&amp;MOVIMIENTOS!$G333,MOVIMIENTOS!$G333)&amp;"  ","")&amp;IF(N(MOVIMIENTOS!$E333)&gt;0,MOVIMIENTOS!$E333&amp;" "&amp;MOVIMIENTOS!$D333,"")),"")</f>
        <v/>
      </c>
      <c r="P334">
        <f t="shared" si="41"/>
        <v>6138.5</v>
      </c>
    </row>
    <row r="335" spans="1:16" x14ac:dyDescent="0.2">
      <c r="A335" s="7" t="str">
        <f t="shared" si="35"/>
        <v/>
      </c>
      <c r="B335" s="8" t="str">
        <f t="shared" si="36"/>
        <v/>
      </c>
      <c r="C335" s="9" t="str">
        <f t="shared" si="37"/>
        <v/>
      </c>
      <c r="D335" s="9" t="str">
        <f t="shared" si="38"/>
        <v/>
      </c>
      <c r="E335" s="8" t="str">
        <f t="shared" si="39"/>
        <v/>
      </c>
      <c r="F335" s="9" t="str">
        <f t="shared" si="40"/>
        <v/>
      </c>
      <c r="J335" t="str">
        <f>IF(AND(MOVIMIENTOS!$B334&lt;&gt;"",NOT(AND(MOVIMIENTOS!$B334="PROCESO",MOVIMIENTOS!$C334&lt;&gt;"Chancho")),NOT(AND(MOVIMIENTOS!$B334="SALDO INICIAL",MOVIMIENTOS!$C334="Chancho"))),COUNT(J$5:J334)+1,"")</f>
        <v/>
      </c>
      <c r="K335" t="str">
        <f>IF(AND(MOVIMIENTOS!$B334&lt;&gt;"",NOT(AND(MOVIMIENTOS!$B334="PROCESO",MOVIMIENTOS!$C334&lt;&gt;"Chancho")),NOT(AND(MOVIMIENTOS!$B334="SALDO INICIAL",MOVIMIENTOS!$C334="Chancho"))),MOVIMIENTOS!$A334,"")</f>
        <v/>
      </c>
      <c r="L335" t="str">
        <f>IF(AND(MOVIMIENTOS!$B334&lt;&gt;"",NOT(AND(MOVIMIENTOS!$B334="PROCESO",MOVIMIENTOS!$C334&lt;&gt;"Chancho")),NOT(AND(MOVIMIENTOS!$B334="SALDO INICIAL",MOVIMIENTOS!$C334="Chancho"))),IF(MOVIMIENTOS!$B334="SALDO INICIAL","APERTURA ("&amp;MOVIMIENTOS!$C334&amp;")",IF(MOVIMIENTOS!$B334="COMPRA","INGRESO (compra)",IF(MOVIMIENTOS!$B334="PROCESO","CHANCHO (proceso)",IF(MOVIMIENTOS!$B334="ENVÍO A SUPESA","ENVÍO SUPESA cal. "&amp;MOVIMIENTOS!$C334,IF(MOVIMIENTOS!$B334="VENTA CHANCHO","VENTA CHANCHO",IF(MOVIMIENTOS!$B334="DEVOLUCIÓN","DEVOLUCIÓN cal. "&amp;MOVIMIENTOS!$C334,IF(MOVIMIENTOS!$B334="TRASIEGO","TRASIEGO cal. "&amp;MOVIMIENTOS!$C334,IF(MOVIMIENTOS!$B334="REGALO","REGALO "&amp;MOVIMIENTOS!$C334,IF(MOVIMIENTOS!$B334="VENTA","VENTA "&amp;MOVIMIENTOS!$C334,IF(MOVIMIENTOS!$B334="AJUSTE","AJUSTE inventario ("&amp;MOVIMIENTOS!$C334&amp;")",MOVIMIENTOS!$B334)))))))))),"")</f>
        <v/>
      </c>
      <c r="M335" t="str">
        <f>IF(AND(AND(MOVIMIENTOS!$B334&lt;&gt;"",NOT(AND(MOVIMIENTOS!$B334="PROCESO",MOVIMIENTOS!$C334&lt;&gt;"Chancho")),NOT(AND(MOVIMIENTOS!$B334="SALDO INICIAL",MOVIMIENTOS!$C334="Chancho"))),OR(MOVIMIENTOS!$B334="SALDO INICIAL",MOVIMIENTOS!$B334="COMPRA",MOVIMIENTOS!$B334="REPROCESO",AND(MOVIMIENTOS!$B334="AJUSTE",MOVIMIENTOS!$C334&lt;&gt;"Chancho",N(MOVIMIENTOS!$F334)&gt;=0))),N(MOVIMIENTOS!$F334),"")</f>
        <v/>
      </c>
      <c r="N335" t="str">
        <f>IF(AND(AND(MOVIMIENTOS!$B334&lt;&gt;"",NOT(AND(MOVIMIENTOS!$B334="PROCESO",MOVIMIENTOS!$C334&lt;&gt;"Chancho")),NOT(AND(MOVIMIENTOS!$B334="SALDO INICIAL",MOVIMIENTOS!$C334="Chancho"))),OR(MOVIMIENTOS!$B334="ENVÍO A SUPESA",MOVIMIENTOS!$B334="MALOGRADO",MOVIMIENTOS!$B334="OTRA SALIDA",MOVIMIENTOS!$B334="TRASIEGO",AND(MOVIMIENTOS!$B334="PROCESO",MOVIMIENTOS!$C334="Chancho"),AND(MOVIMIENTOS!$B334="REGALO",MOVIMIENTOS!$C334&lt;&gt;"Chancho"),AND(MOVIMIENTOS!$B334="VENTA",MOVIMIENTOS!$C334&lt;&gt;"Chancho"),AND(MOVIMIENTOS!$B334="AJUSTE",MOVIMIENTOS!$C334&lt;&gt;"Chancho",N(MOVIMIENTOS!$F334)&lt;0))),IF(MOVIMIENTOS!$B334="AJUSTE",-N(MOVIMIENTOS!$F334),N(MOVIMIENTOS!$F334)),"")</f>
        <v/>
      </c>
      <c r="O335" t="str">
        <f>IF(AND(MOVIMIENTOS!$B334&lt;&gt;"",NOT(AND(MOVIMIENTOS!$B334="PROCESO",MOVIMIENTOS!$C334&lt;&gt;"Chancho")),NOT(AND(MOVIMIENTOS!$B334="SALDO INICIAL",MOVIMIENTOS!$C334="Chancho"))),TRIM(IF(MOVIMIENTOS!$G334&lt;&gt;"",IF(MOVIMIENTOS!$B334="ENVÍO A SUPESA","G-"&amp;MOVIMIENTOS!$G334,MOVIMIENTOS!$G334)&amp;"  ","")&amp;IF(N(MOVIMIENTOS!$E334)&gt;0,MOVIMIENTOS!$E334&amp;" "&amp;MOVIMIENTOS!$D334,"")),"")</f>
        <v/>
      </c>
      <c r="P335">
        <f t="shared" si="41"/>
        <v>6138.5</v>
      </c>
    </row>
    <row r="336" spans="1:16" x14ac:dyDescent="0.2">
      <c r="A336" s="7" t="str">
        <f t="shared" si="35"/>
        <v/>
      </c>
      <c r="B336" s="8" t="str">
        <f t="shared" si="36"/>
        <v/>
      </c>
      <c r="C336" s="9" t="str">
        <f t="shared" si="37"/>
        <v/>
      </c>
      <c r="D336" s="9" t="str">
        <f t="shared" si="38"/>
        <v/>
      </c>
      <c r="E336" s="8" t="str">
        <f t="shared" si="39"/>
        <v/>
      </c>
      <c r="F336" s="9" t="str">
        <f t="shared" si="40"/>
        <v/>
      </c>
      <c r="J336" t="str">
        <f>IF(AND(MOVIMIENTOS!$B335&lt;&gt;"",NOT(AND(MOVIMIENTOS!$B335="PROCESO",MOVIMIENTOS!$C335&lt;&gt;"Chancho")),NOT(AND(MOVIMIENTOS!$B335="SALDO INICIAL",MOVIMIENTOS!$C335="Chancho"))),COUNT(J$5:J335)+1,"")</f>
        <v/>
      </c>
      <c r="K336" t="str">
        <f>IF(AND(MOVIMIENTOS!$B335&lt;&gt;"",NOT(AND(MOVIMIENTOS!$B335="PROCESO",MOVIMIENTOS!$C335&lt;&gt;"Chancho")),NOT(AND(MOVIMIENTOS!$B335="SALDO INICIAL",MOVIMIENTOS!$C335="Chancho"))),MOVIMIENTOS!$A335,"")</f>
        <v/>
      </c>
      <c r="L336" t="str">
        <f>IF(AND(MOVIMIENTOS!$B335&lt;&gt;"",NOT(AND(MOVIMIENTOS!$B335="PROCESO",MOVIMIENTOS!$C335&lt;&gt;"Chancho")),NOT(AND(MOVIMIENTOS!$B335="SALDO INICIAL",MOVIMIENTOS!$C335="Chancho"))),IF(MOVIMIENTOS!$B335="SALDO INICIAL","APERTURA ("&amp;MOVIMIENTOS!$C335&amp;")",IF(MOVIMIENTOS!$B335="COMPRA","INGRESO (compra)",IF(MOVIMIENTOS!$B335="PROCESO","CHANCHO (proceso)",IF(MOVIMIENTOS!$B335="ENVÍO A SUPESA","ENVÍO SUPESA cal. "&amp;MOVIMIENTOS!$C335,IF(MOVIMIENTOS!$B335="VENTA CHANCHO","VENTA CHANCHO",IF(MOVIMIENTOS!$B335="DEVOLUCIÓN","DEVOLUCIÓN cal. "&amp;MOVIMIENTOS!$C335,IF(MOVIMIENTOS!$B335="TRASIEGO","TRASIEGO cal. "&amp;MOVIMIENTOS!$C335,IF(MOVIMIENTOS!$B335="REGALO","REGALO "&amp;MOVIMIENTOS!$C335,IF(MOVIMIENTOS!$B335="VENTA","VENTA "&amp;MOVIMIENTOS!$C335,IF(MOVIMIENTOS!$B335="AJUSTE","AJUSTE inventario ("&amp;MOVIMIENTOS!$C335&amp;")",MOVIMIENTOS!$B335)))))))))),"")</f>
        <v/>
      </c>
      <c r="M336" t="str">
        <f>IF(AND(AND(MOVIMIENTOS!$B335&lt;&gt;"",NOT(AND(MOVIMIENTOS!$B335="PROCESO",MOVIMIENTOS!$C335&lt;&gt;"Chancho")),NOT(AND(MOVIMIENTOS!$B335="SALDO INICIAL",MOVIMIENTOS!$C335="Chancho"))),OR(MOVIMIENTOS!$B335="SALDO INICIAL",MOVIMIENTOS!$B335="COMPRA",MOVIMIENTOS!$B335="REPROCESO",AND(MOVIMIENTOS!$B335="AJUSTE",MOVIMIENTOS!$C335&lt;&gt;"Chancho",N(MOVIMIENTOS!$F335)&gt;=0))),N(MOVIMIENTOS!$F335),"")</f>
        <v/>
      </c>
      <c r="N336" t="str">
        <f>IF(AND(AND(MOVIMIENTOS!$B335&lt;&gt;"",NOT(AND(MOVIMIENTOS!$B335="PROCESO",MOVIMIENTOS!$C335&lt;&gt;"Chancho")),NOT(AND(MOVIMIENTOS!$B335="SALDO INICIAL",MOVIMIENTOS!$C335="Chancho"))),OR(MOVIMIENTOS!$B335="ENVÍO A SUPESA",MOVIMIENTOS!$B335="MALOGRADO",MOVIMIENTOS!$B335="OTRA SALIDA",MOVIMIENTOS!$B335="TRASIEGO",AND(MOVIMIENTOS!$B335="PROCESO",MOVIMIENTOS!$C335="Chancho"),AND(MOVIMIENTOS!$B335="REGALO",MOVIMIENTOS!$C335&lt;&gt;"Chancho"),AND(MOVIMIENTOS!$B335="VENTA",MOVIMIENTOS!$C335&lt;&gt;"Chancho"),AND(MOVIMIENTOS!$B335="AJUSTE",MOVIMIENTOS!$C335&lt;&gt;"Chancho",N(MOVIMIENTOS!$F335)&lt;0))),IF(MOVIMIENTOS!$B335="AJUSTE",-N(MOVIMIENTOS!$F335),N(MOVIMIENTOS!$F335)),"")</f>
        <v/>
      </c>
      <c r="O336" t="str">
        <f>IF(AND(MOVIMIENTOS!$B335&lt;&gt;"",NOT(AND(MOVIMIENTOS!$B335="PROCESO",MOVIMIENTOS!$C335&lt;&gt;"Chancho")),NOT(AND(MOVIMIENTOS!$B335="SALDO INICIAL",MOVIMIENTOS!$C335="Chancho"))),TRIM(IF(MOVIMIENTOS!$G335&lt;&gt;"",IF(MOVIMIENTOS!$B335="ENVÍO A SUPESA","G-"&amp;MOVIMIENTOS!$G335,MOVIMIENTOS!$G335)&amp;"  ","")&amp;IF(N(MOVIMIENTOS!$E335)&gt;0,MOVIMIENTOS!$E335&amp;" "&amp;MOVIMIENTOS!$D335,"")),"")</f>
        <v/>
      </c>
      <c r="P336">
        <f t="shared" si="41"/>
        <v>6138.5</v>
      </c>
    </row>
    <row r="337" spans="1:16" x14ac:dyDescent="0.2">
      <c r="A337" s="7" t="str">
        <f t="shared" si="35"/>
        <v/>
      </c>
      <c r="B337" s="8" t="str">
        <f t="shared" si="36"/>
        <v/>
      </c>
      <c r="C337" s="9" t="str">
        <f t="shared" si="37"/>
        <v/>
      </c>
      <c r="D337" s="9" t="str">
        <f t="shared" si="38"/>
        <v/>
      </c>
      <c r="E337" s="8" t="str">
        <f t="shared" si="39"/>
        <v/>
      </c>
      <c r="F337" s="9" t="str">
        <f t="shared" si="40"/>
        <v/>
      </c>
      <c r="J337" t="str">
        <f>IF(AND(MOVIMIENTOS!$B336&lt;&gt;"",NOT(AND(MOVIMIENTOS!$B336="PROCESO",MOVIMIENTOS!$C336&lt;&gt;"Chancho")),NOT(AND(MOVIMIENTOS!$B336="SALDO INICIAL",MOVIMIENTOS!$C336="Chancho"))),COUNT(J$5:J336)+1,"")</f>
        <v/>
      </c>
      <c r="K337" t="str">
        <f>IF(AND(MOVIMIENTOS!$B336&lt;&gt;"",NOT(AND(MOVIMIENTOS!$B336="PROCESO",MOVIMIENTOS!$C336&lt;&gt;"Chancho")),NOT(AND(MOVIMIENTOS!$B336="SALDO INICIAL",MOVIMIENTOS!$C336="Chancho"))),MOVIMIENTOS!$A336,"")</f>
        <v/>
      </c>
      <c r="L337" t="str">
        <f>IF(AND(MOVIMIENTOS!$B336&lt;&gt;"",NOT(AND(MOVIMIENTOS!$B336="PROCESO",MOVIMIENTOS!$C336&lt;&gt;"Chancho")),NOT(AND(MOVIMIENTOS!$B336="SALDO INICIAL",MOVIMIENTOS!$C336="Chancho"))),IF(MOVIMIENTOS!$B336="SALDO INICIAL","APERTURA ("&amp;MOVIMIENTOS!$C336&amp;")",IF(MOVIMIENTOS!$B336="COMPRA","INGRESO (compra)",IF(MOVIMIENTOS!$B336="PROCESO","CHANCHO (proceso)",IF(MOVIMIENTOS!$B336="ENVÍO A SUPESA","ENVÍO SUPESA cal. "&amp;MOVIMIENTOS!$C336,IF(MOVIMIENTOS!$B336="VENTA CHANCHO","VENTA CHANCHO",IF(MOVIMIENTOS!$B336="DEVOLUCIÓN","DEVOLUCIÓN cal. "&amp;MOVIMIENTOS!$C336,IF(MOVIMIENTOS!$B336="TRASIEGO","TRASIEGO cal. "&amp;MOVIMIENTOS!$C336,IF(MOVIMIENTOS!$B336="REGALO","REGALO "&amp;MOVIMIENTOS!$C336,IF(MOVIMIENTOS!$B336="VENTA","VENTA "&amp;MOVIMIENTOS!$C336,IF(MOVIMIENTOS!$B336="AJUSTE","AJUSTE inventario ("&amp;MOVIMIENTOS!$C336&amp;")",MOVIMIENTOS!$B336)))))))))),"")</f>
        <v/>
      </c>
      <c r="M337" t="str">
        <f>IF(AND(AND(MOVIMIENTOS!$B336&lt;&gt;"",NOT(AND(MOVIMIENTOS!$B336="PROCESO",MOVIMIENTOS!$C336&lt;&gt;"Chancho")),NOT(AND(MOVIMIENTOS!$B336="SALDO INICIAL",MOVIMIENTOS!$C336="Chancho"))),OR(MOVIMIENTOS!$B336="SALDO INICIAL",MOVIMIENTOS!$B336="COMPRA",MOVIMIENTOS!$B336="REPROCESO",AND(MOVIMIENTOS!$B336="AJUSTE",MOVIMIENTOS!$C336&lt;&gt;"Chancho",N(MOVIMIENTOS!$F336)&gt;=0))),N(MOVIMIENTOS!$F336),"")</f>
        <v/>
      </c>
      <c r="N337" t="str">
        <f>IF(AND(AND(MOVIMIENTOS!$B336&lt;&gt;"",NOT(AND(MOVIMIENTOS!$B336="PROCESO",MOVIMIENTOS!$C336&lt;&gt;"Chancho")),NOT(AND(MOVIMIENTOS!$B336="SALDO INICIAL",MOVIMIENTOS!$C336="Chancho"))),OR(MOVIMIENTOS!$B336="ENVÍO A SUPESA",MOVIMIENTOS!$B336="MALOGRADO",MOVIMIENTOS!$B336="OTRA SALIDA",MOVIMIENTOS!$B336="TRASIEGO",AND(MOVIMIENTOS!$B336="PROCESO",MOVIMIENTOS!$C336="Chancho"),AND(MOVIMIENTOS!$B336="REGALO",MOVIMIENTOS!$C336&lt;&gt;"Chancho"),AND(MOVIMIENTOS!$B336="VENTA",MOVIMIENTOS!$C336&lt;&gt;"Chancho"),AND(MOVIMIENTOS!$B336="AJUSTE",MOVIMIENTOS!$C336&lt;&gt;"Chancho",N(MOVIMIENTOS!$F336)&lt;0))),IF(MOVIMIENTOS!$B336="AJUSTE",-N(MOVIMIENTOS!$F336),N(MOVIMIENTOS!$F336)),"")</f>
        <v/>
      </c>
      <c r="O337" t="str">
        <f>IF(AND(MOVIMIENTOS!$B336&lt;&gt;"",NOT(AND(MOVIMIENTOS!$B336="PROCESO",MOVIMIENTOS!$C336&lt;&gt;"Chancho")),NOT(AND(MOVIMIENTOS!$B336="SALDO INICIAL",MOVIMIENTOS!$C336="Chancho"))),TRIM(IF(MOVIMIENTOS!$G336&lt;&gt;"",IF(MOVIMIENTOS!$B336="ENVÍO A SUPESA","G-"&amp;MOVIMIENTOS!$G336,MOVIMIENTOS!$G336)&amp;"  ","")&amp;IF(N(MOVIMIENTOS!$E336)&gt;0,MOVIMIENTOS!$E336&amp;" "&amp;MOVIMIENTOS!$D336,"")),"")</f>
        <v/>
      </c>
      <c r="P337">
        <f t="shared" si="41"/>
        <v>6138.5</v>
      </c>
    </row>
    <row r="338" spans="1:16" x14ac:dyDescent="0.2">
      <c r="A338" s="7" t="str">
        <f t="shared" si="35"/>
        <v/>
      </c>
      <c r="B338" s="8" t="str">
        <f t="shared" si="36"/>
        <v/>
      </c>
      <c r="C338" s="9" t="str">
        <f t="shared" si="37"/>
        <v/>
      </c>
      <c r="D338" s="9" t="str">
        <f t="shared" si="38"/>
        <v/>
      </c>
      <c r="E338" s="8" t="str">
        <f t="shared" si="39"/>
        <v/>
      </c>
      <c r="F338" s="9" t="str">
        <f t="shared" si="40"/>
        <v/>
      </c>
      <c r="J338" t="str">
        <f>IF(AND(MOVIMIENTOS!$B337&lt;&gt;"",NOT(AND(MOVIMIENTOS!$B337="PROCESO",MOVIMIENTOS!$C337&lt;&gt;"Chancho")),NOT(AND(MOVIMIENTOS!$B337="SALDO INICIAL",MOVIMIENTOS!$C337="Chancho"))),COUNT(J$5:J337)+1,"")</f>
        <v/>
      </c>
      <c r="K338" t="str">
        <f>IF(AND(MOVIMIENTOS!$B337&lt;&gt;"",NOT(AND(MOVIMIENTOS!$B337="PROCESO",MOVIMIENTOS!$C337&lt;&gt;"Chancho")),NOT(AND(MOVIMIENTOS!$B337="SALDO INICIAL",MOVIMIENTOS!$C337="Chancho"))),MOVIMIENTOS!$A337,"")</f>
        <v/>
      </c>
      <c r="L338" t="str">
        <f>IF(AND(MOVIMIENTOS!$B337&lt;&gt;"",NOT(AND(MOVIMIENTOS!$B337="PROCESO",MOVIMIENTOS!$C337&lt;&gt;"Chancho")),NOT(AND(MOVIMIENTOS!$B337="SALDO INICIAL",MOVIMIENTOS!$C337="Chancho"))),IF(MOVIMIENTOS!$B337="SALDO INICIAL","APERTURA ("&amp;MOVIMIENTOS!$C337&amp;")",IF(MOVIMIENTOS!$B337="COMPRA","INGRESO (compra)",IF(MOVIMIENTOS!$B337="PROCESO","CHANCHO (proceso)",IF(MOVIMIENTOS!$B337="ENVÍO A SUPESA","ENVÍO SUPESA cal. "&amp;MOVIMIENTOS!$C337,IF(MOVIMIENTOS!$B337="VENTA CHANCHO","VENTA CHANCHO",IF(MOVIMIENTOS!$B337="DEVOLUCIÓN","DEVOLUCIÓN cal. "&amp;MOVIMIENTOS!$C337,IF(MOVIMIENTOS!$B337="TRASIEGO","TRASIEGO cal. "&amp;MOVIMIENTOS!$C337,IF(MOVIMIENTOS!$B337="REGALO","REGALO "&amp;MOVIMIENTOS!$C337,IF(MOVIMIENTOS!$B337="VENTA","VENTA "&amp;MOVIMIENTOS!$C337,IF(MOVIMIENTOS!$B337="AJUSTE","AJUSTE inventario ("&amp;MOVIMIENTOS!$C337&amp;")",MOVIMIENTOS!$B337)))))))))),"")</f>
        <v/>
      </c>
      <c r="M338" t="str">
        <f>IF(AND(AND(MOVIMIENTOS!$B337&lt;&gt;"",NOT(AND(MOVIMIENTOS!$B337="PROCESO",MOVIMIENTOS!$C337&lt;&gt;"Chancho")),NOT(AND(MOVIMIENTOS!$B337="SALDO INICIAL",MOVIMIENTOS!$C337="Chancho"))),OR(MOVIMIENTOS!$B337="SALDO INICIAL",MOVIMIENTOS!$B337="COMPRA",MOVIMIENTOS!$B337="REPROCESO",AND(MOVIMIENTOS!$B337="AJUSTE",MOVIMIENTOS!$C337&lt;&gt;"Chancho",N(MOVIMIENTOS!$F337)&gt;=0))),N(MOVIMIENTOS!$F337),"")</f>
        <v/>
      </c>
      <c r="N338" t="str">
        <f>IF(AND(AND(MOVIMIENTOS!$B337&lt;&gt;"",NOT(AND(MOVIMIENTOS!$B337="PROCESO",MOVIMIENTOS!$C337&lt;&gt;"Chancho")),NOT(AND(MOVIMIENTOS!$B337="SALDO INICIAL",MOVIMIENTOS!$C337="Chancho"))),OR(MOVIMIENTOS!$B337="ENVÍO A SUPESA",MOVIMIENTOS!$B337="MALOGRADO",MOVIMIENTOS!$B337="OTRA SALIDA",MOVIMIENTOS!$B337="TRASIEGO",AND(MOVIMIENTOS!$B337="PROCESO",MOVIMIENTOS!$C337="Chancho"),AND(MOVIMIENTOS!$B337="REGALO",MOVIMIENTOS!$C337&lt;&gt;"Chancho"),AND(MOVIMIENTOS!$B337="VENTA",MOVIMIENTOS!$C337&lt;&gt;"Chancho"),AND(MOVIMIENTOS!$B337="AJUSTE",MOVIMIENTOS!$C337&lt;&gt;"Chancho",N(MOVIMIENTOS!$F337)&lt;0))),IF(MOVIMIENTOS!$B337="AJUSTE",-N(MOVIMIENTOS!$F337),N(MOVIMIENTOS!$F337)),"")</f>
        <v/>
      </c>
      <c r="O338" t="str">
        <f>IF(AND(MOVIMIENTOS!$B337&lt;&gt;"",NOT(AND(MOVIMIENTOS!$B337="PROCESO",MOVIMIENTOS!$C337&lt;&gt;"Chancho")),NOT(AND(MOVIMIENTOS!$B337="SALDO INICIAL",MOVIMIENTOS!$C337="Chancho"))),TRIM(IF(MOVIMIENTOS!$G337&lt;&gt;"",IF(MOVIMIENTOS!$B337="ENVÍO A SUPESA","G-"&amp;MOVIMIENTOS!$G337,MOVIMIENTOS!$G337)&amp;"  ","")&amp;IF(N(MOVIMIENTOS!$E337)&gt;0,MOVIMIENTOS!$E337&amp;" "&amp;MOVIMIENTOS!$D337,"")),"")</f>
        <v/>
      </c>
      <c r="P338">
        <f t="shared" si="41"/>
        <v>6138.5</v>
      </c>
    </row>
    <row r="339" spans="1:16" x14ac:dyDescent="0.2">
      <c r="A339" s="7" t="str">
        <f t="shared" si="35"/>
        <v/>
      </c>
      <c r="B339" s="8" t="str">
        <f t="shared" si="36"/>
        <v/>
      </c>
      <c r="C339" s="9" t="str">
        <f t="shared" si="37"/>
        <v/>
      </c>
      <c r="D339" s="9" t="str">
        <f t="shared" si="38"/>
        <v/>
      </c>
      <c r="E339" s="8" t="str">
        <f t="shared" si="39"/>
        <v/>
      </c>
      <c r="F339" s="9" t="str">
        <f t="shared" si="40"/>
        <v/>
      </c>
      <c r="J339" t="str">
        <f>IF(AND(MOVIMIENTOS!$B338&lt;&gt;"",NOT(AND(MOVIMIENTOS!$B338="PROCESO",MOVIMIENTOS!$C338&lt;&gt;"Chancho")),NOT(AND(MOVIMIENTOS!$B338="SALDO INICIAL",MOVIMIENTOS!$C338="Chancho"))),COUNT(J$5:J338)+1,"")</f>
        <v/>
      </c>
      <c r="K339" t="str">
        <f>IF(AND(MOVIMIENTOS!$B338&lt;&gt;"",NOT(AND(MOVIMIENTOS!$B338="PROCESO",MOVIMIENTOS!$C338&lt;&gt;"Chancho")),NOT(AND(MOVIMIENTOS!$B338="SALDO INICIAL",MOVIMIENTOS!$C338="Chancho"))),MOVIMIENTOS!$A338,"")</f>
        <v/>
      </c>
      <c r="L339" t="str">
        <f>IF(AND(MOVIMIENTOS!$B338&lt;&gt;"",NOT(AND(MOVIMIENTOS!$B338="PROCESO",MOVIMIENTOS!$C338&lt;&gt;"Chancho")),NOT(AND(MOVIMIENTOS!$B338="SALDO INICIAL",MOVIMIENTOS!$C338="Chancho"))),IF(MOVIMIENTOS!$B338="SALDO INICIAL","APERTURA ("&amp;MOVIMIENTOS!$C338&amp;")",IF(MOVIMIENTOS!$B338="COMPRA","INGRESO (compra)",IF(MOVIMIENTOS!$B338="PROCESO","CHANCHO (proceso)",IF(MOVIMIENTOS!$B338="ENVÍO A SUPESA","ENVÍO SUPESA cal. "&amp;MOVIMIENTOS!$C338,IF(MOVIMIENTOS!$B338="VENTA CHANCHO","VENTA CHANCHO",IF(MOVIMIENTOS!$B338="DEVOLUCIÓN","DEVOLUCIÓN cal. "&amp;MOVIMIENTOS!$C338,IF(MOVIMIENTOS!$B338="TRASIEGO","TRASIEGO cal. "&amp;MOVIMIENTOS!$C338,IF(MOVIMIENTOS!$B338="REGALO","REGALO "&amp;MOVIMIENTOS!$C338,IF(MOVIMIENTOS!$B338="VENTA","VENTA "&amp;MOVIMIENTOS!$C338,IF(MOVIMIENTOS!$B338="AJUSTE","AJUSTE inventario ("&amp;MOVIMIENTOS!$C338&amp;")",MOVIMIENTOS!$B338)))))))))),"")</f>
        <v/>
      </c>
      <c r="M339" t="str">
        <f>IF(AND(AND(MOVIMIENTOS!$B338&lt;&gt;"",NOT(AND(MOVIMIENTOS!$B338="PROCESO",MOVIMIENTOS!$C338&lt;&gt;"Chancho")),NOT(AND(MOVIMIENTOS!$B338="SALDO INICIAL",MOVIMIENTOS!$C338="Chancho"))),OR(MOVIMIENTOS!$B338="SALDO INICIAL",MOVIMIENTOS!$B338="COMPRA",MOVIMIENTOS!$B338="REPROCESO",AND(MOVIMIENTOS!$B338="AJUSTE",MOVIMIENTOS!$C338&lt;&gt;"Chancho",N(MOVIMIENTOS!$F338)&gt;=0))),N(MOVIMIENTOS!$F338),"")</f>
        <v/>
      </c>
      <c r="N339" t="str">
        <f>IF(AND(AND(MOVIMIENTOS!$B338&lt;&gt;"",NOT(AND(MOVIMIENTOS!$B338="PROCESO",MOVIMIENTOS!$C338&lt;&gt;"Chancho")),NOT(AND(MOVIMIENTOS!$B338="SALDO INICIAL",MOVIMIENTOS!$C338="Chancho"))),OR(MOVIMIENTOS!$B338="ENVÍO A SUPESA",MOVIMIENTOS!$B338="MALOGRADO",MOVIMIENTOS!$B338="OTRA SALIDA",MOVIMIENTOS!$B338="TRASIEGO",AND(MOVIMIENTOS!$B338="PROCESO",MOVIMIENTOS!$C338="Chancho"),AND(MOVIMIENTOS!$B338="REGALO",MOVIMIENTOS!$C338&lt;&gt;"Chancho"),AND(MOVIMIENTOS!$B338="VENTA",MOVIMIENTOS!$C338&lt;&gt;"Chancho"),AND(MOVIMIENTOS!$B338="AJUSTE",MOVIMIENTOS!$C338&lt;&gt;"Chancho",N(MOVIMIENTOS!$F338)&lt;0))),IF(MOVIMIENTOS!$B338="AJUSTE",-N(MOVIMIENTOS!$F338),N(MOVIMIENTOS!$F338)),"")</f>
        <v/>
      </c>
      <c r="O339" t="str">
        <f>IF(AND(MOVIMIENTOS!$B338&lt;&gt;"",NOT(AND(MOVIMIENTOS!$B338="PROCESO",MOVIMIENTOS!$C338&lt;&gt;"Chancho")),NOT(AND(MOVIMIENTOS!$B338="SALDO INICIAL",MOVIMIENTOS!$C338="Chancho"))),TRIM(IF(MOVIMIENTOS!$G338&lt;&gt;"",IF(MOVIMIENTOS!$B338="ENVÍO A SUPESA","G-"&amp;MOVIMIENTOS!$G338,MOVIMIENTOS!$G338)&amp;"  ","")&amp;IF(N(MOVIMIENTOS!$E338)&gt;0,MOVIMIENTOS!$E338&amp;" "&amp;MOVIMIENTOS!$D338,"")),"")</f>
        <v/>
      </c>
      <c r="P339">
        <f t="shared" si="41"/>
        <v>6138.5</v>
      </c>
    </row>
    <row r="340" spans="1:16" x14ac:dyDescent="0.2">
      <c r="A340" s="7" t="str">
        <f t="shared" si="35"/>
        <v/>
      </c>
      <c r="B340" s="8" t="str">
        <f t="shared" si="36"/>
        <v/>
      </c>
      <c r="C340" s="9" t="str">
        <f t="shared" si="37"/>
        <v/>
      </c>
      <c r="D340" s="9" t="str">
        <f t="shared" si="38"/>
        <v/>
      </c>
      <c r="E340" s="8" t="str">
        <f t="shared" si="39"/>
        <v/>
      </c>
      <c r="F340" s="9" t="str">
        <f t="shared" si="40"/>
        <v/>
      </c>
      <c r="J340" t="str">
        <f>IF(AND(MOVIMIENTOS!$B339&lt;&gt;"",NOT(AND(MOVIMIENTOS!$B339="PROCESO",MOVIMIENTOS!$C339&lt;&gt;"Chancho")),NOT(AND(MOVIMIENTOS!$B339="SALDO INICIAL",MOVIMIENTOS!$C339="Chancho"))),COUNT(J$5:J339)+1,"")</f>
        <v/>
      </c>
      <c r="K340" t="str">
        <f>IF(AND(MOVIMIENTOS!$B339&lt;&gt;"",NOT(AND(MOVIMIENTOS!$B339="PROCESO",MOVIMIENTOS!$C339&lt;&gt;"Chancho")),NOT(AND(MOVIMIENTOS!$B339="SALDO INICIAL",MOVIMIENTOS!$C339="Chancho"))),MOVIMIENTOS!$A339,"")</f>
        <v/>
      </c>
      <c r="L340" t="str">
        <f>IF(AND(MOVIMIENTOS!$B339&lt;&gt;"",NOT(AND(MOVIMIENTOS!$B339="PROCESO",MOVIMIENTOS!$C339&lt;&gt;"Chancho")),NOT(AND(MOVIMIENTOS!$B339="SALDO INICIAL",MOVIMIENTOS!$C339="Chancho"))),IF(MOVIMIENTOS!$B339="SALDO INICIAL","APERTURA ("&amp;MOVIMIENTOS!$C339&amp;")",IF(MOVIMIENTOS!$B339="COMPRA","INGRESO (compra)",IF(MOVIMIENTOS!$B339="PROCESO","CHANCHO (proceso)",IF(MOVIMIENTOS!$B339="ENVÍO A SUPESA","ENVÍO SUPESA cal. "&amp;MOVIMIENTOS!$C339,IF(MOVIMIENTOS!$B339="VENTA CHANCHO","VENTA CHANCHO",IF(MOVIMIENTOS!$B339="DEVOLUCIÓN","DEVOLUCIÓN cal. "&amp;MOVIMIENTOS!$C339,IF(MOVIMIENTOS!$B339="TRASIEGO","TRASIEGO cal. "&amp;MOVIMIENTOS!$C339,IF(MOVIMIENTOS!$B339="REGALO","REGALO "&amp;MOVIMIENTOS!$C339,IF(MOVIMIENTOS!$B339="VENTA","VENTA "&amp;MOVIMIENTOS!$C339,IF(MOVIMIENTOS!$B339="AJUSTE","AJUSTE inventario ("&amp;MOVIMIENTOS!$C339&amp;")",MOVIMIENTOS!$B339)))))))))),"")</f>
        <v/>
      </c>
      <c r="M340" t="str">
        <f>IF(AND(AND(MOVIMIENTOS!$B339&lt;&gt;"",NOT(AND(MOVIMIENTOS!$B339="PROCESO",MOVIMIENTOS!$C339&lt;&gt;"Chancho")),NOT(AND(MOVIMIENTOS!$B339="SALDO INICIAL",MOVIMIENTOS!$C339="Chancho"))),OR(MOVIMIENTOS!$B339="SALDO INICIAL",MOVIMIENTOS!$B339="COMPRA",MOVIMIENTOS!$B339="REPROCESO",AND(MOVIMIENTOS!$B339="AJUSTE",MOVIMIENTOS!$C339&lt;&gt;"Chancho",N(MOVIMIENTOS!$F339)&gt;=0))),N(MOVIMIENTOS!$F339),"")</f>
        <v/>
      </c>
      <c r="N340" t="str">
        <f>IF(AND(AND(MOVIMIENTOS!$B339&lt;&gt;"",NOT(AND(MOVIMIENTOS!$B339="PROCESO",MOVIMIENTOS!$C339&lt;&gt;"Chancho")),NOT(AND(MOVIMIENTOS!$B339="SALDO INICIAL",MOVIMIENTOS!$C339="Chancho"))),OR(MOVIMIENTOS!$B339="ENVÍO A SUPESA",MOVIMIENTOS!$B339="MALOGRADO",MOVIMIENTOS!$B339="OTRA SALIDA",MOVIMIENTOS!$B339="TRASIEGO",AND(MOVIMIENTOS!$B339="PROCESO",MOVIMIENTOS!$C339="Chancho"),AND(MOVIMIENTOS!$B339="REGALO",MOVIMIENTOS!$C339&lt;&gt;"Chancho"),AND(MOVIMIENTOS!$B339="VENTA",MOVIMIENTOS!$C339&lt;&gt;"Chancho"),AND(MOVIMIENTOS!$B339="AJUSTE",MOVIMIENTOS!$C339&lt;&gt;"Chancho",N(MOVIMIENTOS!$F339)&lt;0))),IF(MOVIMIENTOS!$B339="AJUSTE",-N(MOVIMIENTOS!$F339),N(MOVIMIENTOS!$F339)),"")</f>
        <v/>
      </c>
      <c r="O340" t="str">
        <f>IF(AND(MOVIMIENTOS!$B339&lt;&gt;"",NOT(AND(MOVIMIENTOS!$B339="PROCESO",MOVIMIENTOS!$C339&lt;&gt;"Chancho")),NOT(AND(MOVIMIENTOS!$B339="SALDO INICIAL",MOVIMIENTOS!$C339="Chancho"))),TRIM(IF(MOVIMIENTOS!$G339&lt;&gt;"",IF(MOVIMIENTOS!$B339="ENVÍO A SUPESA","G-"&amp;MOVIMIENTOS!$G339,MOVIMIENTOS!$G339)&amp;"  ","")&amp;IF(N(MOVIMIENTOS!$E339)&gt;0,MOVIMIENTOS!$E339&amp;" "&amp;MOVIMIENTOS!$D339,"")),"")</f>
        <v/>
      </c>
      <c r="P340">
        <f t="shared" si="41"/>
        <v>6138.5</v>
      </c>
    </row>
    <row r="341" spans="1:16" x14ac:dyDescent="0.2">
      <c r="A341" s="7" t="str">
        <f t="shared" si="35"/>
        <v/>
      </c>
      <c r="B341" s="8" t="str">
        <f t="shared" si="36"/>
        <v/>
      </c>
      <c r="C341" s="9" t="str">
        <f t="shared" si="37"/>
        <v/>
      </c>
      <c r="D341" s="9" t="str">
        <f t="shared" si="38"/>
        <v/>
      </c>
      <c r="E341" s="8" t="str">
        <f t="shared" si="39"/>
        <v/>
      </c>
      <c r="F341" s="9" t="str">
        <f t="shared" si="40"/>
        <v/>
      </c>
      <c r="J341" t="str">
        <f>IF(AND(MOVIMIENTOS!$B340&lt;&gt;"",NOT(AND(MOVIMIENTOS!$B340="PROCESO",MOVIMIENTOS!$C340&lt;&gt;"Chancho")),NOT(AND(MOVIMIENTOS!$B340="SALDO INICIAL",MOVIMIENTOS!$C340="Chancho"))),COUNT(J$5:J340)+1,"")</f>
        <v/>
      </c>
      <c r="K341" t="str">
        <f>IF(AND(MOVIMIENTOS!$B340&lt;&gt;"",NOT(AND(MOVIMIENTOS!$B340="PROCESO",MOVIMIENTOS!$C340&lt;&gt;"Chancho")),NOT(AND(MOVIMIENTOS!$B340="SALDO INICIAL",MOVIMIENTOS!$C340="Chancho"))),MOVIMIENTOS!$A340,"")</f>
        <v/>
      </c>
      <c r="L341" t="str">
        <f>IF(AND(MOVIMIENTOS!$B340&lt;&gt;"",NOT(AND(MOVIMIENTOS!$B340="PROCESO",MOVIMIENTOS!$C340&lt;&gt;"Chancho")),NOT(AND(MOVIMIENTOS!$B340="SALDO INICIAL",MOVIMIENTOS!$C340="Chancho"))),IF(MOVIMIENTOS!$B340="SALDO INICIAL","APERTURA ("&amp;MOVIMIENTOS!$C340&amp;")",IF(MOVIMIENTOS!$B340="COMPRA","INGRESO (compra)",IF(MOVIMIENTOS!$B340="PROCESO","CHANCHO (proceso)",IF(MOVIMIENTOS!$B340="ENVÍO A SUPESA","ENVÍO SUPESA cal. "&amp;MOVIMIENTOS!$C340,IF(MOVIMIENTOS!$B340="VENTA CHANCHO","VENTA CHANCHO",IF(MOVIMIENTOS!$B340="DEVOLUCIÓN","DEVOLUCIÓN cal. "&amp;MOVIMIENTOS!$C340,IF(MOVIMIENTOS!$B340="TRASIEGO","TRASIEGO cal. "&amp;MOVIMIENTOS!$C340,IF(MOVIMIENTOS!$B340="REGALO","REGALO "&amp;MOVIMIENTOS!$C340,IF(MOVIMIENTOS!$B340="VENTA","VENTA "&amp;MOVIMIENTOS!$C340,IF(MOVIMIENTOS!$B340="AJUSTE","AJUSTE inventario ("&amp;MOVIMIENTOS!$C340&amp;")",MOVIMIENTOS!$B340)))))))))),"")</f>
        <v/>
      </c>
      <c r="M341" t="str">
        <f>IF(AND(AND(MOVIMIENTOS!$B340&lt;&gt;"",NOT(AND(MOVIMIENTOS!$B340="PROCESO",MOVIMIENTOS!$C340&lt;&gt;"Chancho")),NOT(AND(MOVIMIENTOS!$B340="SALDO INICIAL",MOVIMIENTOS!$C340="Chancho"))),OR(MOVIMIENTOS!$B340="SALDO INICIAL",MOVIMIENTOS!$B340="COMPRA",MOVIMIENTOS!$B340="REPROCESO",AND(MOVIMIENTOS!$B340="AJUSTE",MOVIMIENTOS!$C340&lt;&gt;"Chancho",N(MOVIMIENTOS!$F340)&gt;=0))),N(MOVIMIENTOS!$F340),"")</f>
        <v/>
      </c>
      <c r="N341" t="str">
        <f>IF(AND(AND(MOVIMIENTOS!$B340&lt;&gt;"",NOT(AND(MOVIMIENTOS!$B340="PROCESO",MOVIMIENTOS!$C340&lt;&gt;"Chancho")),NOT(AND(MOVIMIENTOS!$B340="SALDO INICIAL",MOVIMIENTOS!$C340="Chancho"))),OR(MOVIMIENTOS!$B340="ENVÍO A SUPESA",MOVIMIENTOS!$B340="MALOGRADO",MOVIMIENTOS!$B340="OTRA SALIDA",MOVIMIENTOS!$B340="TRASIEGO",AND(MOVIMIENTOS!$B340="PROCESO",MOVIMIENTOS!$C340="Chancho"),AND(MOVIMIENTOS!$B340="REGALO",MOVIMIENTOS!$C340&lt;&gt;"Chancho"),AND(MOVIMIENTOS!$B340="VENTA",MOVIMIENTOS!$C340&lt;&gt;"Chancho"),AND(MOVIMIENTOS!$B340="AJUSTE",MOVIMIENTOS!$C340&lt;&gt;"Chancho",N(MOVIMIENTOS!$F340)&lt;0))),IF(MOVIMIENTOS!$B340="AJUSTE",-N(MOVIMIENTOS!$F340),N(MOVIMIENTOS!$F340)),"")</f>
        <v/>
      </c>
      <c r="O341" t="str">
        <f>IF(AND(MOVIMIENTOS!$B340&lt;&gt;"",NOT(AND(MOVIMIENTOS!$B340="PROCESO",MOVIMIENTOS!$C340&lt;&gt;"Chancho")),NOT(AND(MOVIMIENTOS!$B340="SALDO INICIAL",MOVIMIENTOS!$C340="Chancho"))),TRIM(IF(MOVIMIENTOS!$G340&lt;&gt;"",IF(MOVIMIENTOS!$B340="ENVÍO A SUPESA","G-"&amp;MOVIMIENTOS!$G340,MOVIMIENTOS!$G340)&amp;"  ","")&amp;IF(N(MOVIMIENTOS!$E340)&gt;0,MOVIMIENTOS!$E340&amp;" "&amp;MOVIMIENTOS!$D340,"")),"")</f>
        <v/>
      </c>
      <c r="P341">
        <f t="shared" si="41"/>
        <v>6138.5</v>
      </c>
    </row>
    <row r="342" spans="1:16" x14ac:dyDescent="0.2">
      <c r="A342" s="7" t="str">
        <f t="shared" si="35"/>
        <v/>
      </c>
      <c r="B342" s="8" t="str">
        <f t="shared" si="36"/>
        <v/>
      </c>
      <c r="C342" s="9" t="str">
        <f t="shared" si="37"/>
        <v/>
      </c>
      <c r="D342" s="9" t="str">
        <f t="shared" si="38"/>
        <v/>
      </c>
      <c r="E342" s="8" t="str">
        <f t="shared" si="39"/>
        <v/>
      </c>
      <c r="F342" s="9" t="str">
        <f t="shared" si="40"/>
        <v/>
      </c>
      <c r="J342" t="str">
        <f>IF(AND(MOVIMIENTOS!$B341&lt;&gt;"",NOT(AND(MOVIMIENTOS!$B341="PROCESO",MOVIMIENTOS!$C341&lt;&gt;"Chancho")),NOT(AND(MOVIMIENTOS!$B341="SALDO INICIAL",MOVIMIENTOS!$C341="Chancho"))),COUNT(J$5:J341)+1,"")</f>
        <v/>
      </c>
      <c r="K342" t="str">
        <f>IF(AND(MOVIMIENTOS!$B341&lt;&gt;"",NOT(AND(MOVIMIENTOS!$B341="PROCESO",MOVIMIENTOS!$C341&lt;&gt;"Chancho")),NOT(AND(MOVIMIENTOS!$B341="SALDO INICIAL",MOVIMIENTOS!$C341="Chancho"))),MOVIMIENTOS!$A341,"")</f>
        <v/>
      </c>
      <c r="L342" t="str">
        <f>IF(AND(MOVIMIENTOS!$B341&lt;&gt;"",NOT(AND(MOVIMIENTOS!$B341="PROCESO",MOVIMIENTOS!$C341&lt;&gt;"Chancho")),NOT(AND(MOVIMIENTOS!$B341="SALDO INICIAL",MOVIMIENTOS!$C341="Chancho"))),IF(MOVIMIENTOS!$B341="SALDO INICIAL","APERTURA ("&amp;MOVIMIENTOS!$C341&amp;")",IF(MOVIMIENTOS!$B341="COMPRA","INGRESO (compra)",IF(MOVIMIENTOS!$B341="PROCESO","CHANCHO (proceso)",IF(MOVIMIENTOS!$B341="ENVÍO A SUPESA","ENVÍO SUPESA cal. "&amp;MOVIMIENTOS!$C341,IF(MOVIMIENTOS!$B341="VENTA CHANCHO","VENTA CHANCHO",IF(MOVIMIENTOS!$B341="DEVOLUCIÓN","DEVOLUCIÓN cal. "&amp;MOVIMIENTOS!$C341,IF(MOVIMIENTOS!$B341="TRASIEGO","TRASIEGO cal. "&amp;MOVIMIENTOS!$C341,IF(MOVIMIENTOS!$B341="REGALO","REGALO "&amp;MOVIMIENTOS!$C341,IF(MOVIMIENTOS!$B341="VENTA","VENTA "&amp;MOVIMIENTOS!$C341,IF(MOVIMIENTOS!$B341="AJUSTE","AJUSTE inventario ("&amp;MOVIMIENTOS!$C341&amp;")",MOVIMIENTOS!$B341)))))))))),"")</f>
        <v/>
      </c>
      <c r="M342" t="str">
        <f>IF(AND(AND(MOVIMIENTOS!$B341&lt;&gt;"",NOT(AND(MOVIMIENTOS!$B341="PROCESO",MOVIMIENTOS!$C341&lt;&gt;"Chancho")),NOT(AND(MOVIMIENTOS!$B341="SALDO INICIAL",MOVIMIENTOS!$C341="Chancho"))),OR(MOVIMIENTOS!$B341="SALDO INICIAL",MOVIMIENTOS!$B341="COMPRA",MOVIMIENTOS!$B341="REPROCESO",AND(MOVIMIENTOS!$B341="AJUSTE",MOVIMIENTOS!$C341&lt;&gt;"Chancho",N(MOVIMIENTOS!$F341)&gt;=0))),N(MOVIMIENTOS!$F341),"")</f>
        <v/>
      </c>
      <c r="N342" t="str">
        <f>IF(AND(AND(MOVIMIENTOS!$B341&lt;&gt;"",NOT(AND(MOVIMIENTOS!$B341="PROCESO",MOVIMIENTOS!$C341&lt;&gt;"Chancho")),NOT(AND(MOVIMIENTOS!$B341="SALDO INICIAL",MOVIMIENTOS!$C341="Chancho"))),OR(MOVIMIENTOS!$B341="ENVÍO A SUPESA",MOVIMIENTOS!$B341="MALOGRADO",MOVIMIENTOS!$B341="OTRA SALIDA",MOVIMIENTOS!$B341="TRASIEGO",AND(MOVIMIENTOS!$B341="PROCESO",MOVIMIENTOS!$C341="Chancho"),AND(MOVIMIENTOS!$B341="REGALO",MOVIMIENTOS!$C341&lt;&gt;"Chancho"),AND(MOVIMIENTOS!$B341="VENTA",MOVIMIENTOS!$C341&lt;&gt;"Chancho"),AND(MOVIMIENTOS!$B341="AJUSTE",MOVIMIENTOS!$C341&lt;&gt;"Chancho",N(MOVIMIENTOS!$F341)&lt;0))),IF(MOVIMIENTOS!$B341="AJUSTE",-N(MOVIMIENTOS!$F341),N(MOVIMIENTOS!$F341)),"")</f>
        <v/>
      </c>
      <c r="O342" t="str">
        <f>IF(AND(MOVIMIENTOS!$B341&lt;&gt;"",NOT(AND(MOVIMIENTOS!$B341="PROCESO",MOVIMIENTOS!$C341&lt;&gt;"Chancho")),NOT(AND(MOVIMIENTOS!$B341="SALDO INICIAL",MOVIMIENTOS!$C341="Chancho"))),TRIM(IF(MOVIMIENTOS!$G341&lt;&gt;"",IF(MOVIMIENTOS!$B341="ENVÍO A SUPESA","G-"&amp;MOVIMIENTOS!$G341,MOVIMIENTOS!$G341)&amp;"  ","")&amp;IF(N(MOVIMIENTOS!$E341)&gt;0,MOVIMIENTOS!$E341&amp;" "&amp;MOVIMIENTOS!$D341,"")),"")</f>
        <v/>
      </c>
      <c r="P342">
        <f t="shared" si="41"/>
        <v>6138.5</v>
      </c>
    </row>
    <row r="343" spans="1:16" x14ac:dyDescent="0.2">
      <c r="A343" s="7" t="str">
        <f t="shared" si="35"/>
        <v/>
      </c>
      <c r="B343" s="8" t="str">
        <f t="shared" si="36"/>
        <v/>
      </c>
      <c r="C343" s="9" t="str">
        <f t="shared" si="37"/>
        <v/>
      </c>
      <c r="D343" s="9" t="str">
        <f t="shared" si="38"/>
        <v/>
      </c>
      <c r="E343" s="8" t="str">
        <f t="shared" si="39"/>
        <v/>
      </c>
      <c r="F343" s="9" t="str">
        <f t="shared" si="40"/>
        <v/>
      </c>
      <c r="J343" t="str">
        <f>IF(AND(MOVIMIENTOS!$B342&lt;&gt;"",NOT(AND(MOVIMIENTOS!$B342="PROCESO",MOVIMIENTOS!$C342&lt;&gt;"Chancho")),NOT(AND(MOVIMIENTOS!$B342="SALDO INICIAL",MOVIMIENTOS!$C342="Chancho"))),COUNT(J$5:J342)+1,"")</f>
        <v/>
      </c>
      <c r="K343" t="str">
        <f>IF(AND(MOVIMIENTOS!$B342&lt;&gt;"",NOT(AND(MOVIMIENTOS!$B342="PROCESO",MOVIMIENTOS!$C342&lt;&gt;"Chancho")),NOT(AND(MOVIMIENTOS!$B342="SALDO INICIAL",MOVIMIENTOS!$C342="Chancho"))),MOVIMIENTOS!$A342,"")</f>
        <v/>
      </c>
      <c r="L343" t="str">
        <f>IF(AND(MOVIMIENTOS!$B342&lt;&gt;"",NOT(AND(MOVIMIENTOS!$B342="PROCESO",MOVIMIENTOS!$C342&lt;&gt;"Chancho")),NOT(AND(MOVIMIENTOS!$B342="SALDO INICIAL",MOVIMIENTOS!$C342="Chancho"))),IF(MOVIMIENTOS!$B342="SALDO INICIAL","APERTURA ("&amp;MOVIMIENTOS!$C342&amp;")",IF(MOVIMIENTOS!$B342="COMPRA","INGRESO (compra)",IF(MOVIMIENTOS!$B342="PROCESO","CHANCHO (proceso)",IF(MOVIMIENTOS!$B342="ENVÍO A SUPESA","ENVÍO SUPESA cal. "&amp;MOVIMIENTOS!$C342,IF(MOVIMIENTOS!$B342="VENTA CHANCHO","VENTA CHANCHO",IF(MOVIMIENTOS!$B342="DEVOLUCIÓN","DEVOLUCIÓN cal. "&amp;MOVIMIENTOS!$C342,IF(MOVIMIENTOS!$B342="TRASIEGO","TRASIEGO cal. "&amp;MOVIMIENTOS!$C342,IF(MOVIMIENTOS!$B342="REGALO","REGALO "&amp;MOVIMIENTOS!$C342,IF(MOVIMIENTOS!$B342="VENTA","VENTA "&amp;MOVIMIENTOS!$C342,IF(MOVIMIENTOS!$B342="AJUSTE","AJUSTE inventario ("&amp;MOVIMIENTOS!$C342&amp;")",MOVIMIENTOS!$B342)))))))))),"")</f>
        <v/>
      </c>
      <c r="M343" t="str">
        <f>IF(AND(AND(MOVIMIENTOS!$B342&lt;&gt;"",NOT(AND(MOVIMIENTOS!$B342="PROCESO",MOVIMIENTOS!$C342&lt;&gt;"Chancho")),NOT(AND(MOVIMIENTOS!$B342="SALDO INICIAL",MOVIMIENTOS!$C342="Chancho"))),OR(MOVIMIENTOS!$B342="SALDO INICIAL",MOVIMIENTOS!$B342="COMPRA",MOVIMIENTOS!$B342="REPROCESO",AND(MOVIMIENTOS!$B342="AJUSTE",MOVIMIENTOS!$C342&lt;&gt;"Chancho",N(MOVIMIENTOS!$F342)&gt;=0))),N(MOVIMIENTOS!$F342),"")</f>
        <v/>
      </c>
      <c r="N343" t="str">
        <f>IF(AND(AND(MOVIMIENTOS!$B342&lt;&gt;"",NOT(AND(MOVIMIENTOS!$B342="PROCESO",MOVIMIENTOS!$C342&lt;&gt;"Chancho")),NOT(AND(MOVIMIENTOS!$B342="SALDO INICIAL",MOVIMIENTOS!$C342="Chancho"))),OR(MOVIMIENTOS!$B342="ENVÍO A SUPESA",MOVIMIENTOS!$B342="MALOGRADO",MOVIMIENTOS!$B342="OTRA SALIDA",MOVIMIENTOS!$B342="TRASIEGO",AND(MOVIMIENTOS!$B342="PROCESO",MOVIMIENTOS!$C342="Chancho"),AND(MOVIMIENTOS!$B342="REGALO",MOVIMIENTOS!$C342&lt;&gt;"Chancho"),AND(MOVIMIENTOS!$B342="VENTA",MOVIMIENTOS!$C342&lt;&gt;"Chancho"),AND(MOVIMIENTOS!$B342="AJUSTE",MOVIMIENTOS!$C342&lt;&gt;"Chancho",N(MOVIMIENTOS!$F342)&lt;0))),IF(MOVIMIENTOS!$B342="AJUSTE",-N(MOVIMIENTOS!$F342),N(MOVIMIENTOS!$F342)),"")</f>
        <v/>
      </c>
      <c r="O343" t="str">
        <f>IF(AND(MOVIMIENTOS!$B342&lt;&gt;"",NOT(AND(MOVIMIENTOS!$B342="PROCESO",MOVIMIENTOS!$C342&lt;&gt;"Chancho")),NOT(AND(MOVIMIENTOS!$B342="SALDO INICIAL",MOVIMIENTOS!$C342="Chancho"))),TRIM(IF(MOVIMIENTOS!$G342&lt;&gt;"",IF(MOVIMIENTOS!$B342="ENVÍO A SUPESA","G-"&amp;MOVIMIENTOS!$G342,MOVIMIENTOS!$G342)&amp;"  ","")&amp;IF(N(MOVIMIENTOS!$E342)&gt;0,MOVIMIENTOS!$E342&amp;" "&amp;MOVIMIENTOS!$D342,"")),"")</f>
        <v/>
      </c>
      <c r="P343">
        <f t="shared" si="41"/>
        <v>6138.5</v>
      </c>
    </row>
    <row r="344" spans="1:16" x14ac:dyDescent="0.2">
      <c r="A344" s="7" t="str">
        <f t="shared" si="35"/>
        <v/>
      </c>
      <c r="B344" s="8" t="str">
        <f t="shared" si="36"/>
        <v/>
      </c>
      <c r="C344" s="9" t="str">
        <f t="shared" si="37"/>
        <v/>
      </c>
      <c r="D344" s="9" t="str">
        <f t="shared" si="38"/>
        <v/>
      </c>
      <c r="E344" s="8" t="str">
        <f t="shared" si="39"/>
        <v/>
      </c>
      <c r="F344" s="9" t="str">
        <f t="shared" si="40"/>
        <v/>
      </c>
      <c r="J344" t="str">
        <f>IF(AND(MOVIMIENTOS!$B343&lt;&gt;"",NOT(AND(MOVIMIENTOS!$B343="PROCESO",MOVIMIENTOS!$C343&lt;&gt;"Chancho")),NOT(AND(MOVIMIENTOS!$B343="SALDO INICIAL",MOVIMIENTOS!$C343="Chancho"))),COUNT(J$5:J343)+1,"")</f>
        <v/>
      </c>
      <c r="K344" t="str">
        <f>IF(AND(MOVIMIENTOS!$B343&lt;&gt;"",NOT(AND(MOVIMIENTOS!$B343="PROCESO",MOVIMIENTOS!$C343&lt;&gt;"Chancho")),NOT(AND(MOVIMIENTOS!$B343="SALDO INICIAL",MOVIMIENTOS!$C343="Chancho"))),MOVIMIENTOS!$A343,"")</f>
        <v/>
      </c>
      <c r="L344" t="str">
        <f>IF(AND(MOVIMIENTOS!$B343&lt;&gt;"",NOT(AND(MOVIMIENTOS!$B343="PROCESO",MOVIMIENTOS!$C343&lt;&gt;"Chancho")),NOT(AND(MOVIMIENTOS!$B343="SALDO INICIAL",MOVIMIENTOS!$C343="Chancho"))),IF(MOVIMIENTOS!$B343="SALDO INICIAL","APERTURA ("&amp;MOVIMIENTOS!$C343&amp;")",IF(MOVIMIENTOS!$B343="COMPRA","INGRESO (compra)",IF(MOVIMIENTOS!$B343="PROCESO","CHANCHO (proceso)",IF(MOVIMIENTOS!$B343="ENVÍO A SUPESA","ENVÍO SUPESA cal. "&amp;MOVIMIENTOS!$C343,IF(MOVIMIENTOS!$B343="VENTA CHANCHO","VENTA CHANCHO",IF(MOVIMIENTOS!$B343="DEVOLUCIÓN","DEVOLUCIÓN cal. "&amp;MOVIMIENTOS!$C343,IF(MOVIMIENTOS!$B343="TRASIEGO","TRASIEGO cal. "&amp;MOVIMIENTOS!$C343,IF(MOVIMIENTOS!$B343="REGALO","REGALO "&amp;MOVIMIENTOS!$C343,IF(MOVIMIENTOS!$B343="VENTA","VENTA "&amp;MOVIMIENTOS!$C343,IF(MOVIMIENTOS!$B343="AJUSTE","AJUSTE inventario ("&amp;MOVIMIENTOS!$C343&amp;")",MOVIMIENTOS!$B343)))))))))),"")</f>
        <v/>
      </c>
      <c r="M344" t="str">
        <f>IF(AND(AND(MOVIMIENTOS!$B343&lt;&gt;"",NOT(AND(MOVIMIENTOS!$B343="PROCESO",MOVIMIENTOS!$C343&lt;&gt;"Chancho")),NOT(AND(MOVIMIENTOS!$B343="SALDO INICIAL",MOVIMIENTOS!$C343="Chancho"))),OR(MOVIMIENTOS!$B343="SALDO INICIAL",MOVIMIENTOS!$B343="COMPRA",MOVIMIENTOS!$B343="REPROCESO",AND(MOVIMIENTOS!$B343="AJUSTE",MOVIMIENTOS!$C343&lt;&gt;"Chancho",N(MOVIMIENTOS!$F343)&gt;=0))),N(MOVIMIENTOS!$F343),"")</f>
        <v/>
      </c>
      <c r="N344" t="str">
        <f>IF(AND(AND(MOVIMIENTOS!$B343&lt;&gt;"",NOT(AND(MOVIMIENTOS!$B343="PROCESO",MOVIMIENTOS!$C343&lt;&gt;"Chancho")),NOT(AND(MOVIMIENTOS!$B343="SALDO INICIAL",MOVIMIENTOS!$C343="Chancho"))),OR(MOVIMIENTOS!$B343="ENVÍO A SUPESA",MOVIMIENTOS!$B343="MALOGRADO",MOVIMIENTOS!$B343="OTRA SALIDA",MOVIMIENTOS!$B343="TRASIEGO",AND(MOVIMIENTOS!$B343="PROCESO",MOVIMIENTOS!$C343="Chancho"),AND(MOVIMIENTOS!$B343="REGALO",MOVIMIENTOS!$C343&lt;&gt;"Chancho"),AND(MOVIMIENTOS!$B343="VENTA",MOVIMIENTOS!$C343&lt;&gt;"Chancho"),AND(MOVIMIENTOS!$B343="AJUSTE",MOVIMIENTOS!$C343&lt;&gt;"Chancho",N(MOVIMIENTOS!$F343)&lt;0))),IF(MOVIMIENTOS!$B343="AJUSTE",-N(MOVIMIENTOS!$F343),N(MOVIMIENTOS!$F343)),"")</f>
        <v/>
      </c>
      <c r="O344" t="str">
        <f>IF(AND(MOVIMIENTOS!$B343&lt;&gt;"",NOT(AND(MOVIMIENTOS!$B343="PROCESO",MOVIMIENTOS!$C343&lt;&gt;"Chancho")),NOT(AND(MOVIMIENTOS!$B343="SALDO INICIAL",MOVIMIENTOS!$C343="Chancho"))),TRIM(IF(MOVIMIENTOS!$G343&lt;&gt;"",IF(MOVIMIENTOS!$B343="ENVÍO A SUPESA","G-"&amp;MOVIMIENTOS!$G343,MOVIMIENTOS!$G343)&amp;"  ","")&amp;IF(N(MOVIMIENTOS!$E343)&gt;0,MOVIMIENTOS!$E343&amp;" "&amp;MOVIMIENTOS!$D343,"")),"")</f>
        <v/>
      </c>
      <c r="P344">
        <f t="shared" si="41"/>
        <v>6138.5</v>
      </c>
    </row>
    <row r="345" spans="1:16" x14ac:dyDescent="0.2">
      <c r="A345" s="7" t="str">
        <f t="shared" si="35"/>
        <v/>
      </c>
      <c r="B345" s="8" t="str">
        <f t="shared" si="36"/>
        <v/>
      </c>
      <c r="C345" s="9" t="str">
        <f t="shared" si="37"/>
        <v/>
      </c>
      <c r="D345" s="9" t="str">
        <f t="shared" si="38"/>
        <v/>
      </c>
      <c r="E345" s="8" t="str">
        <f t="shared" si="39"/>
        <v/>
      </c>
      <c r="F345" s="9" t="str">
        <f t="shared" si="40"/>
        <v/>
      </c>
      <c r="J345" t="str">
        <f>IF(AND(MOVIMIENTOS!$B344&lt;&gt;"",NOT(AND(MOVIMIENTOS!$B344="PROCESO",MOVIMIENTOS!$C344&lt;&gt;"Chancho")),NOT(AND(MOVIMIENTOS!$B344="SALDO INICIAL",MOVIMIENTOS!$C344="Chancho"))),COUNT(J$5:J344)+1,"")</f>
        <v/>
      </c>
      <c r="K345" t="str">
        <f>IF(AND(MOVIMIENTOS!$B344&lt;&gt;"",NOT(AND(MOVIMIENTOS!$B344="PROCESO",MOVIMIENTOS!$C344&lt;&gt;"Chancho")),NOT(AND(MOVIMIENTOS!$B344="SALDO INICIAL",MOVIMIENTOS!$C344="Chancho"))),MOVIMIENTOS!$A344,"")</f>
        <v/>
      </c>
      <c r="L345" t="str">
        <f>IF(AND(MOVIMIENTOS!$B344&lt;&gt;"",NOT(AND(MOVIMIENTOS!$B344="PROCESO",MOVIMIENTOS!$C344&lt;&gt;"Chancho")),NOT(AND(MOVIMIENTOS!$B344="SALDO INICIAL",MOVIMIENTOS!$C344="Chancho"))),IF(MOVIMIENTOS!$B344="SALDO INICIAL","APERTURA ("&amp;MOVIMIENTOS!$C344&amp;")",IF(MOVIMIENTOS!$B344="COMPRA","INGRESO (compra)",IF(MOVIMIENTOS!$B344="PROCESO","CHANCHO (proceso)",IF(MOVIMIENTOS!$B344="ENVÍO A SUPESA","ENVÍO SUPESA cal. "&amp;MOVIMIENTOS!$C344,IF(MOVIMIENTOS!$B344="VENTA CHANCHO","VENTA CHANCHO",IF(MOVIMIENTOS!$B344="DEVOLUCIÓN","DEVOLUCIÓN cal. "&amp;MOVIMIENTOS!$C344,IF(MOVIMIENTOS!$B344="TRASIEGO","TRASIEGO cal. "&amp;MOVIMIENTOS!$C344,IF(MOVIMIENTOS!$B344="REGALO","REGALO "&amp;MOVIMIENTOS!$C344,IF(MOVIMIENTOS!$B344="VENTA","VENTA "&amp;MOVIMIENTOS!$C344,IF(MOVIMIENTOS!$B344="AJUSTE","AJUSTE inventario ("&amp;MOVIMIENTOS!$C344&amp;")",MOVIMIENTOS!$B344)))))))))),"")</f>
        <v/>
      </c>
      <c r="M345" t="str">
        <f>IF(AND(AND(MOVIMIENTOS!$B344&lt;&gt;"",NOT(AND(MOVIMIENTOS!$B344="PROCESO",MOVIMIENTOS!$C344&lt;&gt;"Chancho")),NOT(AND(MOVIMIENTOS!$B344="SALDO INICIAL",MOVIMIENTOS!$C344="Chancho"))),OR(MOVIMIENTOS!$B344="SALDO INICIAL",MOVIMIENTOS!$B344="COMPRA",MOVIMIENTOS!$B344="REPROCESO",AND(MOVIMIENTOS!$B344="AJUSTE",MOVIMIENTOS!$C344&lt;&gt;"Chancho",N(MOVIMIENTOS!$F344)&gt;=0))),N(MOVIMIENTOS!$F344),"")</f>
        <v/>
      </c>
      <c r="N345" t="str">
        <f>IF(AND(AND(MOVIMIENTOS!$B344&lt;&gt;"",NOT(AND(MOVIMIENTOS!$B344="PROCESO",MOVIMIENTOS!$C344&lt;&gt;"Chancho")),NOT(AND(MOVIMIENTOS!$B344="SALDO INICIAL",MOVIMIENTOS!$C344="Chancho"))),OR(MOVIMIENTOS!$B344="ENVÍO A SUPESA",MOVIMIENTOS!$B344="MALOGRADO",MOVIMIENTOS!$B344="OTRA SALIDA",MOVIMIENTOS!$B344="TRASIEGO",AND(MOVIMIENTOS!$B344="PROCESO",MOVIMIENTOS!$C344="Chancho"),AND(MOVIMIENTOS!$B344="REGALO",MOVIMIENTOS!$C344&lt;&gt;"Chancho"),AND(MOVIMIENTOS!$B344="VENTA",MOVIMIENTOS!$C344&lt;&gt;"Chancho"),AND(MOVIMIENTOS!$B344="AJUSTE",MOVIMIENTOS!$C344&lt;&gt;"Chancho",N(MOVIMIENTOS!$F344)&lt;0))),IF(MOVIMIENTOS!$B344="AJUSTE",-N(MOVIMIENTOS!$F344),N(MOVIMIENTOS!$F344)),"")</f>
        <v/>
      </c>
      <c r="O345" t="str">
        <f>IF(AND(MOVIMIENTOS!$B344&lt;&gt;"",NOT(AND(MOVIMIENTOS!$B344="PROCESO",MOVIMIENTOS!$C344&lt;&gt;"Chancho")),NOT(AND(MOVIMIENTOS!$B344="SALDO INICIAL",MOVIMIENTOS!$C344="Chancho"))),TRIM(IF(MOVIMIENTOS!$G344&lt;&gt;"",IF(MOVIMIENTOS!$B344="ENVÍO A SUPESA","G-"&amp;MOVIMIENTOS!$G344,MOVIMIENTOS!$G344)&amp;"  ","")&amp;IF(N(MOVIMIENTOS!$E344)&gt;0,MOVIMIENTOS!$E344&amp;" "&amp;MOVIMIENTOS!$D344,"")),"")</f>
        <v/>
      </c>
      <c r="P345">
        <f t="shared" si="41"/>
        <v>6138.5</v>
      </c>
    </row>
    <row r="346" spans="1:16" x14ac:dyDescent="0.2">
      <c r="A346" s="7" t="str">
        <f t="shared" si="35"/>
        <v/>
      </c>
      <c r="B346" s="8" t="str">
        <f t="shared" si="36"/>
        <v/>
      </c>
      <c r="C346" s="9" t="str">
        <f t="shared" si="37"/>
        <v/>
      </c>
      <c r="D346" s="9" t="str">
        <f t="shared" si="38"/>
        <v/>
      </c>
      <c r="E346" s="8" t="str">
        <f t="shared" si="39"/>
        <v/>
      </c>
      <c r="F346" s="9" t="str">
        <f t="shared" si="40"/>
        <v/>
      </c>
      <c r="J346" t="str">
        <f>IF(AND(MOVIMIENTOS!$B345&lt;&gt;"",NOT(AND(MOVIMIENTOS!$B345="PROCESO",MOVIMIENTOS!$C345&lt;&gt;"Chancho")),NOT(AND(MOVIMIENTOS!$B345="SALDO INICIAL",MOVIMIENTOS!$C345="Chancho"))),COUNT(J$5:J345)+1,"")</f>
        <v/>
      </c>
      <c r="K346" t="str">
        <f>IF(AND(MOVIMIENTOS!$B345&lt;&gt;"",NOT(AND(MOVIMIENTOS!$B345="PROCESO",MOVIMIENTOS!$C345&lt;&gt;"Chancho")),NOT(AND(MOVIMIENTOS!$B345="SALDO INICIAL",MOVIMIENTOS!$C345="Chancho"))),MOVIMIENTOS!$A345,"")</f>
        <v/>
      </c>
      <c r="L346" t="str">
        <f>IF(AND(MOVIMIENTOS!$B345&lt;&gt;"",NOT(AND(MOVIMIENTOS!$B345="PROCESO",MOVIMIENTOS!$C345&lt;&gt;"Chancho")),NOT(AND(MOVIMIENTOS!$B345="SALDO INICIAL",MOVIMIENTOS!$C345="Chancho"))),IF(MOVIMIENTOS!$B345="SALDO INICIAL","APERTURA ("&amp;MOVIMIENTOS!$C345&amp;")",IF(MOVIMIENTOS!$B345="COMPRA","INGRESO (compra)",IF(MOVIMIENTOS!$B345="PROCESO","CHANCHO (proceso)",IF(MOVIMIENTOS!$B345="ENVÍO A SUPESA","ENVÍO SUPESA cal. "&amp;MOVIMIENTOS!$C345,IF(MOVIMIENTOS!$B345="VENTA CHANCHO","VENTA CHANCHO",IF(MOVIMIENTOS!$B345="DEVOLUCIÓN","DEVOLUCIÓN cal. "&amp;MOVIMIENTOS!$C345,IF(MOVIMIENTOS!$B345="TRASIEGO","TRASIEGO cal. "&amp;MOVIMIENTOS!$C345,IF(MOVIMIENTOS!$B345="REGALO","REGALO "&amp;MOVIMIENTOS!$C345,IF(MOVIMIENTOS!$B345="VENTA","VENTA "&amp;MOVIMIENTOS!$C345,IF(MOVIMIENTOS!$B345="AJUSTE","AJUSTE inventario ("&amp;MOVIMIENTOS!$C345&amp;")",MOVIMIENTOS!$B345)))))))))),"")</f>
        <v/>
      </c>
      <c r="M346" t="str">
        <f>IF(AND(AND(MOVIMIENTOS!$B345&lt;&gt;"",NOT(AND(MOVIMIENTOS!$B345="PROCESO",MOVIMIENTOS!$C345&lt;&gt;"Chancho")),NOT(AND(MOVIMIENTOS!$B345="SALDO INICIAL",MOVIMIENTOS!$C345="Chancho"))),OR(MOVIMIENTOS!$B345="SALDO INICIAL",MOVIMIENTOS!$B345="COMPRA",MOVIMIENTOS!$B345="REPROCESO",AND(MOVIMIENTOS!$B345="AJUSTE",MOVIMIENTOS!$C345&lt;&gt;"Chancho",N(MOVIMIENTOS!$F345)&gt;=0))),N(MOVIMIENTOS!$F345),"")</f>
        <v/>
      </c>
      <c r="N346" t="str">
        <f>IF(AND(AND(MOVIMIENTOS!$B345&lt;&gt;"",NOT(AND(MOVIMIENTOS!$B345="PROCESO",MOVIMIENTOS!$C345&lt;&gt;"Chancho")),NOT(AND(MOVIMIENTOS!$B345="SALDO INICIAL",MOVIMIENTOS!$C345="Chancho"))),OR(MOVIMIENTOS!$B345="ENVÍO A SUPESA",MOVIMIENTOS!$B345="MALOGRADO",MOVIMIENTOS!$B345="OTRA SALIDA",MOVIMIENTOS!$B345="TRASIEGO",AND(MOVIMIENTOS!$B345="PROCESO",MOVIMIENTOS!$C345="Chancho"),AND(MOVIMIENTOS!$B345="REGALO",MOVIMIENTOS!$C345&lt;&gt;"Chancho"),AND(MOVIMIENTOS!$B345="VENTA",MOVIMIENTOS!$C345&lt;&gt;"Chancho"),AND(MOVIMIENTOS!$B345="AJUSTE",MOVIMIENTOS!$C345&lt;&gt;"Chancho",N(MOVIMIENTOS!$F345)&lt;0))),IF(MOVIMIENTOS!$B345="AJUSTE",-N(MOVIMIENTOS!$F345),N(MOVIMIENTOS!$F345)),"")</f>
        <v/>
      </c>
      <c r="O346" t="str">
        <f>IF(AND(MOVIMIENTOS!$B345&lt;&gt;"",NOT(AND(MOVIMIENTOS!$B345="PROCESO",MOVIMIENTOS!$C345&lt;&gt;"Chancho")),NOT(AND(MOVIMIENTOS!$B345="SALDO INICIAL",MOVIMIENTOS!$C345="Chancho"))),TRIM(IF(MOVIMIENTOS!$G345&lt;&gt;"",IF(MOVIMIENTOS!$B345="ENVÍO A SUPESA","G-"&amp;MOVIMIENTOS!$G345,MOVIMIENTOS!$G345)&amp;"  ","")&amp;IF(N(MOVIMIENTOS!$E345)&gt;0,MOVIMIENTOS!$E345&amp;" "&amp;MOVIMIENTOS!$D345,"")),"")</f>
        <v/>
      </c>
      <c r="P346">
        <f t="shared" si="41"/>
        <v>6138.5</v>
      </c>
    </row>
    <row r="347" spans="1:16" x14ac:dyDescent="0.2">
      <c r="A347" s="7" t="str">
        <f t="shared" si="35"/>
        <v/>
      </c>
      <c r="B347" s="8" t="str">
        <f t="shared" si="36"/>
        <v/>
      </c>
      <c r="C347" s="9" t="str">
        <f t="shared" si="37"/>
        <v/>
      </c>
      <c r="D347" s="9" t="str">
        <f t="shared" si="38"/>
        <v/>
      </c>
      <c r="E347" s="8" t="str">
        <f t="shared" si="39"/>
        <v/>
      </c>
      <c r="F347" s="9" t="str">
        <f t="shared" si="40"/>
        <v/>
      </c>
      <c r="J347" t="str">
        <f>IF(AND(MOVIMIENTOS!$B346&lt;&gt;"",NOT(AND(MOVIMIENTOS!$B346="PROCESO",MOVIMIENTOS!$C346&lt;&gt;"Chancho")),NOT(AND(MOVIMIENTOS!$B346="SALDO INICIAL",MOVIMIENTOS!$C346="Chancho"))),COUNT(J$5:J346)+1,"")</f>
        <v/>
      </c>
      <c r="K347" t="str">
        <f>IF(AND(MOVIMIENTOS!$B346&lt;&gt;"",NOT(AND(MOVIMIENTOS!$B346="PROCESO",MOVIMIENTOS!$C346&lt;&gt;"Chancho")),NOT(AND(MOVIMIENTOS!$B346="SALDO INICIAL",MOVIMIENTOS!$C346="Chancho"))),MOVIMIENTOS!$A346,"")</f>
        <v/>
      </c>
      <c r="L347" t="str">
        <f>IF(AND(MOVIMIENTOS!$B346&lt;&gt;"",NOT(AND(MOVIMIENTOS!$B346="PROCESO",MOVIMIENTOS!$C346&lt;&gt;"Chancho")),NOT(AND(MOVIMIENTOS!$B346="SALDO INICIAL",MOVIMIENTOS!$C346="Chancho"))),IF(MOVIMIENTOS!$B346="SALDO INICIAL","APERTURA ("&amp;MOVIMIENTOS!$C346&amp;")",IF(MOVIMIENTOS!$B346="COMPRA","INGRESO (compra)",IF(MOVIMIENTOS!$B346="PROCESO","CHANCHO (proceso)",IF(MOVIMIENTOS!$B346="ENVÍO A SUPESA","ENVÍO SUPESA cal. "&amp;MOVIMIENTOS!$C346,IF(MOVIMIENTOS!$B346="VENTA CHANCHO","VENTA CHANCHO",IF(MOVIMIENTOS!$B346="DEVOLUCIÓN","DEVOLUCIÓN cal. "&amp;MOVIMIENTOS!$C346,IF(MOVIMIENTOS!$B346="TRASIEGO","TRASIEGO cal. "&amp;MOVIMIENTOS!$C346,IF(MOVIMIENTOS!$B346="REGALO","REGALO "&amp;MOVIMIENTOS!$C346,IF(MOVIMIENTOS!$B346="VENTA","VENTA "&amp;MOVIMIENTOS!$C346,IF(MOVIMIENTOS!$B346="AJUSTE","AJUSTE inventario ("&amp;MOVIMIENTOS!$C346&amp;")",MOVIMIENTOS!$B346)))))))))),"")</f>
        <v/>
      </c>
      <c r="M347" t="str">
        <f>IF(AND(AND(MOVIMIENTOS!$B346&lt;&gt;"",NOT(AND(MOVIMIENTOS!$B346="PROCESO",MOVIMIENTOS!$C346&lt;&gt;"Chancho")),NOT(AND(MOVIMIENTOS!$B346="SALDO INICIAL",MOVIMIENTOS!$C346="Chancho"))),OR(MOVIMIENTOS!$B346="SALDO INICIAL",MOVIMIENTOS!$B346="COMPRA",MOVIMIENTOS!$B346="REPROCESO",AND(MOVIMIENTOS!$B346="AJUSTE",MOVIMIENTOS!$C346&lt;&gt;"Chancho",N(MOVIMIENTOS!$F346)&gt;=0))),N(MOVIMIENTOS!$F346),"")</f>
        <v/>
      </c>
      <c r="N347" t="str">
        <f>IF(AND(AND(MOVIMIENTOS!$B346&lt;&gt;"",NOT(AND(MOVIMIENTOS!$B346="PROCESO",MOVIMIENTOS!$C346&lt;&gt;"Chancho")),NOT(AND(MOVIMIENTOS!$B346="SALDO INICIAL",MOVIMIENTOS!$C346="Chancho"))),OR(MOVIMIENTOS!$B346="ENVÍO A SUPESA",MOVIMIENTOS!$B346="MALOGRADO",MOVIMIENTOS!$B346="OTRA SALIDA",MOVIMIENTOS!$B346="TRASIEGO",AND(MOVIMIENTOS!$B346="PROCESO",MOVIMIENTOS!$C346="Chancho"),AND(MOVIMIENTOS!$B346="REGALO",MOVIMIENTOS!$C346&lt;&gt;"Chancho"),AND(MOVIMIENTOS!$B346="VENTA",MOVIMIENTOS!$C346&lt;&gt;"Chancho"),AND(MOVIMIENTOS!$B346="AJUSTE",MOVIMIENTOS!$C346&lt;&gt;"Chancho",N(MOVIMIENTOS!$F346)&lt;0))),IF(MOVIMIENTOS!$B346="AJUSTE",-N(MOVIMIENTOS!$F346),N(MOVIMIENTOS!$F346)),"")</f>
        <v/>
      </c>
      <c r="O347" t="str">
        <f>IF(AND(MOVIMIENTOS!$B346&lt;&gt;"",NOT(AND(MOVIMIENTOS!$B346="PROCESO",MOVIMIENTOS!$C346&lt;&gt;"Chancho")),NOT(AND(MOVIMIENTOS!$B346="SALDO INICIAL",MOVIMIENTOS!$C346="Chancho"))),TRIM(IF(MOVIMIENTOS!$G346&lt;&gt;"",IF(MOVIMIENTOS!$B346="ENVÍO A SUPESA","G-"&amp;MOVIMIENTOS!$G346,MOVIMIENTOS!$G346)&amp;"  ","")&amp;IF(N(MOVIMIENTOS!$E346)&gt;0,MOVIMIENTOS!$E346&amp;" "&amp;MOVIMIENTOS!$D346,"")),"")</f>
        <v/>
      </c>
      <c r="P347">
        <f t="shared" si="41"/>
        <v>6138.5</v>
      </c>
    </row>
    <row r="348" spans="1:16" x14ac:dyDescent="0.2">
      <c r="A348" s="7" t="str">
        <f t="shared" si="35"/>
        <v/>
      </c>
      <c r="B348" s="8" t="str">
        <f t="shared" si="36"/>
        <v/>
      </c>
      <c r="C348" s="9" t="str">
        <f t="shared" si="37"/>
        <v/>
      </c>
      <c r="D348" s="9" t="str">
        <f t="shared" si="38"/>
        <v/>
      </c>
      <c r="E348" s="8" t="str">
        <f t="shared" si="39"/>
        <v/>
      </c>
      <c r="F348" s="9" t="str">
        <f t="shared" si="40"/>
        <v/>
      </c>
      <c r="J348" t="str">
        <f>IF(AND(MOVIMIENTOS!$B347&lt;&gt;"",NOT(AND(MOVIMIENTOS!$B347="PROCESO",MOVIMIENTOS!$C347&lt;&gt;"Chancho")),NOT(AND(MOVIMIENTOS!$B347="SALDO INICIAL",MOVIMIENTOS!$C347="Chancho"))),COUNT(J$5:J347)+1,"")</f>
        <v/>
      </c>
      <c r="K348" t="str">
        <f>IF(AND(MOVIMIENTOS!$B347&lt;&gt;"",NOT(AND(MOVIMIENTOS!$B347="PROCESO",MOVIMIENTOS!$C347&lt;&gt;"Chancho")),NOT(AND(MOVIMIENTOS!$B347="SALDO INICIAL",MOVIMIENTOS!$C347="Chancho"))),MOVIMIENTOS!$A347,"")</f>
        <v/>
      </c>
      <c r="L348" t="str">
        <f>IF(AND(MOVIMIENTOS!$B347&lt;&gt;"",NOT(AND(MOVIMIENTOS!$B347="PROCESO",MOVIMIENTOS!$C347&lt;&gt;"Chancho")),NOT(AND(MOVIMIENTOS!$B347="SALDO INICIAL",MOVIMIENTOS!$C347="Chancho"))),IF(MOVIMIENTOS!$B347="SALDO INICIAL","APERTURA ("&amp;MOVIMIENTOS!$C347&amp;")",IF(MOVIMIENTOS!$B347="COMPRA","INGRESO (compra)",IF(MOVIMIENTOS!$B347="PROCESO","CHANCHO (proceso)",IF(MOVIMIENTOS!$B347="ENVÍO A SUPESA","ENVÍO SUPESA cal. "&amp;MOVIMIENTOS!$C347,IF(MOVIMIENTOS!$B347="VENTA CHANCHO","VENTA CHANCHO",IF(MOVIMIENTOS!$B347="DEVOLUCIÓN","DEVOLUCIÓN cal. "&amp;MOVIMIENTOS!$C347,IF(MOVIMIENTOS!$B347="TRASIEGO","TRASIEGO cal. "&amp;MOVIMIENTOS!$C347,IF(MOVIMIENTOS!$B347="REGALO","REGALO "&amp;MOVIMIENTOS!$C347,IF(MOVIMIENTOS!$B347="VENTA","VENTA "&amp;MOVIMIENTOS!$C347,IF(MOVIMIENTOS!$B347="AJUSTE","AJUSTE inventario ("&amp;MOVIMIENTOS!$C347&amp;")",MOVIMIENTOS!$B347)))))))))),"")</f>
        <v/>
      </c>
      <c r="M348" t="str">
        <f>IF(AND(AND(MOVIMIENTOS!$B347&lt;&gt;"",NOT(AND(MOVIMIENTOS!$B347="PROCESO",MOVIMIENTOS!$C347&lt;&gt;"Chancho")),NOT(AND(MOVIMIENTOS!$B347="SALDO INICIAL",MOVIMIENTOS!$C347="Chancho"))),OR(MOVIMIENTOS!$B347="SALDO INICIAL",MOVIMIENTOS!$B347="COMPRA",MOVIMIENTOS!$B347="REPROCESO",AND(MOVIMIENTOS!$B347="AJUSTE",MOVIMIENTOS!$C347&lt;&gt;"Chancho",N(MOVIMIENTOS!$F347)&gt;=0))),N(MOVIMIENTOS!$F347),"")</f>
        <v/>
      </c>
      <c r="N348" t="str">
        <f>IF(AND(AND(MOVIMIENTOS!$B347&lt;&gt;"",NOT(AND(MOVIMIENTOS!$B347="PROCESO",MOVIMIENTOS!$C347&lt;&gt;"Chancho")),NOT(AND(MOVIMIENTOS!$B347="SALDO INICIAL",MOVIMIENTOS!$C347="Chancho"))),OR(MOVIMIENTOS!$B347="ENVÍO A SUPESA",MOVIMIENTOS!$B347="MALOGRADO",MOVIMIENTOS!$B347="OTRA SALIDA",MOVIMIENTOS!$B347="TRASIEGO",AND(MOVIMIENTOS!$B347="PROCESO",MOVIMIENTOS!$C347="Chancho"),AND(MOVIMIENTOS!$B347="REGALO",MOVIMIENTOS!$C347&lt;&gt;"Chancho"),AND(MOVIMIENTOS!$B347="VENTA",MOVIMIENTOS!$C347&lt;&gt;"Chancho"),AND(MOVIMIENTOS!$B347="AJUSTE",MOVIMIENTOS!$C347&lt;&gt;"Chancho",N(MOVIMIENTOS!$F347)&lt;0))),IF(MOVIMIENTOS!$B347="AJUSTE",-N(MOVIMIENTOS!$F347),N(MOVIMIENTOS!$F347)),"")</f>
        <v/>
      </c>
      <c r="O348" t="str">
        <f>IF(AND(MOVIMIENTOS!$B347&lt;&gt;"",NOT(AND(MOVIMIENTOS!$B347="PROCESO",MOVIMIENTOS!$C347&lt;&gt;"Chancho")),NOT(AND(MOVIMIENTOS!$B347="SALDO INICIAL",MOVIMIENTOS!$C347="Chancho"))),TRIM(IF(MOVIMIENTOS!$G347&lt;&gt;"",IF(MOVIMIENTOS!$B347="ENVÍO A SUPESA","G-"&amp;MOVIMIENTOS!$G347,MOVIMIENTOS!$G347)&amp;"  ","")&amp;IF(N(MOVIMIENTOS!$E347)&gt;0,MOVIMIENTOS!$E347&amp;" "&amp;MOVIMIENTOS!$D347,"")),"")</f>
        <v/>
      </c>
      <c r="P348">
        <f t="shared" si="41"/>
        <v>6138.5</v>
      </c>
    </row>
    <row r="349" spans="1:16" x14ac:dyDescent="0.2">
      <c r="A349" s="7" t="str">
        <f t="shared" si="35"/>
        <v/>
      </c>
      <c r="B349" s="8" t="str">
        <f t="shared" si="36"/>
        <v/>
      </c>
      <c r="C349" s="9" t="str">
        <f t="shared" si="37"/>
        <v/>
      </c>
      <c r="D349" s="9" t="str">
        <f t="shared" si="38"/>
        <v/>
      </c>
      <c r="E349" s="8" t="str">
        <f t="shared" si="39"/>
        <v/>
      </c>
      <c r="F349" s="9" t="str">
        <f t="shared" si="40"/>
        <v/>
      </c>
      <c r="J349" t="str">
        <f>IF(AND(MOVIMIENTOS!$B348&lt;&gt;"",NOT(AND(MOVIMIENTOS!$B348="PROCESO",MOVIMIENTOS!$C348&lt;&gt;"Chancho")),NOT(AND(MOVIMIENTOS!$B348="SALDO INICIAL",MOVIMIENTOS!$C348="Chancho"))),COUNT(J$5:J348)+1,"")</f>
        <v/>
      </c>
      <c r="K349" t="str">
        <f>IF(AND(MOVIMIENTOS!$B348&lt;&gt;"",NOT(AND(MOVIMIENTOS!$B348="PROCESO",MOVIMIENTOS!$C348&lt;&gt;"Chancho")),NOT(AND(MOVIMIENTOS!$B348="SALDO INICIAL",MOVIMIENTOS!$C348="Chancho"))),MOVIMIENTOS!$A348,"")</f>
        <v/>
      </c>
      <c r="L349" t="str">
        <f>IF(AND(MOVIMIENTOS!$B348&lt;&gt;"",NOT(AND(MOVIMIENTOS!$B348="PROCESO",MOVIMIENTOS!$C348&lt;&gt;"Chancho")),NOT(AND(MOVIMIENTOS!$B348="SALDO INICIAL",MOVIMIENTOS!$C348="Chancho"))),IF(MOVIMIENTOS!$B348="SALDO INICIAL","APERTURA ("&amp;MOVIMIENTOS!$C348&amp;")",IF(MOVIMIENTOS!$B348="COMPRA","INGRESO (compra)",IF(MOVIMIENTOS!$B348="PROCESO","CHANCHO (proceso)",IF(MOVIMIENTOS!$B348="ENVÍO A SUPESA","ENVÍO SUPESA cal. "&amp;MOVIMIENTOS!$C348,IF(MOVIMIENTOS!$B348="VENTA CHANCHO","VENTA CHANCHO",IF(MOVIMIENTOS!$B348="DEVOLUCIÓN","DEVOLUCIÓN cal. "&amp;MOVIMIENTOS!$C348,IF(MOVIMIENTOS!$B348="TRASIEGO","TRASIEGO cal. "&amp;MOVIMIENTOS!$C348,IF(MOVIMIENTOS!$B348="REGALO","REGALO "&amp;MOVIMIENTOS!$C348,IF(MOVIMIENTOS!$B348="VENTA","VENTA "&amp;MOVIMIENTOS!$C348,IF(MOVIMIENTOS!$B348="AJUSTE","AJUSTE inventario ("&amp;MOVIMIENTOS!$C348&amp;")",MOVIMIENTOS!$B348)))))))))),"")</f>
        <v/>
      </c>
      <c r="M349" t="str">
        <f>IF(AND(AND(MOVIMIENTOS!$B348&lt;&gt;"",NOT(AND(MOVIMIENTOS!$B348="PROCESO",MOVIMIENTOS!$C348&lt;&gt;"Chancho")),NOT(AND(MOVIMIENTOS!$B348="SALDO INICIAL",MOVIMIENTOS!$C348="Chancho"))),OR(MOVIMIENTOS!$B348="SALDO INICIAL",MOVIMIENTOS!$B348="COMPRA",MOVIMIENTOS!$B348="REPROCESO",AND(MOVIMIENTOS!$B348="AJUSTE",MOVIMIENTOS!$C348&lt;&gt;"Chancho",N(MOVIMIENTOS!$F348)&gt;=0))),N(MOVIMIENTOS!$F348),"")</f>
        <v/>
      </c>
      <c r="N349" t="str">
        <f>IF(AND(AND(MOVIMIENTOS!$B348&lt;&gt;"",NOT(AND(MOVIMIENTOS!$B348="PROCESO",MOVIMIENTOS!$C348&lt;&gt;"Chancho")),NOT(AND(MOVIMIENTOS!$B348="SALDO INICIAL",MOVIMIENTOS!$C348="Chancho"))),OR(MOVIMIENTOS!$B348="ENVÍO A SUPESA",MOVIMIENTOS!$B348="MALOGRADO",MOVIMIENTOS!$B348="OTRA SALIDA",MOVIMIENTOS!$B348="TRASIEGO",AND(MOVIMIENTOS!$B348="PROCESO",MOVIMIENTOS!$C348="Chancho"),AND(MOVIMIENTOS!$B348="REGALO",MOVIMIENTOS!$C348&lt;&gt;"Chancho"),AND(MOVIMIENTOS!$B348="VENTA",MOVIMIENTOS!$C348&lt;&gt;"Chancho"),AND(MOVIMIENTOS!$B348="AJUSTE",MOVIMIENTOS!$C348&lt;&gt;"Chancho",N(MOVIMIENTOS!$F348)&lt;0))),IF(MOVIMIENTOS!$B348="AJUSTE",-N(MOVIMIENTOS!$F348),N(MOVIMIENTOS!$F348)),"")</f>
        <v/>
      </c>
      <c r="O349" t="str">
        <f>IF(AND(MOVIMIENTOS!$B348&lt;&gt;"",NOT(AND(MOVIMIENTOS!$B348="PROCESO",MOVIMIENTOS!$C348&lt;&gt;"Chancho")),NOT(AND(MOVIMIENTOS!$B348="SALDO INICIAL",MOVIMIENTOS!$C348="Chancho"))),TRIM(IF(MOVIMIENTOS!$G348&lt;&gt;"",IF(MOVIMIENTOS!$B348="ENVÍO A SUPESA","G-"&amp;MOVIMIENTOS!$G348,MOVIMIENTOS!$G348)&amp;"  ","")&amp;IF(N(MOVIMIENTOS!$E348)&gt;0,MOVIMIENTOS!$E348&amp;" "&amp;MOVIMIENTOS!$D348,"")),"")</f>
        <v/>
      </c>
      <c r="P349">
        <f t="shared" si="41"/>
        <v>6138.5</v>
      </c>
    </row>
    <row r="350" spans="1:16" x14ac:dyDescent="0.2">
      <c r="A350" s="7" t="str">
        <f t="shared" si="35"/>
        <v/>
      </c>
      <c r="B350" s="8" t="str">
        <f t="shared" si="36"/>
        <v/>
      </c>
      <c r="C350" s="9" t="str">
        <f t="shared" si="37"/>
        <v/>
      </c>
      <c r="D350" s="9" t="str">
        <f t="shared" si="38"/>
        <v/>
      </c>
      <c r="E350" s="8" t="str">
        <f t="shared" si="39"/>
        <v/>
      </c>
      <c r="F350" s="9" t="str">
        <f t="shared" si="40"/>
        <v/>
      </c>
      <c r="J350" t="str">
        <f>IF(AND(MOVIMIENTOS!$B349&lt;&gt;"",NOT(AND(MOVIMIENTOS!$B349="PROCESO",MOVIMIENTOS!$C349&lt;&gt;"Chancho")),NOT(AND(MOVIMIENTOS!$B349="SALDO INICIAL",MOVIMIENTOS!$C349="Chancho"))),COUNT(J$5:J349)+1,"")</f>
        <v/>
      </c>
      <c r="K350" t="str">
        <f>IF(AND(MOVIMIENTOS!$B349&lt;&gt;"",NOT(AND(MOVIMIENTOS!$B349="PROCESO",MOVIMIENTOS!$C349&lt;&gt;"Chancho")),NOT(AND(MOVIMIENTOS!$B349="SALDO INICIAL",MOVIMIENTOS!$C349="Chancho"))),MOVIMIENTOS!$A349,"")</f>
        <v/>
      </c>
      <c r="L350" t="str">
        <f>IF(AND(MOVIMIENTOS!$B349&lt;&gt;"",NOT(AND(MOVIMIENTOS!$B349="PROCESO",MOVIMIENTOS!$C349&lt;&gt;"Chancho")),NOT(AND(MOVIMIENTOS!$B349="SALDO INICIAL",MOVIMIENTOS!$C349="Chancho"))),IF(MOVIMIENTOS!$B349="SALDO INICIAL","APERTURA ("&amp;MOVIMIENTOS!$C349&amp;")",IF(MOVIMIENTOS!$B349="COMPRA","INGRESO (compra)",IF(MOVIMIENTOS!$B349="PROCESO","CHANCHO (proceso)",IF(MOVIMIENTOS!$B349="ENVÍO A SUPESA","ENVÍO SUPESA cal. "&amp;MOVIMIENTOS!$C349,IF(MOVIMIENTOS!$B349="VENTA CHANCHO","VENTA CHANCHO",IF(MOVIMIENTOS!$B349="DEVOLUCIÓN","DEVOLUCIÓN cal. "&amp;MOVIMIENTOS!$C349,IF(MOVIMIENTOS!$B349="TRASIEGO","TRASIEGO cal. "&amp;MOVIMIENTOS!$C349,IF(MOVIMIENTOS!$B349="REGALO","REGALO "&amp;MOVIMIENTOS!$C349,IF(MOVIMIENTOS!$B349="VENTA","VENTA "&amp;MOVIMIENTOS!$C349,IF(MOVIMIENTOS!$B349="AJUSTE","AJUSTE inventario ("&amp;MOVIMIENTOS!$C349&amp;")",MOVIMIENTOS!$B349)))))))))),"")</f>
        <v/>
      </c>
      <c r="M350" t="str">
        <f>IF(AND(AND(MOVIMIENTOS!$B349&lt;&gt;"",NOT(AND(MOVIMIENTOS!$B349="PROCESO",MOVIMIENTOS!$C349&lt;&gt;"Chancho")),NOT(AND(MOVIMIENTOS!$B349="SALDO INICIAL",MOVIMIENTOS!$C349="Chancho"))),OR(MOVIMIENTOS!$B349="SALDO INICIAL",MOVIMIENTOS!$B349="COMPRA",MOVIMIENTOS!$B349="REPROCESO",AND(MOVIMIENTOS!$B349="AJUSTE",MOVIMIENTOS!$C349&lt;&gt;"Chancho",N(MOVIMIENTOS!$F349)&gt;=0))),N(MOVIMIENTOS!$F349),"")</f>
        <v/>
      </c>
      <c r="N350" t="str">
        <f>IF(AND(AND(MOVIMIENTOS!$B349&lt;&gt;"",NOT(AND(MOVIMIENTOS!$B349="PROCESO",MOVIMIENTOS!$C349&lt;&gt;"Chancho")),NOT(AND(MOVIMIENTOS!$B349="SALDO INICIAL",MOVIMIENTOS!$C349="Chancho"))),OR(MOVIMIENTOS!$B349="ENVÍO A SUPESA",MOVIMIENTOS!$B349="MALOGRADO",MOVIMIENTOS!$B349="OTRA SALIDA",MOVIMIENTOS!$B349="TRASIEGO",AND(MOVIMIENTOS!$B349="PROCESO",MOVIMIENTOS!$C349="Chancho"),AND(MOVIMIENTOS!$B349="REGALO",MOVIMIENTOS!$C349&lt;&gt;"Chancho"),AND(MOVIMIENTOS!$B349="VENTA",MOVIMIENTOS!$C349&lt;&gt;"Chancho"),AND(MOVIMIENTOS!$B349="AJUSTE",MOVIMIENTOS!$C349&lt;&gt;"Chancho",N(MOVIMIENTOS!$F349)&lt;0))),IF(MOVIMIENTOS!$B349="AJUSTE",-N(MOVIMIENTOS!$F349),N(MOVIMIENTOS!$F349)),"")</f>
        <v/>
      </c>
      <c r="O350" t="str">
        <f>IF(AND(MOVIMIENTOS!$B349&lt;&gt;"",NOT(AND(MOVIMIENTOS!$B349="PROCESO",MOVIMIENTOS!$C349&lt;&gt;"Chancho")),NOT(AND(MOVIMIENTOS!$B349="SALDO INICIAL",MOVIMIENTOS!$C349="Chancho"))),TRIM(IF(MOVIMIENTOS!$G349&lt;&gt;"",IF(MOVIMIENTOS!$B349="ENVÍO A SUPESA","G-"&amp;MOVIMIENTOS!$G349,MOVIMIENTOS!$G349)&amp;"  ","")&amp;IF(N(MOVIMIENTOS!$E349)&gt;0,MOVIMIENTOS!$E349&amp;" "&amp;MOVIMIENTOS!$D349,"")),"")</f>
        <v/>
      </c>
      <c r="P350">
        <f t="shared" si="41"/>
        <v>6138.5</v>
      </c>
    </row>
    <row r="351" spans="1:16" x14ac:dyDescent="0.2">
      <c r="A351" s="7" t="str">
        <f t="shared" si="35"/>
        <v/>
      </c>
      <c r="B351" s="8" t="str">
        <f t="shared" si="36"/>
        <v/>
      </c>
      <c r="C351" s="9" t="str">
        <f t="shared" si="37"/>
        <v/>
      </c>
      <c r="D351" s="9" t="str">
        <f t="shared" si="38"/>
        <v/>
      </c>
      <c r="E351" s="8" t="str">
        <f t="shared" si="39"/>
        <v/>
      </c>
      <c r="F351" s="9" t="str">
        <f t="shared" si="40"/>
        <v/>
      </c>
      <c r="J351" t="str">
        <f>IF(AND(MOVIMIENTOS!$B350&lt;&gt;"",NOT(AND(MOVIMIENTOS!$B350="PROCESO",MOVIMIENTOS!$C350&lt;&gt;"Chancho")),NOT(AND(MOVIMIENTOS!$B350="SALDO INICIAL",MOVIMIENTOS!$C350="Chancho"))),COUNT(J$5:J350)+1,"")</f>
        <v/>
      </c>
      <c r="K351" t="str">
        <f>IF(AND(MOVIMIENTOS!$B350&lt;&gt;"",NOT(AND(MOVIMIENTOS!$B350="PROCESO",MOVIMIENTOS!$C350&lt;&gt;"Chancho")),NOT(AND(MOVIMIENTOS!$B350="SALDO INICIAL",MOVIMIENTOS!$C350="Chancho"))),MOVIMIENTOS!$A350,"")</f>
        <v/>
      </c>
      <c r="L351" t="str">
        <f>IF(AND(MOVIMIENTOS!$B350&lt;&gt;"",NOT(AND(MOVIMIENTOS!$B350="PROCESO",MOVIMIENTOS!$C350&lt;&gt;"Chancho")),NOT(AND(MOVIMIENTOS!$B350="SALDO INICIAL",MOVIMIENTOS!$C350="Chancho"))),IF(MOVIMIENTOS!$B350="SALDO INICIAL","APERTURA ("&amp;MOVIMIENTOS!$C350&amp;")",IF(MOVIMIENTOS!$B350="COMPRA","INGRESO (compra)",IF(MOVIMIENTOS!$B350="PROCESO","CHANCHO (proceso)",IF(MOVIMIENTOS!$B350="ENVÍO A SUPESA","ENVÍO SUPESA cal. "&amp;MOVIMIENTOS!$C350,IF(MOVIMIENTOS!$B350="VENTA CHANCHO","VENTA CHANCHO",IF(MOVIMIENTOS!$B350="DEVOLUCIÓN","DEVOLUCIÓN cal. "&amp;MOVIMIENTOS!$C350,IF(MOVIMIENTOS!$B350="TRASIEGO","TRASIEGO cal. "&amp;MOVIMIENTOS!$C350,IF(MOVIMIENTOS!$B350="REGALO","REGALO "&amp;MOVIMIENTOS!$C350,IF(MOVIMIENTOS!$B350="VENTA","VENTA "&amp;MOVIMIENTOS!$C350,IF(MOVIMIENTOS!$B350="AJUSTE","AJUSTE inventario ("&amp;MOVIMIENTOS!$C350&amp;")",MOVIMIENTOS!$B350)))))))))),"")</f>
        <v/>
      </c>
      <c r="M351" t="str">
        <f>IF(AND(AND(MOVIMIENTOS!$B350&lt;&gt;"",NOT(AND(MOVIMIENTOS!$B350="PROCESO",MOVIMIENTOS!$C350&lt;&gt;"Chancho")),NOT(AND(MOVIMIENTOS!$B350="SALDO INICIAL",MOVIMIENTOS!$C350="Chancho"))),OR(MOVIMIENTOS!$B350="SALDO INICIAL",MOVIMIENTOS!$B350="COMPRA",MOVIMIENTOS!$B350="REPROCESO",AND(MOVIMIENTOS!$B350="AJUSTE",MOVIMIENTOS!$C350&lt;&gt;"Chancho",N(MOVIMIENTOS!$F350)&gt;=0))),N(MOVIMIENTOS!$F350),"")</f>
        <v/>
      </c>
      <c r="N351" t="str">
        <f>IF(AND(AND(MOVIMIENTOS!$B350&lt;&gt;"",NOT(AND(MOVIMIENTOS!$B350="PROCESO",MOVIMIENTOS!$C350&lt;&gt;"Chancho")),NOT(AND(MOVIMIENTOS!$B350="SALDO INICIAL",MOVIMIENTOS!$C350="Chancho"))),OR(MOVIMIENTOS!$B350="ENVÍO A SUPESA",MOVIMIENTOS!$B350="MALOGRADO",MOVIMIENTOS!$B350="OTRA SALIDA",MOVIMIENTOS!$B350="TRASIEGO",AND(MOVIMIENTOS!$B350="PROCESO",MOVIMIENTOS!$C350="Chancho"),AND(MOVIMIENTOS!$B350="REGALO",MOVIMIENTOS!$C350&lt;&gt;"Chancho"),AND(MOVIMIENTOS!$B350="VENTA",MOVIMIENTOS!$C350&lt;&gt;"Chancho"),AND(MOVIMIENTOS!$B350="AJUSTE",MOVIMIENTOS!$C350&lt;&gt;"Chancho",N(MOVIMIENTOS!$F350)&lt;0))),IF(MOVIMIENTOS!$B350="AJUSTE",-N(MOVIMIENTOS!$F350),N(MOVIMIENTOS!$F350)),"")</f>
        <v/>
      </c>
      <c r="O351" t="str">
        <f>IF(AND(MOVIMIENTOS!$B350&lt;&gt;"",NOT(AND(MOVIMIENTOS!$B350="PROCESO",MOVIMIENTOS!$C350&lt;&gt;"Chancho")),NOT(AND(MOVIMIENTOS!$B350="SALDO INICIAL",MOVIMIENTOS!$C350="Chancho"))),TRIM(IF(MOVIMIENTOS!$G350&lt;&gt;"",IF(MOVIMIENTOS!$B350="ENVÍO A SUPESA","G-"&amp;MOVIMIENTOS!$G350,MOVIMIENTOS!$G350)&amp;"  ","")&amp;IF(N(MOVIMIENTOS!$E350)&gt;0,MOVIMIENTOS!$E350&amp;" "&amp;MOVIMIENTOS!$D350,"")),"")</f>
        <v/>
      </c>
      <c r="P351">
        <f t="shared" si="41"/>
        <v>6138.5</v>
      </c>
    </row>
    <row r="352" spans="1:16" x14ac:dyDescent="0.2">
      <c r="A352" s="7" t="str">
        <f t="shared" si="35"/>
        <v/>
      </c>
      <c r="B352" s="8" t="str">
        <f t="shared" si="36"/>
        <v/>
      </c>
      <c r="C352" s="9" t="str">
        <f t="shared" si="37"/>
        <v/>
      </c>
      <c r="D352" s="9" t="str">
        <f t="shared" si="38"/>
        <v/>
      </c>
      <c r="E352" s="8" t="str">
        <f t="shared" si="39"/>
        <v/>
      </c>
      <c r="F352" s="9" t="str">
        <f t="shared" si="40"/>
        <v/>
      </c>
      <c r="J352" t="str">
        <f>IF(AND(MOVIMIENTOS!$B351&lt;&gt;"",NOT(AND(MOVIMIENTOS!$B351="PROCESO",MOVIMIENTOS!$C351&lt;&gt;"Chancho")),NOT(AND(MOVIMIENTOS!$B351="SALDO INICIAL",MOVIMIENTOS!$C351="Chancho"))),COUNT(J$5:J351)+1,"")</f>
        <v/>
      </c>
      <c r="K352" t="str">
        <f>IF(AND(MOVIMIENTOS!$B351&lt;&gt;"",NOT(AND(MOVIMIENTOS!$B351="PROCESO",MOVIMIENTOS!$C351&lt;&gt;"Chancho")),NOT(AND(MOVIMIENTOS!$B351="SALDO INICIAL",MOVIMIENTOS!$C351="Chancho"))),MOVIMIENTOS!$A351,"")</f>
        <v/>
      </c>
      <c r="L352" t="str">
        <f>IF(AND(MOVIMIENTOS!$B351&lt;&gt;"",NOT(AND(MOVIMIENTOS!$B351="PROCESO",MOVIMIENTOS!$C351&lt;&gt;"Chancho")),NOT(AND(MOVIMIENTOS!$B351="SALDO INICIAL",MOVIMIENTOS!$C351="Chancho"))),IF(MOVIMIENTOS!$B351="SALDO INICIAL","APERTURA ("&amp;MOVIMIENTOS!$C351&amp;")",IF(MOVIMIENTOS!$B351="COMPRA","INGRESO (compra)",IF(MOVIMIENTOS!$B351="PROCESO","CHANCHO (proceso)",IF(MOVIMIENTOS!$B351="ENVÍO A SUPESA","ENVÍO SUPESA cal. "&amp;MOVIMIENTOS!$C351,IF(MOVIMIENTOS!$B351="VENTA CHANCHO","VENTA CHANCHO",IF(MOVIMIENTOS!$B351="DEVOLUCIÓN","DEVOLUCIÓN cal. "&amp;MOVIMIENTOS!$C351,IF(MOVIMIENTOS!$B351="TRASIEGO","TRASIEGO cal. "&amp;MOVIMIENTOS!$C351,IF(MOVIMIENTOS!$B351="REGALO","REGALO "&amp;MOVIMIENTOS!$C351,IF(MOVIMIENTOS!$B351="VENTA","VENTA "&amp;MOVIMIENTOS!$C351,IF(MOVIMIENTOS!$B351="AJUSTE","AJUSTE inventario ("&amp;MOVIMIENTOS!$C351&amp;")",MOVIMIENTOS!$B351)))))))))),"")</f>
        <v/>
      </c>
      <c r="M352" t="str">
        <f>IF(AND(AND(MOVIMIENTOS!$B351&lt;&gt;"",NOT(AND(MOVIMIENTOS!$B351="PROCESO",MOVIMIENTOS!$C351&lt;&gt;"Chancho")),NOT(AND(MOVIMIENTOS!$B351="SALDO INICIAL",MOVIMIENTOS!$C351="Chancho"))),OR(MOVIMIENTOS!$B351="SALDO INICIAL",MOVIMIENTOS!$B351="COMPRA",MOVIMIENTOS!$B351="REPROCESO",AND(MOVIMIENTOS!$B351="AJUSTE",MOVIMIENTOS!$C351&lt;&gt;"Chancho",N(MOVIMIENTOS!$F351)&gt;=0))),N(MOVIMIENTOS!$F351),"")</f>
        <v/>
      </c>
      <c r="N352" t="str">
        <f>IF(AND(AND(MOVIMIENTOS!$B351&lt;&gt;"",NOT(AND(MOVIMIENTOS!$B351="PROCESO",MOVIMIENTOS!$C351&lt;&gt;"Chancho")),NOT(AND(MOVIMIENTOS!$B351="SALDO INICIAL",MOVIMIENTOS!$C351="Chancho"))),OR(MOVIMIENTOS!$B351="ENVÍO A SUPESA",MOVIMIENTOS!$B351="MALOGRADO",MOVIMIENTOS!$B351="OTRA SALIDA",MOVIMIENTOS!$B351="TRASIEGO",AND(MOVIMIENTOS!$B351="PROCESO",MOVIMIENTOS!$C351="Chancho"),AND(MOVIMIENTOS!$B351="REGALO",MOVIMIENTOS!$C351&lt;&gt;"Chancho"),AND(MOVIMIENTOS!$B351="VENTA",MOVIMIENTOS!$C351&lt;&gt;"Chancho"),AND(MOVIMIENTOS!$B351="AJUSTE",MOVIMIENTOS!$C351&lt;&gt;"Chancho",N(MOVIMIENTOS!$F351)&lt;0))),IF(MOVIMIENTOS!$B351="AJUSTE",-N(MOVIMIENTOS!$F351),N(MOVIMIENTOS!$F351)),"")</f>
        <v/>
      </c>
      <c r="O352" t="str">
        <f>IF(AND(MOVIMIENTOS!$B351&lt;&gt;"",NOT(AND(MOVIMIENTOS!$B351="PROCESO",MOVIMIENTOS!$C351&lt;&gt;"Chancho")),NOT(AND(MOVIMIENTOS!$B351="SALDO INICIAL",MOVIMIENTOS!$C351="Chancho"))),TRIM(IF(MOVIMIENTOS!$G351&lt;&gt;"",IF(MOVIMIENTOS!$B351="ENVÍO A SUPESA","G-"&amp;MOVIMIENTOS!$G351,MOVIMIENTOS!$G351)&amp;"  ","")&amp;IF(N(MOVIMIENTOS!$E351)&gt;0,MOVIMIENTOS!$E351&amp;" "&amp;MOVIMIENTOS!$D351,"")),"")</f>
        <v/>
      </c>
      <c r="P352">
        <f t="shared" si="41"/>
        <v>6138.5</v>
      </c>
    </row>
    <row r="353" spans="1:16" x14ac:dyDescent="0.2">
      <c r="A353" s="7" t="str">
        <f t="shared" si="35"/>
        <v/>
      </c>
      <c r="B353" s="8" t="str">
        <f t="shared" si="36"/>
        <v/>
      </c>
      <c r="C353" s="9" t="str">
        <f t="shared" si="37"/>
        <v/>
      </c>
      <c r="D353" s="9" t="str">
        <f t="shared" si="38"/>
        <v/>
      </c>
      <c r="E353" s="8" t="str">
        <f t="shared" si="39"/>
        <v/>
      </c>
      <c r="F353" s="9" t="str">
        <f t="shared" si="40"/>
        <v/>
      </c>
      <c r="J353" t="str">
        <f>IF(AND(MOVIMIENTOS!$B352&lt;&gt;"",NOT(AND(MOVIMIENTOS!$B352="PROCESO",MOVIMIENTOS!$C352&lt;&gt;"Chancho")),NOT(AND(MOVIMIENTOS!$B352="SALDO INICIAL",MOVIMIENTOS!$C352="Chancho"))),COUNT(J$5:J352)+1,"")</f>
        <v/>
      </c>
      <c r="K353" t="str">
        <f>IF(AND(MOVIMIENTOS!$B352&lt;&gt;"",NOT(AND(MOVIMIENTOS!$B352="PROCESO",MOVIMIENTOS!$C352&lt;&gt;"Chancho")),NOT(AND(MOVIMIENTOS!$B352="SALDO INICIAL",MOVIMIENTOS!$C352="Chancho"))),MOVIMIENTOS!$A352,"")</f>
        <v/>
      </c>
      <c r="L353" t="str">
        <f>IF(AND(MOVIMIENTOS!$B352&lt;&gt;"",NOT(AND(MOVIMIENTOS!$B352="PROCESO",MOVIMIENTOS!$C352&lt;&gt;"Chancho")),NOT(AND(MOVIMIENTOS!$B352="SALDO INICIAL",MOVIMIENTOS!$C352="Chancho"))),IF(MOVIMIENTOS!$B352="SALDO INICIAL","APERTURA ("&amp;MOVIMIENTOS!$C352&amp;")",IF(MOVIMIENTOS!$B352="COMPRA","INGRESO (compra)",IF(MOVIMIENTOS!$B352="PROCESO","CHANCHO (proceso)",IF(MOVIMIENTOS!$B352="ENVÍO A SUPESA","ENVÍO SUPESA cal. "&amp;MOVIMIENTOS!$C352,IF(MOVIMIENTOS!$B352="VENTA CHANCHO","VENTA CHANCHO",IF(MOVIMIENTOS!$B352="DEVOLUCIÓN","DEVOLUCIÓN cal. "&amp;MOVIMIENTOS!$C352,IF(MOVIMIENTOS!$B352="TRASIEGO","TRASIEGO cal. "&amp;MOVIMIENTOS!$C352,IF(MOVIMIENTOS!$B352="REGALO","REGALO "&amp;MOVIMIENTOS!$C352,IF(MOVIMIENTOS!$B352="VENTA","VENTA "&amp;MOVIMIENTOS!$C352,IF(MOVIMIENTOS!$B352="AJUSTE","AJUSTE inventario ("&amp;MOVIMIENTOS!$C352&amp;")",MOVIMIENTOS!$B352)))))))))),"")</f>
        <v/>
      </c>
      <c r="M353" t="str">
        <f>IF(AND(AND(MOVIMIENTOS!$B352&lt;&gt;"",NOT(AND(MOVIMIENTOS!$B352="PROCESO",MOVIMIENTOS!$C352&lt;&gt;"Chancho")),NOT(AND(MOVIMIENTOS!$B352="SALDO INICIAL",MOVIMIENTOS!$C352="Chancho"))),OR(MOVIMIENTOS!$B352="SALDO INICIAL",MOVIMIENTOS!$B352="COMPRA",MOVIMIENTOS!$B352="REPROCESO",AND(MOVIMIENTOS!$B352="AJUSTE",MOVIMIENTOS!$C352&lt;&gt;"Chancho",N(MOVIMIENTOS!$F352)&gt;=0))),N(MOVIMIENTOS!$F352),"")</f>
        <v/>
      </c>
      <c r="N353" t="str">
        <f>IF(AND(AND(MOVIMIENTOS!$B352&lt;&gt;"",NOT(AND(MOVIMIENTOS!$B352="PROCESO",MOVIMIENTOS!$C352&lt;&gt;"Chancho")),NOT(AND(MOVIMIENTOS!$B352="SALDO INICIAL",MOVIMIENTOS!$C352="Chancho"))),OR(MOVIMIENTOS!$B352="ENVÍO A SUPESA",MOVIMIENTOS!$B352="MALOGRADO",MOVIMIENTOS!$B352="OTRA SALIDA",MOVIMIENTOS!$B352="TRASIEGO",AND(MOVIMIENTOS!$B352="PROCESO",MOVIMIENTOS!$C352="Chancho"),AND(MOVIMIENTOS!$B352="REGALO",MOVIMIENTOS!$C352&lt;&gt;"Chancho"),AND(MOVIMIENTOS!$B352="VENTA",MOVIMIENTOS!$C352&lt;&gt;"Chancho"),AND(MOVIMIENTOS!$B352="AJUSTE",MOVIMIENTOS!$C352&lt;&gt;"Chancho",N(MOVIMIENTOS!$F352)&lt;0))),IF(MOVIMIENTOS!$B352="AJUSTE",-N(MOVIMIENTOS!$F352),N(MOVIMIENTOS!$F352)),"")</f>
        <v/>
      </c>
      <c r="O353" t="str">
        <f>IF(AND(MOVIMIENTOS!$B352&lt;&gt;"",NOT(AND(MOVIMIENTOS!$B352="PROCESO",MOVIMIENTOS!$C352&lt;&gt;"Chancho")),NOT(AND(MOVIMIENTOS!$B352="SALDO INICIAL",MOVIMIENTOS!$C352="Chancho"))),TRIM(IF(MOVIMIENTOS!$G352&lt;&gt;"",IF(MOVIMIENTOS!$B352="ENVÍO A SUPESA","G-"&amp;MOVIMIENTOS!$G352,MOVIMIENTOS!$G352)&amp;"  ","")&amp;IF(N(MOVIMIENTOS!$E352)&gt;0,MOVIMIENTOS!$E352&amp;" "&amp;MOVIMIENTOS!$D352,"")),"")</f>
        <v/>
      </c>
      <c r="P353">
        <f t="shared" si="41"/>
        <v>6138.5</v>
      </c>
    </row>
    <row r="354" spans="1:16" x14ac:dyDescent="0.2">
      <c r="A354" s="7" t="str">
        <f t="shared" si="35"/>
        <v/>
      </c>
      <c r="B354" s="8" t="str">
        <f t="shared" si="36"/>
        <v/>
      </c>
      <c r="C354" s="9" t="str">
        <f t="shared" si="37"/>
        <v/>
      </c>
      <c r="D354" s="9" t="str">
        <f t="shared" si="38"/>
        <v/>
      </c>
      <c r="E354" s="8" t="str">
        <f t="shared" si="39"/>
        <v/>
      </c>
      <c r="F354" s="9" t="str">
        <f t="shared" si="40"/>
        <v/>
      </c>
      <c r="J354" t="str">
        <f>IF(AND(MOVIMIENTOS!$B353&lt;&gt;"",NOT(AND(MOVIMIENTOS!$B353="PROCESO",MOVIMIENTOS!$C353&lt;&gt;"Chancho")),NOT(AND(MOVIMIENTOS!$B353="SALDO INICIAL",MOVIMIENTOS!$C353="Chancho"))),COUNT(J$5:J353)+1,"")</f>
        <v/>
      </c>
      <c r="K354" t="str">
        <f>IF(AND(MOVIMIENTOS!$B353&lt;&gt;"",NOT(AND(MOVIMIENTOS!$B353="PROCESO",MOVIMIENTOS!$C353&lt;&gt;"Chancho")),NOT(AND(MOVIMIENTOS!$B353="SALDO INICIAL",MOVIMIENTOS!$C353="Chancho"))),MOVIMIENTOS!$A353,"")</f>
        <v/>
      </c>
      <c r="L354" t="str">
        <f>IF(AND(MOVIMIENTOS!$B353&lt;&gt;"",NOT(AND(MOVIMIENTOS!$B353="PROCESO",MOVIMIENTOS!$C353&lt;&gt;"Chancho")),NOT(AND(MOVIMIENTOS!$B353="SALDO INICIAL",MOVIMIENTOS!$C353="Chancho"))),IF(MOVIMIENTOS!$B353="SALDO INICIAL","APERTURA ("&amp;MOVIMIENTOS!$C353&amp;")",IF(MOVIMIENTOS!$B353="COMPRA","INGRESO (compra)",IF(MOVIMIENTOS!$B353="PROCESO","CHANCHO (proceso)",IF(MOVIMIENTOS!$B353="ENVÍO A SUPESA","ENVÍO SUPESA cal. "&amp;MOVIMIENTOS!$C353,IF(MOVIMIENTOS!$B353="VENTA CHANCHO","VENTA CHANCHO",IF(MOVIMIENTOS!$B353="DEVOLUCIÓN","DEVOLUCIÓN cal. "&amp;MOVIMIENTOS!$C353,IF(MOVIMIENTOS!$B353="TRASIEGO","TRASIEGO cal. "&amp;MOVIMIENTOS!$C353,IF(MOVIMIENTOS!$B353="REGALO","REGALO "&amp;MOVIMIENTOS!$C353,IF(MOVIMIENTOS!$B353="VENTA","VENTA "&amp;MOVIMIENTOS!$C353,IF(MOVIMIENTOS!$B353="AJUSTE","AJUSTE inventario ("&amp;MOVIMIENTOS!$C353&amp;")",MOVIMIENTOS!$B353)))))))))),"")</f>
        <v/>
      </c>
      <c r="M354" t="str">
        <f>IF(AND(AND(MOVIMIENTOS!$B353&lt;&gt;"",NOT(AND(MOVIMIENTOS!$B353="PROCESO",MOVIMIENTOS!$C353&lt;&gt;"Chancho")),NOT(AND(MOVIMIENTOS!$B353="SALDO INICIAL",MOVIMIENTOS!$C353="Chancho"))),OR(MOVIMIENTOS!$B353="SALDO INICIAL",MOVIMIENTOS!$B353="COMPRA",MOVIMIENTOS!$B353="REPROCESO",AND(MOVIMIENTOS!$B353="AJUSTE",MOVIMIENTOS!$C353&lt;&gt;"Chancho",N(MOVIMIENTOS!$F353)&gt;=0))),N(MOVIMIENTOS!$F353),"")</f>
        <v/>
      </c>
      <c r="N354" t="str">
        <f>IF(AND(AND(MOVIMIENTOS!$B353&lt;&gt;"",NOT(AND(MOVIMIENTOS!$B353="PROCESO",MOVIMIENTOS!$C353&lt;&gt;"Chancho")),NOT(AND(MOVIMIENTOS!$B353="SALDO INICIAL",MOVIMIENTOS!$C353="Chancho"))),OR(MOVIMIENTOS!$B353="ENVÍO A SUPESA",MOVIMIENTOS!$B353="MALOGRADO",MOVIMIENTOS!$B353="OTRA SALIDA",MOVIMIENTOS!$B353="TRASIEGO",AND(MOVIMIENTOS!$B353="PROCESO",MOVIMIENTOS!$C353="Chancho"),AND(MOVIMIENTOS!$B353="REGALO",MOVIMIENTOS!$C353&lt;&gt;"Chancho"),AND(MOVIMIENTOS!$B353="VENTA",MOVIMIENTOS!$C353&lt;&gt;"Chancho"),AND(MOVIMIENTOS!$B353="AJUSTE",MOVIMIENTOS!$C353&lt;&gt;"Chancho",N(MOVIMIENTOS!$F353)&lt;0))),IF(MOVIMIENTOS!$B353="AJUSTE",-N(MOVIMIENTOS!$F353),N(MOVIMIENTOS!$F353)),"")</f>
        <v/>
      </c>
      <c r="O354" t="str">
        <f>IF(AND(MOVIMIENTOS!$B353&lt;&gt;"",NOT(AND(MOVIMIENTOS!$B353="PROCESO",MOVIMIENTOS!$C353&lt;&gt;"Chancho")),NOT(AND(MOVIMIENTOS!$B353="SALDO INICIAL",MOVIMIENTOS!$C353="Chancho"))),TRIM(IF(MOVIMIENTOS!$G353&lt;&gt;"",IF(MOVIMIENTOS!$B353="ENVÍO A SUPESA","G-"&amp;MOVIMIENTOS!$G353,MOVIMIENTOS!$G353)&amp;"  ","")&amp;IF(N(MOVIMIENTOS!$E353)&gt;0,MOVIMIENTOS!$E353&amp;" "&amp;MOVIMIENTOS!$D353,"")),"")</f>
        <v/>
      </c>
      <c r="P354">
        <f t="shared" si="41"/>
        <v>6138.5</v>
      </c>
    </row>
    <row r="355" spans="1:16" x14ac:dyDescent="0.2">
      <c r="A355" s="7" t="str">
        <f t="shared" si="35"/>
        <v/>
      </c>
      <c r="B355" s="8" t="str">
        <f t="shared" si="36"/>
        <v/>
      </c>
      <c r="C355" s="9" t="str">
        <f t="shared" si="37"/>
        <v/>
      </c>
      <c r="D355" s="9" t="str">
        <f t="shared" si="38"/>
        <v/>
      </c>
      <c r="E355" s="8" t="str">
        <f t="shared" si="39"/>
        <v/>
      </c>
      <c r="F355" s="9" t="str">
        <f t="shared" si="40"/>
        <v/>
      </c>
      <c r="J355" t="str">
        <f>IF(AND(MOVIMIENTOS!$B354&lt;&gt;"",NOT(AND(MOVIMIENTOS!$B354="PROCESO",MOVIMIENTOS!$C354&lt;&gt;"Chancho")),NOT(AND(MOVIMIENTOS!$B354="SALDO INICIAL",MOVIMIENTOS!$C354="Chancho"))),COUNT(J$5:J354)+1,"")</f>
        <v/>
      </c>
      <c r="K355" t="str">
        <f>IF(AND(MOVIMIENTOS!$B354&lt;&gt;"",NOT(AND(MOVIMIENTOS!$B354="PROCESO",MOVIMIENTOS!$C354&lt;&gt;"Chancho")),NOT(AND(MOVIMIENTOS!$B354="SALDO INICIAL",MOVIMIENTOS!$C354="Chancho"))),MOVIMIENTOS!$A354,"")</f>
        <v/>
      </c>
      <c r="L355" t="str">
        <f>IF(AND(MOVIMIENTOS!$B354&lt;&gt;"",NOT(AND(MOVIMIENTOS!$B354="PROCESO",MOVIMIENTOS!$C354&lt;&gt;"Chancho")),NOT(AND(MOVIMIENTOS!$B354="SALDO INICIAL",MOVIMIENTOS!$C354="Chancho"))),IF(MOVIMIENTOS!$B354="SALDO INICIAL","APERTURA ("&amp;MOVIMIENTOS!$C354&amp;")",IF(MOVIMIENTOS!$B354="COMPRA","INGRESO (compra)",IF(MOVIMIENTOS!$B354="PROCESO","CHANCHO (proceso)",IF(MOVIMIENTOS!$B354="ENVÍO A SUPESA","ENVÍO SUPESA cal. "&amp;MOVIMIENTOS!$C354,IF(MOVIMIENTOS!$B354="VENTA CHANCHO","VENTA CHANCHO",IF(MOVIMIENTOS!$B354="DEVOLUCIÓN","DEVOLUCIÓN cal. "&amp;MOVIMIENTOS!$C354,IF(MOVIMIENTOS!$B354="TRASIEGO","TRASIEGO cal. "&amp;MOVIMIENTOS!$C354,IF(MOVIMIENTOS!$B354="REGALO","REGALO "&amp;MOVIMIENTOS!$C354,IF(MOVIMIENTOS!$B354="VENTA","VENTA "&amp;MOVIMIENTOS!$C354,IF(MOVIMIENTOS!$B354="AJUSTE","AJUSTE inventario ("&amp;MOVIMIENTOS!$C354&amp;")",MOVIMIENTOS!$B354)))))))))),"")</f>
        <v/>
      </c>
      <c r="M355" t="str">
        <f>IF(AND(AND(MOVIMIENTOS!$B354&lt;&gt;"",NOT(AND(MOVIMIENTOS!$B354="PROCESO",MOVIMIENTOS!$C354&lt;&gt;"Chancho")),NOT(AND(MOVIMIENTOS!$B354="SALDO INICIAL",MOVIMIENTOS!$C354="Chancho"))),OR(MOVIMIENTOS!$B354="SALDO INICIAL",MOVIMIENTOS!$B354="COMPRA",MOVIMIENTOS!$B354="REPROCESO",AND(MOVIMIENTOS!$B354="AJUSTE",MOVIMIENTOS!$C354&lt;&gt;"Chancho",N(MOVIMIENTOS!$F354)&gt;=0))),N(MOVIMIENTOS!$F354),"")</f>
        <v/>
      </c>
      <c r="N355" t="str">
        <f>IF(AND(AND(MOVIMIENTOS!$B354&lt;&gt;"",NOT(AND(MOVIMIENTOS!$B354="PROCESO",MOVIMIENTOS!$C354&lt;&gt;"Chancho")),NOT(AND(MOVIMIENTOS!$B354="SALDO INICIAL",MOVIMIENTOS!$C354="Chancho"))),OR(MOVIMIENTOS!$B354="ENVÍO A SUPESA",MOVIMIENTOS!$B354="MALOGRADO",MOVIMIENTOS!$B354="OTRA SALIDA",MOVIMIENTOS!$B354="TRASIEGO",AND(MOVIMIENTOS!$B354="PROCESO",MOVIMIENTOS!$C354="Chancho"),AND(MOVIMIENTOS!$B354="REGALO",MOVIMIENTOS!$C354&lt;&gt;"Chancho"),AND(MOVIMIENTOS!$B354="VENTA",MOVIMIENTOS!$C354&lt;&gt;"Chancho"),AND(MOVIMIENTOS!$B354="AJUSTE",MOVIMIENTOS!$C354&lt;&gt;"Chancho",N(MOVIMIENTOS!$F354)&lt;0))),IF(MOVIMIENTOS!$B354="AJUSTE",-N(MOVIMIENTOS!$F354),N(MOVIMIENTOS!$F354)),"")</f>
        <v/>
      </c>
      <c r="O355" t="str">
        <f>IF(AND(MOVIMIENTOS!$B354&lt;&gt;"",NOT(AND(MOVIMIENTOS!$B354="PROCESO",MOVIMIENTOS!$C354&lt;&gt;"Chancho")),NOT(AND(MOVIMIENTOS!$B354="SALDO INICIAL",MOVIMIENTOS!$C354="Chancho"))),TRIM(IF(MOVIMIENTOS!$G354&lt;&gt;"",IF(MOVIMIENTOS!$B354="ENVÍO A SUPESA","G-"&amp;MOVIMIENTOS!$G354,MOVIMIENTOS!$G354)&amp;"  ","")&amp;IF(N(MOVIMIENTOS!$E354)&gt;0,MOVIMIENTOS!$E354&amp;" "&amp;MOVIMIENTOS!$D354,"")),"")</f>
        <v/>
      </c>
      <c r="P355">
        <f t="shared" si="41"/>
        <v>6138.5</v>
      </c>
    </row>
    <row r="356" spans="1:16" x14ac:dyDescent="0.2">
      <c r="A356" s="7" t="str">
        <f t="shared" si="35"/>
        <v/>
      </c>
      <c r="B356" s="8" t="str">
        <f t="shared" si="36"/>
        <v/>
      </c>
      <c r="C356" s="9" t="str">
        <f t="shared" si="37"/>
        <v/>
      </c>
      <c r="D356" s="9" t="str">
        <f t="shared" si="38"/>
        <v/>
      </c>
      <c r="E356" s="8" t="str">
        <f t="shared" si="39"/>
        <v/>
      </c>
      <c r="F356" s="9" t="str">
        <f t="shared" si="40"/>
        <v/>
      </c>
      <c r="J356" t="str">
        <f>IF(AND(MOVIMIENTOS!$B355&lt;&gt;"",NOT(AND(MOVIMIENTOS!$B355="PROCESO",MOVIMIENTOS!$C355&lt;&gt;"Chancho")),NOT(AND(MOVIMIENTOS!$B355="SALDO INICIAL",MOVIMIENTOS!$C355="Chancho"))),COUNT(J$5:J355)+1,"")</f>
        <v/>
      </c>
      <c r="K356" t="str">
        <f>IF(AND(MOVIMIENTOS!$B355&lt;&gt;"",NOT(AND(MOVIMIENTOS!$B355="PROCESO",MOVIMIENTOS!$C355&lt;&gt;"Chancho")),NOT(AND(MOVIMIENTOS!$B355="SALDO INICIAL",MOVIMIENTOS!$C355="Chancho"))),MOVIMIENTOS!$A355,"")</f>
        <v/>
      </c>
      <c r="L356" t="str">
        <f>IF(AND(MOVIMIENTOS!$B355&lt;&gt;"",NOT(AND(MOVIMIENTOS!$B355="PROCESO",MOVIMIENTOS!$C355&lt;&gt;"Chancho")),NOT(AND(MOVIMIENTOS!$B355="SALDO INICIAL",MOVIMIENTOS!$C355="Chancho"))),IF(MOVIMIENTOS!$B355="SALDO INICIAL","APERTURA ("&amp;MOVIMIENTOS!$C355&amp;")",IF(MOVIMIENTOS!$B355="COMPRA","INGRESO (compra)",IF(MOVIMIENTOS!$B355="PROCESO","CHANCHO (proceso)",IF(MOVIMIENTOS!$B355="ENVÍO A SUPESA","ENVÍO SUPESA cal. "&amp;MOVIMIENTOS!$C355,IF(MOVIMIENTOS!$B355="VENTA CHANCHO","VENTA CHANCHO",IF(MOVIMIENTOS!$B355="DEVOLUCIÓN","DEVOLUCIÓN cal. "&amp;MOVIMIENTOS!$C355,IF(MOVIMIENTOS!$B355="TRASIEGO","TRASIEGO cal. "&amp;MOVIMIENTOS!$C355,IF(MOVIMIENTOS!$B355="REGALO","REGALO "&amp;MOVIMIENTOS!$C355,IF(MOVIMIENTOS!$B355="VENTA","VENTA "&amp;MOVIMIENTOS!$C355,IF(MOVIMIENTOS!$B355="AJUSTE","AJUSTE inventario ("&amp;MOVIMIENTOS!$C355&amp;")",MOVIMIENTOS!$B355)))))))))),"")</f>
        <v/>
      </c>
      <c r="M356" t="str">
        <f>IF(AND(AND(MOVIMIENTOS!$B355&lt;&gt;"",NOT(AND(MOVIMIENTOS!$B355="PROCESO",MOVIMIENTOS!$C355&lt;&gt;"Chancho")),NOT(AND(MOVIMIENTOS!$B355="SALDO INICIAL",MOVIMIENTOS!$C355="Chancho"))),OR(MOVIMIENTOS!$B355="SALDO INICIAL",MOVIMIENTOS!$B355="COMPRA",MOVIMIENTOS!$B355="REPROCESO",AND(MOVIMIENTOS!$B355="AJUSTE",MOVIMIENTOS!$C355&lt;&gt;"Chancho",N(MOVIMIENTOS!$F355)&gt;=0))),N(MOVIMIENTOS!$F355),"")</f>
        <v/>
      </c>
      <c r="N356" t="str">
        <f>IF(AND(AND(MOVIMIENTOS!$B355&lt;&gt;"",NOT(AND(MOVIMIENTOS!$B355="PROCESO",MOVIMIENTOS!$C355&lt;&gt;"Chancho")),NOT(AND(MOVIMIENTOS!$B355="SALDO INICIAL",MOVIMIENTOS!$C355="Chancho"))),OR(MOVIMIENTOS!$B355="ENVÍO A SUPESA",MOVIMIENTOS!$B355="MALOGRADO",MOVIMIENTOS!$B355="OTRA SALIDA",MOVIMIENTOS!$B355="TRASIEGO",AND(MOVIMIENTOS!$B355="PROCESO",MOVIMIENTOS!$C355="Chancho"),AND(MOVIMIENTOS!$B355="REGALO",MOVIMIENTOS!$C355&lt;&gt;"Chancho"),AND(MOVIMIENTOS!$B355="VENTA",MOVIMIENTOS!$C355&lt;&gt;"Chancho"),AND(MOVIMIENTOS!$B355="AJUSTE",MOVIMIENTOS!$C355&lt;&gt;"Chancho",N(MOVIMIENTOS!$F355)&lt;0))),IF(MOVIMIENTOS!$B355="AJUSTE",-N(MOVIMIENTOS!$F355),N(MOVIMIENTOS!$F355)),"")</f>
        <v/>
      </c>
      <c r="O356" t="str">
        <f>IF(AND(MOVIMIENTOS!$B355&lt;&gt;"",NOT(AND(MOVIMIENTOS!$B355="PROCESO",MOVIMIENTOS!$C355&lt;&gt;"Chancho")),NOT(AND(MOVIMIENTOS!$B355="SALDO INICIAL",MOVIMIENTOS!$C355="Chancho"))),TRIM(IF(MOVIMIENTOS!$G355&lt;&gt;"",IF(MOVIMIENTOS!$B355="ENVÍO A SUPESA","G-"&amp;MOVIMIENTOS!$G355,MOVIMIENTOS!$G355)&amp;"  ","")&amp;IF(N(MOVIMIENTOS!$E355)&gt;0,MOVIMIENTOS!$E355&amp;" "&amp;MOVIMIENTOS!$D355,"")),"")</f>
        <v/>
      </c>
      <c r="P356">
        <f t="shared" si="41"/>
        <v>6138.5</v>
      </c>
    </row>
    <row r="357" spans="1:16" x14ac:dyDescent="0.2">
      <c r="A357" s="7" t="str">
        <f t="shared" si="35"/>
        <v/>
      </c>
      <c r="B357" s="8" t="str">
        <f t="shared" si="36"/>
        <v/>
      </c>
      <c r="C357" s="9" t="str">
        <f t="shared" si="37"/>
        <v/>
      </c>
      <c r="D357" s="9" t="str">
        <f t="shared" si="38"/>
        <v/>
      </c>
      <c r="E357" s="8" t="str">
        <f t="shared" si="39"/>
        <v/>
      </c>
      <c r="F357" s="9" t="str">
        <f t="shared" si="40"/>
        <v/>
      </c>
      <c r="J357" t="str">
        <f>IF(AND(MOVIMIENTOS!$B356&lt;&gt;"",NOT(AND(MOVIMIENTOS!$B356="PROCESO",MOVIMIENTOS!$C356&lt;&gt;"Chancho")),NOT(AND(MOVIMIENTOS!$B356="SALDO INICIAL",MOVIMIENTOS!$C356="Chancho"))),COUNT(J$5:J356)+1,"")</f>
        <v/>
      </c>
      <c r="K357" t="str">
        <f>IF(AND(MOVIMIENTOS!$B356&lt;&gt;"",NOT(AND(MOVIMIENTOS!$B356="PROCESO",MOVIMIENTOS!$C356&lt;&gt;"Chancho")),NOT(AND(MOVIMIENTOS!$B356="SALDO INICIAL",MOVIMIENTOS!$C356="Chancho"))),MOVIMIENTOS!$A356,"")</f>
        <v/>
      </c>
      <c r="L357" t="str">
        <f>IF(AND(MOVIMIENTOS!$B356&lt;&gt;"",NOT(AND(MOVIMIENTOS!$B356="PROCESO",MOVIMIENTOS!$C356&lt;&gt;"Chancho")),NOT(AND(MOVIMIENTOS!$B356="SALDO INICIAL",MOVIMIENTOS!$C356="Chancho"))),IF(MOVIMIENTOS!$B356="SALDO INICIAL","APERTURA ("&amp;MOVIMIENTOS!$C356&amp;")",IF(MOVIMIENTOS!$B356="COMPRA","INGRESO (compra)",IF(MOVIMIENTOS!$B356="PROCESO","CHANCHO (proceso)",IF(MOVIMIENTOS!$B356="ENVÍO A SUPESA","ENVÍO SUPESA cal. "&amp;MOVIMIENTOS!$C356,IF(MOVIMIENTOS!$B356="VENTA CHANCHO","VENTA CHANCHO",IF(MOVIMIENTOS!$B356="DEVOLUCIÓN","DEVOLUCIÓN cal. "&amp;MOVIMIENTOS!$C356,IF(MOVIMIENTOS!$B356="TRASIEGO","TRASIEGO cal. "&amp;MOVIMIENTOS!$C356,IF(MOVIMIENTOS!$B356="REGALO","REGALO "&amp;MOVIMIENTOS!$C356,IF(MOVIMIENTOS!$B356="VENTA","VENTA "&amp;MOVIMIENTOS!$C356,IF(MOVIMIENTOS!$B356="AJUSTE","AJUSTE inventario ("&amp;MOVIMIENTOS!$C356&amp;")",MOVIMIENTOS!$B356)))))))))),"")</f>
        <v/>
      </c>
      <c r="M357" t="str">
        <f>IF(AND(AND(MOVIMIENTOS!$B356&lt;&gt;"",NOT(AND(MOVIMIENTOS!$B356="PROCESO",MOVIMIENTOS!$C356&lt;&gt;"Chancho")),NOT(AND(MOVIMIENTOS!$B356="SALDO INICIAL",MOVIMIENTOS!$C356="Chancho"))),OR(MOVIMIENTOS!$B356="SALDO INICIAL",MOVIMIENTOS!$B356="COMPRA",MOVIMIENTOS!$B356="REPROCESO",AND(MOVIMIENTOS!$B356="AJUSTE",MOVIMIENTOS!$C356&lt;&gt;"Chancho",N(MOVIMIENTOS!$F356)&gt;=0))),N(MOVIMIENTOS!$F356),"")</f>
        <v/>
      </c>
      <c r="N357" t="str">
        <f>IF(AND(AND(MOVIMIENTOS!$B356&lt;&gt;"",NOT(AND(MOVIMIENTOS!$B356="PROCESO",MOVIMIENTOS!$C356&lt;&gt;"Chancho")),NOT(AND(MOVIMIENTOS!$B356="SALDO INICIAL",MOVIMIENTOS!$C356="Chancho"))),OR(MOVIMIENTOS!$B356="ENVÍO A SUPESA",MOVIMIENTOS!$B356="MALOGRADO",MOVIMIENTOS!$B356="OTRA SALIDA",MOVIMIENTOS!$B356="TRASIEGO",AND(MOVIMIENTOS!$B356="PROCESO",MOVIMIENTOS!$C356="Chancho"),AND(MOVIMIENTOS!$B356="REGALO",MOVIMIENTOS!$C356&lt;&gt;"Chancho"),AND(MOVIMIENTOS!$B356="VENTA",MOVIMIENTOS!$C356&lt;&gt;"Chancho"),AND(MOVIMIENTOS!$B356="AJUSTE",MOVIMIENTOS!$C356&lt;&gt;"Chancho",N(MOVIMIENTOS!$F356)&lt;0))),IF(MOVIMIENTOS!$B356="AJUSTE",-N(MOVIMIENTOS!$F356),N(MOVIMIENTOS!$F356)),"")</f>
        <v/>
      </c>
      <c r="O357" t="str">
        <f>IF(AND(MOVIMIENTOS!$B356&lt;&gt;"",NOT(AND(MOVIMIENTOS!$B356="PROCESO",MOVIMIENTOS!$C356&lt;&gt;"Chancho")),NOT(AND(MOVIMIENTOS!$B356="SALDO INICIAL",MOVIMIENTOS!$C356="Chancho"))),TRIM(IF(MOVIMIENTOS!$G356&lt;&gt;"",IF(MOVIMIENTOS!$B356="ENVÍO A SUPESA","G-"&amp;MOVIMIENTOS!$G356,MOVIMIENTOS!$G356)&amp;"  ","")&amp;IF(N(MOVIMIENTOS!$E356)&gt;0,MOVIMIENTOS!$E356&amp;" "&amp;MOVIMIENTOS!$D356,"")),"")</f>
        <v/>
      </c>
      <c r="P357">
        <f t="shared" si="41"/>
        <v>6138.5</v>
      </c>
    </row>
    <row r="358" spans="1:16" x14ac:dyDescent="0.2">
      <c r="A358" s="7" t="str">
        <f t="shared" si="35"/>
        <v/>
      </c>
      <c r="B358" s="8" t="str">
        <f t="shared" si="36"/>
        <v/>
      </c>
      <c r="C358" s="9" t="str">
        <f t="shared" si="37"/>
        <v/>
      </c>
      <c r="D358" s="9" t="str">
        <f t="shared" si="38"/>
        <v/>
      </c>
      <c r="E358" s="8" t="str">
        <f t="shared" si="39"/>
        <v/>
      </c>
      <c r="F358" s="9" t="str">
        <f t="shared" si="40"/>
        <v/>
      </c>
      <c r="J358" t="str">
        <f>IF(AND(MOVIMIENTOS!$B357&lt;&gt;"",NOT(AND(MOVIMIENTOS!$B357="PROCESO",MOVIMIENTOS!$C357&lt;&gt;"Chancho")),NOT(AND(MOVIMIENTOS!$B357="SALDO INICIAL",MOVIMIENTOS!$C357="Chancho"))),COUNT(J$5:J357)+1,"")</f>
        <v/>
      </c>
      <c r="K358" t="str">
        <f>IF(AND(MOVIMIENTOS!$B357&lt;&gt;"",NOT(AND(MOVIMIENTOS!$B357="PROCESO",MOVIMIENTOS!$C357&lt;&gt;"Chancho")),NOT(AND(MOVIMIENTOS!$B357="SALDO INICIAL",MOVIMIENTOS!$C357="Chancho"))),MOVIMIENTOS!$A357,"")</f>
        <v/>
      </c>
      <c r="L358" t="str">
        <f>IF(AND(MOVIMIENTOS!$B357&lt;&gt;"",NOT(AND(MOVIMIENTOS!$B357="PROCESO",MOVIMIENTOS!$C357&lt;&gt;"Chancho")),NOT(AND(MOVIMIENTOS!$B357="SALDO INICIAL",MOVIMIENTOS!$C357="Chancho"))),IF(MOVIMIENTOS!$B357="SALDO INICIAL","APERTURA ("&amp;MOVIMIENTOS!$C357&amp;")",IF(MOVIMIENTOS!$B357="COMPRA","INGRESO (compra)",IF(MOVIMIENTOS!$B357="PROCESO","CHANCHO (proceso)",IF(MOVIMIENTOS!$B357="ENVÍO A SUPESA","ENVÍO SUPESA cal. "&amp;MOVIMIENTOS!$C357,IF(MOVIMIENTOS!$B357="VENTA CHANCHO","VENTA CHANCHO",IF(MOVIMIENTOS!$B357="DEVOLUCIÓN","DEVOLUCIÓN cal. "&amp;MOVIMIENTOS!$C357,IF(MOVIMIENTOS!$B357="TRASIEGO","TRASIEGO cal. "&amp;MOVIMIENTOS!$C357,IF(MOVIMIENTOS!$B357="REGALO","REGALO "&amp;MOVIMIENTOS!$C357,IF(MOVIMIENTOS!$B357="VENTA","VENTA "&amp;MOVIMIENTOS!$C357,IF(MOVIMIENTOS!$B357="AJUSTE","AJUSTE inventario ("&amp;MOVIMIENTOS!$C357&amp;")",MOVIMIENTOS!$B357)))))))))),"")</f>
        <v/>
      </c>
      <c r="M358" t="str">
        <f>IF(AND(AND(MOVIMIENTOS!$B357&lt;&gt;"",NOT(AND(MOVIMIENTOS!$B357="PROCESO",MOVIMIENTOS!$C357&lt;&gt;"Chancho")),NOT(AND(MOVIMIENTOS!$B357="SALDO INICIAL",MOVIMIENTOS!$C357="Chancho"))),OR(MOVIMIENTOS!$B357="SALDO INICIAL",MOVIMIENTOS!$B357="COMPRA",MOVIMIENTOS!$B357="REPROCESO",AND(MOVIMIENTOS!$B357="AJUSTE",MOVIMIENTOS!$C357&lt;&gt;"Chancho",N(MOVIMIENTOS!$F357)&gt;=0))),N(MOVIMIENTOS!$F357),"")</f>
        <v/>
      </c>
      <c r="N358" t="str">
        <f>IF(AND(AND(MOVIMIENTOS!$B357&lt;&gt;"",NOT(AND(MOVIMIENTOS!$B357="PROCESO",MOVIMIENTOS!$C357&lt;&gt;"Chancho")),NOT(AND(MOVIMIENTOS!$B357="SALDO INICIAL",MOVIMIENTOS!$C357="Chancho"))),OR(MOVIMIENTOS!$B357="ENVÍO A SUPESA",MOVIMIENTOS!$B357="MALOGRADO",MOVIMIENTOS!$B357="OTRA SALIDA",MOVIMIENTOS!$B357="TRASIEGO",AND(MOVIMIENTOS!$B357="PROCESO",MOVIMIENTOS!$C357="Chancho"),AND(MOVIMIENTOS!$B357="REGALO",MOVIMIENTOS!$C357&lt;&gt;"Chancho"),AND(MOVIMIENTOS!$B357="VENTA",MOVIMIENTOS!$C357&lt;&gt;"Chancho"),AND(MOVIMIENTOS!$B357="AJUSTE",MOVIMIENTOS!$C357&lt;&gt;"Chancho",N(MOVIMIENTOS!$F357)&lt;0))),IF(MOVIMIENTOS!$B357="AJUSTE",-N(MOVIMIENTOS!$F357),N(MOVIMIENTOS!$F357)),"")</f>
        <v/>
      </c>
      <c r="O358" t="str">
        <f>IF(AND(MOVIMIENTOS!$B357&lt;&gt;"",NOT(AND(MOVIMIENTOS!$B357="PROCESO",MOVIMIENTOS!$C357&lt;&gt;"Chancho")),NOT(AND(MOVIMIENTOS!$B357="SALDO INICIAL",MOVIMIENTOS!$C357="Chancho"))),TRIM(IF(MOVIMIENTOS!$G357&lt;&gt;"",IF(MOVIMIENTOS!$B357="ENVÍO A SUPESA","G-"&amp;MOVIMIENTOS!$G357,MOVIMIENTOS!$G357)&amp;"  ","")&amp;IF(N(MOVIMIENTOS!$E357)&gt;0,MOVIMIENTOS!$E357&amp;" "&amp;MOVIMIENTOS!$D357,"")),"")</f>
        <v/>
      </c>
      <c r="P358">
        <f t="shared" si="41"/>
        <v>6138.5</v>
      </c>
    </row>
    <row r="359" spans="1:16" x14ac:dyDescent="0.2">
      <c r="A359" s="7" t="str">
        <f t="shared" si="35"/>
        <v/>
      </c>
      <c r="B359" s="8" t="str">
        <f t="shared" si="36"/>
        <v/>
      </c>
      <c r="C359" s="9" t="str">
        <f t="shared" si="37"/>
        <v/>
      </c>
      <c r="D359" s="9" t="str">
        <f t="shared" si="38"/>
        <v/>
      </c>
      <c r="E359" s="8" t="str">
        <f t="shared" si="39"/>
        <v/>
      </c>
      <c r="F359" s="9" t="str">
        <f t="shared" si="40"/>
        <v/>
      </c>
      <c r="J359" t="str">
        <f>IF(AND(MOVIMIENTOS!$B358&lt;&gt;"",NOT(AND(MOVIMIENTOS!$B358="PROCESO",MOVIMIENTOS!$C358&lt;&gt;"Chancho")),NOT(AND(MOVIMIENTOS!$B358="SALDO INICIAL",MOVIMIENTOS!$C358="Chancho"))),COUNT(J$5:J358)+1,"")</f>
        <v/>
      </c>
      <c r="K359" t="str">
        <f>IF(AND(MOVIMIENTOS!$B358&lt;&gt;"",NOT(AND(MOVIMIENTOS!$B358="PROCESO",MOVIMIENTOS!$C358&lt;&gt;"Chancho")),NOT(AND(MOVIMIENTOS!$B358="SALDO INICIAL",MOVIMIENTOS!$C358="Chancho"))),MOVIMIENTOS!$A358,"")</f>
        <v/>
      </c>
      <c r="L359" t="str">
        <f>IF(AND(MOVIMIENTOS!$B358&lt;&gt;"",NOT(AND(MOVIMIENTOS!$B358="PROCESO",MOVIMIENTOS!$C358&lt;&gt;"Chancho")),NOT(AND(MOVIMIENTOS!$B358="SALDO INICIAL",MOVIMIENTOS!$C358="Chancho"))),IF(MOVIMIENTOS!$B358="SALDO INICIAL","APERTURA ("&amp;MOVIMIENTOS!$C358&amp;")",IF(MOVIMIENTOS!$B358="COMPRA","INGRESO (compra)",IF(MOVIMIENTOS!$B358="PROCESO","CHANCHO (proceso)",IF(MOVIMIENTOS!$B358="ENVÍO A SUPESA","ENVÍO SUPESA cal. "&amp;MOVIMIENTOS!$C358,IF(MOVIMIENTOS!$B358="VENTA CHANCHO","VENTA CHANCHO",IF(MOVIMIENTOS!$B358="DEVOLUCIÓN","DEVOLUCIÓN cal. "&amp;MOVIMIENTOS!$C358,IF(MOVIMIENTOS!$B358="TRASIEGO","TRASIEGO cal. "&amp;MOVIMIENTOS!$C358,IF(MOVIMIENTOS!$B358="REGALO","REGALO "&amp;MOVIMIENTOS!$C358,IF(MOVIMIENTOS!$B358="VENTA","VENTA "&amp;MOVIMIENTOS!$C358,IF(MOVIMIENTOS!$B358="AJUSTE","AJUSTE inventario ("&amp;MOVIMIENTOS!$C358&amp;")",MOVIMIENTOS!$B358)))))))))),"")</f>
        <v/>
      </c>
      <c r="M359" t="str">
        <f>IF(AND(AND(MOVIMIENTOS!$B358&lt;&gt;"",NOT(AND(MOVIMIENTOS!$B358="PROCESO",MOVIMIENTOS!$C358&lt;&gt;"Chancho")),NOT(AND(MOVIMIENTOS!$B358="SALDO INICIAL",MOVIMIENTOS!$C358="Chancho"))),OR(MOVIMIENTOS!$B358="SALDO INICIAL",MOVIMIENTOS!$B358="COMPRA",MOVIMIENTOS!$B358="REPROCESO",AND(MOVIMIENTOS!$B358="AJUSTE",MOVIMIENTOS!$C358&lt;&gt;"Chancho",N(MOVIMIENTOS!$F358)&gt;=0))),N(MOVIMIENTOS!$F358),"")</f>
        <v/>
      </c>
      <c r="N359" t="str">
        <f>IF(AND(AND(MOVIMIENTOS!$B358&lt;&gt;"",NOT(AND(MOVIMIENTOS!$B358="PROCESO",MOVIMIENTOS!$C358&lt;&gt;"Chancho")),NOT(AND(MOVIMIENTOS!$B358="SALDO INICIAL",MOVIMIENTOS!$C358="Chancho"))),OR(MOVIMIENTOS!$B358="ENVÍO A SUPESA",MOVIMIENTOS!$B358="MALOGRADO",MOVIMIENTOS!$B358="OTRA SALIDA",MOVIMIENTOS!$B358="TRASIEGO",AND(MOVIMIENTOS!$B358="PROCESO",MOVIMIENTOS!$C358="Chancho"),AND(MOVIMIENTOS!$B358="REGALO",MOVIMIENTOS!$C358&lt;&gt;"Chancho"),AND(MOVIMIENTOS!$B358="VENTA",MOVIMIENTOS!$C358&lt;&gt;"Chancho"),AND(MOVIMIENTOS!$B358="AJUSTE",MOVIMIENTOS!$C358&lt;&gt;"Chancho",N(MOVIMIENTOS!$F358)&lt;0))),IF(MOVIMIENTOS!$B358="AJUSTE",-N(MOVIMIENTOS!$F358),N(MOVIMIENTOS!$F358)),"")</f>
        <v/>
      </c>
      <c r="O359" t="str">
        <f>IF(AND(MOVIMIENTOS!$B358&lt;&gt;"",NOT(AND(MOVIMIENTOS!$B358="PROCESO",MOVIMIENTOS!$C358&lt;&gt;"Chancho")),NOT(AND(MOVIMIENTOS!$B358="SALDO INICIAL",MOVIMIENTOS!$C358="Chancho"))),TRIM(IF(MOVIMIENTOS!$G358&lt;&gt;"",IF(MOVIMIENTOS!$B358="ENVÍO A SUPESA","G-"&amp;MOVIMIENTOS!$G358,MOVIMIENTOS!$G358)&amp;"  ","")&amp;IF(N(MOVIMIENTOS!$E358)&gt;0,MOVIMIENTOS!$E358&amp;" "&amp;MOVIMIENTOS!$D358,"")),"")</f>
        <v/>
      </c>
      <c r="P359">
        <f t="shared" si="41"/>
        <v>6138.5</v>
      </c>
    </row>
    <row r="360" spans="1:16" x14ac:dyDescent="0.2">
      <c r="A360" s="7" t="str">
        <f t="shared" si="35"/>
        <v/>
      </c>
      <c r="B360" s="8" t="str">
        <f t="shared" si="36"/>
        <v/>
      </c>
      <c r="C360" s="9" t="str">
        <f t="shared" si="37"/>
        <v/>
      </c>
      <c r="D360" s="9" t="str">
        <f t="shared" si="38"/>
        <v/>
      </c>
      <c r="E360" s="8" t="str">
        <f t="shared" si="39"/>
        <v/>
      </c>
      <c r="F360" s="9" t="str">
        <f t="shared" si="40"/>
        <v/>
      </c>
      <c r="J360" t="str">
        <f>IF(AND(MOVIMIENTOS!$B359&lt;&gt;"",NOT(AND(MOVIMIENTOS!$B359="PROCESO",MOVIMIENTOS!$C359&lt;&gt;"Chancho")),NOT(AND(MOVIMIENTOS!$B359="SALDO INICIAL",MOVIMIENTOS!$C359="Chancho"))),COUNT(J$5:J359)+1,"")</f>
        <v/>
      </c>
      <c r="K360" t="str">
        <f>IF(AND(MOVIMIENTOS!$B359&lt;&gt;"",NOT(AND(MOVIMIENTOS!$B359="PROCESO",MOVIMIENTOS!$C359&lt;&gt;"Chancho")),NOT(AND(MOVIMIENTOS!$B359="SALDO INICIAL",MOVIMIENTOS!$C359="Chancho"))),MOVIMIENTOS!$A359,"")</f>
        <v/>
      </c>
      <c r="L360" t="str">
        <f>IF(AND(MOVIMIENTOS!$B359&lt;&gt;"",NOT(AND(MOVIMIENTOS!$B359="PROCESO",MOVIMIENTOS!$C359&lt;&gt;"Chancho")),NOT(AND(MOVIMIENTOS!$B359="SALDO INICIAL",MOVIMIENTOS!$C359="Chancho"))),IF(MOVIMIENTOS!$B359="SALDO INICIAL","APERTURA ("&amp;MOVIMIENTOS!$C359&amp;")",IF(MOVIMIENTOS!$B359="COMPRA","INGRESO (compra)",IF(MOVIMIENTOS!$B359="PROCESO","CHANCHO (proceso)",IF(MOVIMIENTOS!$B359="ENVÍO A SUPESA","ENVÍO SUPESA cal. "&amp;MOVIMIENTOS!$C359,IF(MOVIMIENTOS!$B359="VENTA CHANCHO","VENTA CHANCHO",IF(MOVIMIENTOS!$B359="DEVOLUCIÓN","DEVOLUCIÓN cal. "&amp;MOVIMIENTOS!$C359,IF(MOVIMIENTOS!$B359="TRASIEGO","TRASIEGO cal. "&amp;MOVIMIENTOS!$C359,IF(MOVIMIENTOS!$B359="REGALO","REGALO "&amp;MOVIMIENTOS!$C359,IF(MOVIMIENTOS!$B359="VENTA","VENTA "&amp;MOVIMIENTOS!$C359,IF(MOVIMIENTOS!$B359="AJUSTE","AJUSTE inventario ("&amp;MOVIMIENTOS!$C359&amp;")",MOVIMIENTOS!$B359)))))))))),"")</f>
        <v/>
      </c>
      <c r="M360" t="str">
        <f>IF(AND(AND(MOVIMIENTOS!$B359&lt;&gt;"",NOT(AND(MOVIMIENTOS!$B359="PROCESO",MOVIMIENTOS!$C359&lt;&gt;"Chancho")),NOT(AND(MOVIMIENTOS!$B359="SALDO INICIAL",MOVIMIENTOS!$C359="Chancho"))),OR(MOVIMIENTOS!$B359="SALDO INICIAL",MOVIMIENTOS!$B359="COMPRA",MOVIMIENTOS!$B359="REPROCESO",AND(MOVIMIENTOS!$B359="AJUSTE",MOVIMIENTOS!$C359&lt;&gt;"Chancho",N(MOVIMIENTOS!$F359)&gt;=0))),N(MOVIMIENTOS!$F359),"")</f>
        <v/>
      </c>
      <c r="N360" t="str">
        <f>IF(AND(AND(MOVIMIENTOS!$B359&lt;&gt;"",NOT(AND(MOVIMIENTOS!$B359="PROCESO",MOVIMIENTOS!$C359&lt;&gt;"Chancho")),NOT(AND(MOVIMIENTOS!$B359="SALDO INICIAL",MOVIMIENTOS!$C359="Chancho"))),OR(MOVIMIENTOS!$B359="ENVÍO A SUPESA",MOVIMIENTOS!$B359="MALOGRADO",MOVIMIENTOS!$B359="OTRA SALIDA",MOVIMIENTOS!$B359="TRASIEGO",AND(MOVIMIENTOS!$B359="PROCESO",MOVIMIENTOS!$C359="Chancho"),AND(MOVIMIENTOS!$B359="REGALO",MOVIMIENTOS!$C359&lt;&gt;"Chancho"),AND(MOVIMIENTOS!$B359="VENTA",MOVIMIENTOS!$C359&lt;&gt;"Chancho"),AND(MOVIMIENTOS!$B359="AJUSTE",MOVIMIENTOS!$C359&lt;&gt;"Chancho",N(MOVIMIENTOS!$F359)&lt;0))),IF(MOVIMIENTOS!$B359="AJUSTE",-N(MOVIMIENTOS!$F359),N(MOVIMIENTOS!$F359)),"")</f>
        <v/>
      </c>
      <c r="O360" t="str">
        <f>IF(AND(MOVIMIENTOS!$B359&lt;&gt;"",NOT(AND(MOVIMIENTOS!$B359="PROCESO",MOVIMIENTOS!$C359&lt;&gt;"Chancho")),NOT(AND(MOVIMIENTOS!$B359="SALDO INICIAL",MOVIMIENTOS!$C359="Chancho"))),TRIM(IF(MOVIMIENTOS!$G359&lt;&gt;"",IF(MOVIMIENTOS!$B359="ENVÍO A SUPESA","G-"&amp;MOVIMIENTOS!$G359,MOVIMIENTOS!$G359)&amp;"  ","")&amp;IF(N(MOVIMIENTOS!$E359)&gt;0,MOVIMIENTOS!$E359&amp;" "&amp;MOVIMIENTOS!$D359,"")),"")</f>
        <v/>
      </c>
      <c r="P360">
        <f t="shared" si="41"/>
        <v>6138.5</v>
      </c>
    </row>
    <row r="361" spans="1:16" x14ac:dyDescent="0.2">
      <c r="A361" s="7" t="str">
        <f t="shared" si="35"/>
        <v/>
      </c>
      <c r="B361" s="8" t="str">
        <f t="shared" si="36"/>
        <v/>
      </c>
      <c r="C361" s="9" t="str">
        <f t="shared" si="37"/>
        <v/>
      </c>
      <c r="D361" s="9" t="str">
        <f t="shared" si="38"/>
        <v/>
      </c>
      <c r="E361" s="8" t="str">
        <f t="shared" si="39"/>
        <v/>
      </c>
      <c r="F361" s="9" t="str">
        <f t="shared" si="40"/>
        <v/>
      </c>
      <c r="J361" t="str">
        <f>IF(AND(MOVIMIENTOS!$B360&lt;&gt;"",NOT(AND(MOVIMIENTOS!$B360="PROCESO",MOVIMIENTOS!$C360&lt;&gt;"Chancho")),NOT(AND(MOVIMIENTOS!$B360="SALDO INICIAL",MOVIMIENTOS!$C360="Chancho"))),COUNT(J$5:J360)+1,"")</f>
        <v/>
      </c>
      <c r="K361" t="str">
        <f>IF(AND(MOVIMIENTOS!$B360&lt;&gt;"",NOT(AND(MOVIMIENTOS!$B360="PROCESO",MOVIMIENTOS!$C360&lt;&gt;"Chancho")),NOT(AND(MOVIMIENTOS!$B360="SALDO INICIAL",MOVIMIENTOS!$C360="Chancho"))),MOVIMIENTOS!$A360,"")</f>
        <v/>
      </c>
      <c r="L361" t="str">
        <f>IF(AND(MOVIMIENTOS!$B360&lt;&gt;"",NOT(AND(MOVIMIENTOS!$B360="PROCESO",MOVIMIENTOS!$C360&lt;&gt;"Chancho")),NOT(AND(MOVIMIENTOS!$B360="SALDO INICIAL",MOVIMIENTOS!$C360="Chancho"))),IF(MOVIMIENTOS!$B360="SALDO INICIAL","APERTURA ("&amp;MOVIMIENTOS!$C360&amp;")",IF(MOVIMIENTOS!$B360="COMPRA","INGRESO (compra)",IF(MOVIMIENTOS!$B360="PROCESO","CHANCHO (proceso)",IF(MOVIMIENTOS!$B360="ENVÍO A SUPESA","ENVÍO SUPESA cal. "&amp;MOVIMIENTOS!$C360,IF(MOVIMIENTOS!$B360="VENTA CHANCHO","VENTA CHANCHO",IF(MOVIMIENTOS!$B360="DEVOLUCIÓN","DEVOLUCIÓN cal. "&amp;MOVIMIENTOS!$C360,IF(MOVIMIENTOS!$B360="TRASIEGO","TRASIEGO cal. "&amp;MOVIMIENTOS!$C360,IF(MOVIMIENTOS!$B360="REGALO","REGALO "&amp;MOVIMIENTOS!$C360,IF(MOVIMIENTOS!$B360="VENTA","VENTA "&amp;MOVIMIENTOS!$C360,IF(MOVIMIENTOS!$B360="AJUSTE","AJUSTE inventario ("&amp;MOVIMIENTOS!$C360&amp;")",MOVIMIENTOS!$B360)))))))))),"")</f>
        <v/>
      </c>
      <c r="M361" t="str">
        <f>IF(AND(AND(MOVIMIENTOS!$B360&lt;&gt;"",NOT(AND(MOVIMIENTOS!$B360="PROCESO",MOVIMIENTOS!$C360&lt;&gt;"Chancho")),NOT(AND(MOVIMIENTOS!$B360="SALDO INICIAL",MOVIMIENTOS!$C360="Chancho"))),OR(MOVIMIENTOS!$B360="SALDO INICIAL",MOVIMIENTOS!$B360="COMPRA",MOVIMIENTOS!$B360="REPROCESO",AND(MOVIMIENTOS!$B360="AJUSTE",MOVIMIENTOS!$C360&lt;&gt;"Chancho",N(MOVIMIENTOS!$F360)&gt;=0))),N(MOVIMIENTOS!$F360),"")</f>
        <v/>
      </c>
      <c r="N361" t="str">
        <f>IF(AND(AND(MOVIMIENTOS!$B360&lt;&gt;"",NOT(AND(MOVIMIENTOS!$B360="PROCESO",MOVIMIENTOS!$C360&lt;&gt;"Chancho")),NOT(AND(MOVIMIENTOS!$B360="SALDO INICIAL",MOVIMIENTOS!$C360="Chancho"))),OR(MOVIMIENTOS!$B360="ENVÍO A SUPESA",MOVIMIENTOS!$B360="MALOGRADO",MOVIMIENTOS!$B360="OTRA SALIDA",MOVIMIENTOS!$B360="TRASIEGO",AND(MOVIMIENTOS!$B360="PROCESO",MOVIMIENTOS!$C360="Chancho"),AND(MOVIMIENTOS!$B360="REGALO",MOVIMIENTOS!$C360&lt;&gt;"Chancho"),AND(MOVIMIENTOS!$B360="VENTA",MOVIMIENTOS!$C360&lt;&gt;"Chancho"),AND(MOVIMIENTOS!$B360="AJUSTE",MOVIMIENTOS!$C360&lt;&gt;"Chancho",N(MOVIMIENTOS!$F360)&lt;0))),IF(MOVIMIENTOS!$B360="AJUSTE",-N(MOVIMIENTOS!$F360),N(MOVIMIENTOS!$F360)),"")</f>
        <v/>
      </c>
      <c r="O361" t="str">
        <f>IF(AND(MOVIMIENTOS!$B360&lt;&gt;"",NOT(AND(MOVIMIENTOS!$B360="PROCESO",MOVIMIENTOS!$C360&lt;&gt;"Chancho")),NOT(AND(MOVIMIENTOS!$B360="SALDO INICIAL",MOVIMIENTOS!$C360="Chancho"))),TRIM(IF(MOVIMIENTOS!$G360&lt;&gt;"",IF(MOVIMIENTOS!$B360="ENVÍO A SUPESA","G-"&amp;MOVIMIENTOS!$G360,MOVIMIENTOS!$G360)&amp;"  ","")&amp;IF(N(MOVIMIENTOS!$E360)&gt;0,MOVIMIENTOS!$E360&amp;" "&amp;MOVIMIENTOS!$D360,"")),"")</f>
        <v/>
      </c>
      <c r="P361">
        <f t="shared" si="41"/>
        <v>6138.5</v>
      </c>
    </row>
    <row r="362" spans="1:16" x14ac:dyDescent="0.2">
      <c r="A362" s="7" t="str">
        <f t="shared" si="35"/>
        <v/>
      </c>
      <c r="B362" s="8" t="str">
        <f t="shared" si="36"/>
        <v/>
      </c>
      <c r="C362" s="9" t="str">
        <f t="shared" si="37"/>
        <v/>
      </c>
      <c r="D362" s="9" t="str">
        <f t="shared" si="38"/>
        <v/>
      </c>
      <c r="E362" s="8" t="str">
        <f t="shared" si="39"/>
        <v/>
      </c>
      <c r="F362" s="9" t="str">
        <f t="shared" si="40"/>
        <v/>
      </c>
      <c r="J362" t="str">
        <f>IF(AND(MOVIMIENTOS!$B361&lt;&gt;"",NOT(AND(MOVIMIENTOS!$B361="PROCESO",MOVIMIENTOS!$C361&lt;&gt;"Chancho")),NOT(AND(MOVIMIENTOS!$B361="SALDO INICIAL",MOVIMIENTOS!$C361="Chancho"))),COUNT(J$5:J361)+1,"")</f>
        <v/>
      </c>
      <c r="K362" t="str">
        <f>IF(AND(MOVIMIENTOS!$B361&lt;&gt;"",NOT(AND(MOVIMIENTOS!$B361="PROCESO",MOVIMIENTOS!$C361&lt;&gt;"Chancho")),NOT(AND(MOVIMIENTOS!$B361="SALDO INICIAL",MOVIMIENTOS!$C361="Chancho"))),MOVIMIENTOS!$A361,"")</f>
        <v/>
      </c>
      <c r="L362" t="str">
        <f>IF(AND(MOVIMIENTOS!$B361&lt;&gt;"",NOT(AND(MOVIMIENTOS!$B361="PROCESO",MOVIMIENTOS!$C361&lt;&gt;"Chancho")),NOT(AND(MOVIMIENTOS!$B361="SALDO INICIAL",MOVIMIENTOS!$C361="Chancho"))),IF(MOVIMIENTOS!$B361="SALDO INICIAL","APERTURA ("&amp;MOVIMIENTOS!$C361&amp;")",IF(MOVIMIENTOS!$B361="COMPRA","INGRESO (compra)",IF(MOVIMIENTOS!$B361="PROCESO","CHANCHO (proceso)",IF(MOVIMIENTOS!$B361="ENVÍO A SUPESA","ENVÍO SUPESA cal. "&amp;MOVIMIENTOS!$C361,IF(MOVIMIENTOS!$B361="VENTA CHANCHO","VENTA CHANCHO",IF(MOVIMIENTOS!$B361="DEVOLUCIÓN","DEVOLUCIÓN cal. "&amp;MOVIMIENTOS!$C361,IF(MOVIMIENTOS!$B361="TRASIEGO","TRASIEGO cal. "&amp;MOVIMIENTOS!$C361,IF(MOVIMIENTOS!$B361="REGALO","REGALO "&amp;MOVIMIENTOS!$C361,IF(MOVIMIENTOS!$B361="VENTA","VENTA "&amp;MOVIMIENTOS!$C361,IF(MOVIMIENTOS!$B361="AJUSTE","AJUSTE inventario ("&amp;MOVIMIENTOS!$C361&amp;")",MOVIMIENTOS!$B361)))))))))),"")</f>
        <v/>
      </c>
      <c r="M362" t="str">
        <f>IF(AND(AND(MOVIMIENTOS!$B361&lt;&gt;"",NOT(AND(MOVIMIENTOS!$B361="PROCESO",MOVIMIENTOS!$C361&lt;&gt;"Chancho")),NOT(AND(MOVIMIENTOS!$B361="SALDO INICIAL",MOVIMIENTOS!$C361="Chancho"))),OR(MOVIMIENTOS!$B361="SALDO INICIAL",MOVIMIENTOS!$B361="COMPRA",MOVIMIENTOS!$B361="REPROCESO",AND(MOVIMIENTOS!$B361="AJUSTE",MOVIMIENTOS!$C361&lt;&gt;"Chancho",N(MOVIMIENTOS!$F361)&gt;=0))),N(MOVIMIENTOS!$F361),"")</f>
        <v/>
      </c>
      <c r="N362" t="str">
        <f>IF(AND(AND(MOVIMIENTOS!$B361&lt;&gt;"",NOT(AND(MOVIMIENTOS!$B361="PROCESO",MOVIMIENTOS!$C361&lt;&gt;"Chancho")),NOT(AND(MOVIMIENTOS!$B361="SALDO INICIAL",MOVIMIENTOS!$C361="Chancho"))),OR(MOVIMIENTOS!$B361="ENVÍO A SUPESA",MOVIMIENTOS!$B361="MALOGRADO",MOVIMIENTOS!$B361="OTRA SALIDA",MOVIMIENTOS!$B361="TRASIEGO",AND(MOVIMIENTOS!$B361="PROCESO",MOVIMIENTOS!$C361="Chancho"),AND(MOVIMIENTOS!$B361="REGALO",MOVIMIENTOS!$C361&lt;&gt;"Chancho"),AND(MOVIMIENTOS!$B361="VENTA",MOVIMIENTOS!$C361&lt;&gt;"Chancho"),AND(MOVIMIENTOS!$B361="AJUSTE",MOVIMIENTOS!$C361&lt;&gt;"Chancho",N(MOVIMIENTOS!$F361)&lt;0))),IF(MOVIMIENTOS!$B361="AJUSTE",-N(MOVIMIENTOS!$F361),N(MOVIMIENTOS!$F361)),"")</f>
        <v/>
      </c>
      <c r="O362" t="str">
        <f>IF(AND(MOVIMIENTOS!$B361&lt;&gt;"",NOT(AND(MOVIMIENTOS!$B361="PROCESO",MOVIMIENTOS!$C361&lt;&gt;"Chancho")),NOT(AND(MOVIMIENTOS!$B361="SALDO INICIAL",MOVIMIENTOS!$C361="Chancho"))),TRIM(IF(MOVIMIENTOS!$G361&lt;&gt;"",IF(MOVIMIENTOS!$B361="ENVÍO A SUPESA","G-"&amp;MOVIMIENTOS!$G361,MOVIMIENTOS!$G361)&amp;"  ","")&amp;IF(N(MOVIMIENTOS!$E361)&gt;0,MOVIMIENTOS!$E361&amp;" "&amp;MOVIMIENTOS!$D361,"")),"")</f>
        <v/>
      </c>
      <c r="P362">
        <f t="shared" si="41"/>
        <v>6138.5</v>
      </c>
    </row>
    <row r="363" spans="1:16" x14ac:dyDescent="0.2">
      <c r="A363" s="7" t="str">
        <f t="shared" si="35"/>
        <v/>
      </c>
      <c r="B363" s="8" t="str">
        <f t="shared" si="36"/>
        <v/>
      </c>
      <c r="C363" s="9" t="str">
        <f t="shared" si="37"/>
        <v/>
      </c>
      <c r="D363" s="9" t="str">
        <f t="shared" si="38"/>
        <v/>
      </c>
      <c r="E363" s="8" t="str">
        <f t="shared" si="39"/>
        <v/>
      </c>
      <c r="F363" s="9" t="str">
        <f t="shared" si="40"/>
        <v/>
      </c>
      <c r="J363" t="str">
        <f>IF(AND(MOVIMIENTOS!$B362&lt;&gt;"",NOT(AND(MOVIMIENTOS!$B362="PROCESO",MOVIMIENTOS!$C362&lt;&gt;"Chancho")),NOT(AND(MOVIMIENTOS!$B362="SALDO INICIAL",MOVIMIENTOS!$C362="Chancho"))),COUNT(J$5:J362)+1,"")</f>
        <v/>
      </c>
      <c r="K363" t="str">
        <f>IF(AND(MOVIMIENTOS!$B362&lt;&gt;"",NOT(AND(MOVIMIENTOS!$B362="PROCESO",MOVIMIENTOS!$C362&lt;&gt;"Chancho")),NOT(AND(MOVIMIENTOS!$B362="SALDO INICIAL",MOVIMIENTOS!$C362="Chancho"))),MOVIMIENTOS!$A362,"")</f>
        <v/>
      </c>
      <c r="L363" t="str">
        <f>IF(AND(MOVIMIENTOS!$B362&lt;&gt;"",NOT(AND(MOVIMIENTOS!$B362="PROCESO",MOVIMIENTOS!$C362&lt;&gt;"Chancho")),NOT(AND(MOVIMIENTOS!$B362="SALDO INICIAL",MOVIMIENTOS!$C362="Chancho"))),IF(MOVIMIENTOS!$B362="SALDO INICIAL","APERTURA ("&amp;MOVIMIENTOS!$C362&amp;")",IF(MOVIMIENTOS!$B362="COMPRA","INGRESO (compra)",IF(MOVIMIENTOS!$B362="PROCESO","CHANCHO (proceso)",IF(MOVIMIENTOS!$B362="ENVÍO A SUPESA","ENVÍO SUPESA cal. "&amp;MOVIMIENTOS!$C362,IF(MOVIMIENTOS!$B362="VENTA CHANCHO","VENTA CHANCHO",IF(MOVIMIENTOS!$B362="DEVOLUCIÓN","DEVOLUCIÓN cal. "&amp;MOVIMIENTOS!$C362,IF(MOVIMIENTOS!$B362="TRASIEGO","TRASIEGO cal. "&amp;MOVIMIENTOS!$C362,IF(MOVIMIENTOS!$B362="REGALO","REGALO "&amp;MOVIMIENTOS!$C362,IF(MOVIMIENTOS!$B362="VENTA","VENTA "&amp;MOVIMIENTOS!$C362,IF(MOVIMIENTOS!$B362="AJUSTE","AJUSTE inventario ("&amp;MOVIMIENTOS!$C362&amp;")",MOVIMIENTOS!$B362)))))))))),"")</f>
        <v/>
      </c>
      <c r="M363" t="str">
        <f>IF(AND(AND(MOVIMIENTOS!$B362&lt;&gt;"",NOT(AND(MOVIMIENTOS!$B362="PROCESO",MOVIMIENTOS!$C362&lt;&gt;"Chancho")),NOT(AND(MOVIMIENTOS!$B362="SALDO INICIAL",MOVIMIENTOS!$C362="Chancho"))),OR(MOVIMIENTOS!$B362="SALDO INICIAL",MOVIMIENTOS!$B362="COMPRA",MOVIMIENTOS!$B362="REPROCESO",AND(MOVIMIENTOS!$B362="AJUSTE",MOVIMIENTOS!$C362&lt;&gt;"Chancho",N(MOVIMIENTOS!$F362)&gt;=0))),N(MOVIMIENTOS!$F362),"")</f>
        <v/>
      </c>
      <c r="N363" t="str">
        <f>IF(AND(AND(MOVIMIENTOS!$B362&lt;&gt;"",NOT(AND(MOVIMIENTOS!$B362="PROCESO",MOVIMIENTOS!$C362&lt;&gt;"Chancho")),NOT(AND(MOVIMIENTOS!$B362="SALDO INICIAL",MOVIMIENTOS!$C362="Chancho"))),OR(MOVIMIENTOS!$B362="ENVÍO A SUPESA",MOVIMIENTOS!$B362="MALOGRADO",MOVIMIENTOS!$B362="OTRA SALIDA",MOVIMIENTOS!$B362="TRASIEGO",AND(MOVIMIENTOS!$B362="PROCESO",MOVIMIENTOS!$C362="Chancho"),AND(MOVIMIENTOS!$B362="REGALO",MOVIMIENTOS!$C362&lt;&gt;"Chancho"),AND(MOVIMIENTOS!$B362="VENTA",MOVIMIENTOS!$C362&lt;&gt;"Chancho"),AND(MOVIMIENTOS!$B362="AJUSTE",MOVIMIENTOS!$C362&lt;&gt;"Chancho",N(MOVIMIENTOS!$F362)&lt;0))),IF(MOVIMIENTOS!$B362="AJUSTE",-N(MOVIMIENTOS!$F362),N(MOVIMIENTOS!$F362)),"")</f>
        <v/>
      </c>
      <c r="O363" t="str">
        <f>IF(AND(MOVIMIENTOS!$B362&lt;&gt;"",NOT(AND(MOVIMIENTOS!$B362="PROCESO",MOVIMIENTOS!$C362&lt;&gt;"Chancho")),NOT(AND(MOVIMIENTOS!$B362="SALDO INICIAL",MOVIMIENTOS!$C362="Chancho"))),TRIM(IF(MOVIMIENTOS!$G362&lt;&gt;"",IF(MOVIMIENTOS!$B362="ENVÍO A SUPESA","G-"&amp;MOVIMIENTOS!$G362,MOVIMIENTOS!$G362)&amp;"  ","")&amp;IF(N(MOVIMIENTOS!$E362)&gt;0,MOVIMIENTOS!$E362&amp;" "&amp;MOVIMIENTOS!$D362,"")),"")</f>
        <v/>
      </c>
      <c r="P363">
        <f t="shared" si="41"/>
        <v>6138.5</v>
      </c>
    </row>
    <row r="364" spans="1:16" x14ac:dyDescent="0.2">
      <c r="A364" s="7" t="str">
        <f t="shared" si="35"/>
        <v/>
      </c>
      <c r="B364" s="8" t="str">
        <f t="shared" si="36"/>
        <v/>
      </c>
      <c r="C364" s="9" t="str">
        <f t="shared" si="37"/>
        <v/>
      </c>
      <c r="D364" s="9" t="str">
        <f t="shared" si="38"/>
        <v/>
      </c>
      <c r="E364" s="8" t="str">
        <f t="shared" si="39"/>
        <v/>
      </c>
      <c r="F364" s="9" t="str">
        <f t="shared" si="40"/>
        <v/>
      </c>
      <c r="J364" t="str">
        <f>IF(AND(MOVIMIENTOS!$B363&lt;&gt;"",NOT(AND(MOVIMIENTOS!$B363="PROCESO",MOVIMIENTOS!$C363&lt;&gt;"Chancho")),NOT(AND(MOVIMIENTOS!$B363="SALDO INICIAL",MOVIMIENTOS!$C363="Chancho"))),COUNT(J$5:J363)+1,"")</f>
        <v/>
      </c>
      <c r="K364" t="str">
        <f>IF(AND(MOVIMIENTOS!$B363&lt;&gt;"",NOT(AND(MOVIMIENTOS!$B363="PROCESO",MOVIMIENTOS!$C363&lt;&gt;"Chancho")),NOT(AND(MOVIMIENTOS!$B363="SALDO INICIAL",MOVIMIENTOS!$C363="Chancho"))),MOVIMIENTOS!$A363,"")</f>
        <v/>
      </c>
      <c r="L364" t="str">
        <f>IF(AND(MOVIMIENTOS!$B363&lt;&gt;"",NOT(AND(MOVIMIENTOS!$B363="PROCESO",MOVIMIENTOS!$C363&lt;&gt;"Chancho")),NOT(AND(MOVIMIENTOS!$B363="SALDO INICIAL",MOVIMIENTOS!$C363="Chancho"))),IF(MOVIMIENTOS!$B363="SALDO INICIAL","APERTURA ("&amp;MOVIMIENTOS!$C363&amp;")",IF(MOVIMIENTOS!$B363="COMPRA","INGRESO (compra)",IF(MOVIMIENTOS!$B363="PROCESO","CHANCHO (proceso)",IF(MOVIMIENTOS!$B363="ENVÍO A SUPESA","ENVÍO SUPESA cal. "&amp;MOVIMIENTOS!$C363,IF(MOVIMIENTOS!$B363="VENTA CHANCHO","VENTA CHANCHO",IF(MOVIMIENTOS!$B363="DEVOLUCIÓN","DEVOLUCIÓN cal. "&amp;MOVIMIENTOS!$C363,IF(MOVIMIENTOS!$B363="TRASIEGO","TRASIEGO cal. "&amp;MOVIMIENTOS!$C363,IF(MOVIMIENTOS!$B363="REGALO","REGALO "&amp;MOVIMIENTOS!$C363,IF(MOVIMIENTOS!$B363="VENTA","VENTA "&amp;MOVIMIENTOS!$C363,IF(MOVIMIENTOS!$B363="AJUSTE","AJUSTE inventario ("&amp;MOVIMIENTOS!$C363&amp;")",MOVIMIENTOS!$B363)))))))))),"")</f>
        <v/>
      </c>
      <c r="M364" t="str">
        <f>IF(AND(AND(MOVIMIENTOS!$B363&lt;&gt;"",NOT(AND(MOVIMIENTOS!$B363="PROCESO",MOVIMIENTOS!$C363&lt;&gt;"Chancho")),NOT(AND(MOVIMIENTOS!$B363="SALDO INICIAL",MOVIMIENTOS!$C363="Chancho"))),OR(MOVIMIENTOS!$B363="SALDO INICIAL",MOVIMIENTOS!$B363="COMPRA",MOVIMIENTOS!$B363="REPROCESO",AND(MOVIMIENTOS!$B363="AJUSTE",MOVIMIENTOS!$C363&lt;&gt;"Chancho",N(MOVIMIENTOS!$F363)&gt;=0))),N(MOVIMIENTOS!$F363),"")</f>
        <v/>
      </c>
      <c r="N364" t="str">
        <f>IF(AND(AND(MOVIMIENTOS!$B363&lt;&gt;"",NOT(AND(MOVIMIENTOS!$B363="PROCESO",MOVIMIENTOS!$C363&lt;&gt;"Chancho")),NOT(AND(MOVIMIENTOS!$B363="SALDO INICIAL",MOVIMIENTOS!$C363="Chancho"))),OR(MOVIMIENTOS!$B363="ENVÍO A SUPESA",MOVIMIENTOS!$B363="MALOGRADO",MOVIMIENTOS!$B363="OTRA SALIDA",MOVIMIENTOS!$B363="TRASIEGO",AND(MOVIMIENTOS!$B363="PROCESO",MOVIMIENTOS!$C363="Chancho"),AND(MOVIMIENTOS!$B363="REGALO",MOVIMIENTOS!$C363&lt;&gt;"Chancho"),AND(MOVIMIENTOS!$B363="VENTA",MOVIMIENTOS!$C363&lt;&gt;"Chancho"),AND(MOVIMIENTOS!$B363="AJUSTE",MOVIMIENTOS!$C363&lt;&gt;"Chancho",N(MOVIMIENTOS!$F363)&lt;0))),IF(MOVIMIENTOS!$B363="AJUSTE",-N(MOVIMIENTOS!$F363),N(MOVIMIENTOS!$F363)),"")</f>
        <v/>
      </c>
      <c r="O364" t="str">
        <f>IF(AND(MOVIMIENTOS!$B363&lt;&gt;"",NOT(AND(MOVIMIENTOS!$B363="PROCESO",MOVIMIENTOS!$C363&lt;&gt;"Chancho")),NOT(AND(MOVIMIENTOS!$B363="SALDO INICIAL",MOVIMIENTOS!$C363="Chancho"))),TRIM(IF(MOVIMIENTOS!$G363&lt;&gt;"",IF(MOVIMIENTOS!$B363="ENVÍO A SUPESA","G-"&amp;MOVIMIENTOS!$G363,MOVIMIENTOS!$G363)&amp;"  ","")&amp;IF(N(MOVIMIENTOS!$E363)&gt;0,MOVIMIENTOS!$E363&amp;" "&amp;MOVIMIENTOS!$D363,"")),"")</f>
        <v/>
      </c>
      <c r="P364">
        <f t="shared" si="41"/>
        <v>6138.5</v>
      </c>
    </row>
    <row r="365" spans="1:16" x14ac:dyDescent="0.2">
      <c r="A365" s="7" t="str">
        <f t="shared" si="35"/>
        <v/>
      </c>
      <c r="B365" s="8" t="str">
        <f t="shared" si="36"/>
        <v/>
      </c>
      <c r="C365" s="9" t="str">
        <f t="shared" si="37"/>
        <v/>
      </c>
      <c r="D365" s="9" t="str">
        <f t="shared" si="38"/>
        <v/>
      </c>
      <c r="E365" s="8" t="str">
        <f t="shared" si="39"/>
        <v/>
      </c>
      <c r="F365" s="9" t="str">
        <f t="shared" si="40"/>
        <v/>
      </c>
      <c r="J365" t="str">
        <f>IF(AND(MOVIMIENTOS!$B364&lt;&gt;"",NOT(AND(MOVIMIENTOS!$B364="PROCESO",MOVIMIENTOS!$C364&lt;&gt;"Chancho")),NOT(AND(MOVIMIENTOS!$B364="SALDO INICIAL",MOVIMIENTOS!$C364="Chancho"))),COUNT(J$5:J364)+1,"")</f>
        <v/>
      </c>
      <c r="K365" t="str">
        <f>IF(AND(MOVIMIENTOS!$B364&lt;&gt;"",NOT(AND(MOVIMIENTOS!$B364="PROCESO",MOVIMIENTOS!$C364&lt;&gt;"Chancho")),NOT(AND(MOVIMIENTOS!$B364="SALDO INICIAL",MOVIMIENTOS!$C364="Chancho"))),MOVIMIENTOS!$A364,"")</f>
        <v/>
      </c>
      <c r="L365" t="str">
        <f>IF(AND(MOVIMIENTOS!$B364&lt;&gt;"",NOT(AND(MOVIMIENTOS!$B364="PROCESO",MOVIMIENTOS!$C364&lt;&gt;"Chancho")),NOT(AND(MOVIMIENTOS!$B364="SALDO INICIAL",MOVIMIENTOS!$C364="Chancho"))),IF(MOVIMIENTOS!$B364="SALDO INICIAL","APERTURA ("&amp;MOVIMIENTOS!$C364&amp;")",IF(MOVIMIENTOS!$B364="COMPRA","INGRESO (compra)",IF(MOVIMIENTOS!$B364="PROCESO","CHANCHO (proceso)",IF(MOVIMIENTOS!$B364="ENVÍO A SUPESA","ENVÍO SUPESA cal. "&amp;MOVIMIENTOS!$C364,IF(MOVIMIENTOS!$B364="VENTA CHANCHO","VENTA CHANCHO",IF(MOVIMIENTOS!$B364="DEVOLUCIÓN","DEVOLUCIÓN cal. "&amp;MOVIMIENTOS!$C364,IF(MOVIMIENTOS!$B364="TRASIEGO","TRASIEGO cal. "&amp;MOVIMIENTOS!$C364,IF(MOVIMIENTOS!$B364="REGALO","REGALO "&amp;MOVIMIENTOS!$C364,IF(MOVIMIENTOS!$B364="VENTA","VENTA "&amp;MOVIMIENTOS!$C364,IF(MOVIMIENTOS!$B364="AJUSTE","AJUSTE inventario ("&amp;MOVIMIENTOS!$C364&amp;")",MOVIMIENTOS!$B364)))))))))),"")</f>
        <v/>
      </c>
      <c r="M365" t="str">
        <f>IF(AND(AND(MOVIMIENTOS!$B364&lt;&gt;"",NOT(AND(MOVIMIENTOS!$B364="PROCESO",MOVIMIENTOS!$C364&lt;&gt;"Chancho")),NOT(AND(MOVIMIENTOS!$B364="SALDO INICIAL",MOVIMIENTOS!$C364="Chancho"))),OR(MOVIMIENTOS!$B364="SALDO INICIAL",MOVIMIENTOS!$B364="COMPRA",MOVIMIENTOS!$B364="REPROCESO",AND(MOVIMIENTOS!$B364="AJUSTE",MOVIMIENTOS!$C364&lt;&gt;"Chancho",N(MOVIMIENTOS!$F364)&gt;=0))),N(MOVIMIENTOS!$F364),"")</f>
        <v/>
      </c>
      <c r="N365" t="str">
        <f>IF(AND(AND(MOVIMIENTOS!$B364&lt;&gt;"",NOT(AND(MOVIMIENTOS!$B364="PROCESO",MOVIMIENTOS!$C364&lt;&gt;"Chancho")),NOT(AND(MOVIMIENTOS!$B364="SALDO INICIAL",MOVIMIENTOS!$C364="Chancho"))),OR(MOVIMIENTOS!$B364="ENVÍO A SUPESA",MOVIMIENTOS!$B364="MALOGRADO",MOVIMIENTOS!$B364="OTRA SALIDA",MOVIMIENTOS!$B364="TRASIEGO",AND(MOVIMIENTOS!$B364="PROCESO",MOVIMIENTOS!$C364="Chancho"),AND(MOVIMIENTOS!$B364="REGALO",MOVIMIENTOS!$C364&lt;&gt;"Chancho"),AND(MOVIMIENTOS!$B364="VENTA",MOVIMIENTOS!$C364&lt;&gt;"Chancho"),AND(MOVIMIENTOS!$B364="AJUSTE",MOVIMIENTOS!$C364&lt;&gt;"Chancho",N(MOVIMIENTOS!$F364)&lt;0))),IF(MOVIMIENTOS!$B364="AJUSTE",-N(MOVIMIENTOS!$F364),N(MOVIMIENTOS!$F364)),"")</f>
        <v/>
      </c>
      <c r="O365" t="str">
        <f>IF(AND(MOVIMIENTOS!$B364&lt;&gt;"",NOT(AND(MOVIMIENTOS!$B364="PROCESO",MOVIMIENTOS!$C364&lt;&gt;"Chancho")),NOT(AND(MOVIMIENTOS!$B364="SALDO INICIAL",MOVIMIENTOS!$C364="Chancho"))),TRIM(IF(MOVIMIENTOS!$G364&lt;&gt;"",IF(MOVIMIENTOS!$B364="ENVÍO A SUPESA","G-"&amp;MOVIMIENTOS!$G364,MOVIMIENTOS!$G364)&amp;"  ","")&amp;IF(N(MOVIMIENTOS!$E364)&gt;0,MOVIMIENTOS!$E364&amp;" "&amp;MOVIMIENTOS!$D364,"")),"")</f>
        <v/>
      </c>
      <c r="P365">
        <f t="shared" si="41"/>
        <v>6138.5</v>
      </c>
    </row>
    <row r="366" spans="1:16" x14ac:dyDescent="0.2">
      <c r="A366" s="7" t="str">
        <f t="shared" si="35"/>
        <v/>
      </c>
      <c r="B366" s="8" t="str">
        <f t="shared" si="36"/>
        <v/>
      </c>
      <c r="C366" s="9" t="str">
        <f t="shared" si="37"/>
        <v/>
      </c>
      <c r="D366" s="9" t="str">
        <f t="shared" si="38"/>
        <v/>
      </c>
      <c r="E366" s="8" t="str">
        <f t="shared" si="39"/>
        <v/>
      </c>
      <c r="F366" s="9" t="str">
        <f t="shared" si="40"/>
        <v/>
      </c>
      <c r="J366" t="str">
        <f>IF(AND(MOVIMIENTOS!$B365&lt;&gt;"",NOT(AND(MOVIMIENTOS!$B365="PROCESO",MOVIMIENTOS!$C365&lt;&gt;"Chancho")),NOT(AND(MOVIMIENTOS!$B365="SALDO INICIAL",MOVIMIENTOS!$C365="Chancho"))),COUNT(J$5:J365)+1,"")</f>
        <v/>
      </c>
      <c r="K366" t="str">
        <f>IF(AND(MOVIMIENTOS!$B365&lt;&gt;"",NOT(AND(MOVIMIENTOS!$B365="PROCESO",MOVIMIENTOS!$C365&lt;&gt;"Chancho")),NOT(AND(MOVIMIENTOS!$B365="SALDO INICIAL",MOVIMIENTOS!$C365="Chancho"))),MOVIMIENTOS!$A365,"")</f>
        <v/>
      </c>
      <c r="L366" t="str">
        <f>IF(AND(MOVIMIENTOS!$B365&lt;&gt;"",NOT(AND(MOVIMIENTOS!$B365="PROCESO",MOVIMIENTOS!$C365&lt;&gt;"Chancho")),NOT(AND(MOVIMIENTOS!$B365="SALDO INICIAL",MOVIMIENTOS!$C365="Chancho"))),IF(MOVIMIENTOS!$B365="SALDO INICIAL","APERTURA ("&amp;MOVIMIENTOS!$C365&amp;")",IF(MOVIMIENTOS!$B365="COMPRA","INGRESO (compra)",IF(MOVIMIENTOS!$B365="PROCESO","CHANCHO (proceso)",IF(MOVIMIENTOS!$B365="ENVÍO A SUPESA","ENVÍO SUPESA cal. "&amp;MOVIMIENTOS!$C365,IF(MOVIMIENTOS!$B365="VENTA CHANCHO","VENTA CHANCHO",IF(MOVIMIENTOS!$B365="DEVOLUCIÓN","DEVOLUCIÓN cal. "&amp;MOVIMIENTOS!$C365,IF(MOVIMIENTOS!$B365="TRASIEGO","TRASIEGO cal. "&amp;MOVIMIENTOS!$C365,IF(MOVIMIENTOS!$B365="REGALO","REGALO "&amp;MOVIMIENTOS!$C365,IF(MOVIMIENTOS!$B365="VENTA","VENTA "&amp;MOVIMIENTOS!$C365,IF(MOVIMIENTOS!$B365="AJUSTE","AJUSTE inventario ("&amp;MOVIMIENTOS!$C365&amp;")",MOVIMIENTOS!$B365)))))))))),"")</f>
        <v/>
      </c>
      <c r="M366" t="str">
        <f>IF(AND(AND(MOVIMIENTOS!$B365&lt;&gt;"",NOT(AND(MOVIMIENTOS!$B365="PROCESO",MOVIMIENTOS!$C365&lt;&gt;"Chancho")),NOT(AND(MOVIMIENTOS!$B365="SALDO INICIAL",MOVIMIENTOS!$C365="Chancho"))),OR(MOVIMIENTOS!$B365="SALDO INICIAL",MOVIMIENTOS!$B365="COMPRA",MOVIMIENTOS!$B365="REPROCESO",AND(MOVIMIENTOS!$B365="AJUSTE",MOVIMIENTOS!$C365&lt;&gt;"Chancho",N(MOVIMIENTOS!$F365)&gt;=0))),N(MOVIMIENTOS!$F365),"")</f>
        <v/>
      </c>
      <c r="N366" t="str">
        <f>IF(AND(AND(MOVIMIENTOS!$B365&lt;&gt;"",NOT(AND(MOVIMIENTOS!$B365="PROCESO",MOVIMIENTOS!$C365&lt;&gt;"Chancho")),NOT(AND(MOVIMIENTOS!$B365="SALDO INICIAL",MOVIMIENTOS!$C365="Chancho"))),OR(MOVIMIENTOS!$B365="ENVÍO A SUPESA",MOVIMIENTOS!$B365="MALOGRADO",MOVIMIENTOS!$B365="OTRA SALIDA",MOVIMIENTOS!$B365="TRASIEGO",AND(MOVIMIENTOS!$B365="PROCESO",MOVIMIENTOS!$C365="Chancho"),AND(MOVIMIENTOS!$B365="REGALO",MOVIMIENTOS!$C365&lt;&gt;"Chancho"),AND(MOVIMIENTOS!$B365="VENTA",MOVIMIENTOS!$C365&lt;&gt;"Chancho"),AND(MOVIMIENTOS!$B365="AJUSTE",MOVIMIENTOS!$C365&lt;&gt;"Chancho",N(MOVIMIENTOS!$F365)&lt;0))),IF(MOVIMIENTOS!$B365="AJUSTE",-N(MOVIMIENTOS!$F365),N(MOVIMIENTOS!$F365)),"")</f>
        <v/>
      </c>
      <c r="O366" t="str">
        <f>IF(AND(MOVIMIENTOS!$B365&lt;&gt;"",NOT(AND(MOVIMIENTOS!$B365="PROCESO",MOVIMIENTOS!$C365&lt;&gt;"Chancho")),NOT(AND(MOVIMIENTOS!$B365="SALDO INICIAL",MOVIMIENTOS!$C365="Chancho"))),TRIM(IF(MOVIMIENTOS!$G365&lt;&gt;"",IF(MOVIMIENTOS!$B365="ENVÍO A SUPESA","G-"&amp;MOVIMIENTOS!$G365,MOVIMIENTOS!$G365)&amp;"  ","")&amp;IF(N(MOVIMIENTOS!$E365)&gt;0,MOVIMIENTOS!$E365&amp;" "&amp;MOVIMIENTOS!$D365,"")),"")</f>
        <v/>
      </c>
      <c r="P366">
        <f t="shared" si="41"/>
        <v>6138.5</v>
      </c>
    </row>
    <row r="367" spans="1:16" x14ac:dyDescent="0.2">
      <c r="A367" s="7" t="str">
        <f t="shared" si="35"/>
        <v/>
      </c>
      <c r="B367" s="8" t="str">
        <f t="shared" si="36"/>
        <v/>
      </c>
      <c r="C367" s="9" t="str">
        <f t="shared" si="37"/>
        <v/>
      </c>
      <c r="D367" s="9" t="str">
        <f t="shared" si="38"/>
        <v/>
      </c>
      <c r="E367" s="8" t="str">
        <f t="shared" si="39"/>
        <v/>
      </c>
      <c r="F367" s="9" t="str">
        <f t="shared" si="40"/>
        <v/>
      </c>
      <c r="J367" t="str">
        <f>IF(AND(MOVIMIENTOS!$B366&lt;&gt;"",NOT(AND(MOVIMIENTOS!$B366="PROCESO",MOVIMIENTOS!$C366&lt;&gt;"Chancho")),NOT(AND(MOVIMIENTOS!$B366="SALDO INICIAL",MOVIMIENTOS!$C366="Chancho"))),COUNT(J$5:J366)+1,"")</f>
        <v/>
      </c>
      <c r="K367" t="str">
        <f>IF(AND(MOVIMIENTOS!$B366&lt;&gt;"",NOT(AND(MOVIMIENTOS!$B366="PROCESO",MOVIMIENTOS!$C366&lt;&gt;"Chancho")),NOT(AND(MOVIMIENTOS!$B366="SALDO INICIAL",MOVIMIENTOS!$C366="Chancho"))),MOVIMIENTOS!$A366,"")</f>
        <v/>
      </c>
      <c r="L367" t="str">
        <f>IF(AND(MOVIMIENTOS!$B366&lt;&gt;"",NOT(AND(MOVIMIENTOS!$B366="PROCESO",MOVIMIENTOS!$C366&lt;&gt;"Chancho")),NOT(AND(MOVIMIENTOS!$B366="SALDO INICIAL",MOVIMIENTOS!$C366="Chancho"))),IF(MOVIMIENTOS!$B366="SALDO INICIAL","APERTURA ("&amp;MOVIMIENTOS!$C366&amp;")",IF(MOVIMIENTOS!$B366="COMPRA","INGRESO (compra)",IF(MOVIMIENTOS!$B366="PROCESO","CHANCHO (proceso)",IF(MOVIMIENTOS!$B366="ENVÍO A SUPESA","ENVÍO SUPESA cal. "&amp;MOVIMIENTOS!$C366,IF(MOVIMIENTOS!$B366="VENTA CHANCHO","VENTA CHANCHO",IF(MOVIMIENTOS!$B366="DEVOLUCIÓN","DEVOLUCIÓN cal. "&amp;MOVIMIENTOS!$C366,IF(MOVIMIENTOS!$B366="TRASIEGO","TRASIEGO cal. "&amp;MOVIMIENTOS!$C366,IF(MOVIMIENTOS!$B366="REGALO","REGALO "&amp;MOVIMIENTOS!$C366,IF(MOVIMIENTOS!$B366="VENTA","VENTA "&amp;MOVIMIENTOS!$C366,IF(MOVIMIENTOS!$B366="AJUSTE","AJUSTE inventario ("&amp;MOVIMIENTOS!$C366&amp;")",MOVIMIENTOS!$B366)))))))))),"")</f>
        <v/>
      </c>
      <c r="M367" t="str">
        <f>IF(AND(AND(MOVIMIENTOS!$B366&lt;&gt;"",NOT(AND(MOVIMIENTOS!$B366="PROCESO",MOVIMIENTOS!$C366&lt;&gt;"Chancho")),NOT(AND(MOVIMIENTOS!$B366="SALDO INICIAL",MOVIMIENTOS!$C366="Chancho"))),OR(MOVIMIENTOS!$B366="SALDO INICIAL",MOVIMIENTOS!$B366="COMPRA",MOVIMIENTOS!$B366="REPROCESO",AND(MOVIMIENTOS!$B366="AJUSTE",MOVIMIENTOS!$C366&lt;&gt;"Chancho",N(MOVIMIENTOS!$F366)&gt;=0))),N(MOVIMIENTOS!$F366),"")</f>
        <v/>
      </c>
      <c r="N367" t="str">
        <f>IF(AND(AND(MOVIMIENTOS!$B366&lt;&gt;"",NOT(AND(MOVIMIENTOS!$B366="PROCESO",MOVIMIENTOS!$C366&lt;&gt;"Chancho")),NOT(AND(MOVIMIENTOS!$B366="SALDO INICIAL",MOVIMIENTOS!$C366="Chancho"))),OR(MOVIMIENTOS!$B366="ENVÍO A SUPESA",MOVIMIENTOS!$B366="MALOGRADO",MOVIMIENTOS!$B366="OTRA SALIDA",MOVIMIENTOS!$B366="TRASIEGO",AND(MOVIMIENTOS!$B366="PROCESO",MOVIMIENTOS!$C366="Chancho"),AND(MOVIMIENTOS!$B366="REGALO",MOVIMIENTOS!$C366&lt;&gt;"Chancho"),AND(MOVIMIENTOS!$B366="VENTA",MOVIMIENTOS!$C366&lt;&gt;"Chancho"),AND(MOVIMIENTOS!$B366="AJUSTE",MOVIMIENTOS!$C366&lt;&gt;"Chancho",N(MOVIMIENTOS!$F366)&lt;0))),IF(MOVIMIENTOS!$B366="AJUSTE",-N(MOVIMIENTOS!$F366),N(MOVIMIENTOS!$F366)),"")</f>
        <v/>
      </c>
      <c r="O367" t="str">
        <f>IF(AND(MOVIMIENTOS!$B366&lt;&gt;"",NOT(AND(MOVIMIENTOS!$B366="PROCESO",MOVIMIENTOS!$C366&lt;&gt;"Chancho")),NOT(AND(MOVIMIENTOS!$B366="SALDO INICIAL",MOVIMIENTOS!$C366="Chancho"))),TRIM(IF(MOVIMIENTOS!$G366&lt;&gt;"",IF(MOVIMIENTOS!$B366="ENVÍO A SUPESA","G-"&amp;MOVIMIENTOS!$G366,MOVIMIENTOS!$G366)&amp;"  ","")&amp;IF(N(MOVIMIENTOS!$E366)&gt;0,MOVIMIENTOS!$E366&amp;" "&amp;MOVIMIENTOS!$D366,"")),"")</f>
        <v/>
      </c>
      <c r="P367">
        <f t="shared" si="41"/>
        <v>6138.5</v>
      </c>
    </row>
    <row r="368" spans="1:16" x14ac:dyDescent="0.2">
      <c r="A368" s="7" t="str">
        <f t="shared" si="35"/>
        <v/>
      </c>
      <c r="B368" s="8" t="str">
        <f t="shared" si="36"/>
        <v/>
      </c>
      <c r="C368" s="9" t="str">
        <f t="shared" si="37"/>
        <v/>
      </c>
      <c r="D368" s="9" t="str">
        <f t="shared" si="38"/>
        <v/>
      </c>
      <c r="E368" s="8" t="str">
        <f t="shared" si="39"/>
        <v/>
      </c>
      <c r="F368" s="9" t="str">
        <f t="shared" si="40"/>
        <v/>
      </c>
      <c r="J368" t="str">
        <f>IF(AND(MOVIMIENTOS!$B367&lt;&gt;"",NOT(AND(MOVIMIENTOS!$B367="PROCESO",MOVIMIENTOS!$C367&lt;&gt;"Chancho")),NOT(AND(MOVIMIENTOS!$B367="SALDO INICIAL",MOVIMIENTOS!$C367="Chancho"))),COUNT(J$5:J367)+1,"")</f>
        <v/>
      </c>
      <c r="K368" t="str">
        <f>IF(AND(MOVIMIENTOS!$B367&lt;&gt;"",NOT(AND(MOVIMIENTOS!$B367="PROCESO",MOVIMIENTOS!$C367&lt;&gt;"Chancho")),NOT(AND(MOVIMIENTOS!$B367="SALDO INICIAL",MOVIMIENTOS!$C367="Chancho"))),MOVIMIENTOS!$A367,"")</f>
        <v/>
      </c>
      <c r="L368" t="str">
        <f>IF(AND(MOVIMIENTOS!$B367&lt;&gt;"",NOT(AND(MOVIMIENTOS!$B367="PROCESO",MOVIMIENTOS!$C367&lt;&gt;"Chancho")),NOT(AND(MOVIMIENTOS!$B367="SALDO INICIAL",MOVIMIENTOS!$C367="Chancho"))),IF(MOVIMIENTOS!$B367="SALDO INICIAL","APERTURA ("&amp;MOVIMIENTOS!$C367&amp;")",IF(MOVIMIENTOS!$B367="COMPRA","INGRESO (compra)",IF(MOVIMIENTOS!$B367="PROCESO","CHANCHO (proceso)",IF(MOVIMIENTOS!$B367="ENVÍO A SUPESA","ENVÍO SUPESA cal. "&amp;MOVIMIENTOS!$C367,IF(MOVIMIENTOS!$B367="VENTA CHANCHO","VENTA CHANCHO",IF(MOVIMIENTOS!$B367="DEVOLUCIÓN","DEVOLUCIÓN cal. "&amp;MOVIMIENTOS!$C367,IF(MOVIMIENTOS!$B367="TRASIEGO","TRASIEGO cal. "&amp;MOVIMIENTOS!$C367,IF(MOVIMIENTOS!$B367="REGALO","REGALO "&amp;MOVIMIENTOS!$C367,IF(MOVIMIENTOS!$B367="VENTA","VENTA "&amp;MOVIMIENTOS!$C367,IF(MOVIMIENTOS!$B367="AJUSTE","AJUSTE inventario ("&amp;MOVIMIENTOS!$C367&amp;")",MOVIMIENTOS!$B367)))))))))),"")</f>
        <v/>
      </c>
      <c r="M368" t="str">
        <f>IF(AND(AND(MOVIMIENTOS!$B367&lt;&gt;"",NOT(AND(MOVIMIENTOS!$B367="PROCESO",MOVIMIENTOS!$C367&lt;&gt;"Chancho")),NOT(AND(MOVIMIENTOS!$B367="SALDO INICIAL",MOVIMIENTOS!$C367="Chancho"))),OR(MOVIMIENTOS!$B367="SALDO INICIAL",MOVIMIENTOS!$B367="COMPRA",MOVIMIENTOS!$B367="REPROCESO",AND(MOVIMIENTOS!$B367="AJUSTE",MOVIMIENTOS!$C367&lt;&gt;"Chancho",N(MOVIMIENTOS!$F367)&gt;=0))),N(MOVIMIENTOS!$F367),"")</f>
        <v/>
      </c>
      <c r="N368" t="str">
        <f>IF(AND(AND(MOVIMIENTOS!$B367&lt;&gt;"",NOT(AND(MOVIMIENTOS!$B367="PROCESO",MOVIMIENTOS!$C367&lt;&gt;"Chancho")),NOT(AND(MOVIMIENTOS!$B367="SALDO INICIAL",MOVIMIENTOS!$C367="Chancho"))),OR(MOVIMIENTOS!$B367="ENVÍO A SUPESA",MOVIMIENTOS!$B367="MALOGRADO",MOVIMIENTOS!$B367="OTRA SALIDA",MOVIMIENTOS!$B367="TRASIEGO",AND(MOVIMIENTOS!$B367="PROCESO",MOVIMIENTOS!$C367="Chancho"),AND(MOVIMIENTOS!$B367="REGALO",MOVIMIENTOS!$C367&lt;&gt;"Chancho"),AND(MOVIMIENTOS!$B367="VENTA",MOVIMIENTOS!$C367&lt;&gt;"Chancho"),AND(MOVIMIENTOS!$B367="AJUSTE",MOVIMIENTOS!$C367&lt;&gt;"Chancho",N(MOVIMIENTOS!$F367)&lt;0))),IF(MOVIMIENTOS!$B367="AJUSTE",-N(MOVIMIENTOS!$F367),N(MOVIMIENTOS!$F367)),"")</f>
        <v/>
      </c>
      <c r="O368" t="str">
        <f>IF(AND(MOVIMIENTOS!$B367&lt;&gt;"",NOT(AND(MOVIMIENTOS!$B367="PROCESO",MOVIMIENTOS!$C367&lt;&gt;"Chancho")),NOT(AND(MOVIMIENTOS!$B367="SALDO INICIAL",MOVIMIENTOS!$C367="Chancho"))),TRIM(IF(MOVIMIENTOS!$G367&lt;&gt;"",IF(MOVIMIENTOS!$B367="ENVÍO A SUPESA","G-"&amp;MOVIMIENTOS!$G367,MOVIMIENTOS!$G367)&amp;"  ","")&amp;IF(N(MOVIMIENTOS!$E367)&gt;0,MOVIMIENTOS!$E367&amp;" "&amp;MOVIMIENTOS!$D367,"")),"")</f>
        <v/>
      </c>
      <c r="P368">
        <f t="shared" si="41"/>
        <v>6138.5</v>
      </c>
    </row>
    <row r="369" spans="1:16" x14ac:dyDescent="0.2">
      <c r="A369" s="7" t="str">
        <f t="shared" si="35"/>
        <v/>
      </c>
      <c r="B369" s="8" t="str">
        <f t="shared" si="36"/>
        <v/>
      </c>
      <c r="C369" s="9" t="str">
        <f t="shared" si="37"/>
        <v/>
      </c>
      <c r="D369" s="9" t="str">
        <f t="shared" si="38"/>
        <v/>
      </c>
      <c r="E369" s="8" t="str">
        <f t="shared" si="39"/>
        <v/>
      </c>
      <c r="F369" s="9" t="str">
        <f t="shared" si="40"/>
        <v/>
      </c>
      <c r="J369" t="str">
        <f>IF(AND(MOVIMIENTOS!$B368&lt;&gt;"",NOT(AND(MOVIMIENTOS!$B368="PROCESO",MOVIMIENTOS!$C368&lt;&gt;"Chancho")),NOT(AND(MOVIMIENTOS!$B368="SALDO INICIAL",MOVIMIENTOS!$C368="Chancho"))),COUNT(J$5:J368)+1,"")</f>
        <v/>
      </c>
      <c r="K369" t="str">
        <f>IF(AND(MOVIMIENTOS!$B368&lt;&gt;"",NOT(AND(MOVIMIENTOS!$B368="PROCESO",MOVIMIENTOS!$C368&lt;&gt;"Chancho")),NOT(AND(MOVIMIENTOS!$B368="SALDO INICIAL",MOVIMIENTOS!$C368="Chancho"))),MOVIMIENTOS!$A368,"")</f>
        <v/>
      </c>
      <c r="L369" t="str">
        <f>IF(AND(MOVIMIENTOS!$B368&lt;&gt;"",NOT(AND(MOVIMIENTOS!$B368="PROCESO",MOVIMIENTOS!$C368&lt;&gt;"Chancho")),NOT(AND(MOVIMIENTOS!$B368="SALDO INICIAL",MOVIMIENTOS!$C368="Chancho"))),IF(MOVIMIENTOS!$B368="SALDO INICIAL","APERTURA ("&amp;MOVIMIENTOS!$C368&amp;")",IF(MOVIMIENTOS!$B368="COMPRA","INGRESO (compra)",IF(MOVIMIENTOS!$B368="PROCESO","CHANCHO (proceso)",IF(MOVIMIENTOS!$B368="ENVÍO A SUPESA","ENVÍO SUPESA cal. "&amp;MOVIMIENTOS!$C368,IF(MOVIMIENTOS!$B368="VENTA CHANCHO","VENTA CHANCHO",IF(MOVIMIENTOS!$B368="DEVOLUCIÓN","DEVOLUCIÓN cal. "&amp;MOVIMIENTOS!$C368,IF(MOVIMIENTOS!$B368="TRASIEGO","TRASIEGO cal. "&amp;MOVIMIENTOS!$C368,IF(MOVIMIENTOS!$B368="REGALO","REGALO "&amp;MOVIMIENTOS!$C368,IF(MOVIMIENTOS!$B368="VENTA","VENTA "&amp;MOVIMIENTOS!$C368,IF(MOVIMIENTOS!$B368="AJUSTE","AJUSTE inventario ("&amp;MOVIMIENTOS!$C368&amp;")",MOVIMIENTOS!$B368)))))))))),"")</f>
        <v/>
      </c>
      <c r="M369" t="str">
        <f>IF(AND(AND(MOVIMIENTOS!$B368&lt;&gt;"",NOT(AND(MOVIMIENTOS!$B368="PROCESO",MOVIMIENTOS!$C368&lt;&gt;"Chancho")),NOT(AND(MOVIMIENTOS!$B368="SALDO INICIAL",MOVIMIENTOS!$C368="Chancho"))),OR(MOVIMIENTOS!$B368="SALDO INICIAL",MOVIMIENTOS!$B368="COMPRA",MOVIMIENTOS!$B368="REPROCESO",AND(MOVIMIENTOS!$B368="AJUSTE",MOVIMIENTOS!$C368&lt;&gt;"Chancho",N(MOVIMIENTOS!$F368)&gt;=0))),N(MOVIMIENTOS!$F368),"")</f>
        <v/>
      </c>
      <c r="N369" t="str">
        <f>IF(AND(AND(MOVIMIENTOS!$B368&lt;&gt;"",NOT(AND(MOVIMIENTOS!$B368="PROCESO",MOVIMIENTOS!$C368&lt;&gt;"Chancho")),NOT(AND(MOVIMIENTOS!$B368="SALDO INICIAL",MOVIMIENTOS!$C368="Chancho"))),OR(MOVIMIENTOS!$B368="ENVÍO A SUPESA",MOVIMIENTOS!$B368="MALOGRADO",MOVIMIENTOS!$B368="OTRA SALIDA",MOVIMIENTOS!$B368="TRASIEGO",AND(MOVIMIENTOS!$B368="PROCESO",MOVIMIENTOS!$C368="Chancho"),AND(MOVIMIENTOS!$B368="REGALO",MOVIMIENTOS!$C368&lt;&gt;"Chancho"),AND(MOVIMIENTOS!$B368="VENTA",MOVIMIENTOS!$C368&lt;&gt;"Chancho"),AND(MOVIMIENTOS!$B368="AJUSTE",MOVIMIENTOS!$C368&lt;&gt;"Chancho",N(MOVIMIENTOS!$F368)&lt;0))),IF(MOVIMIENTOS!$B368="AJUSTE",-N(MOVIMIENTOS!$F368),N(MOVIMIENTOS!$F368)),"")</f>
        <v/>
      </c>
      <c r="O369" t="str">
        <f>IF(AND(MOVIMIENTOS!$B368&lt;&gt;"",NOT(AND(MOVIMIENTOS!$B368="PROCESO",MOVIMIENTOS!$C368&lt;&gt;"Chancho")),NOT(AND(MOVIMIENTOS!$B368="SALDO INICIAL",MOVIMIENTOS!$C368="Chancho"))),TRIM(IF(MOVIMIENTOS!$G368&lt;&gt;"",IF(MOVIMIENTOS!$B368="ENVÍO A SUPESA","G-"&amp;MOVIMIENTOS!$G368,MOVIMIENTOS!$G368)&amp;"  ","")&amp;IF(N(MOVIMIENTOS!$E368)&gt;0,MOVIMIENTOS!$E368&amp;" "&amp;MOVIMIENTOS!$D368,"")),"")</f>
        <v/>
      </c>
      <c r="P369">
        <f t="shared" si="41"/>
        <v>6138.5</v>
      </c>
    </row>
    <row r="370" spans="1:16" x14ac:dyDescent="0.2">
      <c r="A370" s="7" t="str">
        <f t="shared" si="35"/>
        <v/>
      </c>
      <c r="B370" s="8" t="str">
        <f t="shared" si="36"/>
        <v/>
      </c>
      <c r="C370" s="9" t="str">
        <f t="shared" si="37"/>
        <v/>
      </c>
      <c r="D370" s="9" t="str">
        <f t="shared" si="38"/>
        <v/>
      </c>
      <c r="E370" s="8" t="str">
        <f t="shared" si="39"/>
        <v/>
      </c>
      <c r="F370" s="9" t="str">
        <f t="shared" si="40"/>
        <v/>
      </c>
      <c r="J370" t="str">
        <f>IF(AND(MOVIMIENTOS!$B369&lt;&gt;"",NOT(AND(MOVIMIENTOS!$B369="PROCESO",MOVIMIENTOS!$C369&lt;&gt;"Chancho")),NOT(AND(MOVIMIENTOS!$B369="SALDO INICIAL",MOVIMIENTOS!$C369="Chancho"))),COUNT(J$5:J369)+1,"")</f>
        <v/>
      </c>
      <c r="K370" t="str">
        <f>IF(AND(MOVIMIENTOS!$B369&lt;&gt;"",NOT(AND(MOVIMIENTOS!$B369="PROCESO",MOVIMIENTOS!$C369&lt;&gt;"Chancho")),NOT(AND(MOVIMIENTOS!$B369="SALDO INICIAL",MOVIMIENTOS!$C369="Chancho"))),MOVIMIENTOS!$A369,"")</f>
        <v/>
      </c>
      <c r="L370" t="str">
        <f>IF(AND(MOVIMIENTOS!$B369&lt;&gt;"",NOT(AND(MOVIMIENTOS!$B369="PROCESO",MOVIMIENTOS!$C369&lt;&gt;"Chancho")),NOT(AND(MOVIMIENTOS!$B369="SALDO INICIAL",MOVIMIENTOS!$C369="Chancho"))),IF(MOVIMIENTOS!$B369="SALDO INICIAL","APERTURA ("&amp;MOVIMIENTOS!$C369&amp;")",IF(MOVIMIENTOS!$B369="COMPRA","INGRESO (compra)",IF(MOVIMIENTOS!$B369="PROCESO","CHANCHO (proceso)",IF(MOVIMIENTOS!$B369="ENVÍO A SUPESA","ENVÍO SUPESA cal. "&amp;MOVIMIENTOS!$C369,IF(MOVIMIENTOS!$B369="VENTA CHANCHO","VENTA CHANCHO",IF(MOVIMIENTOS!$B369="DEVOLUCIÓN","DEVOLUCIÓN cal. "&amp;MOVIMIENTOS!$C369,IF(MOVIMIENTOS!$B369="TRASIEGO","TRASIEGO cal. "&amp;MOVIMIENTOS!$C369,IF(MOVIMIENTOS!$B369="REGALO","REGALO "&amp;MOVIMIENTOS!$C369,IF(MOVIMIENTOS!$B369="VENTA","VENTA "&amp;MOVIMIENTOS!$C369,IF(MOVIMIENTOS!$B369="AJUSTE","AJUSTE inventario ("&amp;MOVIMIENTOS!$C369&amp;")",MOVIMIENTOS!$B369)))))))))),"")</f>
        <v/>
      </c>
      <c r="M370" t="str">
        <f>IF(AND(AND(MOVIMIENTOS!$B369&lt;&gt;"",NOT(AND(MOVIMIENTOS!$B369="PROCESO",MOVIMIENTOS!$C369&lt;&gt;"Chancho")),NOT(AND(MOVIMIENTOS!$B369="SALDO INICIAL",MOVIMIENTOS!$C369="Chancho"))),OR(MOVIMIENTOS!$B369="SALDO INICIAL",MOVIMIENTOS!$B369="COMPRA",MOVIMIENTOS!$B369="REPROCESO",AND(MOVIMIENTOS!$B369="AJUSTE",MOVIMIENTOS!$C369&lt;&gt;"Chancho",N(MOVIMIENTOS!$F369)&gt;=0))),N(MOVIMIENTOS!$F369),"")</f>
        <v/>
      </c>
      <c r="N370" t="str">
        <f>IF(AND(AND(MOVIMIENTOS!$B369&lt;&gt;"",NOT(AND(MOVIMIENTOS!$B369="PROCESO",MOVIMIENTOS!$C369&lt;&gt;"Chancho")),NOT(AND(MOVIMIENTOS!$B369="SALDO INICIAL",MOVIMIENTOS!$C369="Chancho"))),OR(MOVIMIENTOS!$B369="ENVÍO A SUPESA",MOVIMIENTOS!$B369="MALOGRADO",MOVIMIENTOS!$B369="OTRA SALIDA",MOVIMIENTOS!$B369="TRASIEGO",AND(MOVIMIENTOS!$B369="PROCESO",MOVIMIENTOS!$C369="Chancho"),AND(MOVIMIENTOS!$B369="REGALO",MOVIMIENTOS!$C369&lt;&gt;"Chancho"),AND(MOVIMIENTOS!$B369="VENTA",MOVIMIENTOS!$C369&lt;&gt;"Chancho"),AND(MOVIMIENTOS!$B369="AJUSTE",MOVIMIENTOS!$C369&lt;&gt;"Chancho",N(MOVIMIENTOS!$F369)&lt;0))),IF(MOVIMIENTOS!$B369="AJUSTE",-N(MOVIMIENTOS!$F369),N(MOVIMIENTOS!$F369)),"")</f>
        <v/>
      </c>
      <c r="O370" t="str">
        <f>IF(AND(MOVIMIENTOS!$B369&lt;&gt;"",NOT(AND(MOVIMIENTOS!$B369="PROCESO",MOVIMIENTOS!$C369&lt;&gt;"Chancho")),NOT(AND(MOVIMIENTOS!$B369="SALDO INICIAL",MOVIMIENTOS!$C369="Chancho"))),TRIM(IF(MOVIMIENTOS!$G369&lt;&gt;"",IF(MOVIMIENTOS!$B369="ENVÍO A SUPESA","G-"&amp;MOVIMIENTOS!$G369,MOVIMIENTOS!$G369)&amp;"  ","")&amp;IF(N(MOVIMIENTOS!$E369)&gt;0,MOVIMIENTOS!$E369&amp;" "&amp;MOVIMIENTOS!$D369,"")),"")</f>
        <v/>
      </c>
      <c r="P370">
        <f t="shared" si="41"/>
        <v>6138.5</v>
      </c>
    </row>
    <row r="371" spans="1:16" x14ac:dyDescent="0.2">
      <c r="A371" s="7" t="str">
        <f t="shared" si="35"/>
        <v/>
      </c>
      <c r="B371" s="8" t="str">
        <f t="shared" si="36"/>
        <v/>
      </c>
      <c r="C371" s="9" t="str">
        <f t="shared" si="37"/>
        <v/>
      </c>
      <c r="D371" s="9" t="str">
        <f t="shared" si="38"/>
        <v/>
      </c>
      <c r="E371" s="8" t="str">
        <f t="shared" si="39"/>
        <v/>
      </c>
      <c r="F371" s="9" t="str">
        <f t="shared" si="40"/>
        <v/>
      </c>
      <c r="J371" t="str">
        <f>IF(AND(MOVIMIENTOS!$B370&lt;&gt;"",NOT(AND(MOVIMIENTOS!$B370="PROCESO",MOVIMIENTOS!$C370&lt;&gt;"Chancho")),NOT(AND(MOVIMIENTOS!$B370="SALDO INICIAL",MOVIMIENTOS!$C370="Chancho"))),COUNT(J$5:J370)+1,"")</f>
        <v/>
      </c>
      <c r="K371" t="str">
        <f>IF(AND(MOVIMIENTOS!$B370&lt;&gt;"",NOT(AND(MOVIMIENTOS!$B370="PROCESO",MOVIMIENTOS!$C370&lt;&gt;"Chancho")),NOT(AND(MOVIMIENTOS!$B370="SALDO INICIAL",MOVIMIENTOS!$C370="Chancho"))),MOVIMIENTOS!$A370,"")</f>
        <v/>
      </c>
      <c r="L371" t="str">
        <f>IF(AND(MOVIMIENTOS!$B370&lt;&gt;"",NOT(AND(MOVIMIENTOS!$B370="PROCESO",MOVIMIENTOS!$C370&lt;&gt;"Chancho")),NOT(AND(MOVIMIENTOS!$B370="SALDO INICIAL",MOVIMIENTOS!$C370="Chancho"))),IF(MOVIMIENTOS!$B370="SALDO INICIAL","APERTURA ("&amp;MOVIMIENTOS!$C370&amp;")",IF(MOVIMIENTOS!$B370="COMPRA","INGRESO (compra)",IF(MOVIMIENTOS!$B370="PROCESO","CHANCHO (proceso)",IF(MOVIMIENTOS!$B370="ENVÍO A SUPESA","ENVÍO SUPESA cal. "&amp;MOVIMIENTOS!$C370,IF(MOVIMIENTOS!$B370="VENTA CHANCHO","VENTA CHANCHO",IF(MOVIMIENTOS!$B370="DEVOLUCIÓN","DEVOLUCIÓN cal. "&amp;MOVIMIENTOS!$C370,IF(MOVIMIENTOS!$B370="TRASIEGO","TRASIEGO cal. "&amp;MOVIMIENTOS!$C370,IF(MOVIMIENTOS!$B370="REGALO","REGALO "&amp;MOVIMIENTOS!$C370,IF(MOVIMIENTOS!$B370="VENTA","VENTA "&amp;MOVIMIENTOS!$C370,IF(MOVIMIENTOS!$B370="AJUSTE","AJUSTE inventario ("&amp;MOVIMIENTOS!$C370&amp;")",MOVIMIENTOS!$B370)))))))))),"")</f>
        <v/>
      </c>
      <c r="M371" t="str">
        <f>IF(AND(AND(MOVIMIENTOS!$B370&lt;&gt;"",NOT(AND(MOVIMIENTOS!$B370="PROCESO",MOVIMIENTOS!$C370&lt;&gt;"Chancho")),NOT(AND(MOVIMIENTOS!$B370="SALDO INICIAL",MOVIMIENTOS!$C370="Chancho"))),OR(MOVIMIENTOS!$B370="SALDO INICIAL",MOVIMIENTOS!$B370="COMPRA",MOVIMIENTOS!$B370="REPROCESO",AND(MOVIMIENTOS!$B370="AJUSTE",MOVIMIENTOS!$C370&lt;&gt;"Chancho",N(MOVIMIENTOS!$F370)&gt;=0))),N(MOVIMIENTOS!$F370),"")</f>
        <v/>
      </c>
      <c r="N371" t="str">
        <f>IF(AND(AND(MOVIMIENTOS!$B370&lt;&gt;"",NOT(AND(MOVIMIENTOS!$B370="PROCESO",MOVIMIENTOS!$C370&lt;&gt;"Chancho")),NOT(AND(MOVIMIENTOS!$B370="SALDO INICIAL",MOVIMIENTOS!$C370="Chancho"))),OR(MOVIMIENTOS!$B370="ENVÍO A SUPESA",MOVIMIENTOS!$B370="MALOGRADO",MOVIMIENTOS!$B370="OTRA SALIDA",MOVIMIENTOS!$B370="TRASIEGO",AND(MOVIMIENTOS!$B370="PROCESO",MOVIMIENTOS!$C370="Chancho"),AND(MOVIMIENTOS!$B370="REGALO",MOVIMIENTOS!$C370&lt;&gt;"Chancho"),AND(MOVIMIENTOS!$B370="VENTA",MOVIMIENTOS!$C370&lt;&gt;"Chancho"),AND(MOVIMIENTOS!$B370="AJUSTE",MOVIMIENTOS!$C370&lt;&gt;"Chancho",N(MOVIMIENTOS!$F370)&lt;0))),IF(MOVIMIENTOS!$B370="AJUSTE",-N(MOVIMIENTOS!$F370),N(MOVIMIENTOS!$F370)),"")</f>
        <v/>
      </c>
      <c r="O371" t="str">
        <f>IF(AND(MOVIMIENTOS!$B370&lt;&gt;"",NOT(AND(MOVIMIENTOS!$B370="PROCESO",MOVIMIENTOS!$C370&lt;&gt;"Chancho")),NOT(AND(MOVIMIENTOS!$B370="SALDO INICIAL",MOVIMIENTOS!$C370="Chancho"))),TRIM(IF(MOVIMIENTOS!$G370&lt;&gt;"",IF(MOVIMIENTOS!$B370="ENVÍO A SUPESA","G-"&amp;MOVIMIENTOS!$G370,MOVIMIENTOS!$G370)&amp;"  ","")&amp;IF(N(MOVIMIENTOS!$E370)&gt;0,MOVIMIENTOS!$E370&amp;" "&amp;MOVIMIENTOS!$D370,"")),"")</f>
        <v/>
      </c>
      <c r="P371">
        <f t="shared" si="41"/>
        <v>6138.5</v>
      </c>
    </row>
    <row r="372" spans="1:16" x14ac:dyDescent="0.2">
      <c r="A372" s="7" t="str">
        <f t="shared" si="35"/>
        <v/>
      </c>
      <c r="B372" s="8" t="str">
        <f t="shared" si="36"/>
        <v/>
      </c>
      <c r="C372" s="9" t="str">
        <f t="shared" si="37"/>
        <v/>
      </c>
      <c r="D372" s="9" t="str">
        <f t="shared" si="38"/>
        <v/>
      </c>
      <c r="E372" s="8" t="str">
        <f t="shared" si="39"/>
        <v/>
      </c>
      <c r="F372" s="9" t="str">
        <f t="shared" si="40"/>
        <v/>
      </c>
      <c r="J372" t="str">
        <f>IF(AND(MOVIMIENTOS!$B371&lt;&gt;"",NOT(AND(MOVIMIENTOS!$B371="PROCESO",MOVIMIENTOS!$C371&lt;&gt;"Chancho")),NOT(AND(MOVIMIENTOS!$B371="SALDO INICIAL",MOVIMIENTOS!$C371="Chancho"))),COUNT(J$5:J371)+1,"")</f>
        <v/>
      </c>
      <c r="K372" t="str">
        <f>IF(AND(MOVIMIENTOS!$B371&lt;&gt;"",NOT(AND(MOVIMIENTOS!$B371="PROCESO",MOVIMIENTOS!$C371&lt;&gt;"Chancho")),NOT(AND(MOVIMIENTOS!$B371="SALDO INICIAL",MOVIMIENTOS!$C371="Chancho"))),MOVIMIENTOS!$A371,"")</f>
        <v/>
      </c>
      <c r="L372" t="str">
        <f>IF(AND(MOVIMIENTOS!$B371&lt;&gt;"",NOT(AND(MOVIMIENTOS!$B371="PROCESO",MOVIMIENTOS!$C371&lt;&gt;"Chancho")),NOT(AND(MOVIMIENTOS!$B371="SALDO INICIAL",MOVIMIENTOS!$C371="Chancho"))),IF(MOVIMIENTOS!$B371="SALDO INICIAL","APERTURA ("&amp;MOVIMIENTOS!$C371&amp;")",IF(MOVIMIENTOS!$B371="COMPRA","INGRESO (compra)",IF(MOVIMIENTOS!$B371="PROCESO","CHANCHO (proceso)",IF(MOVIMIENTOS!$B371="ENVÍO A SUPESA","ENVÍO SUPESA cal. "&amp;MOVIMIENTOS!$C371,IF(MOVIMIENTOS!$B371="VENTA CHANCHO","VENTA CHANCHO",IF(MOVIMIENTOS!$B371="DEVOLUCIÓN","DEVOLUCIÓN cal. "&amp;MOVIMIENTOS!$C371,IF(MOVIMIENTOS!$B371="TRASIEGO","TRASIEGO cal. "&amp;MOVIMIENTOS!$C371,IF(MOVIMIENTOS!$B371="REGALO","REGALO "&amp;MOVIMIENTOS!$C371,IF(MOVIMIENTOS!$B371="VENTA","VENTA "&amp;MOVIMIENTOS!$C371,IF(MOVIMIENTOS!$B371="AJUSTE","AJUSTE inventario ("&amp;MOVIMIENTOS!$C371&amp;")",MOVIMIENTOS!$B371)))))))))),"")</f>
        <v/>
      </c>
      <c r="M372" t="str">
        <f>IF(AND(AND(MOVIMIENTOS!$B371&lt;&gt;"",NOT(AND(MOVIMIENTOS!$B371="PROCESO",MOVIMIENTOS!$C371&lt;&gt;"Chancho")),NOT(AND(MOVIMIENTOS!$B371="SALDO INICIAL",MOVIMIENTOS!$C371="Chancho"))),OR(MOVIMIENTOS!$B371="SALDO INICIAL",MOVIMIENTOS!$B371="COMPRA",MOVIMIENTOS!$B371="REPROCESO",AND(MOVIMIENTOS!$B371="AJUSTE",MOVIMIENTOS!$C371&lt;&gt;"Chancho",N(MOVIMIENTOS!$F371)&gt;=0))),N(MOVIMIENTOS!$F371),"")</f>
        <v/>
      </c>
      <c r="N372" t="str">
        <f>IF(AND(AND(MOVIMIENTOS!$B371&lt;&gt;"",NOT(AND(MOVIMIENTOS!$B371="PROCESO",MOVIMIENTOS!$C371&lt;&gt;"Chancho")),NOT(AND(MOVIMIENTOS!$B371="SALDO INICIAL",MOVIMIENTOS!$C371="Chancho"))),OR(MOVIMIENTOS!$B371="ENVÍO A SUPESA",MOVIMIENTOS!$B371="MALOGRADO",MOVIMIENTOS!$B371="OTRA SALIDA",MOVIMIENTOS!$B371="TRASIEGO",AND(MOVIMIENTOS!$B371="PROCESO",MOVIMIENTOS!$C371="Chancho"),AND(MOVIMIENTOS!$B371="REGALO",MOVIMIENTOS!$C371&lt;&gt;"Chancho"),AND(MOVIMIENTOS!$B371="VENTA",MOVIMIENTOS!$C371&lt;&gt;"Chancho"),AND(MOVIMIENTOS!$B371="AJUSTE",MOVIMIENTOS!$C371&lt;&gt;"Chancho",N(MOVIMIENTOS!$F371)&lt;0))),IF(MOVIMIENTOS!$B371="AJUSTE",-N(MOVIMIENTOS!$F371),N(MOVIMIENTOS!$F371)),"")</f>
        <v/>
      </c>
      <c r="O372" t="str">
        <f>IF(AND(MOVIMIENTOS!$B371&lt;&gt;"",NOT(AND(MOVIMIENTOS!$B371="PROCESO",MOVIMIENTOS!$C371&lt;&gt;"Chancho")),NOT(AND(MOVIMIENTOS!$B371="SALDO INICIAL",MOVIMIENTOS!$C371="Chancho"))),TRIM(IF(MOVIMIENTOS!$G371&lt;&gt;"",IF(MOVIMIENTOS!$B371="ENVÍO A SUPESA","G-"&amp;MOVIMIENTOS!$G371,MOVIMIENTOS!$G371)&amp;"  ","")&amp;IF(N(MOVIMIENTOS!$E371)&gt;0,MOVIMIENTOS!$E371&amp;" "&amp;MOVIMIENTOS!$D371,"")),"")</f>
        <v/>
      </c>
      <c r="P372">
        <f t="shared" si="41"/>
        <v>6138.5</v>
      </c>
    </row>
    <row r="373" spans="1:16" x14ac:dyDescent="0.2">
      <c r="A373" s="7" t="str">
        <f t="shared" si="35"/>
        <v/>
      </c>
      <c r="B373" s="8" t="str">
        <f t="shared" si="36"/>
        <v/>
      </c>
      <c r="C373" s="9" t="str">
        <f t="shared" si="37"/>
        <v/>
      </c>
      <c r="D373" s="9" t="str">
        <f t="shared" si="38"/>
        <v/>
      </c>
      <c r="E373" s="8" t="str">
        <f t="shared" si="39"/>
        <v/>
      </c>
      <c r="F373" s="9" t="str">
        <f t="shared" si="40"/>
        <v/>
      </c>
      <c r="J373" t="str">
        <f>IF(AND(MOVIMIENTOS!$B372&lt;&gt;"",NOT(AND(MOVIMIENTOS!$B372="PROCESO",MOVIMIENTOS!$C372&lt;&gt;"Chancho")),NOT(AND(MOVIMIENTOS!$B372="SALDO INICIAL",MOVIMIENTOS!$C372="Chancho"))),COUNT(J$5:J372)+1,"")</f>
        <v/>
      </c>
      <c r="K373" t="str">
        <f>IF(AND(MOVIMIENTOS!$B372&lt;&gt;"",NOT(AND(MOVIMIENTOS!$B372="PROCESO",MOVIMIENTOS!$C372&lt;&gt;"Chancho")),NOT(AND(MOVIMIENTOS!$B372="SALDO INICIAL",MOVIMIENTOS!$C372="Chancho"))),MOVIMIENTOS!$A372,"")</f>
        <v/>
      </c>
      <c r="L373" t="str">
        <f>IF(AND(MOVIMIENTOS!$B372&lt;&gt;"",NOT(AND(MOVIMIENTOS!$B372="PROCESO",MOVIMIENTOS!$C372&lt;&gt;"Chancho")),NOT(AND(MOVIMIENTOS!$B372="SALDO INICIAL",MOVIMIENTOS!$C372="Chancho"))),IF(MOVIMIENTOS!$B372="SALDO INICIAL","APERTURA ("&amp;MOVIMIENTOS!$C372&amp;")",IF(MOVIMIENTOS!$B372="COMPRA","INGRESO (compra)",IF(MOVIMIENTOS!$B372="PROCESO","CHANCHO (proceso)",IF(MOVIMIENTOS!$B372="ENVÍO A SUPESA","ENVÍO SUPESA cal. "&amp;MOVIMIENTOS!$C372,IF(MOVIMIENTOS!$B372="VENTA CHANCHO","VENTA CHANCHO",IF(MOVIMIENTOS!$B372="DEVOLUCIÓN","DEVOLUCIÓN cal. "&amp;MOVIMIENTOS!$C372,IF(MOVIMIENTOS!$B372="TRASIEGO","TRASIEGO cal. "&amp;MOVIMIENTOS!$C372,IF(MOVIMIENTOS!$B372="REGALO","REGALO "&amp;MOVIMIENTOS!$C372,IF(MOVIMIENTOS!$B372="VENTA","VENTA "&amp;MOVIMIENTOS!$C372,IF(MOVIMIENTOS!$B372="AJUSTE","AJUSTE inventario ("&amp;MOVIMIENTOS!$C372&amp;")",MOVIMIENTOS!$B372)))))))))),"")</f>
        <v/>
      </c>
      <c r="M373" t="str">
        <f>IF(AND(AND(MOVIMIENTOS!$B372&lt;&gt;"",NOT(AND(MOVIMIENTOS!$B372="PROCESO",MOVIMIENTOS!$C372&lt;&gt;"Chancho")),NOT(AND(MOVIMIENTOS!$B372="SALDO INICIAL",MOVIMIENTOS!$C372="Chancho"))),OR(MOVIMIENTOS!$B372="SALDO INICIAL",MOVIMIENTOS!$B372="COMPRA",MOVIMIENTOS!$B372="REPROCESO",AND(MOVIMIENTOS!$B372="AJUSTE",MOVIMIENTOS!$C372&lt;&gt;"Chancho",N(MOVIMIENTOS!$F372)&gt;=0))),N(MOVIMIENTOS!$F372),"")</f>
        <v/>
      </c>
      <c r="N373" t="str">
        <f>IF(AND(AND(MOVIMIENTOS!$B372&lt;&gt;"",NOT(AND(MOVIMIENTOS!$B372="PROCESO",MOVIMIENTOS!$C372&lt;&gt;"Chancho")),NOT(AND(MOVIMIENTOS!$B372="SALDO INICIAL",MOVIMIENTOS!$C372="Chancho"))),OR(MOVIMIENTOS!$B372="ENVÍO A SUPESA",MOVIMIENTOS!$B372="MALOGRADO",MOVIMIENTOS!$B372="OTRA SALIDA",MOVIMIENTOS!$B372="TRASIEGO",AND(MOVIMIENTOS!$B372="PROCESO",MOVIMIENTOS!$C372="Chancho"),AND(MOVIMIENTOS!$B372="REGALO",MOVIMIENTOS!$C372&lt;&gt;"Chancho"),AND(MOVIMIENTOS!$B372="VENTA",MOVIMIENTOS!$C372&lt;&gt;"Chancho"),AND(MOVIMIENTOS!$B372="AJUSTE",MOVIMIENTOS!$C372&lt;&gt;"Chancho",N(MOVIMIENTOS!$F372)&lt;0))),IF(MOVIMIENTOS!$B372="AJUSTE",-N(MOVIMIENTOS!$F372),N(MOVIMIENTOS!$F372)),"")</f>
        <v/>
      </c>
      <c r="O373" t="str">
        <f>IF(AND(MOVIMIENTOS!$B372&lt;&gt;"",NOT(AND(MOVIMIENTOS!$B372="PROCESO",MOVIMIENTOS!$C372&lt;&gt;"Chancho")),NOT(AND(MOVIMIENTOS!$B372="SALDO INICIAL",MOVIMIENTOS!$C372="Chancho"))),TRIM(IF(MOVIMIENTOS!$G372&lt;&gt;"",IF(MOVIMIENTOS!$B372="ENVÍO A SUPESA","G-"&amp;MOVIMIENTOS!$G372,MOVIMIENTOS!$G372)&amp;"  ","")&amp;IF(N(MOVIMIENTOS!$E372)&gt;0,MOVIMIENTOS!$E372&amp;" "&amp;MOVIMIENTOS!$D372,"")),"")</f>
        <v/>
      </c>
      <c r="P373">
        <f t="shared" si="41"/>
        <v>6138.5</v>
      </c>
    </row>
    <row r="374" spans="1:16" x14ac:dyDescent="0.2">
      <c r="A374" s="7" t="str">
        <f t="shared" si="35"/>
        <v/>
      </c>
      <c r="B374" s="8" t="str">
        <f t="shared" si="36"/>
        <v/>
      </c>
      <c r="C374" s="9" t="str">
        <f t="shared" si="37"/>
        <v/>
      </c>
      <c r="D374" s="9" t="str">
        <f t="shared" si="38"/>
        <v/>
      </c>
      <c r="E374" s="8" t="str">
        <f t="shared" si="39"/>
        <v/>
      </c>
      <c r="F374" s="9" t="str">
        <f t="shared" si="40"/>
        <v/>
      </c>
      <c r="J374" t="str">
        <f>IF(AND(MOVIMIENTOS!$B373&lt;&gt;"",NOT(AND(MOVIMIENTOS!$B373="PROCESO",MOVIMIENTOS!$C373&lt;&gt;"Chancho")),NOT(AND(MOVIMIENTOS!$B373="SALDO INICIAL",MOVIMIENTOS!$C373="Chancho"))),COUNT(J$5:J373)+1,"")</f>
        <v/>
      </c>
      <c r="K374" t="str">
        <f>IF(AND(MOVIMIENTOS!$B373&lt;&gt;"",NOT(AND(MOVIMIENTOS!$B373="PROCESO",MOVIMIENTOS!$C373&lt;&gt;"Chancho")),NOT(AND(MOVIMIENTOS!$B373="SALDO INICIAL",MOVIMIENTOS!$C373="Chancho"))),MOVIMIENTOS!$A373,"")</f>
        <v/>
      </c>
      <c r="L374" t="str">
        <f>IF(AND(MOVIMIENTOS!$B373&lt;&gt;"",NOT(AND(MOVIMIENTOS!$B373="PROCESO",MOVIMIENTOS!$C373&lt;&gt;"Chancho")),NOT(AND(MOVIMIENTOS!$B373="SALDO INICIAL",MOVIMIENTOS!$C373="Chancho"))),IF(MOVIMIENTOS!$B373="SALDO INICIAL","APERTURA ("&amp;MOVIMIENTOS!$C373&amp;")",IF(MOVIMIENTOS!$B373="COMPRA","INGRESO (compra)",IF(MOVIMIENTOS!$B373="PROCESO","CHANCHO (proceso)",IF(MOVIMIENTOS!$B373="ENVÍO A SUPESA","ENVÍO SUPESA cal. "&amp;MOVIMIENTOS!$C373,IF(MOVIMIENTOS!$B373="VENTA CHANCHO","VENTA CHANCHO",IF(MOVIMIENTOS!$B373="DEVOLUCIÓN","DEVOLUCIÓN cal. "&amp;MOVIMIENTOS!$C373,IF(MOVIMIENTOS!$B373="TRASIEGO","TRASIEGO cal. "&amp;MOVIMIENTOS!$C373,IF(MOVIMIENTOS!$B373="REGALO","REGALO "&amp;MOVIMIENTOS!$C373,IF(MOVIMIENTOS!$B373="VENTA","VENTA "&amp;MOVIMIENTOS!$C373,IF(MOVIMIENTOS!$B373="AJUSTE","AJUSTE inventario ("&amp;MOVIMIENTOS!$C373&amp;")",MOVIMIENTOS!$B373)))))))))),"")</f>
        <v/>
      </c>
      <c r="M374" t="str">
        <f>IF(AND(AND(MOVIMIENTOS!$B373&lt;&gt;"",NOT(AND(MOVIMIENTOS!$B373="PROCESO",MOVIMIENTOS!$C373&lt;&gt;"Chancho")),NOT(AND(MOVIMIENTOS!$B373="SALDO INICIAL",MOVIMIENTOS!$C373="Chancho"))),OR(MOVIMIENTOS!$B373="SALDO INICIAL",MOVIMIENTOS!$B373="COMPRA",MOVIMIENTOS!$B373="REPROCESO",AND(MOVIMIENTOS!$B373="AJUSTE",MOVIMIENTOS!$C373&lt;&gt;"Chancho",N(MOVIMIENTOS!$F373)&gt;=0))),N(MOVIMIENTOS!$F373),"")</f>
        <v/>
      </c>
      <c r="N374" t="str">
        <f>IF(AND(AND(MOVIMIENTOS!$B373&lt;&gt;"",NOT(AND(MOVIMIENTOS!$B373="PROCESO",MOVIMIENTOS!$C373&lt;&gt;"Chancho")),NOT(AND(MOVIMIENTOS!$B373="SALDO INICIAL",MOVIMIENTOS!$C373="Chancho"))),OR(MOVIMIENTOS!$B373="ENVÍO A SUPESA",MOVIMIENTOS!$B373="MALOGRADO",MOVIMIENTOS!$B373="OTRA SALIDA",MOVIMIENTOS!$B373="TRASIEGO",AND(MOVIMIENTOS!$B373="PROCESO",MOVIMIENTOS!$C373="Chancho"),AND(MOVIMIENTOS!$B373="REGALO",MOVIMIENTOS!$C373&lt;&gt;"Chancho"),AND(MOVIMIENTOS!$B373="VENTA",MOVIMIENTOS!$C373&lt;&gt;"Chancho"),AND(MOVIMIENTOS!$B373="AJUSTE",MOVIMIENTOS!$C373&lt;&gt;"Chancho",N(MOVIMIENTOS!$F373)&lt;0))),IF(MOVIMIENTOS!$B373="AJUSTE",-N(MOVIMIENTOS!$F373),N(MOVIMIENTOS!$F373)),"")</f>
        <v/>
      </c>
      <c r="O374" t="str">
        <f>IF(AND(MOVIMIENTOS!$B373&lt;&gt;"",NOT(AND(MOVIMIENTOS!$B373="PROCESO",MOVIMIENTOS!$C373&lt;&gt;"Chancho")),NOT(AND(MOVIMIENTOS!$B373="SALDO INICIAL",MOVIMIENTOS!$C373="Chancho"))),TRIM(IF(MOVIMIENTOS!$G373&lt;&gt;"",IF(MOVIMIENTOS!$B373="ENVÍO A SUPESA","G-"&amp;MOVIMIENTOS!$G373,MOVIMIENTOS!$G373)&amp;"  ","")&amp;IF(N(MOVIMIENTOS!$E373)&gt;0,MOVIMIENTOS!$E373&amp;" "&amp;MOVIMIENTOS!$D373,"")),"")</f>
        <v/>
      </c>
      <c r="P374">
        <f t="shared" si="41"/>
        <v>6138.5</v>
      </c>
    </row>
    <row r="375" spans="1:16" x14ac:dyDescent="0.2">
      <c r="A375" s="7" t="str">
        <f t="shared" si="35"/>
        <v/>
      </c>
      <c r="B375" s="8" t="str">
        <f t="shared" si="36"/>
        <v/>
      </c>
      <c r="C375" s="9" t="str">
        <f t="shared" si="37"/>
        <v/>
      </c>
      <c r="D375" s="9" t="str">
        <f t="shared" si="38"/>
        <v/>
      </c>
      <c r="E375" s="8" t="str">
        <f t="shared" si="39"/>
        <v/>
      </c>
      <c r="F375" s="9" t="str">
        <f t="shared" si="40"/>
        <v/>
      </c>
      <c r="J375" t="str">
        <f>IF(AND(MOVIMIENTOS!$B374&lt;&gt;"",NOT(AND(MOVIMIENTOS!$B374="PROCESO",MOVIMIENTOS!$C374&lt;&gt;"Chancho")),NOT(AND(MOVIMIENTOS!$B374="SALDO INICIAL",MOVIMIENTOS!$C374="Chancho"))),COUNT(J$5:J374)+1,"")</f>
        <v/>
      </c>
      <c r="K375" t="str">
        <f>IF(AND(MOVIMIENTOS!$B374&lt;&gt;"",NOT(AND(MOVIMIENTOS!$B374="PROCESO",MOVIMIENTOS!$C374&lt;&gt;"Chancho")),NOT(AND(MOVIMIENTOS!$B374="SALDO INICIAL",MOVIMIENTOS!$C374="Chancho"))),MOVIMIENTOS!$A374,"")</f>
        <v/>
      </c>
      <c r="L375" t="str">
        <f>IF(AND(MOVIMIENTOS!$B374&lt;&gt;"",NOT(AND(MOVIMIENTOS!$B374="PROCESO",MOVIMIENTOS!$C374&lt;&gt;"Chancho")),NOT(AND(MOVIMIENTOS!$B374="SALDO INICIAL",MOVIMIENTOS!$C374="Chancho"))),IF(MOVIMIENTOS!$B374="SALDO INICIAL","APERTURA ("&amp;MOVIMIENTOS!$C374&amp;")",IF(MOVIMIENTOS!$B374="COMPRA","INGRESO (compra)",IF(MOVIMIENTOS!$B374="PROCESO","CHANCHO (proceso)",IF(MOVIMIENTOS!$B374="ENVÍO A SUPESA","ENVÍO SUPESA cal. "&amp;MOVIMIENTOS!$C374,IF(MOVIMIENTOS!$B374="VENTA CHANCHO","VENTA CHANCHO",IF(MOVIMIENTOS!$B374="DEVOLUCIÓN","DEVOLUCIÓN cal. "&amp;MOVIMIENTOS!$C374,IF(MOVIMIENTOS!$B374="TRASIEGO","TRASIEGO cal. "&amp;MOVIMIENTOS!$C374,IF(MOVIMIENTOS!$B374="REGALO","REGALO "&amp;MOVIMIENTOS!$C374,IF(MOVIMIENTOS!$B374="VENTA","VENTA "&amp;MOVIMIENTOS!$C374,IF(MOVIMIENTOS!$B374="AJUSTE","AJUSTE inventario ("&amp;MOVIMIENTOS!$C374&amp;")",MOVIMIENTOS!$B374)))))))))),"")</f>
        <v/>
      </c>
      <c r="M375" t="str">
        <f>IF(AND(AND(MOVIMIENTOS!$B374&lt;&gt;"",NOT(AND(MOVIMIENTOS!$B374="PROCESO",MOVIMIENTOS!$C374&lt;&gt;"Chancho")),NOT(AND(MOVIMIENTOS!$B374="SALDO INICIAL",MOVIMIENTOS!$C374="Chancho"))),OR(MOVIMIENTOS!$B374="SALDO INICIAL",MOVIMIENTOS!$B374="COMPRA",MOVIMIENTOS!$B374="REPROCESO",AND(MOVIMIENTOS!$B374="AJUSTE",MOVIMIENTOS!$C374&lt;&gt;"Chancho",N(MOVIMIENTOS!$F374)&gt;=0))),N(MOVIMIENTOS!$F374),"")</f>
        <v/>
      </c>
      <c r="N375" t="str">
        <f>IF(AND(AND(MOVIMIENTOS!$B374&lt;&gt;"",NOT(AND(MOVIMIENTOS!$B374="PROCESO",MOVIMIENTOS!$C374&lt;&gt;"Chancho")),NOT(AND(MOVIMIENTOS!$B374="SALDO INICIAL",MOVIMIENTOS!$C374="Chancho"))),OR(MOVIMIENTOS!$B374="ENVÍO A SUPESA",MOVIMIENTOS!$B374="MALOGRADO",MOVIMIENTOS!$B374="OTRA SALIDA",MOVIMIENTOS!$B374="TRASIEGO",AND(MOVIMIENTOS!$B374="PROCESO",MOVIMIENTOS!$C374="Chancho"),AND(MOVIMIENTOS!$B374="REGALO",MOVIMIENTOS!$C374&lt;&gt;"Chancho"),AND(MOVIMIENTOS!$B374="VENTA",MOVIMIENTOS!$C374&lt;&gt;"Chancho"),AND(MOVIMIENTOS!$B374="AJUSTE",MOVIMIENTOS!$C374&lt;&gt;"Chancho",N(MOVIMIENTOS!$F374)&lt;0))),IF(MOVIMIENTOS!$B374="AJUSTE",-N(MOVIMIENTOS!$F374),N(MOVIMIENTOS!$F374)),"")</f>
        <v/>
      </c>
      <c r="O375" t="str">
        <f>IF(AND(MOVIMIENTOS!$B374&lt;&gt;"",NOT(AND(MOVIMIENTOS!$B374="PROCESO",MOVIMIENTOS!$C374&lt;&gt;"Chancho")),NOT(AND(MOVIMIENTOS!$B374="SALDO INICIAL",MOVIMIENTOS!$C374="Chancho"))),TRIM(IF(MOVIMIENTOS!$G374&lt;&gt;"",IF(MOVIMIENTOS!$B374="ENVÍO A SUPESA","G-"&amp;MOVIMIENTOS!$G374,MOVIMIENTOS!$G374)&amp;"  ","")&amp;IF(N(MOVIMIENTOS!$E374)&gt;0,MOVIMIENTOS!$E374&amp;" "&amp;MOVIMIENTOS!$D374,"")),"")</f>
        <v/>
      </c>
      <c r="P375">
        <f t="shared" si="41"/>
        <v>6138.5</v>
      </c>
    </row>
    <row r="376" spans="1:16" x14ac:dyDescent="0.2">
      <c r="A376" s="7" t="str">
        <f t="shared" si="35"/>
        <v/>
      </c>
      <c r="B376" s="8" t="str">
        <f t="shared" si="36"/>
        <v/>
      </c>
      <c r="C376" s="9" t="str">
        <f t="shared" si="37"/>
        <v/>
      </c>
      <c r="D376" s="9" t="str">
        <f t="shared" si="38"/>
        <v/>
      </c>
      <c r="E376" s="8" t="str">
        <f t="shared" si="39"/>
        <v/>
      </c>
      <c r="F376" s="9" t="str">
        <f t="shared" si="40"/>
        <v/>
      </c>
      <c r="J376" t="str">
        <f>IF(AND(MOVIMIENTOS!$B375&lt;&gt;"",NOT(AND(MOVIMIENTOS!$B375="PROCESO",MOVIMIENTOS!$C375&lt;&gt;"Chancho")),NOT(AND(MOVIMIENTOS!$B375="SALDO INICIAL",MOVIMIENTOS!$C375="Chancho"))),COUNT(J$5:J375)+1,"")</f>
        <v/>
      </c>
      <c r="K376" t="str">
        <f>IF(AND(MOVIMIENTOS!$B375&lt;&gt;"",NOT(AND(MOVIMIENTOS!$B375="PROCESO",MOVIMIENTOS!$C375&lt;&gt;"Chancho")),NOT(AND(MOVIMIENTOS!$B375="SALDO INICIAL",MOVIMIENTOS!$C375="Chancho"))),MOVIMIENTOS!$A375,"")</f>
        <v/>
      </c>
      <c r="L376" t="str">
        <f>IF(AND(MOVIMIENTOS!$B375&lt;&gt;"",NOT(AND(MOVIMIENTOS!$B375="PROCESO",MOVIMIENTOS!$C375&lt;&gt;"Chancho")),NOT(AND(MOVIMIENTOS!$B375="SALDO INICIAL",MOVIMIENTOS!$C375="Chancho"))),IF(MOVIMIENTOS!$B375="SALDO INICIAL","APERTURA ("&amp;MOVIMIENTOS!$C375&amp;")",IF(MOVIMIENTOS!$B375="COMPRA","INGRESO (compra)",IF(MOVIMIENTOS!$B375="PROCESO","CHANCHO (proceso)",IF(MOVIMIENTOS!$B375="ENVÍO A SUPESA","ENVÍO SUPESA cal. "&amp;MOVIMIENTOS!$C375,IF(MOVIMIENTOS!$B375="VENTA CHANCHO","VENTA CHANCHO",IF(MOVIMIENTOS!$B375="DEVOLUCIÓN","DEVOLUCIÓN cal. "&amp;MOVIMIENTOS!$C375,IF(MOVIMIENTOS!$B375="TRASIEGO","TRASIEGO cal. "&amp;MOVIMIENTOS!$C375,IF(MOVIMIENTOS!$B375="REGALO","REGALO "&amp;MOVIMIENTOS!$C375,IF(MOVIMIENTOS!$B375="VENTA","VENTA "&amp;MOVIMIENTOS!$C375,IF(MOVIMIENTOS!$B375="AJUSTE","AJUSTE inventario ("&amp;MOVIMIENTOS!$C375&amp;")",MOVIMIENTOS!$B375)))))))))),"")</f>
        <v/>
      </c>
      <c r="M376" t="str">
        <f>IF(AND(AND(MOVIMIENTOS!$B375&lt;&gt;"",NOT(AND(MOVIMIENTOS!$B375="PROCESO",MOVIMIENTOS!$C375&lt;&gt;"Chancho")),NOT(AND(MOVIMIENTOS!$B375="SALDO INICIAL",MOVIMIENTOS!$C375="Chancho"))),OR(MOVIMIENTOS!$B375="SALDO INICIAL",MOVIMIENTOS!$B375="COMPRA",MOVIMIENTOS!$B375="REPROCESO",AND(MOVIMIENTOS!$B375="AJUSTE",MOVIMIENTOS!$C375&lt;&gt;"Chancho",N(MOVIMIENTOS!$F375)&gt;=0))),N(MOVIMIENTOS!$F375),"")</f>
        <v/>
      </c>
      <c r="N376" t="str">
        <f>IF(AND(AND(MOVIMIENTOS!$B375&lt;&gt;"",NOT(AND(MOVIMIENTOS!$B375="PROCESO",MOVIMIENTOS!$C375&lt;&gt;"Chancho")),NOT(AND(MOVIMIENTOS!$B375="SALDO INICIAL",MOVIMIENTOS!$C375="Chancho"))),OR(MOVIMIENTOS!$B375="ENVÍO A SUPESA",MOVIMIENTOS!$B375="MALOGRADO",MOVIMIENTOS!$B375="OTRA SALIDA",MOVIMIENTOS!$B375="TRASIEGO",AND(MOVIMIENTOS!$B375="PROCESO",MOVIMIENTOS!$C375="Chancho"),AND(MOVIMIENTOS!$B375="REGALO",MOVIMIENTOS!$C375&lt;&gt;"Chancho"),AND(MOVIMIENTOS!$B375="VENTA",MOVIMIENTOS!$C375&lt;&gt;"Chancho"),AND(MOVIMIENTOS!$B375="AJUSTE",MOVIMIENTOS!$C375&lt;&gt;"Chancho",N(MOVIMIENTOS!$F375)&lt;0))),IF(MOVIMIENTOS!$B375="AJUSTE",-N(MOVIMIENTOS!$F375),N(MOVIMIENTOS!$F375)),"")</f>
        <v/>
      </c>
      <c r="O376" t="str">
        <f>IF(AND(MOVIMIENTOS!$B375&lt;&gt;"",NOT(AND(MOVIMIENTOS!$B375="PROCESO",MOVIMIENTOS!$C375&lt;&gt;"Chancho")),NOT(AND(MOVIMIENTOS!$B375="SALDO INICIAL",MOVIMIENTOS!$C375="Chancho"))),TRIM(IF(MOVIMIENTOS!$G375&lt;&gt;"",IF(MOVIMIENTOS!$B375="ENVÍO A SUPESA","G-"&amp;MOVIMIENTOS!$G375,MOVIMIENTOS!$G375)&amp;"  ","")&amp;IF(N(MOVIMIENTOS!$E375)&gt;0,MOVIMIENTOS!$E375&amp;" "&amp;MOVIMIENTOS!$D375,"")),"")</f>
        <v/>
      </c>
      <c r="P376">
        <f t="shared" si="41"/>
        <v>6138.5</v>
      </c>
    </row>
    <row r="377" spans="1:16" x14ac:dyDescent="0.2">
      <c r="A377" s="7" t="str">
        <f t="shared" si="35"/>
        <v/>
      </c>
      <c r="B377" s="8" t="str">
        <f t="shared" si="36"/>
        <v/>
      </c>
      <c r="C377" s="9" t="str">
        <f t="shared" si="37"/>
        <v/>
      </c>
      <c r="D377" s="9" t="str">
        <f t="shared" si="38"/>
        <v/>
      </c>
      <c r="E377" s="8" t="str">
        <f t="shared" si="39"/>
        <v/>
      </c>
      <c r="F377" s="9" t="str">
        <f t="shared" si="40"/>
        <v/>
      </c>
      <c r="J377" t="str">
        <f>IF(AND(MOVIMIENTOS!$B376&lt;&gt;"",NOT(AND(MOVIMIENTOS!$B376="PROCESO",MOVIMIENTOS!$C376&lt;&gt;"Chancho")),NOT(AND(MOVIMIENTOS!$B376="SALDO INICIAL",MOVIMIENTOS!$C376="Chancho"))),COUNT(J$5:J376)+1,"")</f>
        <v/>
      </c>
      <c r="K377" t="str">
        <f>IF(AND(MOVIMIENTOS!$B376&lt;&gt;"",NOT(AND(MOVIMIENTOS!$B376="PROCESO",MOVIMIENTOS!$C376&lt;&gt;"Chancho")),NOT(AND(MOVIMIENTOS!$B376="SALDO INICIAL",MOVIMIENTOS!$C376="Chancho"))),MOVIMIENTOS!$A376,"")</f>
        <v/>
      </c>
      <c r="L377" t="str">
        <f>IF(AND(MOVIMIENTOS!$B376&lt;&gt;"",NOT(AND(MOVIMIENTOS!$B376="PROCESO",MOVIMIENTOS!$C376&lt;&gt;"Chancho")),NOT(AND(MOVIMIENTOS!$B376="SALDO INICIAL",MOVIMIENTOS!$C376="Chancho"))),IF(MOVIMIENTOS!$B376="SALDO INICIAL","APERTURA ("&amp;MOVIMIENTOS!$C376&amp;")",IF(MOVIMIENTOS!$B376="COMPRA","INGRESO (compra)",IF(MOVIMIENTOS!$B376="PROCESO","CHANCHO (proceso)",IF(MOVIMIENTOS!$B376="ENVÍO A SUPESA","ENVÍO SUPESA cal. "&amp;MOVIMIENTOS!$C376,IF(MOVIMIENTOS!$B376="VENTA CHANCHO","VENTA CHANCHO",IF(MOVIMIENTOS!$B376="DEVOLUCIÓN","DEVOLUCIÓN cal. "&amp;MOVIMIENTOS!$C376,IF(MOVIMIENTOS!$B376="TRASIEGO","TRASIEGO cal. "&amp;MOVIMIENTOS!$C376,IF(MOVIMIENTOS!$B376="REGALO","REGALO "&amp;MOVIMIENTOS!$C376,IF(MOVIMIENTOS!$B376="VENTA","VENTA "&amp;MOVIMIENTOS!$C376,IF(MOVIMIENTOS!$B376="AJUSTE","AJUSTE inventario ("&amp;MOVIMIENTOS!$C376&amp;")",MOVIMIENTOS!$B376)))))))))),"")</f>
        <v/>
      </c>
      <c r="M377" t="str">
        <f>IF(AND(AND(MOVIMIENTOS!$B376&lt;&gt;"",NOT(AND(MOVIMIENTOS!$B376="PROCESO",MOVIMIENTOS!$C376&lt;&gt;"Chancho")),NOT(AND(MOVIMIENTOS!$B376="SALDO INICIAL",MOVIMIENTOS!$C376="Chancho"))),OR(MOVIMIENTOS!$B376="SALDO INICIAL",MOVIMIENTOS!$B376="COMPRA",MOVIMIENTOS!$B376="REPROCESO",AND(MOVIMIENTOS!$B376="AJUSTE",MOVIMIENTOS!$C376&lt;&gt;"Chancho",N(MOVIMIENTOS!$F376)&gt;=0))),N(MOVIMIENTOS!$F376),"")</f>
        <v/>
      </c>
      <c r="N377" t="str">
        <f>IF(AND(AND(MOVIMIENTOS!$B376&lt;&gt;"",NOT(AND(MOVIMIENTOS!$B376="PROCESO",MOVIMIENTOS!$C376&lt;&gt;"Chancho")),NOT(AND(MOVIMIENTOS!$B376="SALDO INICIAL",MOVIMIENTOS!$C376="Chancho"))),OR(MOVIMIENTOS!$B376="ENVÍO A SUPESA",MOVIMIENTOS!$B376="MALOGRADO",MOVIMIENTOS!$B376="OTRA SALIDA",MOVIMIENTOS!$B376="TRASIEGO",AND(MOVIMIENTOS!$B376="PROCESO",MOVIMIENTOS!$C376="Chancho"),AND(MOVIMIENTOS!$B376="REGALO",MOVIMIENTOS!$C376&lt;&gt;"Chancho"),AND(MOVIMIENTOS!$B376="VENTA",MOVIMIENTOS!$C376&lt;&gt;"Chancho"),AND(MOVIMIENTOS!$B376="AJUSTE",MOVIMIENTOS!$C376&lt;&gt;"Chancho",N(MOVIMIENTOS!$F376)&lt;0))),IF(MOVIMIENTOS!$B376="AJUSTE",-N(MOVIMIENTOS!$F376),N(MOVIMIENTOS!$F376)),"")</f>
        <v/>
      </c>
      <c r="O377" t="str">
        <f>IF(AND(MOVIMIENTOS!$B376&lt;&gt;"",NOT(AND(MOVIMIENTOS!$B376="PROCESO",MOVIMIENTOS!$C376&lt;&gt;"Chancho")),NOT(AND(MOVIMIENTOS!$B376="SALDO INICIAL",MOVIMIENTOS!$C376="Chancho"))),TRIM(IF(MOVIMIENTOS!$G376&lt;&gt;"",IF(MOVIMIENTOS!$B376="ENVÍO A SUPESA","G-"&amp;MOVIMIENTOS!$G376,MOVIMIENTOS!$G376)&amp;"  ","")&amp;IF(N(MOVIMIENTOS!$E376)&gt;0,MOVIMIENTOS!$E376&amp;" "&amp;MOVIMIENTOS!$D376,"")),"")</f>
        <v/>
      </c>
      <c r="P377">
        <f t="shared" si="41"/>
        <v>6138.5</v>
      </c>
    </row>
    <row r="378" spans="1:16" x14ac:dyDescent="0.2">
      <c r="A378" s="7" t="str">
        <f t="shared" si="35"/>
        <v/>
      </c>
      <c r="B378" s="8" t="str">
        <f t="shared" si="36"/>
        <v/>
      </c>
      <c r="C378" s="9" t="str">
        <f t="shared" si="37"/>
        <v/>
      </c>
      <c r="D378" s="9" t="str">
        <f t="shared" si="38"/>
        <v/>
      </c>
      <c r="E378" s="8" t="str">
        <f t="shared" si="39"/>
        <v/>
      </c>
      <c r="F378" s="9" t="str">
        <f t="shared" si="40"/>
        <v/>
      </c>
      <c r="J378" t="str">
        <f>IF(AND(MOVIMIENTOS!$B377&lt;&gt;"",NOT(AND(MOVIMIENTOS!$B377="PROCESO",MOVIMIENTOS!$C377&lt;&gt;"Chancho")),NOT(AND(MOVIMIENTOS!$B377="SALDO INICIAL",MOVIMIENTOS!$C377="Chancho"))),COUNT(J$5:J377)+1,"")</f>
        <v/>
      </c>
      <c r="K378" t="str">
        <f>IF(AND(MOVIMIENTOS!$B377&lt;&gt;"",NOT(AND(MOVIMIENTOS!$B377="PROCESO",MOVIMIENTOS!$C377&lt;&gt;"Chancho")),NOT(AND(MOVIMIENTOS!$B377="SALDO INICIAL",MOVIMIENTOS!$C377="Chancho"))),MOVIMIENTOS!$A377,"")</f>
        <v/>
      </c>
      <c r="L378" t="str">
        <f>IF(AND(MOVIMIENTOS!$B377&lt;&gt;"",NOT(AND(MOVIMIENTOS!$B377="PROCESO",MOVIMIENTOS!$C377&lt;&gt;"Chancho")),NOT(AND(MOVIMIENTOS!$B377="SALDO INICIAL",MOVIMIENTOS!$C377="Chancho"))),IF(MOVIMIENTOS!$B377="SALDO INICIAL","APERTURA ("&amp;MOVIMIENTOS!$C377&amp;")",IF(MOVIMIENTOS!$B377="COMPRA","INGRESO (compra)",IF(MOVIMIENTOS!$B377="PROCESO","CHANCHO (proceso)",IF(MOVIMIENTOS!$B377="ENVÍO A SUPESA","ENVÍO SUPESA cal. "&amp;MOVIMIENTOS!$C377,IF(MOVIMIENTOS!$B377="VENTA CHANCHO","VENTA CHANCHO",IF(MOVIMIENTOS!$B377="DEVOLUCIÓN","DEVOLUCIÓN cal. "&amp;MOVIMIENTOS!$C377,IF(MOVIMIENTOS!$B377="TRASIEGO","TRASIEGO cal. "&amp;MOVIMIENTOS!$C377,IF(MOVIMIENTOS!$B377="REGALO","REGALO "&amp;MOVIMIENTOS!$C377,IF(MOVIMIENTOS!$B377="VENTA","VENTA "&amp;MOVIMIENTOS!$C377,IF(MOVIMIENTOS!$B377="AJUSTE","AJUSTE inventario ("&amp;MOVIMIENTOS!$C377&amp;")",MOVIMIENTOS!$B377)))))))))),"")</f>
        <v/>
      </c>
      <c r="M378" t="str">
        <f>IF(AND(AND(MOVIMIENTOS!$B377&lt;&gt;"",NOT(AND(MOVIMIENTOS!$B377="PROCESO",MOVIMIENTOS!$C377&lt;&gt;"Chancho")),NOT(AND(MOVIMIENTOS!$B377="SALDO INICIAL",MOVIMIENTOS!$C377="Chancho"))),OR(MOVIMIENTOS!$B377="SALDO INICIAL",MOVIMIENTOS!$B377="COMPRA",MOVIMIENTOS!$B377="REPROCESO",AND(MOVIMIENTOS!$B377="AJUSTE",MOVIMIENTOS!$C377&lt;&gt;"Chancho",N(MOVIMIENTOS!$F377)&gt;=0))),N(MOVIMIENTOS!$F377),"")</f>
        <v/>
      </c>
      <c r="N378" t="str">
        <f>IF(AND(AND(MOVIMIENTOS!$B377&lt;&gt;"",NOT(AND(MOVIMIENTOS!$B377="PROCESO",MOVIMIENTOS!$C377&lt;&gt;"Chancho")),NOT(AND(MOVIMIENTOS!$B377="SALDO INICIAL",MOVIMIENTOS!$C377="Chancho"))),OR(MOVIMIENTOS!$B377="ENVÍO A SUPESA",MOVIMIENTOS!$B377="MALOGRADO",MOVIMIENTOS!$B377="OTRA SALIDA",MOVIMIENTOS!$B377="TRASIEGO",AND(MOVIMIENTOS!$B377="PROCESO",MOVIMIENTOS!$C377="Chancho"),AND(MOVIMIENTOS!$B377="REGALO",MOVIMIENTOS!$C377&lt;&gt;"Chancho"),AND(MOVIMIENTOS!$B377="VENTA",MOVIMIENTOS!$C377&lt;&gt;"Chancho"),AND(MOVIMIENTOS!$B377="AJUSTE",MOVIMIENTOS!$C377&lt;&gt;"Chancho",N(MOVIMIENTOS!$F377)&lt;0))),IF(MOVIMIENTOS!$B377="AJUSTE",-N(MOVIMIENTOS!$F377),N(MOVIMIENTOS!$F377)),"")</f>
        <v/>
      </c>
      <c r="O378" t="str">
        <f>IF(AND(MOVIMIENTOS!$B377&lt;&gt;"",NOT(AND(MOVIMIENTOS!$B377="PROCESO",MOVIMIENTOS!$C377&lt;&gt;"Chancho")),NOT(AND(MOVIMIENTOS!$B377="SALDO INICIAL",MOVIMIENTOS!$C377="Chancho"))),TRIM(IF(MOVIMIENTOS!$G377&lt;&gt;"",IF(MOVIMIENTOS!$B377="ENVÍO A SUPESA","G-"&amp;MOVIMIENTOS!$G377,MOVIMIENTOS!$G377)&amp;"  ","")&amp;IF(N(MOVIMIENTOS!$E377)&gt;0,MOVIMIENTOS!$E377&amp;" "&amp;MOVIMIENTOS!$D377,"")),"")</f>
        <v/>
      </c>
      <c r="P378">
        <f t="shared" si="41"/>
        <v>6138.5</v>
      </c>
    </row>
    <row r="379" spans="1:16" x14ac:dyDescent="0.2">
      <c r="A379" s="7" t="str">
        <f t="shared" si="35"/>
        <v/>
      </c>
      <c r="B379" s="8" t="str">
        <f t="shared" si="36"/>
        <v/>
      </c>
      <c r="C379" s="9" t="str">
        <f t="shared" si="37"/>
        <v/>
      </c>
      <c r="D379" s="9" t="str">
        <f t="shared" si="38"/>
        <v/>
      </c>
      <c r="E379" s="8" t="str">
        <f t="shared" si="39"/>
        <v/>
      </c>
      <c r="F379" s="9" t="str">
        <f t="shared" si="40"/>
        <v/>
      </c>
      <c r="J379" t="str">
        <f>IF(AND(MOVIMIENTOS!$B378&lt;&gt;"",NOT(AND(MOVIMIENTOS!$B378="PROCESO",MOVIMIENTOS!$C378&lt;&gt;"Chancho")),NOT(AND(MOVIMIENTOS!$B378="SALDO INICIAL",MOVIMIENTOS!$C378="Chancho"))),COUNT(J$5:J378)+1,"")</f>
        <v/>
      </c>
      <c r="K379" t="str">
        <f>IF(AND(MOVIMIENTOS!$B378&lt;&gt;"",NOT(AND(MOVIMIENTOS!$B378="PROCESO",MOVIMIENTOS!$C378&lt;&gt;"Chancho")),NOT(AND(MOVIMIENTOS!$B378="SALDO INICIAL",MOVIMIENTOS!$C378="Chancho"))),MOVIMIENTOS!$A378,"")</f>
        <v/>
      </c>
      <c r="L379" t="str">
        <f>IF(AND(MOVIMIENTOS!$B378&lt;&gt;"",NOT(AND(MOVIMIENTOS!$B378="PROCESO",MOVIMIENTOS!$C378&lt;&gt;"Chancho")),NOT(AND(MOVIMIENTOS!$B378="SALDO INICIAL",MOVIMIENTOS!$C378="Chancho"))),IF(MOVIMIENTOS!$B378="SALDO INICIAL","APERTURA ("&amp;MOVIMIENTOS!$C378&amp;")",IF(MOVIMIENTOS!$B378="COMPRA","INGRESO (compra)",IF(MOVIMIENTOS!$B378="PROCESO","CHANCHO (proceso)",IF(MOVIMIENTOS!$B378="ENVÍO A SUPESA","ENVÍO SUPESA cal. "&amp;MOVIMIENTOS!$C378,IF(MOVIMIENTOS!$B378="VENTA CHANCHO","VENTA CHANCHO",IF(MOVIMIENTOS!$B378="DEVOLUCIÓN","DEVOLUCIÓN cal. "&amp;MOVIMIENTOS!$C378,IF(MOVIMIENTOS!$B378="TRASIEGO","TRASIEGO cal. "&amp;MOVIMIENTOS!$C378,IF(MOVIMIENTOS!$B378="REGALO","REGALO "&amp;MOVIMIENTOS!$C378,IF(MOVIMIENTOS!$B378="VENTA","VENTA "&amp;MOVIMIENTOS!$C378,IF(MOVIMIENTOS!$B378="AJUSTE","AJUSTE inventario ("&amp;MOVIMIENTOS!$C378&amp;")",MOVIMIENTOS!$B378)))))))))),"")</f>
        <v/>
      </c>
      <c r="M379" t="str">
        <f>IF(AND(AND(MOVIMIENTOS!$B378&lt;&gt;"",NOT(AND(MOVIMIENTOS!$B378="PROCESO",MOVIMIENTOS!$C378&lt;&gt;"Chancho")),NOT(AND(MOVIMIENTOS!$B378="SALDO INICIAL",MOVIMIENTOS!$C378="Chancho"))),OR(MOVIMIENTOS!$B378="SALDO INICIAL",MOVIMIENTOS!$B378="COMPRA",MOVIMIENTOS!$B378="REPROCESO",AND(MOVIMIENTOS!$B378="AJUSTE",MOVIMIENTOS!$C378&lt;&gt;"Chancho",N(MOVIMIENTOS!$F378)&gt;=0))),N(MOVIMIENTOS!$F378),"")</f>
        <v/>
      </c>
      <c r="N379" t="str">
        <f>IF(AND(AND(MOVIMIENTOS!$B378&lt;&gt;"",NOT(AND(MOVIMIENTOS!$B378="PROCESO",MOVIMIENTOS!$C378&lt;&gt;"Chancho")),NOT(AND(MOVIMIENTOS!$B378="SALDO INICIAL",MOVIMIENTOS!$C378="Chancho"))),OR(MOVIMIENTOS!$B378="ENVÍO A SUPESA",MOVIMIENTOS!$B378="MALOGRADO",MOVIMIENTOS!$B378="OTRA SALIDA",MOVIMIENTOS!$B378="TRASIEGO",AND(MOVIMIENTOS!$B378="PROCESO",MOVIMIENTOS!$C378="Chancho"),AND(MOVIMIENTOS!$B378="REGALO",MOVIMIENTOS!$C378&lt;&gt;"Chancho"),AND(MOVIMIENTOS!$B378="VENTA",MOVIMIENTOS!$C378&lt;&gt;"Chancho"),AND(MOVIMIENTOS!$B378="AJUSTE",MOVIMIENTOS!$C378&lt;&gt;"Chancho",N(MOVIMIENTOS!$F378)&lt;0))),IF(MOVIMIENTOS!$B378="AJUSTE",-N(MOVIMIENTOS!$F378),N(MOVIMIENTOS!$F378)),"")</f>
        <v/>
      </c>
      <c r="O379" t="str">
        <f>IF(AND(MOVIMIENTOS!$B378&lt;&gt;"",NOT(AND(MOVIMIENTOS!$B378="PROCESO",MOVIMIENTOS!$C378&lt;&gt;"Chancho")),NOT(AND(MOVIMIENTOS!$B378="SALDO INICIAL",MOVIMIENTOS!$C378="Chancho"))),TRIM(IF(MOVIMIENTOS!$G378&lt;&gt;"",IF(MOVIMIENTOS!$B378="ENVÍO A SUPESA","G-"&amp;MOVIMIENTOS!$G378,MOVIMIENTOS!$G378)&amp;"  ","")&amp;IF(N(MOVIMIENTOS!$E378)&gt;0,MOVIMIENTOS!$E378&amp;" "&amp;MOVIMIENTOS!$D378,"")),"")</f>
        <v/>
      </c>
      <c r="P379">
        <f t="shared" si="41"/>
        <v>6138.5</v>
      </c>
    </row>
    <row r="380" spans="1:16" x14ac:dyDescent="0.2">
      <c r="A380" s="7" t="str">
        <f t="shared" si="35"/>
        <v/>
      </c>
      <c r="B380" s="8" t="str">
        <f t="shared" si="36"/>
        <v/>
      </c>
      <c r="C380" s="9" t="str">
        <f t="shared" si="37"/>
        <v/>
      </c>
      <c r="D380" s="9" t="str">
        <f t="shared" si="38"/>
        <v/>
      </c>
      <c r="E380" s="8" t="str">
        <f t="shared" si="39"/>
        <v/>
      </c>
      <c r="F380" s="9" t="str">
        <f t="shared" si="40"/>
        <v/>
      </c>
      <c r="J380" t="str">
        <f>IF(AND(MOVIMIENTOS!$B379&lt;&gt;"",NOT(AND(MOVIMIENTOS!$B379="PROCESO",MOVIMIENTOS!$C379&lt;&gt;"Chancho")),NOT(AND(MOVIMIENTOS!$B379="SALDO INICIAL",MOVIMIENTOS!$C379="Chancho"))),COUNT(J$5:J379)+1,"")</f>
        <v/>
      </c>
      <c r="K380" t="str">
        <f>IF(AND(MOVIMIENTOS!$B379&lt;&gt;"",NOT(AND(MOVIMIENTOS!$B379="PROCESO",MOVIMIENTOS!$C379&lt;&gt;"Chancho")),NOT(AND(MOVIMIENTOS!$B379="SALDO INICIAL",MOVIMIENTOS!$C379="Chancho"))),MOVIMIENTOS!$A379,"")</f>
        <v/>
      </c>
      <c r="L380" t="str">
        <f>IF(AND(MOVIMIENTOS!$B379&lt;&gt;"",NOT(AND(MOVIMIENTOS!$B379="PROCESO",MOVIMIENTOS!$C379&lt;&gt;"Chancho")),NOT(AND(MOVIMIENTOS!$B379="SALDO INICIAL",MOVIMIENTOS!$C379="Chancho"))),IF(MOVIMIENTOS!$B379="SALDO INICIAL","APERTURA ("&amp;MOVIMIENTOS!$C379&amp;")",IF(MOVIMIENTOS!$B379="COMPRA","INGRESO (compra)",IF(MOVIMIENTOS!$B379="PROCESO","CHANCHO (proceso)",IF(MOVIMIENTOS!$B379="ENVÍO A SUPESA","ENVÍO SUPESA cal. "&amp;MOVIMIENTOS!$C379,IF(MOVIMIENTOS!$B379="VENTA CHANCHO","VENTA CHANCHO",IF(MOVIMIENTOS!$B379="DEVOLUCIÓN","DEVOLUCIÓN cal. "&amp;MOVIMIENTOS!$C379,IF(MOVIMIENTOS!$B379="TRASIEGO","TRASIEGO cal. "&amp;MOVIMIENTOS!$C379,IF(MOVIMIENTOS!$B379="REGALO","REGALO "&amp;MOVIMIENTOS!$C379,IF(MOVIMIENTOS!$B379="VENTA","VENTA "&amp;MOVIMIENTOS!$C379,IF(MOVIMIENTOS!$B379="AJUSTE","AJUSTE inventario ("&amp;MOVIMIENTOS!$C379&amp;")",MOVIMIENTOS!$B379)))))))))),"")</f>
        <v/>
      </c>
      <c r="M380" t="str">
        <f>IF(AND(AND(MOVIMIENTOS!$B379&lt;&gt;"",NOT(AND(MOVIMIENTOS!$B379="PROCESO",MOVIMIENTOS!$C379&lt;&gt;"Chancho")),NOT(AND(MOVIMIENTOS!$B379="SALDO INICIAL",MOVIMIENTOS!$C379="Chancho"))),OR(MOVIMIENTOS!$B379="SALDO INICIAL",MOVIMIENTOS!$B379="COMPRA",MOVIMIENTOS!$B379="REPROCESO",AND(MOVIMIENTOS!$B379="AJUSTE",MOVIMIENTOS!$C379&lt;&gt;"Chancho",N(MOVIMIENTOS!$F379)&gt;=0))),N(MOVIMIENTOS!$F379),"")</f>
        <v/>
      </c>
      <c r="N380" t="str">
        <f>IF(AND(AND(MOVIMIENTOS!$B379&lt;&gt;"",NOT(AND(MOVIMIENTOS!$B379="PROCESO",MOVIMIENTOS!$C379&lt;&gt;"Chancho")),NOT(AND(MOVIMIENTOS!$B379="SALDO INICIAL",MOVIMIENTOS!$C379="Chancho"))),OR(MOVIMIENTOS!$B379="ENVÍO A SUPESA",MOVIMIENTOS!$B379="MALOGRADO",MOVIMIENTOS!$B379="OTRA SALIDA",MOVIMIENTOS!$B379="TRASIEGO",AND(MOVIMIENTOS!$B379="PROCESO",MOVIMIENTOS!$C379="Chancho"),AND(MOVIMIENTOS!$B379="REGALO",MOVIMIENTOS!$C379&lt;&gt;"Chancho"),AND(MOVIMIENTOS!$B379="VENTA",MOVIMIENTOS!$C379&lt;&gt;"Chancho"),AND(MOVIMIENTOS!$B379="AJUSTE",MOVIMIENTOS!$C379&lt;&gt;"Chancho",N(MOVIMIENTOS!$F379)&lt;0))),IF(MOVIMIENTOS!$B379="AJUSTE",-N(MOVIMIENTOS!$F379),N(MOVIMIENTOS!$F379)),"")</f>
        <v/>
      </c>
      <c r="O380" t="str">
        <f>IF(AND(MOVIMIENTOS!$B379&lt;&gt;"",NOT(AND(MOVIMIENTOS!$B379="PROCESO",MOVIMIENTOS!$C379&lt;&gt;"Chancho")),NOT(AND(MOVIMIENTOS!$B379="SALDO INICIAL",MOVIMIENTOS!$C379="Chancho"))),TRIM(IF(MOVIMIENTOS!$G379&lt;&gt;"",IF(MOVIMIENTOS!$B379="ENVÍO A SUPESA","G-"&amp;MOVIMIENTOS!$G379,MOVIMIENTOS!$G379)&amp;"  ","")&amp;IF(N(MOVIMIENTOS!$E379)&gt;0,MOVIMIENTOS!$E379&amp;" "&amp;MOVIMIENTOS!$D379,"")),"")</f>
        <v/>
      </c>
      <c r="P380">
        <f t="shared" si="41"/>
        <v>6138.5</v>
      </c>
    </row>
    <row r="381" spans="1:16" x14ac:dyDescent="0.2">
      <c r="A381" s="7" t="str">
        <f t="shared" si="35"/>
        <v/>
      </c>
      <c r="B381" s="8" t="str">
        <f t="shared" si="36"/>
        <v/>
      </c>
      <c r="C381" s="9" t="str">
        <f t="shared" si="37"/>
        <v/>
      </c>
      <c r="D381" s="9" t="str">
        <f t="shared" si="38"/>
        <v/>
      </c>
      <c r="E381" s="8" t="str">
        <f t="shared" si="39"/>
        <v/>
      </c>
      <c r="F381" s="9" t="str">
        <f t="shared" si="40"/>
        <v/>
      </c>
      <c r="J381" t="str">
        <f>IF(AND(MOVIMIENTOS!$B380&lt;&gt;"",NOT(AND(MOVIMIENTOS!$B380="PROCESO",MOVIMIENTOS!$C380&lt;&gt;"Chancho")),NOT(AND(MOVIMIENTOS!$B380="SALDO INICIAL",MOVIMIENTOS!$C380="Chancho"))),COUNT(J$5:J380)+1,"")</f>
        <v/>
      </c>
      <c r="K381" t="str">
        <f>IF(AND(MOVIMIENTOS!$B380&lt;&gt;"",NOT(AND(MOVIMIENTOS!$B380="PROCESO",MOVIMIENTOS!$C380&lt;&gt;"Chancho")),NOT(AND(MOVIMIENTOS!$B380="SALDO INICIAL",MOVIMIENTOS!$C380="Chancho"))),MOVIMIENTOS!$A380,"")</f>
        <v/>
      </c>
      <c r="L381" t="str">
        <f>IF(AND(MOVIMIENTOS!$B380&lt;&gt;"",NOT(AND(MOVIMIENTOS!$B380="PROCESO",MOVIMIENTOS!$C380&lt;&gt;"Chancho")),NOT(AND(MOVIMIENTOS!$B380="SALDO INICIAL",MOVIMIENTOS!$C380="Chancho"))),IF(MOVIMIENTOS!$B380="SALDO INICIAL","APERTURA ("&amp;MOVIMIENTOS!$C380&amp;")",IF(MOVIMIENTOS!$B380="COMPRA","INGRESO (compra)",IF(MOVIMIENTOS!$B380="PROCESO","CHANCHO (proceso)",IF(MOVIMIENTOS!$B380="ENVÍO A SUPESA","ENVÍO SUPESA cal. "&amp;MOVIMIENTOS!$C380,IF(MOVIMIENTOS!$B380="VENTA CHANCHO","VENTA CHANCHO",IF(MOVIMIENTOS!$B380="DEVOLUCIÓN","DEVOLUCIÓN cal. "&amp;MOVIMIENTOS!$C380,IF(MOVIMIENTOS!$B380="TRASIEGO","TRASIEGO cal. "&amp;MOVIMIENTOS!$C380,IF(MOVIMIENTOS!$B380="REGALO","REGALO "&amp;MOVIMIENTOS!$C380,IF(MOVIMIENTOS!$B380="VENTA","VENTA "&amp;MOVIMIENTOS!$C380,IF(MOVIMIENTOS!$B380="AJUSTE","AJUSTE inventario ("&amp;MOVIMIENTOS!$C380&amp;")",MOVIMIENTOS!$B380)))))))))),"")</f>
        <v/>
      </c>
      <c r="M381" t="str">
        <f>IF(AND(AND(MOVIMIENTOS!$B380&lt;&gt;"",NOT(AND(MOVIMIENTOS!$B380="PROCESO",MOVIMIENTOS!$C380&lt;&gt;"Chancho")),NOT(AND(MOVIMIENTOS!$B380="SALDO INICIAL",MOVIMIENTOS!$C380="Chancho"))),OR(MOVIMIENTOS!$B380="SALDO INICIAL",MOVIMIENTOS!$B380="COMPRA",MOVIMIENTOS!$B380="REPROCESO",AND(MOVIMIENTOS!$B380="AJUSTE",MOVIMIENTOS!$C380&lt;&gt;"Chancho",N(MOVIMIENTOS!$F380)&gt;=0))),N(MOVIMIENTOS!$F380),"")</f>
        <v/>
      </c>
      <c r="N381" t="str">
        <f>IF(AND(AND(MOVIMIENTOS!$B380&lt;&gt;"",NOT(AND(MOVIMIENTOS!$B380="PROCESO",MOVIMIENTOS!$C380&lt;&gt;"Chancho")),NOT(AND(MOVIMIENTOS!$B380="SALDO INICIAL",MOVIMIENTOS!$C380="Chancho"))),OR(MOVIMIENTOS!$B380="ENVÍO A SUPESA",MOVIMIENTOS!$B380="MALOGRADO",MOVIMIENTOS!$B380="OTRA SALIDA",MOVIMIENTOS!$B380="TRASIEGO",AND(MOVIMIENTOS!$B380="PROCESO",MOVIMIENTOS!$C380="Chancho"),AND(MOVIMIENTOS!$B380="REGALO",MOVIMIENTOS!$C380&lt;&gt;"Chancho"),AND(MOVIMIENTOS!$B380="VENTA",MOVIMIENTOS!$C380&lt;&gt;"Chancho"),AND(MOVIMIENTOS!$B380="AJUSTE",MOVIMIENTOS!$C380&lt;&gt;"Chancho",N(MOVIMIENTOS!$F380)&lt;0))),IF(MOVIMIENTOS!$B380="AJUSTE",-N(MOVIMIENTOS!$F380),N(MOVIMIENTOS!$F380)),"")</f>
        <v/>
      </c>
      <c r="O381" t="str">
        <f>IF(AND(MOVIMIENTOS!$B380&lt;&gt;"",NOT(AND(MOVIMIENTOS!$B380="PROCESO",MOVIMIENTOS!$C380&lt;&gt;"Chancho")),NOT(AND(MOVIMIENTOS!$B380="SALDO INICIAL",MOVIMIENTOS!$C380="Chancho"))),TRIM(IF(MOVIMIENTOS!$G380&lt;&gt;"",IF(MOVIMIENTOS!$B380="ENVÍO A SUPESA","G-"&amp;MOVIMIENTOS!$G380,MOVIMIENTOS!$G380)&amp;"  ","")&amp;IF(N(MOVIMIENTOS!$E380)&gt;0,MOVIMIENTOS!$E380&amp;" "&amp;MOVIMIENTOS!$D380,"")),"")</f>
        <v/>
      </c>
      <c r="P381">
        <f t="shared" si="41"/>
        <v>6138.5</v>
      </c>
    </row>
    <row r="382" spans="1:16" x14ac:dyDescent="0.2">
      <c r="A382" s="7" t="str">
        <f t="shared" si="35"/>
        <v/>
      </c>
      <c r="B382" s="8" t="str">
        <f t="shared" si="36"/>
        <v/>
      </c>
      <c r="C382" s="9" t="str">
        <f t="shared" si="37"/>
        <v/>
      </c>
      <c r="D382" s="9" t="str">
        <f t="shared" si="38"/>
        <v/>
      </c>
      <c r="E382" s="8" t="str">
        <f t="shared" si="39"/>
        <v/>
      </c>
      <c r="F382" s="9" t="str">
        <f t="shared" si="40"/>
        <v/>
      </c>
      <c r="J382" t="str">
        <f>IF(AND(MOVIMIENTOS!$B381&lt;&gt;"",NOT(AND(MOVIMIENTOS!$B381="PROCESO",MOVIMIENTOS!$C381&lt;&gt;"Chancho")),NOT(AND(MOVIMIENTOS!$B381="SALDO INICIAL",MOVIMIENTOS!$C381="Chancho"))),COUNT(J$5:J381)+1,"")</f>
        <v/>
      </c>
      <c r="K382" t="str">
        <f>IF(AND(MOVIMIENTOS!$B381&lt;&gt;"",NOT(AND(MOVIMIENTOS!$B381="PROCESO",MOVIMIENTOS!$C381&lt;&gt;"Chancho")),NOT(AND(MOVIMIENTOS!$B381="SALDO INICIAL",MOVIMIENTOS!$C381="Chancho"))),MOVIMIENTOS!$A381,"")</f>
        <v/>
      </c>
      <c r="L382" t="str">
        <f>IF(AND(MOVIMIENTOS!$B381&lt;&gt;"",NOT(AND(MOVIMIENTOS!$B381="PROCESO",MOVIMIENTOS!$C381&lt;&gt;"Chancho")),NOT(AND(MOVIMIENTOS!$B381="SALDO INICIAL",MOVIMIENTOS!$C381="Chancho"))),IF(MOVIMIENTOS!$B381="SALDO INICIAL","APERTURA ("&amp;MOVIMIENTOS!$C381&amp;")",IF(MOVIMIENTOS!$B381="COMPRA","INGRESO (compra)",IF(MOVIMIENTOS!$B381="PROCESO","CHANCHO (proceso)",IF(MOVIMIENTOS!$B381="ENVÍO A SUPESA","ENVÍO SUPESA cal. "&amp;MOVIMIENTOS!$C381,IF(MOVIMIENTOS!$B381="VENTA CHANCHO","VENTA CHANCHO",IF(MOVIMIENTOS!$B381="DEVOLUCIÓN","DEVOLUCIÓN cal. "&amp;MOVIMIENTOS!$C381,IF(MOVIMIENTOS!$B381="TRASIEGO","TRASIEGO cal. "&amp;MOVIMIENTOS!$C381,IF(MOVIMIENTOS!$B381="REGALO","REGALO "&amp;MOVIMIENTOS!$C381,IF(MOVIMIENTOS!$B381="VENTA","VENTA "&amp;MOVIMIENTOS!$C381,IF(MOVIMIENTOS!$B381="AJUSTE","AJUSTE inventario ("&amp;MOVIMIENTOS!$C381&amp;")",MOVIMIENTOS!$B381)))))))))),"")</f>
        <v/>
      </c>
      <c r="M382" t="str">
        <f>IF(AND(AND(MOVIMIENTOS!$B381&lt;&gt;"",NOT(AND(MOVIMIENTOS!$B381="PROCESO",MOVIMIENTOS!$C381&lt;&gt;"Chancho")),NOT(AND(MOVIMIENTOS!$B381="SALDO INICIAL",MOVIMIENTOS!$C381="Chancho"))),OR(MOVIMIENTOS!$B381="SALDO INICIAL",MOVIMIENTOS!$B381="COMPRA",MOVIMIENTOS!$B381="REPROCESO",AND(MOVIMIENTOS!$B381="AJUSTE",MOVIMIENTOS!$C381&lt;&gt;"Chancho",N(MOVIMIENTOS!$F381)&gt;=0))),N(MOVIMIENTOS!$F381),"")</f>
        <v/>
      </c>
      <c r="N382" t="str">
        <f>IF(AND(AND(MOVIMIENTOS!$B381&lt;&gt;"",NOT(AND(MOVIMIENTOS!$B381="PROCESO",MOVIMIENTOS!$C381&lt;&gt;"Chancho")),NOT(AND(MOVIMIENTOS!$B381="SALDO INICIAL",MOVIMIENTOS!$C381="Chancho"))),OR(MOVIMIENTOS!$B381="ENVÍO A SUPESA",MOVIMIENTOS!$B381="MALOGRADO",MOVIMIENTOS!$B381="OTRA SALIDA",MOVIMIENTOS!$B381="TRASIEGO",AND(MOVIMIENTOS!$B381="PROCESO",MOVIMIENTOS!$C381="Chancho"),AND(MOVIMIENTOS!$B381="REGALO",MOVIMIENTOS!$C381&lt;&gt;"Chancho"),AND(MOVIMIENTOS!$B381="VENTA",MOVIMIENTOS!$C381&lt;&gt;"Chancho"),AND(MOVIMIENTOS!$B381="AJUSTE",MOVIMIENTOS!$C381&lt;&gt;"Chancho",N(MOVIMIENTOS!$F381)&lt;0))),IF(MOVIMIENTOS!$B381="AJUSTE",-N(MOVIMIENTOS!$F381),N(MOVIMIENTOS!$F381)),"")</f>
        <v/>
      </c>
      <c r="O382" t="str">
        <f>IF(AND(MOVIMIENTOS!$B381&lt;&gt;"",NOT(AND(MOVIMIENTOS!$B381="PROCESO",MOVIMIENTOS!$C381&lt;&gt;"Chancho")),NOT(AND(MOVIMIENTOS!$B381="SALDO INICIAL",MOVIMIENTOS!$C381="Chancho"))),TRIM(IF(MOVIMIENTOS!$G381&lt;&gt;"",IF(MOVIMIENTOS!$B381="ENVÍO A SUPESA","G-"&amp;MOVIMIENTOS!$G381,MOVIMIENTOS!$G381)&amp;"  ","")&amp;IF(N(MOVIMIENTOS!$E381)&gt;0,MOVIMIENTOS!$E381&amp;" "&amp;MOVIMIENTOS!$D381,"")),"")</f>
        <v/>
      </c>
      <c r="P382">
        <f t="shared" si="41"/>
        <v>6138.5</v>
      </c>
    </row>
    <row r="383" spans="1:16" x14ac:dyDescent="0.2">
      <c r="A383" s="7" t="str">
        <f t="shared" si="35"/>
        <v/>
      </c>
      <c r="B383" s="8" t="str">
        <f t="shared" si="36"/>
        <v/>
      </c>
      <c r="C383" s="9" t="str">
        <f t="shared" si="37"/>
        <v/>
      </c>
      <c r="D383" s="9" t="str">
        <f t="shared" si="38"/>
        <v/>
      </c>
      <c r="E383" s="8" t="str">
        <f t="shared" si="39"/>
        <v/>
      </c>
      <c r="F383" s="9" t="str">
        <f t="shared" si="40"/>
        <v/>
      </c>
      <c r="J383" t="str">
        <f>IF(AND(MOVIMIENTOS!$B382&lt;&gt;"",NOT(AND(MOVIMIENTOS!$B382="PROCESO",MOVIMIENTOS!$C382&lt;&gt;"Chancho")),NOT(AND(MOVIMIENTOS!$B382="SALDO INICIAL",MOVIMIENTOS!$C382="Chancho"))),COUNT(J$5:J382)+1,"")</f>
        <v/>
      </c>
      <c r="K383" t="str">
        <f>IF(AND(MOVIMIENTOS!$B382&lt;&gt;"",NOT(AND(MOVIMIENTOS!$B382="PROCESO",MOVIMIENTOS!$C382&lt;&gt;"Chancho")),NOT(AND(MOVIMIENTOS!$B382="SALDO INICIAL",MOVIMIENTOS!$C382="Chancho"))),MOVIMIENTOS!$A382,"")</f>
        <v/>
      </c>
      <c r="L383" t="str">
        <f>IF(AND(MOVIMIENTOS!$B382&lt;&gt;"",NOT(AND(MOVIMIENTOS!$B382="PROCESO",MOVIMIENTOS!$C382&lt;&gt;"Chancho")),NOT(AND(MOVIMIENTOS!$B382="SALDO INICIAL",MOVIMIENTOS!$C382="Chancho"))),IF(MOVIMIENTOS!$B382="SALDO INICIAL","APERTURA ("&amp;MOVIMIENTOS!$C382&amp;")",IF(MOVIMIENTOS!$B382="COMPRA","INGRESO (compra)",IF(MOVIMIENTOS!$B382="PROCESO","CHANCHO (proceso)",IF(MOVIMIENTOS!$B382="ENVÍO A SUPESA","ENVÍO SUPESA cal. "&amp;MOVIMIENTOS!$C382,IF(MOVIMIENTOS!$B382="VENTA CHANCHO","VENTA CHANCHO",IF(MOVIMIENTOS!$B382="DEVOLUCIÓN","DEVOLUCIÓN cal. "&amp;MOVIMIENTOS!$C382,IF(MOVIMIENTOS!$B382="TRASIEGO","TRASIEGO cal. "&amp;MOVIMIENTOS!$C382,IF(MOVIMIENTOS!$B382="REGALO","REGALO "&amp;MOVIMIENTOS!$C382,IF(MOVIMIENTOS!$B382="VENTA","VENTA "&amp;MOVIMIENTOS!$C382,IF(MOVIMIENTOS!$B382="AJUSTE","AJUSTE inventario ("&amp;MOVIMIENTOS!$C382&amp;")",MOVIMIENTOS!$B382)))))))))),"")</f>
        <v/>
      </c>
      <c r="M383" t="str">
        <f>IF(AND(AND(MOVIMIENTOS!$B382&lt;&gt;"",NOT(AND(MOVIMIENTOS!$B382="PROCESO",MOVIMIENTOS!$C382&lt;&gt;"Chancho")),NOT(AND(MOVIMIENTOS!$B382="SALDO INICIAL",MOVIMIENTOS!$C382="Chancho"))),OR(MOVIMIENTOS!$B382="SALDO INICIAL",MOVIMIENTOS!$B382="COMPRA",MOVIMIENTOS!$B382="REPROCESO",AND(MOVIMIENTOS!$B382="AJUSTE",MOVIMIENTOS!$C382&lt;&gt;"Chancho",N(MOVIMIENTOS!$F382)&gt;=0))),N(MOVIMIENTOS!$F382),"")</f>
        <v/>
      </c>
      <c r="N383" t="str">
        <f>IF(AND(AND(MOVIMIENTOS!$B382&lt;&gt;"",NOT(AND(MOVIMIENTOS!$B382="PROCESO",MOVIMIENTOS!$C382&lt;&gt;"Chancho")),NOT(AND(MOVIMIENTOS!$B382="SALDO INICIAL",MOVIMIENTOS!$C382="Chancho"))),OR(MOVIMIENTOS!$B382="ENVÍO A SUPESA",MOVIMIENTOS!$B382="MALOGRADO",MOVIMIENTOS!$B382="OTRA SALIDA",MOVIMIENTOS!$B382="TRASIEGO",AND(MOVIMIENTOS!$B382="PROCESO",MOVIMIENTOS!$C382="Chancho"),AND(MOVIMIENTOS!$B382="REGALO",MOVIMIENTOS!$C382&lt;&gt;"Chancho"),AND(MOVIMIENTOS!$B382="VENTA",MOVIMIENTOS!$C382&lt;&gt;"Chancho"),AND(MOVIMIENTOS!$B382="AJUSTE",MOVIMIENTOS!$C382&lt;&gt;"Chancho",N(MOVIMIENTOS!$F382)&lt;0))),IF(MOVIMIENTOS!$B382="AJUSTE",-N(MOVIMIENTOS!$F382),N(MOVIMIENTOS!$F382)),"")</f>
        <v/>
      </c>
      <c r="O383" t="str">
        <f>IF(AND(MOVIMIENTOS!$B382&lt;&gt;"",NOT(AND(MOVIMIENTOS!$B382="PROCESO",MOVIMIENTOS!$C382&lt;&gt;"Chancho")),NOT(AND(MOVIMIENTOS!$B382="SALDO INICIAL",MOVIMIENTOS!$C382="Chancho"))),TRIM(IF(MOVIMIENTOS!$G382&lt;&gt;"",IF(MOVIMIENTOS!$B382="ENVÍO A SUPESA","G-"&amp;MOVIMIENTOS!$G382,MOVIMIENTOS!$G382)&amp;"  ","")&amp;IF(N(MOVIMIENTOS!$E382)&gt;0,MOVIMIENTOS!$E382&amp;" "&amp;MOVIMIENTOS!$D382,"")),"")</f>
        <v/>
      </c>
      <c r="P383">
        <f t="shared" si="41"/>
        <v>6138.5</v>
      </c>
    </row>
    <row r="384" spans="1:16" x14ac:dyDescent="0.2">
      <c r="A384" s="7" t="str">
        <f t="shared" si="35"/>
        <v/>
      </c>
      <c r="B384" s="8" t="str">
        <f t="shared" si="36"/>
        <v/>
      </c>
      <c r="C384" s="9" t="str">
        <f t="shared" si="37"/>
        <v/>
      </c>
      <c r="D384" s="9" t="str">
        <f t="shared" si="38"/>
        <v/>
      </c>
      <c r="E384" s="8" t="str">
        <f t="shared" si="39"/>
        <v/>
      </c>
      <c r="F384" s="9" t="str">
        <f t="shared" si="40"/>
        <v/>
      </c>
      <c r="J384" t="str">
        <f>IF(AND(MOVIMIENTOS!$B383&lt;&gt;"",NOT(AND(MOVIMIENTOS!$B383="PROCESO",MOVIMIENTOS!$C383&lt;&gt;"Chancho")),NOT(AND(MOVIMIENTOS!$B383="SALDO INICIAL",MOVIMIENTOS!$C383="Chancho"))),COUNT(J$5:J383)+1,"")</f>
        <v/>
      </c>
      <c r="K384" t="str">
        <f>IF(AND(MOVIMIENTOS!$B383&lt;&gt;"",NOT(AND(MOVIMIENTOS!$B383="PROCESO",MOVIMIENTOS!$C383&lt;&gt;"Chancho")),NOT(AND(MOVIMIENTOS!$B383="SALDO INICIAL",MOVIMIENTOS!$C383="Chancho"))),MOVIMIENTOS!$A383,"")</f>
        <v/>
      </c>
      <c r="L384" t="str">
        <f>IF(AND(MOVIMIENTOS!$B383&lt;&gt;"",NOT(AND(MOVIMIENTOS!$B383="PROCESO",MOVIMIENTOS!$C383&lt;&gt;"Chancho")),NOT(AND(MOVIMIENTOS!$B383="SALDO INICIAL",MOVIMIENTOS!$C383="Chancho"))),IF(MOVIMIENTOS!$B383="SALDO INICIAL","APERTURA ("&amp;MOVIMIENTOS!$C383&amp;")",IF(MOVIMIENTOS!$B383="COMPRA","INGRESO (compra)",IF(MOVIMIENTOS!$B383="PROCESO","CHANCHO (proceso)",IF(MOVIMIENTOS!$B383="ENVÍO A SUPESA","ENVÍO SUPESA cal. "&amp;MOVIMIENTOS!$C383,IF(MOVIMIENTOS!$B383="VENTA CHANCHO","VENTA CHANCHO",IF(MOVIMIENTOS!$B383="DEVOLUCIÓN","DEVOLUCIÓN cal. "&amp;MOVIMIENTOS!$C383,IF(MOVIMIENTOS!$B383="TRASIEGO","TRASIEGO cal. "&amp;MOVIMIENTOS!$C383,IF(MOVIMIENTOS!$B383="REGALO","REGALO "&amp;MOVIMIENTOS!$C383,IF(MOVIMIENTOS!$B383="VENTA","VENTA "&amp;MOVIMIENTOS!$C383,IF(MOVIMIENTOS!$B383="AJUSTE","AJUSTE inventario ("&amp;MOVIMIENTOS!$C383&amp;")",MOVIMIENTOS!$B383)))))))))),"")</f>
        <v/>
      </c>
      <c r="M384" t="str">
        <f>IF(AND(AND(MOVIMIENTOS!$B383&lt;&gt;"",NOT(AND(MOVIMIENTOS!$B383="PROCESO",MOVIMIENTOS!$C383&lt;&gt;"Chancho")),NOT(AND(MOVIMIENTOS!$B383="SALDO INICIAL",MOVIMIENTOS!$C383="Chancho"))),OR(MOVIMIENTOS!$B383="SALDO INICIAL",MOVIMIENTOS!$B383="COMPRA",MOVIMIENTOS!$B383="REPROCESO",AND(MOVIMIENTOS!$B383="AJUSTE",MOVIMIENTOS!$C383&lt;&gt;"Chancho",N(MOVIMIENTOS!$F383)&gt;=0))),N(MOVIMIENTOS!$F383),"")</f>
        <v/>
      </c>
      <c r="N384" t="str">
        <f>IF(AND(AND(MOVIMIENTOS!$B383&lt;&gt;"",NOT(AND(MOVIMIENTOS!$B383="PROCESO",MOVIMIENTOS!$C383&lt;&gt;"Chancho")),NOT(AND(MOVIMIENTOS!$B383="SALDO INICIAL",MOVIMIENTOS!$C383="Chancho"))),OR(MOVIMIENTOS!$B383="ENVÍO A SUPESA",MOVIMIENTOS!$B383="MALOGRADO",MOVIMIENTOS!$B383="OTRA SALIDA",MOVIMIENTOS!$B383="TRASIEGO",AND(MOVIMIENTOS!$B383="PROCESO",MOVIMIENTOS!$C383="Chancho"),AND(MOVIMIENTOS!$B383="REGALO",MOVIMIENTOS!$C383&lt;&gt;"Chancho"),AND(MOVIMIENTOS!$B383="VENTA",MOVIMIENTOS!$C383&lt;&gt;"Chancho"),AND(MOVIMIENTOS!$B383="AJUSTE",MOVIMIENTOS!$C383&lt;&gt;"Chancho",N(MOVIMIENTOS!$F383)&lt;0))),IF(MOVIMIENTOS!$B383="AJUSTE",-N(MOVIMIENTOS!$F383),N(MOVIMIENTOS!$F383)),"")</f>
        <v/>
      </c>
      <c r="O384" t="str">
        <f>IF(AND(MOVIMIENTOS!$B383&lt;&gt;"",NOT(AND(MOVIMIENTOS!$B383="PROCESO",MOVIMIENTOS!$C383&lt;&gt;"Chancho")),NOT(AND(MOVIMIENTOS!$B383="SALDO INICIAL",MOVIMIENTOS!$C383="Chancho"))),TRIM(IF(MOVIMIENTOS!$G383&lt;&gt;"",IF(MOVIMIENTOS!$B383="ENVÍO A SUPESA","G-"&amp;MOVIMIENTOS!$G383,MOVIMIENTOS!$G383)&amp;"  ","")&amp;IF(N(MOVIMIENTOS!$E383)&gt;0,MOVIMIENTOS!$E383&amp;" "&amp;MOVIMIENTOS!$D383,"")),"")</f>
        <v/>
      </c>
      <c r="P384">
        <f t="shared" si="41"/>
        <v>6138.5</v>
      </c>
    </row>
    <row r="385" spans="1:16" x14ac:dyDescent="0.2">
      <c r="A385" s="7" t="str">
        <f t="shared" si="35"/>
        <v/>
      </c>
      <c r="B385" s="8" t="str">
        <f t="shared" si="36"/>
        <v/>
      </c>
      <c r="C385" s="9" t="str">
        <f t="shared" si="37"/>
        <v/>
      </c>
      <c r="D385" s="9" t="str">
        <f t="shared" si="38"/>
        <v/>
      </c>
      <c r="E385" s="8" t="str">
        <f t="shared" si="39"/>
        <v/>
      </c>
      <c r="F385" s="9" t="str">
        <f t="shared" si="40"/>
        <v/>
      </c>
      <c r="J385" t="str">
        <f>IF(AND(MOVIMIENTOS!$B384&lt;&gt;"",NOT(AND(MOVIMIENTOS!$B384="PROCESO",MOVIMIENTOS!$C384&lt;&gt;"Chancho")),NOT(AND(MOVIMIENTOS!$B384="SALDO INICIAL",MOVIMIENTOS!$C384="Chancho"))),COUNT(J$5:J384)+1,"")</f>
        <v/>
      </c>
      <c r="K385" t="str">
        <f>IF(AND(MOVIMIENTOS!$B384&lt;&gt;"",NOT(AND(MOVIMIENTOS!$B384="PROCESO",MOVIMIENTOS!$C384&lt;&gt;"Chancho")),NOT(AND(MOVIMIENTOS!$B384="SALDO INICIAL",MOVIMIENTOS!$C384="Chancho"))),MOVIMIENTOS!$A384,"")</f>
        <v/>
      </c>
      <c r="L385" t="str">
        <f>IF(AND(MOVIMIENTOS!$B384&lt;&gt;"",NOT(AND(MOVIMIENTOS!$B384="PROCESO",MOVIMIENTOS!$C384&lt;&gt;"Chancho")),NOT(AND(MOVIMIENTOS!$B384="SALDO INICIAL",MOVIMIENTOS!$C384="Chancho"))),IF(MOVIMIENTOS!$B384="SALDO INICIAL","APERTURA ("&amp;MOVIMIENTOS!$C384&amp;")",IF(MOVIMIENTOS!$B384="COMPRA","INGRESO (compra)",IF(MOVIMIENTOS!$B384="PROCESO","CHANCHO (proceso)",IF(MOVIMIENTOS!$B384="ENVÍO A SUPESA","ENVÍO SUPESA cal. "&amp;MOVIMIENTOS!$C384,IF(MOVIMIENTOS!$B384="VENTA CHANCHO","VENTA CHANCHO",IF(MOVIMIENTOS!$B384="DEVOLUCIÓN","DEVOLUCIÓN cal. "&amp;MOVIMIENTOS!$C384,IF(MOVIMIENTOS!$B384="TRASIEGO","TRASIEGO cal. "&amp;MOVIMIENTOS!$C384,IF(MOVIMIENTOS!$B384="REGALO","REGALO "&amp;MOVIMIENTOS!$C384,IF(MOVIMIENTOS!$B384="VENTA","VENTA "&amp;MOVIMIENTOS!$C384,IF(MOVIMIENTOS!$B384="AJUSTE","AJUSTE inventario ("&amp;MOVIMIENTOS!$C384&amp;")",MOVIMIENTOS!$B384)))))))))),"")</f>
        <v/>
      </c>
      <c r="M385" t="str">
        <f>IF(AND(AND(MOVIMIENTOS!$B384&lt;&gt;"",NOT(AND(MOVIMIENTOS!$B384="PROCESO",MOVIMIENTOS!$C384&lt;&gt;"Chancho")),NOT(AND(MOVIMIENTOS!$B384="SALDO INICIAL",MOVIMIENTOS!$C384="Chancho"))),OR(MOVIMIENTOS!$B384="SALDO INICIAL",MOVIMIENTOS!$B384="COMPRA",MOVIMIENTOS!$B384="REPROCESO",AND(MOVIMIENTOS!$B384="AJUSTE",MOVIMIENTOS!$C384&lt;&gt;"Chancho",N(MOVIMIENTOS!$F384)&gt;=0))),N(MOVIMIENTOS!$F384),"")</f>
        <v/>
      </c>
      <c r="N385" t="str">
        <f>IF(AND(AND(MOVIMIENTOS!$B384&lt;&gt;"",NOT(AND(MOVIMIENTOS!$B384="PROCESO",MOVIMIENTOS!$C384&lt;&gt;"Chancho")),NOT(AND(MOVIMIENTOS!$B384="SALDO INICIAL",MOVIMIENTOS!$C384="Chancho"))),OR(MOVIMIENTOS!$B384="ENVÍO A SUPESA",MOVIMIENTOS!$B384="MALOGRADO",MOVIMIENTOS!$B384="OTRA SALIDA",MOVIMIENTOS!$B384="TRASIEGO",AND(MOVIMIENTOS!$B384="PROCESO",MOVIMIENTOS!$C384="Chancho"),AND(MOVIMIENTOS!$B384="REGALO",MOVIMIENTOS!$C384&lt;&gt;"Chancho"),AND(MOVIMIENTOS!$B384="VENTA",MOVIMIENTOS!$C384&lt;&gt;"Chancho"),AND(MOVIMIENTOS!$B384="AJUSTE",MOVIMIENTOS!$C384&lt;&gt;"Chancho",N(MOVIMIENTOS!$F384)&lt;0))),IF(MOVIMIENTOS!$B384="AJUSTE",-N(MOVIMIENTOS!$F384),N(MOVIMIENTOS!$F384)),"")</f>
        <v/>
      </c>
      <c r="O385" t="str">
        <f>IF(AND(MOVIMIENTOS!$B384&lt;&gt;"",NOT(AND(MOVIMIENTOS!$B384="PROCESO",MOVIMIENTOS!$C384&lt;&gt;"Chancho")),NOT(AND(MOVIMIENTOS!$B384="SALDO INICIAL",MOVIMIENTOS!$C384="Chancho"))),TRIM(IF(MOVIMIENTOS!$G384&lt;&gt;"",IF(MOVIMIENTOS!$B384="ENVÍO A SUPESA","G-"&amp;MOVIMIENTOS!$G384,MOVIMIENTOS!$G384)&amp;"  ","")&amp;IF(N(MOVIMIENTOS!$E384)&gt;0,MOVIMIENTOS!$E384&amp;" "&amp;MOVIMIENTOS!$D384,"")),"")</f>
        <v/>
      </c>
      <c r="P385">
        <f t="shared" si="41"/>
        <v>6138.5</v>
      </c>
    </row>
    <row r="386" spans="1:16" x14ac:dyDescent="0.2">
      <c r="A386" s="7" t="str">
        <f t="shared" si="35"/>
        <v/>
      </c>
      <c r="B386" s="8" t="str">
        <f t="shared" si="36"/>
        <v/>
      </c>
      <c r="C386" s="9" t="str">
        <f t="shared" si="37"/>
        <v/>
      </c>
      <c r="D386" s="9" t="str">
        <f t="shared" si="38"/>
        <v/>
      </c>
      <c r="E386" s="8" t="str">
        <f t="shared" si="39"/>
        <v/>
      </c>
      <c r="F386" s="9" t="str">
        <f t="shared" si="40"/>
        <v/>
      </c>
      <c r="J386" t="str">
        <f>IF(AND(MOVIMIENTOS!$B385&lt;&gt;"",NOT(AND(MOVIMIENTOS!$B385="PROCESO",MOVIMIENTOS!$C385&lt;&gt;"Chancho")),NOT(AND(MOVIMIENTOS!$B385="SALDO INICIAL",MOVIMIENTOS!$C385="Chancho"))),COUNT(J$5:J385)+1,"")</f>
        <v/>
      </c>
      <c r="K386" t="str">
        <f>IF(AND(MOVIMIENTOS!$B385&lt;&gt;"",NOT(AND(MOVIMIENTOS!$B385="PROCESO",MOVIMIENTOS!$C385&lt;&gt;"Chancho")),NOT(AND(MOVIMIENTOS!$B385="SALDO INICIAL",MOVIMIENTOS!$C385="Chancho"))),MOVIMIENTOS!$A385,"")</f>
        <v/>
      </c>
      <c r="L386" t="str">
        <f>IF(AND(MOVIMIENTOS!$B385&lt;&gt;"",NOT(AND(MOVIMIENTOS!$B385="PROCESO",MOVIMIENTOS!$C385&lt;&gt;"Chancho")),NOT(AND(MOVIMIENTOS!$B385="SALDO INICIAL",MOVIMIENTOS!$C385="Chancho"))),IF(MOVIMIENTOS!$B385="SALDO INICIAL","APERTURA ("&amp;MOVIMIENTOS!$C385&amp;")",IF(MOVIMIENTOS!$B385="COMPRA","INGRESO (compra)",IF(MOVIMIENTOS!$B385="PROCESO","CHANCHO (proceso)",IF(MOVIMIENTOS!$B385="ENVÍO A SUPESA","ENVÍO SUPESA cal. "&amp;MOVIMIENTOS!$C385,IF(MOVIMIENTOS!$B385="VENTA CHANCHO","VENTA CHANCHO",IF(MOVIMIENTOS!$B385="DEVOLUCIÓN","DEVOLUCIÓN cal. "&amp;MOVIMIENTOS!$C385,IF(MOVIMIENTOS!$B385="TRASIEGO","TRASIEGO cal. "&amp;MOVIMIENTOS!$C385,IF(MOVIMIENTOS!$B385="REGALO","REGALO "&amp;MOVIMIENTOS!$C385,IF(MOVIMIENTOS!$B385="VENTA","VENTA "&amp;MOVIMIENTOS!$C385,IF(MOVIMIENTOS!$B385="AJUSTE","AJUSTE inventario ("&amp;MOVIMIENTOS!$C385&amp;")",MOVIMIENTOS!$B385)))))))))),"")</f>
        <v/>
      </c>
      <c r="M386" t="str">
        <f>IF(AND(AND(MOVIMIENTOS!$B385&lt;&gt;"",NOT(AND(MOVIMIENTOS!$B385="PROCESO",MOVIMIENTOS!$C385&lt;&gt;"Chancho")),NOT(AND(MOVIMIENTOS!$B385="SALDO INICIAL",MOVIMIENTOS!$C385="Chancho"))),OR(MOVIMIENTOS!$B385="SALDO INICIAL",MOVIMIENTOS!$B385="COMPRA",MOVIMIENTOS!$B385="REPROCESO",AND(MOVIMIENTOS!$B385="AJUSTE",MOVIMIENTOS!$C385&lt;&gt;"Chancho",N(MOVIMIENTOS!$F385)&gt;=0))),N(MOVIMIENTOS!$F385),"")</f>
        <v/>
      </c>
      <c r="N386" t="str">
        <f>IF(AND(AND(MOVIMIENTOS!$B385&lt;&gt;"",NOT(AND(MOVIMIENTOS!$B385="PROCESO",MOVIMIENTOS!$C385&lt;&gt;"Chancho")),NOT(AND(MOVIMIENTOS!$B385="SALDO INICIAL",MOVIMIENTOS!$C385="Chancho"))),OR(MOVIMIENTOS!$B385="ENVÍO A SUPESA",MOVIMIENTOS!$B385="MALOGRADO",MOVIMIENTOS!$B385="OTRA SALIDA",MOVIMIENTOS!$B385="TRASIEGO",AND(MOVIMIENTOS!$B385="PROCESO",MOVIMIENTOS!$C385="Chancho"),AND(MOVIMIENTOS!$B385="REGALO",MOVIMIENTOS!$C385&lt;&gt;"Chancho"),AND(MOVIMIENTOS!$B385="VENTA",MOVIMIENTOS!$C385&lt;&gt;"Chancho"),AND(MOVIMIENTOS!$B385="AJUSTE",MOVIMIENTOS!$C385&lt;&gt;"Chancho",N(MOVIMIENTOS!$F385)&lt;0))),IF(MOVIMIENTOS!$B385="AJUSTE",-N(MOVIMIENTOS!$F385),N(MOVIMIENTOS!$F385)),"")</f>
        <v/>
      </c>
      <c r="O386" t="str">
        <f>IF(AND(MOVIMIENTOS!$B385&lt;&gt;"",NOT(AND(MOVIMIENTOS!$B385="PROCESO",MOVIMIENTOS!$C385&lt;&gt;"Chancho")),NOT(AND(MOVIMIENTOS!$B385="SALDO INICIAL",MOVIMIENTOS!$C385="Chancho"))),TRIM(IF(MOVIMIENTOS!$G385&lt;&gt;"",IF(MOVIMIENTOS!$B385="ENVÍO A SUPESA","G-"&amp;MOVIMIENTOS!$G385,MOVIMIENTOS!$G385)&amp;"  ","")&amp;IF(N(MOVIMIENTOS!$E385)&gt;0,MOVIMIENTOS!$E385&amp;" "&amp;MOVIMIENTOS!$D385,"")),"")</f>
        <v/>
      </c>
      <c r="P386">
        <f t="shared" si="41"/>
        <v>6138.5</v>
      </c>
    </row>
    <row r="387" spans="1:16" x14ac:dyDescent="0.2">
      <c r="A387" s="7" t="str">
        <f t="shared" si="35"/>
        <v/>
      </c>
      <c r="B387" s="8" t="str">
        <f t="shared" si="36"/>
        <v/>
      </c>
      <c r="C387" s="9" t="str">
        <f t="shared" si="37"/>
        <v/>
      </c>
      <c r="D387" s="9" t="str">
        <f t="shared" si="38"/>
        <v/>
      </c>
      <c r="E387" s="8" t="str">
        <f t="shared" si="39"/>
        <v/>
      </c>
      <c r="F387" s="9" t="str">
        <f t="shared" si="40"/>
        <v/>
      </c>
      <c r="J387" t="str">
        <f>IF(AND(MOVIMIENTOS!$B386&lt;&gt;"",NOT(AND(MOVIMIENTOS!$B386="PROCESO",MOVIMIENTOS!$C386&lt;&gt;"Chancho")),NOT(AND(MOVIMIENTOS!$B386="SALDO INICIAL",MOVIMIENTOS!$C386="Chancho"))),COUNT(J$5:J386)+1,"")</f>
        <v/>
      </c>
      <c r="K387" t="str">
        <f>IF(AND(MOVIMIENTOS!$B386&lt;&gt;"",NOT(AND(MOVIMIENTOS!$B386="PROCESO",MOVIMIENTOS!$C386&lt;&gt;"Chancho")),NOT(AND(MOVIMIENTOS!$B386="SALDO INICIAL",MOVIMIENTOS!$C386="Chancho"))),MOVIMIENTOS!$A386,"")</f>
        <v/>
      </c>
      <c r="L387" t="str">
        <f>IF(AND(MOVIMIENTOS!$B386&lt;&gt;"",NOT(AND(MOVIMIENTOS!$B386="PROCESO",MOVIMIENTOS!$C386&lt;&gt;"Chancho")),NOT(AND(MOVIMIENTOS!$B386="SALDO INICIAL",MOVIMIENTOS!$C386="Chancho"))),IF(MOVIMIENTOS!$B386="SALDO INICIAL","APERTURA ("&amp;MOVIMIENTOS!$C386&amp;")",IF(MOVIMIENTOS!$B386="COMPRA","INGRESO (compra)",IF(MOVIMIENTOS!$B386="PROCESO","CHANCHO (proceso)",IF(MOVIMIENTOS!$B386="ENVÍO A SUPESA","ENVÍO SUPESA cal. "&amp;MOVIMIENTOS!$C386,IF(MOVIMIENTOS!$B386="VENTA CHANCHO","VENTA CHANCHO",IF(MOVIMIENTOS!$B386="DEVOLUCIÓN","DEVOLUCIÓN cal. "&amp;MOVIMIENTOS!$C386,IF(MOVIMIENTOS!$B386="TRASIEGO","TRASIEGO cal. "&amp;MOVIMIENTOS!$C386,IF(MOVIMIENTOS!$B386="REGALO","REGALO "&amp;MOVIMIENTOS!$C386,IF(MOVIMIENTOS!$B386="VENTA","VENTA "&amp;MOVIMIENTOS!$C386,IF(MOVIMIENTOS!$B386="AJUSTE","AJUSTE inventario ("&amp;MOVIMIENTOS!$C386&amp;")",MOVIMIENTOS!$B386)))))))))),"")</f>
        <v/>
      </c>
      <c r="M387" t="str">
        <f>IF(AND(AND(MOVIMIENTOS!$B386&lt;&gt;"",NOT(AND(MOVIMIENTOS!$B386="PROCESO",MOVIMIENTOS!$C386&lt;&gt;"Chancho")),NOT(AND(MOVIMIENTOS!$B386="SALDO INICIAL",MOVIMIENTOS!$C386="Chancho"))),OR(MOVIMIENTOS!$B386="SALDO INICIAL",MOVIMIENTOS!$B386="COMPRA",MOVIMIENTOS!$B386="REPROCESO",AND(MOVIMIENTOS!$B386="AJUSTE",MOVIMIENTOS!$C386&lt;&gt;"Chancho",N(MOVIMIENTOS!$F386)&gt;=0))),N(MOVIMIENTOS!$F386),"")</f>
        <v/>
      </c>
      <c r="N387" t="str">
        <f>IF(AND(AND(MOVIMIENTOS!$B386&lt;&gt;"",NOT(AND(MOVIMIENTOS!$B386="PROCESO",MOVIMIENTOS!$C386&lt;&gt;"Chancho")),NOT(AND(MOVIMIENTOS!$B386="SALDO INICIAL",MOVIMIENTOS!$C386="Chancho"))),OR(MOVIMIENTOS!$B386="ENVÍO A SUPESA",MOVIMIENTOS!$B386="MALOGRADO",MOVIMIENTOS!$B386="OTRA SALIDA",MOVIMIENTOS!$B386="TRASIEGO",AND(MOVIMIENTOS!$B386="PROCESO",MOVIMIENTOS!$C386="Chancho"),AND(MOVIMIENTOS!$B386="REGALO",MOVIMIENTOS!$C386&lt;&gt;"Chancho"),AND(MOVIMIENTOS!$B386="VENTA",MOVIMIENTOS!$C386&lt;&gt;"Chancho"),AND(MOVIMIENTOS!$B386="AJUSTE",MOVIMIENTOS!$C386&lt;&gt;"Chancho",N(MOVIMIENTOS!$F386)&lt;0))),IF(MOVIMIENTOS!$B386="AJUSTE",-N(MOVIMIENTOS!$F386),N(MOVIMIENTOS!$F386)),"")</f>
        <v/>
      </c>
      <c r="O387" t="str">
        <f>IF(AND(MOVIMIENTOS!$B386&lt;&gt;"",NOT(AND(MOVIMIENTOS!$B386="PROCESO",MOVIMIENTOS!$C386&lt;&gt;"Chancho")),NOT(AND(MOVIMIENTOS!$B386="SALDO INICIAL",MOVIMIENTOS!$C386="Chancho"))),TRIM(IF(MOVIMIENTOS!$G386&lt;&gt;"",IF(MOVIMIENTOS!$B386="ENVÍO A SUPESA","G-"&amp;MOVIMIENTOS!$G386,MOVIMIENTOS!$G386)&amp;"  ","")&amp;IF(N(MOVIMIENTOS!$E386)&gt;0,MOVIMIENTOS!$E386&amp;" "&amp;MOVIMIENTOS!$D386,"")),"")</f>
        <v/>
      </c>
      <c r="P387">
        <f t="shared" si="41"/>
        <v>6138.5</v>
      </c>
    </row>
    <row r="388" spans="1:16" x14ac:dyDescent="0.2">
      <c r="A388" s="7" t="str">
        <f t="shared" si="35"/>
        <v/>
      </c>
      <c r="B388" s="8" t="str">
        <f t="shared" si="36"/>
        <v/>
      </c>
      <c r="C388" s="9" t="str">
        <f t="shared" si="37"/>
        <v/>
      </c>
      <c r="D388" s="9" t="str">
        <f t="shared" si="38"/>
        <v/>
      </c>
      <c r="E388" s="8" t="str">
        <f t="shared" si="39"/>
        <v/>
      </c>
      <c r="F388" s="9" t="str">
        <f t="shared" si="40"/>
        <v/>
      </c>
      <c r="J388" t="str">
        <f>IF(AND(MOVIMIENTOS!$B387&lt;&gt;"",NOT(AND(MOVIMIENTOS!$B387="PROCESO",MOVIMIENTOS!$C387&lt;&gt;"Chancho")),NOT(AND(MOVIMIENTOS!$B387="SALDO INICIAL",MOVIMIENTOS!$C387="Chancho"))),COUNT(J$5:J387)+1,"")</f>
        <v/>
      </c>
      <c r="K388" t="str">
        <f>IF(AND(MOVIMIENTOS!$B387&lt;&gt;"",NOT(AND(MOVIMIENTOS!$B387="PROCESO",MOVIMIENTOS!$C387&lt;&gt;"Chancho")),NOT(AND(MOVIMIENTOS!$B387="SALDO INICIAL",MOVIMIENTOS!$C387="Chancho"))),MOVIMIENTOS!$A387,"")</f>
        <v/>
      </c>
      <c r="L388" t="str">
        <f>IF(AND(MOVIMIENTOS!$B387&lt;&gt;"",NOT(AND(MOVIMIENTOS!$B387="PROCESO",MOVIMIENTOS!$C387&lt;&gt;"Chancho")),NOT(AND(MOVIMIENTOS!$B387="SALDO INICIAL",MOVIMIENTOS!$C387="Chancho"))),IF(MOVIMIENTOS!$B387="SALDO INICIAL","APERTURA ("&amp;MOVIMIENTOS!$C387&amp;")",IF(MOVIMIENTOS!$B387="COMPRA","INGRESO (compra)",IF(MOVIMIENTOS!$B387="PROCESO","CHANCHO (proceso)",IF(MOVIMIENTOS!$B387="ENVÍO A SUPESA","ENVÍO SUPESA cal. "&amp;MOVIMIENTOS!$C387,IF(MOVIMIENTOS!$B387="VENTA CHANCHO","VENTA CHANCHO",IF(MOVIMIENTOS!$B387="DEVOLUCIÓN","DEVOLUCIÓN cal. "&amp;MOVIMIENTOS!$C387,IF(MOVIMIENTOS!$B387="TRASIEGO","TRASIEGO cal. "&amp;MOVIMIENTOS!$C387,IF(MOVIMIENTOS!$B387="REGALO","REGALO "&amp;MOVIMIENTOS!$C387,IF(MOVIMIENTOS!$B387="VENTA","VENTA "&amp;MOVIMIENTOS!$C387,IF(MOVIMIENTOS!$B387="AJUSTE","AJUSTE inventario ("&amp;MOVIMIENTOS!$C387&amp;")",MOVIMIENTOS!$B387)))))))))),"")</f>
        <v/>
      </c>
      <c r="M388" t="str">
        <f>IF(AND(AND(MOVIMIENTOS!$B387&lt;&gt;"",NOT(AND(MOVIMIENTOS!$B387="PROCESO",MOVIMIENTOS!$C387&lt;&gt;"Chancho")),NOT(AND(MOVIMIENTOS!$B387="SALDO INICIAL",MOVIMIENTOS!$C387="Chancho"))),OR(MOVIMIENTOS!$B387="SALDO INICIAL",MOVIMIENTOS!$B387="COMPRA",MOVIMIENTOS!$B387="REPROCESO",AND(MOVIMIENTOS!$B387="AJUSTE",MOVIMIENTOS!$C387&lt;&gt;"Chancho",N(MOVIMIENTOS!$F387)&gt;=0))),N(MOVIMIENTOS!$F387),"")</f>
        <v/>
      </c>
      <c r="N388" t="str">
        <f>IF(AND(AND(MOVIMIENTOS!$B387&lt;&gt;"",NOT(AND(MOVIMIENTOS!$B387="PROCESO",MOVIMIENTOS!$C387&lt;&gt;"Chancho")),NOT(AND(MOVIMIENTOS!$B387="SALDO INICIAL",MOVIMIENTOS!$C387="Chancho"))),OR(MOVIMIENTOS!$B387="ENVÍO A SUPESA",MOVIMIENTOS!$B387="MALOGRADO",MOVIMIENTOS!$B387="OTRA SALIDA",MOVIMIENTOS!$B387="TRASIEGO",AND(MOVIMIENTOS!$B387="PROCESO",MOVIMIENTOS!$C387="Chancho"),AND(MOVIMIENTOS!$B387="REGALO",MOVIMIENTOS!$C387&lt;&gt;"Chancho"),AND(MOVIMIENTOS!$B387="VENTA",MOVIMIENTOS!$C387&lt;&gt;"Chancho"),AND(MOVIMIENTOS!$B387="AJUSTE",MOVIMIENTOS!$C387&lt;&gt;"Chancho",N(MOVIMIENTOS!$F387)&lt;0))),IF(MOVIMIENTOS!$B387="AJUSTE",-N(MOVIMIENTOS!$F387),N(MOVIMIENTOS!$F387)),"")</f>
        <v/>
      </c>
      <c r="O388" t="str">
        <f>IF(AND(MOVIMIENTOS!$B387&lt;&gt;"",NOT(AND(MOVIMIENTOS!$B387="PROCESO",MOVIMIENTOS!$C387&lt;&gt;"Chancho")),NOT(AND(MOVIMIENTOS!$B387="SALDO INICIAL",MOVIMIENTOS!$C387="Chancho"))),TRIM(IF(MOVIMIENTOS!$G387&lt;&gt;"",IF(MOVIMIENTOS!$B387="ENVÍO A SUPESA","G-"&amp;MOVIMIENTOS!$G387,MOVIMIENTOS!$G387)&amp;"  ","")&amp;IF(N(MOVIMIENTOS!$E387)&gt;0,MOVIMIENTOS!$E387&amp;" "&amp;MOVIMIENTOS!$D387,"")),"")</f>
        <v/>
      </c>
      <c r="P388">
        <f t="shared" si="41"/>
        <v>6138.5</v>
      </c>
    </row>
    <row r="389" spans="1:16" x14ac:dyDescent="0.2">
      <c r="A389" s="7" t="str">
        <f t="shared" si="35"/>
        <v/>
      </c>
      <c r="B389" s="8" t="str">
        <f t="shared" si="36"/>
        <v/>
      </c>
      <c r="C389" s="9" t="str">
        <f t="shared" si="37"/>
        <v/>
      </c>
      <c r="D389" s="9" t="str">
        <f t="shared" si="38"/>
        <v/>
      </c>
      <c r="E389" s="8" t="str">
        <f t="shared" si="39"/>
        <v/>
      </c>
      <c r="F389" s="9" t="str">
        <f t="shared" si="40"/>
        <v/>
      </c>
      <c r="J389" t="str">
        <f>IF(AND(MOVIMIENTOS!$B388&lt;&gt;"",NOT(AND(MOVIMIENTOS!$B388="PROCESO",MOVIMIENTOS!$C388&lt;&gt;"Chancho")),NOT(AND(MOVIMIENTOS!$B388="SALDO INICIAL",MOVIMIENTOS!$C388="Chancho"))),COUNT(J$5:J388)+1,"")</f>
        <v/>
      </c>
      <c r="K389" t="str">
        <f>IF(AND(MOVIMIENTOS!$B388&lt;&gt;"",NOT(AND(MOVIMIENTOS!$B388="PROCESO",MOVIMIENTOS!$C388&lt;&gt;"Chancho")),NOT(AND(MOVIMIENTOS!$B388="SALDO INICIAL",MOVIMIENTOS!$C388="Chancho"))),MOVIMIENTOS!$A388,"")</f>
        <v/>
      </c>
      <c r="L389" t="str">
        <f>IF(AND(MOVIMIENTOS!$B388&lt;&gt;"",NOT(AND(MOVIMIENTOS!$B388="PROCESO",MOVIMIENTOS!$C388&lt;&gt;"Chancho")),NOT(AND(MOVIMIENTOS!$B388="SALDO INICIAL",MOVIMIENTOS!$C388="Chancho"))),IF(MOVIMIENTOS!$B388="SALDO INICIAL","APERTURA ("&amp;MOVIMIENTOS!$C388&amp;")",IF(MOVIMIENTOS!$B388="COMPRA","INGRESO (compra)",IF(MOVIMIENTOS!$B388="PROCESO","CHANCHO (proceso)",IF(MOVIMIENTOS!$B388="ENVÍO A SUPESA","ENVÍO SUPESA cal. "&amp;MOVIMIENTOS!$C388,IF(MOVIMIENTOS!$B388="VENTA CHANCHO","VENTA CHANCHO",IF(MOVIMIENTOS!$B388="DEVOLUCIÓN","DEVOLUCIÓN cal. "&amp;MOVIMIENTOS!$C388,IF(MOVIMIENTOS!$B388="TRASIEGO","TRASIEGO cal. "&amp;MOVIMIENTOS!$C388,IF(MOVIMIENTOS!$B388="REGALO","REGALO "&amp;MOVIMIENTOS!$C388,IF(MOVIMIENTOS!$B388="VENTA","VENTA "&amp;MOVIMIENTOS!$C388,IF(MOVIMIENTOS!$B388="AJUSTE","AJUSTE inventario ("&amp;MOVIMIENTOS!$C388&amp;")",MOVIMIENTOS!$B388)))))))))),"")</f>
        <v/>
      </c>
      <c r="M389" t="str">
        <f>IF(AND(AND(MOVIMIENTOS!$B388&lt;&gt;"",NOT(AND(MOVIMIENTOS!$B388="PROCESO",MOVIMIENTOS!$C388&lt;&gt;"Chancho")),NOT(AND(MOVIMIENTOS!$B388="SALDO INICIAL",MOVIMIENTOS!$C388="Chancho"))),OR(MOVIMIENTOS!$B388="SALDO INICIAL",MOVIMIENTOS!$B388="COMPRA",MOVIMIENTOS!$B388="REPROCESO",AND(MOVIMIENTOS!$B388="AJUSTE",MOVIMIENTOS!$C388&lt;&gt;"Chancho",N(MOVIMIENTOS!$F388)&gt;=0))),N(MOVIMIENTOS!$F388),"")</f>
        <v/>
      </c>
      <c r="N389" t="str">
        <f>IF(AND(AND(MOVIMIENTOS!$B388&lt;&gt;"",NOT(AND(MOVIMIENTOS!$B388="PROCESO",MOVIMIENTOS!$C388&lt;&gt;"Chancho")),NOT(AND(MOVIMIENTOS!$B388="SALDO INICIAL",MOVIMIENTOS!$C388="Chancho"))),OR(MOVIMIENTOS!$B388="ENVÍO A SUPESA",MOVIMIENTOS!$B388="MALOGRADO",MOVIMIENTOS!$B388="OTRA SALIDA",MOVIMIENTOS!$B388="TRASIEGO",AND(MOVIMIENTOS!$B388="PROCESO",MOVIMIENTOS!$C388="Chancho"),AND(MOVIMIENTOS!$B388="REGALO",MOVIMIENTOS!$C388&lt;&gt;"Chancho"),AND(MOVIMIENTOS!$B388="VENTA",MOVIMIENTOS!$C388&lt;&gt;"Chancho"),AND(MOVIMIENTOS!$B388="AJUSTE",MOVIMIENTOS!$C388&lt;&gt;"Chancho",N(MOVIMIENTOS!$F388)&lt;0))),IF(MOVIMIENTOS!$B388="AJUSTE",-N(MOVIMIENTOS!$F388),N(MOVIMIENTOS!$F388)),"")</f>
        <v/>
      </c>
      <c r="O389" t="str">
        <f>IF(AND(MOVIMIENTOS!$B388&lt;&gt;"",NOT(AND(MOVIMIENTOS!$B388="PROCESO",MOVIMIENTOS!$C388&lt;&gt;"Chancho")),NOT(AND(MOVIMIENTOS!$B388="SALDO INICIAL",MOVIMIENTOS!$C388="Chancho"))),TRIM(IF(MOVIMIENTOS!$G388&lt;&gt;"",IF(MOVIMIENTOS!$B388="ENVÍO A SUPESA","G-"&amp;MOVIMIENTOS!$G388,MOVIMIENTOS!$G388)&amp;"  ","")&amp;IF(N(MOVIMIENTOS!$E388)&gt;0,MOVIMIENTOS!$E388&amp;" "&amp;MOVIMIENTOS!$D388,"")),"")</f>
        <v/>
      </c>
      <c r="P389">
        <f t="shared" si="41"/>
        <v>6138.5</v>
      </c>
    </row>
    <row r="390" spans="1:16" x14ac:dyDescent="0.2">
      <c r="A390" s="7" t="str">
        <f t="shared" ref="A390:A401" si="42">IFERROR(INDEX(K$6:K$401,MATCH(ROW()-5,J$6:J$401,0)),"")</f>
        <v/>
      </c>
      <c r="B390" s="8" t="str">
        <f t="shared" ref="B390:B401" si="43">IFERROR(INDEX(L$6:L$401,MATCH(ROW()-5,J$6:J$401,0)),"")</f>
        <v/>
      </c>
      <c r="C390" s="9" t="str">
        <f t="shared" ref="C390:C401" si="44">IFERROR(INDEX(M$6:M$401,MATCH(ROW()-5,J$6:J$401,0)),"")</f>
        <v/>
      </c>
      <c r="D390" s="9" t="str">
        <f t="shared" ref="D390:D401" si="45">IFERROR(INDEX(N$6:N$401,MATCH(ROW()-5,J$6:J$401,0)),"")</f>
        <v/>
      </c>
      <c r="E390" s="8" t="str">
        <f t="shared" ref="E390:E401" si="46">IFERROR(INDEX(O$6:O$401,MATCH(ROW()-5,J$6:J$401,0)),"")</f>
        <v/>
      </c>
      <c r="F390" s="9" t="str">
        <f t="shared" ref="F390:F401" si="47">IFERROR(INDEX(P$6:P$401,MATCH(ROW()-5,J$6:J$401,0)),"")</f>
        <v/>
      </c>
      <c r="J390" t="str">
        <f>IF(AND(MOVIMIENTOS!$B389&lt;&gt;"",NOT(AND(MOVIMIENTOS!$B389="PROCESO",MOVIMIENTOS!$C389&lt;&gt;"Chancho")),NOT(AND(MOVIMIENTOS!$B389="SALDO INICIAL",MOVIMIENTOS!$C389="Chancho"))),COUNT(J$5:J389)+1,"")</f>
        <v/>
      </c>
      <c r="K390" t="str">
        <f>IF(AND(MOVIMIENTOS!$B389&lt;&gt;"",NOT(AND(MOVIMIENTOS!$B389="PROCESO",MOVIMIENTOS!$C389&lt;&gt;"Chancho")),NOT(AND(MOVIMIENTOS!$B389="SALDO INICIAL",MOVIMIENTOS!$C389="Chancho"))),MOVIMIENTOS!$A389,"")</f>
        <v/>
      </c>
      <c r="L390" t="str">
        <f>IF(AND(MOVIMIENTOS!$B389&lt;&gt;"",NOT(AND(MOVIMIENTOS!$B389="PROCESO",MOVIMIENTOS!$C389&lt;&gt;"Chancho")),NOT(AND(MOVIMIENTOS!$B389="SALDO INICIAL",MOVIMIENTOS!$C389="Chancho"))),IF(MOVIMIENTOS!$B389="SALDO INICIAL","APERTURA ("&amp;MOVIMIENTOS!$C389&amp;")",IF(MOVIMIENTOS!$B389="COMPRA","INGRESO (compra)",IF(MOVIMIENTOS!$B389="PROCESO","CHANCHO (proceso)",IF(MOVIMIENTOS!$B389="ENVÍO A SUPESA","ENVÍO SUPESA cal. "&amp;MOVIMIENTOS!$C389,IF(MOVIMIENTOS!$B389="VENTA CHANCHO","VENTA CHANCHO",IF(MOVIMIENTOS!$B389="DEVOLUCIÓN","DEVOLUCIÓN cal. "&amp;MOVIMIENTOS!$C389,IF(MOVIMIENTOS!$B389="TRASIEGO","TRASIEGO cal. "&amp;MOVIMIENTOS!$C389,IF(MOVIMIENTOS!$B389="REGALO","REGALO "&amp;MOVIMIENTOS!$C389,IF(MOVIMIENTOS!$B389="VENTA","VENTA "&amp;MOVIMIENTOS!$C389,IF(MOVIMIENTOS!$B389="AJUSTE","AJUSTE inventario ("&amp;MOVIMIENTOS!$C389&amp;")",MOVIMIENTOS!$B389)))))))))),"")</f>
        <v/>
      </c>
      <c r="M390" t="str">
        <f>IF(AND(AND(MOVIMIENTOS!$B389&lt;&gt;"",NOT(AND(MOVIMIENTOS!$B389="PROCESO",MOVIMIENTOS!$C389&lt;&gt;"Chancho")),NOT(AND(MOVIMIENTOS!$B389="SALDO INICIAL",MOVIMIENTOS!$C389="Chancho"))),OR(MOVIMIENTOS!$B389="SALDO INICIAL",MOVIMIENTOS!$B389="COMPRA",MOVIMIENTOS!$B389="REPROCESO",AND(MOVIMIENTOS!$B389="AJUSTE",MOVIMIENTOS!$C389&lt;&gt;"Chancho",N(MOVIMIENTOS!$F389)&gt;=0))),N(MOVIMIENTOS!$F389),"")</f>
        <v/>
      </c>
      <c r="N390" t="str">
        <f>IF(AND(AND(MOVIMIENTOS!$B389&lt;&gt;"",NOT(AND(MOVIMIENTOS!$B389="PROCESO",MOVIMIENTOS!$C389&lt;&gt;"Chancho")),NOT(AND(MOVIMIENTOS!$B389="SALDO INICIAL",MOVIMIENTOS!$C389="Chancho"))),OR(MOVIMIENTOS!$B389="ENVÍO A SUPESA",MOVIMIENTOS!$B389="MALOGRADO",MOVIMIENTOS!$B389="OTRA SALIDA",MOVIMIENTOS!$B389="TRASIEGO",AND(MOVIMIENTOS!$B389="PROCESO",MOVIMIENTOS!$C389="Chancho"),AND(MOVIMIENTOS!$B389="REGALO",MOVIMIENTOS!$C389&lt;&gt;"Chancho"),AND(MOVIMIENTOS!$B389="VENTA",MOVIMIENTOS!$C389&lt;&gt;"Chancho"),AND(MOVIMIENTOS!$B389="AJUSTE",MOVIMIENTOS!$C389&lt;&gt;"Chancho",N(MOVIMIENTOS!$F389)&lt;0))),IF(MOVIMIENTOS!$B389="AJUSTE",-N(MOVIMIENTOS!$F389),N(MOVIMIENTOS!$F389)),"")</f>
        <v/>
      </c>
      <c r="O390" t="str">
        <f>IF(AND(MOVIMIENTOS!$B389&lt;&gt;"",NOT(AND(MOVIMIENTOS!$B389="PROCESO",MOVIMIENTOS!$C389&lt;&gt;"Chancho")),NOT(AND(MOVIMIENTOS!$B389="SALDO INICIAL",MOVIMIENTOS!$C389="Chancho"))),TRIM(IF(MOVIMIENTOS!$G389&lt;&gt;"",IF(MOVIMIENTOS!$B389="ENVÍO A SUPESA","G-"&amp;MOVIMIENTOS!$G389,MOVIMIENTOS!$G389)&amp;"  ","")&amp;IF(N(MOVIMIENTOS!$E389)&gt;0,MOVIMIENTOS!$E389&amp;" "&amp;MOVIMIENTOS!$D389,"")),"")</f>
        <v/>
      </c>
      <c r="P390">
        <f t="shared" ref="P390:P401" si="48">N(P389)+N(M390)-N(N390)</f>
        <v>6138.5</v>
      </c>
    </row>
    <row r="391" spans="1:16" x14ac:dyDescent="0.2">
      <c r="A391" s="7" t="str">
        <f t="shared" si="42"/>
        <v/>
      </c>
      <c r="B391" s="8" t="str">
        <f t="shared" si="43"/>
        <v/>
      </c>
      <c r="C391" s="9" t="str">
        <f t="shared" si="44"/>
        <v/>
      </c>
      <c r="D391" s="9" t="str">
        <f t="shared" si="45"/>
        <v/>
      </c>
      <c r="E391" s="8" t="str">
        <f t="shared" si="46"/>
        <v/>
      </c>
      <c r="F391" s="9" t="str">
        <f t="shared" si="47"/>
        <v/>
      </c>
      <c r="J391" t="str">
        <f>IF(AND(MOVIMIENTOS!$B390&lt;&gt;"",NOT(AND(MOVIMIENTOS!$B390="PROCESO",MOVIMIENTOS!$C390&lt;&gt;"Chancho")),NOT(AND(MOVIMIENTOS!$B390="SALDO INICIAL",MOVIMIENTOS!$C390="Chancho"))),COUNT(J$5:J390)+1,"")</f>
        <v/>
      </c>
      <c r="K391" t="str">
        <f>IF(AND(MOVIMIENTOS!$B390&lt;&gt;"",NOT(AND(MOVIMIENTOS!$B390="PROCESO",MOVIMIENTOS!$C390&lt;&gt;"Chancho")),NOT(AND(MOVIMIENTOS!$B390="SALDO INICIAL",MOVIMIENTOS!$C390="Chancho"))),MOVIMIENTOS!$A390,"")</f>
        <v/>
      </c>
      <c r="L391" t="str">
        <f>IF(AND(MOVIMIENTOS!$B390&lt;&gt;"",NOT(AND(MOVIMIENTOS!$B390="PROCESO",MOVIMIENTOS!$C390&lt;&gt;"Chancho")),NOT(AND(MOVIMIENTOS!$B390="SALDO INICIAL",MOVIMIENTOS!$C390="Chancho"))),IF(MOVIMIENTOS!$B390="SALDO INICIAL","APERTURA ("&amp;MOVIMIENTOS!$C390&amp;")",IF(MOVIMIENTOS!$B390="COMPRA","INGRESO (compra)",IF(MOVIMIENTOS!$B390="PROCESO","CHANCHO (proceso)",IF(MOVIMIENTOS!$B390="ENVÍO A SUPESA","ENVÍO SUPESA cal. "&amp;MOVIMIENTOS!$C390,IF(MOVIMIENTOS!$B390="VENTA CHANCHO","VENTA CHANCHO",IF(MOVIMIENTOS!$B390="DEVOLUCIÓN","DEVOLUCIÓN cal. "&amp;MOVIMIENTOS!$C390,IF(MOVIMIENTOS!$B390="TRASIEGO","TRASIEGO cal. "&amp;MOVIMIENTOS!$C390,IF(MOVIMIENTOS!$B390="REGALO","REGALO "&amp;MOVIMIENTOS!$C390,IF(MOVIMIENTOS!$B390="VENTA","VENTA "&amp;MOVIMIENTOS!$C390,IF(MOVIMIENTOS!$B390="AJUSTE","AJUSTE inventario ("&amp;MOVIMIENTOS!$C390&amp;")",MOVIMIENTOS!$B390)))))))))),"")</f>
        <v/>
      </c>
      <c r="M391" t="str">
        <f>IF(AND(AND(MOVIMIENTOS!$B390&lt;&gt;"",NOT(AND(MOVIMIENTOS!$B390="PROCESO",MOVIMIENTOS!$C390&lt;&gt;"Chancho")),NOT(AND(MOVIMIENTOS!$B390="SALDO INICIAL",MOVIMIENTOS!$C390="Chancho"))),OR(MOVIMIENTOS!$B390="SALDO INICIAL",MOVIMIENTOS!$B390="COMPRA",MOVIMIENTOS!$B390="REPROCESO",AND(MOVIMIENTOS!$B390="AJUSTE",MOVIMIENTOS!$C390&lt;&gt;"Chancho",N(MOVIMIENTOS!$F390)&gt;=0))),N(MOVIMIENTOS!$F390),"")</f>
        <v/>
      </c>
      <c r="N391" t="str">
        <f>IF(AND(AND(MOVIMIENTOS!$B390&lt;&gt;"",NOT(AND(MOVIMIENTOS!$B390="PROCESO",MOVIMIENTOS!$C390&lt;&gt;"Chancho")),NOT(AND(MOVIMIENTOS!$B390="SALDO INICIAL",MOVIMIENTOS!$C390="Chancho"))),OR(MOVIMIENTOS!$B390="ENVÍO A SUPESA",MOVIMIENTOS!$B390="MALOGRADO",MOVIMIENTOS!$B390="OTRA SALIDA",MOVIMIENTOS!$B390="TRASIEGO",AND(MOVIMIENTOS!$B390="PROCESO",MOVIMIENTOS!$C390="Chancho"),AND(MOVIMIENTOS!$B390="REGALO",MOVIMIENTOS!$C390&lt;&gt;"Chancho"),AND(MOVIMIENTOS!$B390="VENTA",MOVIMIENTOS!$C390&lt;&gt;"Chancho"),AND(MOVIMIENTOS!$B390="AJUSTE",MOVIMIENTOS!$C390&lt;&gt;"Chancho",N(MOVIMIENTOS!$F390)&lt;0))),IF(MOVIMIENTOS!$B390="AJUSTE",-N(MOVIMIENTOS!$F390),N(MOVIMIENTOS!$F390)),"")</f>
        <v/>
      </c>
      <c r="O391" t="str">
        <f>IF(AND(MOVIMIENTOS!$B390&lt;&gt;"",NOT(AND(MOVIMIENTOS!$B390="PROCESO",MOVIMIENTOS!$C390&lt;&gt;"Chancho")),NOT(AND(MOVIMIENTOS!$B390="SALDO INICIAL",MOVIMIENTOS!$C390="Chancho"))),TRIM(IF(MOVIMIENTOS!$G390&lt;&gt;"",IF(MOVIMIENTOS!$B390="ENVÍO A SUPESA","G-"&amp;MOVIMIENTOS!$G390,MOVIMIENTOS!$G390)&amp;"  ","")&amp;IF(N(MOVIMIENTOS!$E390)&gt;0,MOVIMIENTOS!$E390&amp;" "&amp;MOVIMIENTOS!$D390,"")),"")</f>
        <v/>
      </c>
      <c r="P391">
        <f t="shared" si="48"/>
        <v>6138.5</v>
      </c>
    </row>
    <row r="392" spans="1:16" x14ac:dyDescent="0.2">
      <c r="A392" s="7" t="str">
        <f t="shared" si="42"/>
        <v/>
      </c>
      <c r="B392" s="8" t="str">
        <f t="shared" si="43"/>
        <v/>
      </c>
      <c r="C392" s="9" t="str">
        <f t="shared" si="44"/>
        <v/>
      </c>
      <c r="D392" s="9" t="str">
        <f t="shared" si="45"/>
        <v/>
      </c>
      <c r="E392" s="8" t="str">
        <f t="shared" si="46"/>
        <v/>
      </c>
      <c r="F392" s="9" t="str">
        <f t="shared" si="47"/>
        <v/>
      </c>
      <c r="J392" t="str">
        <f>IF(AND(MOVIMIENTOS!$B391&lt;&gt;"",NOT(AND(MOVIMIENTOS!$B391="PROCESO",MOVIMIENTOS!$C391&lt;&gt;"Chancho")),NOT(AND(MOVIMIENTOS!$B391="SALDO INICIAL",MOVIMIENTOS!$C391="Chancho"))),COUNT(J$5:J391)+1,"")</f>
        <v/>
      </c>
      <c r="K392" t="str">
        <f>IF(AND(MOVIMIENTOS!$B391&lt;&gt;"",NOT(AND(MOVIMIENTOS!$B391="PROCESO",MOVIMIENTOS!$C391&lt;&gt;"Chancho")),NOT(AND(MOVIMIENTOS!$B391="SALDO INICIAL",MOVIMIENTOS!$C391="Chancho"))),MOVIMIENTOS!$A391,"")</f>
        <v/>
      </c>
      <c r="L392" t="str">
        <f>IF(AND(MOVIMIENTOS!$B391&lt;&gt;"",NOT(AND(MOVIMIENTOS!$B391="PROCESO",MOVIMIENTOS!$C391&lt;&gt;"Chancho")),NOT(AND(MOVIMIENTOS!$B391="SALDO INICIAL",MOVIMIENTOS!$C391="Chancho"))),IF(MOVIMIENTOS!$B391="SALDO INICIAL","APERTURA ("&amp;MOVIMIENTOS!$C391&amp;")",IF(MOVIMIENTOS!$B391="COMPRA","INGRESO (compra)",IF(MOVIMIENTOS!$B391="PROCESO","CHANCHO (proceso)",IF(MOVIMIENTOS!$B391="ENVÍO A SUPESA","ENVÍO SUPESA cal. "&amp;MOVIMIENTOS!$C391,IF(MOVIMIENTOS!$B391="VENTA CHANCHO","VENTA CHANCHO",IF(MOVIMIENTOS!$B391="DEVOLUCIÓN","DEVOLUCIÓN cal. "&amp;MOVIMIENTOS!$C391,IF(MOVIMIENTOS!$B391="TRASIEGO","TRASIEGO cal. "&amp;MOVIMIENTOS!$C391,IF(MOVIMIENTOS!$B391="REGALO","REGALO "&amp;MOVIMIENTOS!$C391,IF(MOVIMIENTOS!$B391="VENTA","VENTA "&amp;MOVIMIENTOS!$C391,IF(MOVIMIENTOS!$B391="AJUSTE","AJUSTE inventario ("&amp;MOVIMIENTOS!$C391&amp;")",MOVIMIENTOS!$B391)))))))))),"")</f>
        <v/>
      </c>
      <c r="M392" t="str">
        <f>IF(AND(AND(MOVIMIENTOS!$B391&lt;&gt;"",NOT(AND(MOVIMIENTOS!$B391="PROCESO",MOVIMIENTOS!$C391&lt;&gt;"Chancho")),NOT(AND(MOVIMIENTOS!$B391="SALDO INICIAL",MOVIMIENTOS!$C391="Chancho"))),OR(MOVIMIENTOS!$B391="SALDO INICIAL",MOVIMIENTOS!$B391="COMPRA",MOVIMIENTOS!$B391="REPROCESO",AND(MOVIMIENTOS!$B391="AJUSTE",MOVIMIENTOS!$C391&lt;&gt;"Chancho",N(MOVIMIENTOS!$F391)&gt;=0))),N(MOVIMIENTOS!$F391),"")</f>
        <v/>
      </c>
      <c r="N392" t="str">
        <f>IF(AND(AND(MOVIMIENTOS!$B391&lt;&gt;"",NOT(AND(MOVIMIENTOS!$B391="PROCESO",MOVIMIENTOS!$C391&lt;&gt;"Chancho")),NOT(AND(MOVIMIENTOS!$B391="SALDO INICIAL",MOVIMIENTOS!$C391="Chancho"))),OR(MOVIMIENTOS!$B391="ENVÍO A SUPESA",MOVIMIENTOS!$B391="MALOGRADO",MOVIMIENTOS!$B391="OTRA SALIDA",MOVIMIENTOS!$B391="TRASIEGO",AND(MOVIMIENTOS!$B391="PROCESO",MOVIMIENTOS!$C391="Chancho"),AND(MOVIMIENTOS!$B391="REGALO",MOVIMIENTOS!$C391&lt;&gt;"Chancho"),AND(MOVIMIENTOS!$B391="VENTA",MOVIMIENTOS!$C391&lt;&gt;"Chancho"),AND(MOVIMIENTOS!$B391="AJUSTE",MOVIMIENTOS!$C391&lt;&gt;"Chancho",N(MOVIMIENTOS!$F391)&lt;0))),IF(MOVIMIENTOS!$B391="AJUSTE",-N(MOVIMIENTOS!$F391),N(MOVIMIENTOS!$F391)),"")</f>
        <v/>
      </c>
      <c r="O392" t="str">
        <f>IF(AND(MOVIMIENTOS!$B391&lt;&gt;"",NOT(AND(MOVIMIENTOS!$B391="PROCESO",MOVIMIENTOS!$C391&lt;&gt;"Chancho")),NOT(AND(MOVIMIENTOS!$B391="SALDO INICIAL",MOVIMIENTOS!$C391="Chancho"))),TRIM(IF(MOVIMIENTOS!$G391&lt;&gt;"",IF(MOVIMIENTOS!$B391="ENVÍO A SUPESA","G-"&amp;MOVIMIENTOS!$G391,MOVIMIENTOS!$G391)&amp;"  ","")&amp;IF(N(MOVIMIENTOS!$E391)&gt;0,MOVIMIENTOS!$E391&amp;" "&amp;MOVIMIENTOS!$D391,"")),"")</f>
        <v/>
      </c>
      <c r="P392">
        <f t="shared" si="48"/>
        <v>6138.5</v>
      </c>
    </row>
    <row r="393" spans="1:16" x14ac:dyDescent="0.2">
      <c r="A393" s="7" t="str">
        <f t="shared" si="42"/>
        <v/>
      </c>
      <c r="B393" s="8" t="str">
        <f t="shared" si="43"/>
        <v/>
      </c>
      <c r="C393" s="9" t="str">
        <f t="shared" si="44"/>
        <v/>
      </c>
      <c r="D393" s="9" t="str">
        <f t="shared" si="45"/>
        <v/>
      </c>
      <c r="E393" s="8" t="str">
        <f t="shared" si="46"/>
        <v/>
      </c>
      <c r="F393" s="9" t="str">
        <f t="shared" si="47"/>
        <v/>
      </c>
      <c r="J393" t="str">
        <f>IF(AND(MOVIMIENTOS!$B392&lt;&gt;"",NOT(AND(MOVIMIENTOS!$B392="PROCESO",MOVIMIENTOS!$C392&lt;&gt;"Chancho")),NOT(AND(MOVIMIENTOS!$B392="SALDO INICIAL",MOVIMIENTOS!$C392="Chancho"))),COUNT(J$5:J392)+1,"")</f>
        <v/>
      </c>
      <c r="K393" t="str">
        <f>IF(AND(MOVIMIENTOS!$B392&lt;&gt;"",NOT(AND(MOVIMIENTOS!$B392="PROCESO",MOVIMIENTOS!$C392&lt;&gt;"Chancho")),NOT(AND(MOVIMIENTOS!$B392="SALDO INICIAL",MOVIMIENTOS!$C392="Chancho"))),MOVIMIENTOS!$A392,"")</f>
        <v/>
      </c>
      <c r="L393" t="str">
        <f>IF(AND(MOVIMIENTOS!$B392&lt;&gt;"",NOT(AND(MOVIMIENTOS!$B392="PROCESO",MOVIMIENTOS!$C392&lt;&gt;"Chancho")),NOT(AND(MOVIMIENTOS!$B392="SALDO INICIAL",MOVIMIENTOS!$C392="Chancho"))),IF(MOVIMIENTOS!$B392="SALDO INICIAL","APERTURA ("&amp;MOVIMIENTOS!$C392&amp;")",IF(MOVIMIENTOS!$B392="COMPRA","INGRESO (compra)",IF(MOVIMIENTOS!$B392="PROCESO","CHANCHO (proceso)",IF(MOVIMIENTOS!$B392="ENVÍO A SUPESA","ENVÍO SUPESA cal. "&amp;MOVIMIENTOS!$C392,IF(MOVIMIENTOS!$B392="VENTA CHANCHO","VENTA CHANCHO",IF(MOVIMIENTOS!$B392="DEVOLUCIÓN","DEVOLUCIÓN cal. "&amp;MOVIMIENTOS!$C392,IF(MOVIMIENTOS!$B392="TRASIEGO","TRASIEGO cal. "&amp;MOVIMIENTOS!$C392,IF(MOVIMIENTOS!$B392="REGALO","REGALO "&amp;MOVIMIENTOS!$C392,IF(MOVIMIENTOS!$B392="VENTA","VENTA "&amp;MOVIMIENTOS!$C392,IF(MOVIMIENTOS!$B392="AJUSTE","AJUSTE inventario ("&amp;MOVIMIENTOS!$C392&amp;")",MOVIMIENTOS!$B392)))))))))),"")</f>
        <v/>
      </c>
      <c r="M393" t="str">
        <f>IF(AND(AND(MOVIMIENTOS!$B392&lt;&gt;"",NOT(AND(MOVIMIENTOS!$B392="PROCESO",MOVIMIENTOS!$C392&lt;&gt;"Chancho")),NOT(AND(MOVIMIENTOS!$B392="SALDO INICIAL",MOVIMIENTOS!$C392="Chancho"))),OR(MOVIMIENTOS!$B392="SALDO INICIAL",MOVIMIENTOS!$B392="COMPRA",MOVIMIENTOS!$B392="REPROCESO",AND(MOVIMIENTOS!$B392="AJUSTE",MOVIMIENTOS!$C392&lt;&gt;"Chancho",N(MOVIMIENTOS!$F392)&gt;=0))),N(MOVIMIENTOS!$F392),"")</f>
        <v/>
      </c>
      <c r="N393" t="str">
        <f>IF(AND(AND(MOVIMIENTOS!$B392&lt;&gt;"",NOT(AND(MOVIMIENTOS!$B392="PROCESO",MOVIMIENTOS!$C392&lt;&gt;"Chancho")),NOT(AND(MOVIMIENTOS!$B392="SALDO INICIAL",MOVIMIENTOS!$C392="Chancho"))),OR(MOVIMIENTOS!$B392="ENVÍO A SUPESA",MOVIMIENTOS!$B392="MALOGRADO",MOVIMIENTOS!$B392="OTRA SALIDA",MOVIMIENTOS!$B392="TRASIEGO",AND(MOVIMIENTOS!$B392="PROCESO",MOVIMIENTOS!$C392="Chancho"),AND(MOVIMIENTOS!$B392="REGALO",MOVIMIENTOS!$C392&lt;&gt;"Chancho"),AND(MOVIMIENTOS!$B392="VENTA",MOVIMIENTOS!$C392&lt;&gt;"Chancho"),AND(MOVIMIENTOS!$B392="AJUSTE",MOVIMIENTOS!$C392&lt;&gt;"Chancho",N(MOVIMIENTOS!$F392)&lt;0))),IF(MOVIMIENTOS!$B392="AJUSTE",-N(MOVIMIENTOS!$F392),N(MOVIMIENTOS!$F392)),"")</f>
        <v/>
      </c>
      <c r="O393" t="str">
        <f>IF(AND(MOVIMIENTOS!$B392&lt;&gt;"",NOT(AND(MOVIMIENTOS!$B392="PROCESO",MOVIMIENTOS!$C392&lt;&gt;"Chancho")),NOT(AND(MOVIMIENTOS!$B392="SALDO INICIAL",MOVIMIENTOS!$C392="Chancho"))),TRIM(IF(MOVIMIENTOS!$G392&lt;&gt;"",IF(MOVIMIENTOS!$B392="ENVÍO A SUPESA","G-"&amp;MOVIMIENTOS!$G392,MOVIMIENTOS!$G392)&amp;"  ","")&amp;IF(N(MOVIMIENTOS!$E392)&gt;0,MOVIMIENTOS!$E392&amp;" "&amp;MOVIMIENTOS!$D392,"")),"")</f>
        <v/>
      </c>
      <c r="P393">
        <f t="shared" si="48"/>
        <v>6138.5</v>
      </c>
    </row>
    <row r="394" spans="1:16" x14ac:dyDescent="0.2">
      <c r="A394" s="7" t="str">
        <f t="shared" si="42"/>
        <v/>
      </c>
      <c r="B394" s="8" t="str">
        <f t="shared" si="43"/>
        <v/>
      </c>
      <c r="C394" s="9" t="str">
        <f t="shared" si="44"/>
        <v/>
      </c>
      <c r="D394" s="9" t="str">
        <f t="shared" si="45"/>
        <v/>
      </c>
      <c r="E394" s="8" t="str">
        <f t="shared" si="46"/>
        <v/>
      </c>
      <c r="F394" s="9" t="str">
        <f t="shared" si="47"/>
        <v/>
      </c>
      <c r="J394" t="str">
        <f>IF(AND(MOVIMIENTOS!$B393&lt;&gt;"",NOT(AND(MOVIMIENTOS!$B393="PROCESO",MOVIMIENTOS!$C393&lt;&gt;"Chancho")),NOT(AND(MOVIMIENTOS!$B393="SALDO INICIAL",MOVIMIENTOS!$C393="Chancho"))),COUNT(J$5:J393)+1,"")</f>
        <v/>
      </c>
      <c r="K394" t="str">
        <f>IF(AND(MOVIMIENTOS!$B393&lt;&gt;"",NOT(AND(MOVIMIENTOS!$B393="PROCESO",MOVIMIENTOS!$C393&lt;&gt;"Chancho")),NOT(AND(MOVIMIENTOS!$B393="SALDO INICIAL",MOVIMIENTOS!$C393="Chancho"))),MOVIMIENTOS!$A393,"")</f>
        <v/>
      </c>
      <c r="L394" t="str">
        <f>IF(AND(MOVIMIENTOS!$B393&lt;&gt;"",NOT(AND(MOVIMIENTOS!$B393="PROCESO",MOVIMIENTOS!$C393&lt;&gt;"Chancho")),NOT(AND(MOVIMIENTOS!$B393="SALDO INICIAL",MOVIMIENTOS!$C393="Chancho"))),IF(MOVIMIENTOS!$B393="SALDO INICIAL","APERTURA ("&amp;MOVIMIENTOS!$C393&amp;")",IF(MOVIMIENTOS!$B393="COMPRA","INGRESO (compra)",IF(MOVIMIENTOS!$B393="PROCESO","CHANCHO (proceso)",IF(MOVIMIENTOS!$B393="ENVÍO A SUPESA","ENVÍO SUPESA cal. "&amp;MOVIMIENTOS!$C393,IF(MOVIMIENTOS!$B393="VENTA CHANCHO","VENTA CHANCHO",IF(MOVIMIENTOS!$B393="DEVOLUCIÓN","DEVOLUCIÓN cal. "&amp;MOVIMIENTOS!$C393,IF(MOVIMIENTOS!$B393="TRASIEGO","TRASIEGO cal. "&amp;MOVIMIENTOS!$C393,IF(MOVIMIENTOS!$B393="REGALO","REGALO "&amp;MOVIMIENTOS!$C393,IF(MOVIMIENTOS!$B393="VENTA","VENTA "&amp;MOVIMIENTOS!$C393,IF(MOVIMIENTOS!$B393="AJUSTE","AJUSTE inventario ("&amp;MOVIMIENTOS!$C393&amp;")",MOVIMIENTOS!$B393)))))))))),"")</f>
        <v/>
      </c>
      <c r="M394" t="str">
        <f>IF(AND(AND(MOVIMIENTOS!$B393&lt;&gt;"",NOT(AND(MOVIMIENTOS!$B393="PROCESO",MOVIMIENTOS!$C393&lt;&gt;"Chancho")),NOT(AND(MOVIMIENTOS!$B393="SALDO INICIAL",MOVIMIENTOS!$C393="Chancho"))),OR(MOVIMIENTOS!$B393="SALDO INICIAL",MOVIMIENTOS!$B393="COMPRA",MOVIMIENTOS!$B393="REPROCESO",AND(MOVIMIENTOS!$B393="AJUSTE",MOVIMIENTOS!$C393&lt;&gt;"Chancho",N(MOVIMIENTOS!$F393)&gt;=0))),N(MOVIMIENTOS!$F393),"")</f>
        <v/>
      </c>
      <c r="N394" t="str">
        <f>IF(AND(AND(MOVIMIENTOS!$B393&lt;&gt;"",NOT(AND(MOVIMIENTOS!$B393="PROCESO",MOVIMIENTOS!$C393&lt;&gt;"Chancho")),NOT(AND(MOVIMIENTOS!$B393="SALDO INICIAL",MOVIMIENTOS!$C393="Chancho"))),OR(MOVIMIENTOS!$B393="ENVÍO A SUPESA",MOVIMIENTOS!$B393="MALOGRADO",MOVIMIENTOS!$B393="OTRA SALIDA",MOVIMIENTOS!$B393="TRASIEGO",AND(MOVIMIENTOS!$B393="PROCESO",MOVIMIENTOS!$C393="Chancho"),AND(MOVIMIENTOS!$B393="REGALO",MOVIMIENTOS!$C393&lt;&gt;"Chancho"),AND(MOVIMIENTOS!$B393="VENTA",MOVIMIENTOS!$C393&lt;&gt;"Chancho"),AND(MOVIMIENTOS!$B393="AJUSTE",MOVIMIENTOS!$C393&lt;&gt;"Chancho",N(MOVIMIENTOS!$F393)&lt;0))),IF(MOVIMIENTOS!$B393="AJUSTE",-N(MOVIMIENTOS!$F393),N(MOVIMIENTOS!$F393)),"")</f>
        <v/>
      </c>
      <c r="O394" t="str">
        <f>IF(AND(MOVIMIENTOS!$B393&lt;&gt;"",NOT(AND(MOVIMIENTOS!$B393="PROCESO",MOVIMIENTOS!$C393&lt;&gt;"Chancho")),NOT(AND(MOVIMIENTOS!$B393="SALDO INICIAL",MOVIMIENTOS!$C393="Chancho"))),TRIM(IF(MOVIMIENTOS!$G393&lt;&gt;"",IF(MOVIMIENTOS!$B393="ENVÍO A SUPESA","G-"&amp;MOVIMIENTOS!$G393,MOVIMIENTOS!$G393)&amp;"  ","")&amp;IF(N(MOVIMIENTOS!$E393)&gt;0,MOVIMIENTOS!$E393&amp;" "&amp;MOVIMIENTOS!$D393,"")),"")</f>
        <v/>
      </c>
      <c r="P394">
        <f t="shared" si="48"/>
        <v>6138.5</v>
      </c>
    </row>
    <row r="395" spans="1:16" x14ac:dyDescent="0.2">
      <c r="A395" s="7" t="str">
        <f t="shared" si="42"/>
        <v/>
      </c>
      <c r="B395" s="8" t="str">
        <f t="shared" si="43"/>
        <v/>
      </c>
      <c r="C395" s="9" t="str">
        <f t="shared" si="44"/>
        <v/>
      </c>
      <c r="D395" s="9" t="str">
        <f t="shared" si="45"/>
        <v/>
      </c>
      <c r="E395" s="8" t="str">
        <f t="shared" si="46"/>
        <v/>
      </c>
      <c r="F395" s="9" t="str">
        <f t="shared" si="47"/>
        <v/>
      </c>
      <c r="J395" t="str">
        <f>IF(AND(MOVIMIENTOS!$B394&lt;&gt;"",NOT(AND(MOVIMIENTOS!$B394="PROCESO",MOVIMIENTOS!$C394&lt;&gt;"Chancho")),NOT(AND(MOVIMIENTOS!$B394="SALDO INICIAL",MOVIMIENTOS!$C394="Chancho"))),COUNT(J$5:J394)+1,"")</f>
        <v/>
      </c>
      <c r="K395" t="str">
        <f>IF(AND(MOVIMIENTOS!$B394&lt;&gt;"",NOT(AND(MOVIMIENTOS!$B394="PROCESO",MOVIMIENTOS!$C394&lt;&gt;"Chancho")),NOT(AND(MOVIMIENTOS!$B394="SALDO INICIAL",MOVIMIENTOS!$C394="Chancho"))),MOVIMIENTOS!$A394,"")</f>
        <v/>
      </c>
      <c r="L395" t="str">
        <f>IF(AND(MOVIMIENTOS!$B394&lt;&gt;"",NOT(AND(MOVIMIENTOS!$B394="PROCESO",MOVIMIENTOS!$C394&lt;&gt;"Chancho")),NOT(AND(MOVIMIENTOS!$B394="SALDO INICIAL",MOVIMIENTOS!$C394="Chancho"))),IF(MOVIMIENTOS!$B394="SALDO INICIAL","APERTURA ("&amp;MOVIMIENTOS!$C394&amp;")",IF(MOVIMIENTOS!$B394="COMPRA","INGRESO (compra)",IF(MOVIMIENTOS!$B394="PROCESO","CHANCHO (proceso)",IF(MOVIMIENTOS!$B394="ENVÍO A SUPESA","ENVÍO SUPESA cal. "&amp;MOVIMIENTOS!$C394,IF(MOVIMIENTOS!$B394="VENTA CHANCHO","VENTA CHANCHO",IF(MOVIMIENTOS!$B394="DEVOLUCIÓN","DEVOLUCIÓN cal. "&amp;MOVIMIENTOS!$C394,IF(MOVIMIENTOS!$B394="TRASIEGO","TRASIEGO cal. "&amp;MOVIMIENTOS!$C394,IF(MOVIMIENTOS!$B394="REGALO","REGALO "&amp;MOVIMIENTOS!$C394,IF(MOVIMIENTOS!$B394="VENTA","VENTA "&amp;MOVIMIENTOS!$C394,IF(MOVIMIENTOS!$B394="AJUSTE","AJUSTE inventario ("&amp;MOVIMIENTOS!$C394&amp;")",MOVIMIENTOS!$B394)))))))))),"")</f>
        <v/>
      </c>
      <c r="M395" t="str">
        <f>IF(AND(AND(MOVIMIENTOS!$B394&lt;&gt;"",NOT(AND(MOVIMIENTOS!$B394="PROCESO",MOVIMIENTOS!$C394&lt;&gt;"Chancho")),NOT(AND(MOVIMIENTOS!$B394="SALDO INICIAL",MOVIMIENTOS!$C394="Chancho"))),OR(MOVIMIENTOS!$B394="SALDO INICIAL",MOVIMIENTOS!$B394="COMPRA",MOVIMIENTOS!$B394="REPROCESO",AND(MOVIMIENTOS!$B394="AJUSTE",MOVIMIENTOS!$C394&lt;&gt;"Chancho",N(MOVIMIENTOS!$F394)&gt;=0))),N(MOVIMIENTOS!$F394),"")</f>
        <v/>
      </c>
      <c r="N395" t="str">
        <f>IF(AND(AND(MOVIMIENTOS!$B394&lt;&gt;"",NOT(AND(MOVIMIENTOS!$B394="PROCESO",MOVIMIENTOS!$C394&lt;&gt;"Chancho")),NOT(AND(MOVIMIENTOS!$B394="SALDO INICIAL",MOVIMIENTOS!$C394="Chancho"))),OR(MOVIMIENTOS!$B394="ENVÍO A SUPESA",MOVIMIENTOS!$B394="MALOGRADO",MOVIMIENTOS!$B394="OTRA SALIDA",MOVIMIENTOS!$B394="TRASIEGO",AND(MOVIMIENTOS!$B394="PROCESO",MOVIMIENTOS!$C394="Chancho"),AND(MOVIMIENTOS!$B394="REGALO",MOVIMIENTOS!$C394&lt;&gt;"Chancho"),AND(MOVIMIENTOS!$B394="VENTA",MOVIMIENTOS!$C394&lt;&gt;"Chancho"),AND(MOVIMIENTOS!$B394="AJUSTE",MOVIMIENTOS!$C394&lt;&gt;"Chancho",N(MOVIMIENTOS!$F394)&lt;0))),IF(MOVIMIENTOS!$B394="AJUSTE",-N(MOVIMIENTOS!$F394),N(MOVIMIENTOS!$F394)),"")</f>
        <v/>
      </c>
      <c r="O395" t="str">
        <f>IF(AND(MOVIMIENTOS!$B394&lt;&gt;"",NOT(AND(MOVIMIENTOS!$B394="PROCESO",MOVIMIENTOS!$C394&lt;&gt;"Chancho")),NOT(AND(MOVIMIENTOS!$B394="SALDO INICIAL",MOVIMIENTOS!$C394="Chancho"))),TRIM(IF(MOVIMIENTOS!$G394&lt;&gt;"",IF(MOVIMIENTOS!$B394="ENVÍO A SUPESA","G-"&amp;MOVIMIENTOS!$G394,MOVIMIENTOS!$G394)&amp;"  ","")&amp;IF(N(MOVIMIENTOS!$E394)&gt;0,MOVIMIENTOS!$E394&amp;" "&amp;MOVIMIENTOS!$D394,"")),"")</f>
        <v/>
      </c>
      <c r="P395">
        <f t="shared" si="48"/>
        <v>6138.5</v>
      </c>
    </row>
    <row r="396" spans="1:16" x14ac:dyDescent="0.2">
      <c r="A396" s="7" t="str">
        <f t="shared" si="42"/>
        <v/>
      </c>
      <c r="B396" s="8" t="str">
        <f t="shared" si="43"/>
        <v/>
      </c>
      <c r="C396" s="9" t="str">
        <f t="shared" si="44"/>
        <v/>
      </c>
      <c r="D396" s="9" t="str">
        <f t="shared" si="45"/>
        <v/>
      </c>
      <c r="E396" s="8" t="str">
        <f t="shared" si="46"/>
        <v/>
      </c>
      <c r="F396" s="9" t="str">
        <f t="shared" si="47"/>
        <v/>
      </c>
      <c r="J396" t="str">
        <f>IF(AND(MOVIMIENTOS!$B395&lt;&gt;"",NOT(AND(MOVIMIENTOS!$B395="PROCESO",MOVIMIENTOS!$C395&lt;&gt;"Chancho")),NOT(AND(MOVIMIENTOS!$B395="SALDO INICIAL",MOVIMIENTOS!$C395="Chancho"))),COUNT(J$5:J395)+1,"")</f>
        <v/>
      </c>
      <c r="K396" t="str">
        <f>IF(AND(MOVIMIENTOS!$B395&lt;&gt;"",NOT(AND(MOVIMIENTOS!$B395="PROCESO",MOVIMIENTOS!$C395&lt;&gt;"Chancho")),NOT(AND(MOVIMIENTOS!$B395="SALDO INICIAL",MOVIMIENTOS!$C395="Chancho"))),MOVIMIENTOS!$A395,"")</f>
        <v/>
      </c>
      <c r="L396" t="str">
        <f>IF(AND(MOVIMIENTOS!$B395&lt;&gt;"",NOT(AND(MOVIMIENTOS!$B395="PROCESO",MOVIMIENTOS!$C395&lt;&gt;"Chancho")),NOT(AND(MOVIMIENTOS!$B395="SALDO INICIAL",MOVIMIENTOS!$C395="Chancho"))),IF(MOVIMIENTOS!$B395="SALDO INICIAL","APERTURA ("&amp;MOVIMIENTOS!$C395&amp;")",IF(MOVIMIENTOS!$B395="COMPRA","INGRESO (compra)",IF(MOVIMIENTOS!$B395="PROCESO","CHANCHO (proceso)",IF(MOVIMIENTOS!$B395="ENVÍO A SUPESA","ENVÍO SUPESA cal. "&amp;MOVIMIENTOS!$C395,IF(MOVIMIENTOS!$B395="VENTA CHANCHO","VENTA CHANCHO",IF(MOVIMIENTOS!$B395="DEVOLUCIÓN","DEVOLUCIÓN cal. "&amp;MOVIMIENTOS!$C395,IF(MOVIMIENTOS!$B395="TRASIEGO","TRASIEGO cal. "&amp;MOVIMIENTOS!$C395,IF(MOVIMIENTOS!$B395="REGALO","REGALO "&amp;MOVIMIENTOS!$C395,IF(MOVIMIENTOS!$B395="VENTA","VENTA "&amp;MOVIMIENTOS!$C395,IF(MOVIMIENTOS!$B395="AJUSTE","AJUSTE inventario ("&amp;MOVIMIENTOS!$C395&amp;")",MOVIMIENTOS!$B395)))))))))),"")</f>
        <v/>
      </c>
      <c r="M396" t="str">
        <f>IF(AND(AND(MOVIMIENTOS!$B395&lt;&gt;"",NOT(AND(MOVIMIENTOS!$B395="PROCESO",MOVIMIENTOS!$C395&lt;&gt;"Chancho")),NOT(AND(MOVIMIENTOS!$B395="SALDO INICIAL",MOVIMIENTOS!$C395="Chancho"))),OR(MOVIMIENTOS!$B395="SALDO INICIAL",MOVIMIENTOS!$B395="COMPRA",MOVIMIENTOS!$B395="REPROCESO",AND(MOVIMIENTOS!$B395="AJUSTE",MOVIMIENTOS!$C395&lt;&gt;"Chancho",N(MOVIMIENTOS!$F395)&gt;=0))),N(MOVIMIENTOS!$F395),"")</f>
        <v/>
      </c>
      <c r="N396" t="str">
        <f>IF(AND(AND(MOVIMIENTOS!$B395&lt;&gt;"",NOT(AND(MOVIMIENTOS!$B395="PROCESO",MOVIMIENTOS!$C395&lt;&gt;"Chancho")),NOT(AND(MOVIMIENTOS!$B395="SALDO INICIAL",MOVIMIENTOS!$C395="Chancho"))),OR(MOVIMIENTOS!$B395="ENVÍO A SUPESA",MOVIMIENTOS!$B395="MALOGRADO",MOVIMIENTOS!$B395="OTRA SALIDA",MOVIMIENTOS!$B395="TRASIEGO",AND(MOVIMIENTOS!$B395="PROCESO",MOVIMIENTOS!$C395="Chancho"),AND(MOVIMIENTOS!$B395="REGALO",MOVIMIENTOS!$C395&lt;&gt;"Chancho"),AND(MOVIMIENTOS!$B395="VENTA",MOVIMIENTOS!$C395&lt;&gt;"Chancho"),AND(MOVIMIENTOS!$B395="AJUSTE",MOVIMIENTOS!$C395&lt;&gt;"Chancho",N(MOVIMIENTOS!$F395)&lt;0))),IF(MOVIMIENTOS!$B395="AJUSTE",-N(MOVIMIENTOS!$F395),N(MOVIMIENTOS!$F395)),"")</f>
        <v/>
      </c>
      <c r="O396" t="str">
        <f>IF(AND(MOVIMIENTOS!$B395&lt;&gt;"",NOT(AND(MOVIMIENTOS!$B395="PROCESO",MOVIMIENTOS!$C395&lt;&gt;"Chancho")),NOT(AND(MOVIMIENTOS!$B395="SALDO INICIAL",MOVIMIENTOS!$C395="Chancho"))),TRIM(IF(MOVIMIENTOS!$G395&lt;&gt;"",IF(MOVIMIENTOS!$B395="ENVÍO A SUPESA","G-"&amp;MOVIMIENTOS!$G395,MOVIMIENTOS!$G395)&amp;"  ","")&amp;IF(N(MOVIMIENTOS!$E395)&gt;0,MOVIMIENTOS!$E395&amp;" "&amp;MOVIMIENTOS!$D395,"")),"")</f>
        <v/>
      </c>
      <c r="P396">
        <f t="shared" si="48"/>
        <v>6138.5</v>
      </c>
    </row>
    <row r="397" spans="1:16" x14ac:dyDescent="0.2">
      <c r="A397" s="7" t="str">
        <f t="shared" si="42"/>
        <v/>
      </c>
      <c r="B397" s="8" t="str">
        <f t="shared" si="43"/>
        <v/>
      </c>
      <c r="C397" s="9" t="str">
        <f t="shared" si="44"/>
        <v/>
      </c>
      <c r="D397" s="9" t="str">
        <f t="shared" si="45"/>
        <v/>
      </c>
      <c r="E397" s="8" t="str">
        <f t="shared" si="46"/>
        <v/>
      </c>
      <c r="F397" s="9" t="str">
        <f t="shared" si="47"/>
        <v/>
      </c>
      <c r="J397" t="str">
        <f>IF(AND(MOVIMIENTOS!$B396&lt;&gt;"",NOT(AND(MOVIMIENTOS!$B396="PROCESO",MOVIMIENTOS!$C396&lt;&gt;"Chancho")),NOT(AND(MOVIMIENTOS!$B396="SALDO INICIAL",MOVIMIENTOS!$C396="Chancho"))),COUNT(J$5:J396)+1,"")</f>
        <v/>
      </c>
      <c r="K397" t="str">
        <f>IF(AND(MOVIMIENTOS!$B396&lt;&gt;"",NOT(AND(MOVIMIENTOS!$B396="PROCESO",MOVIMIENTOS!$C396&lt;&gt;"Chancho")),NOT(AND(MOVIMIENTOS!$B396="SALDO INICIAL",MOVIMIENTOS!$C396="Chancho"))),MOVIMIENTOS!$A396,"")</f>
        <v/>
      </c>
      <c r="L397" t="str">
        <f>IF(AND(MOVIMIENTOS!$B396&lt;&gt;"",NOT(AND(MOVIMIENTOS!$B396="PROCESO",MOVIMIENTOS!$C396&lt;&gt;"Chancho")),NOT(AND(MOVIMIENTOS!$B396="SALDO INICIAL",MOVIMIENTOS!$C396="Chancho"))),IF(MOVIMIENTOS!$B396="SALDO INICIAL","APERTURA ("&amp;MOVIMIENTOS!$C396&amp;")",IF(MOVIMIENTOS!$B396="COMPRA","INGRESO (compra)",IF(MOVIMIENTOS!$B396="PROCESO","CHANCHO (proceso)",IF(MOVIMIENTOS!$B396="ENVÍO A SUPESA","ENVÍO SUPESA cal. "&amp;MOVIMIENTOS!$C396,IF(MOVIMIENTOS!$B396="VENTA CHANCHO","VENTA CHANCHO",IF(MOVIMIENTOS!$B396="DEVOLUCIÓN","DEVOLUCIÓN cal. "&amp;MOVIMIENTOS!$C396,IF(MOVIMIENTOS!$B396="TRASIEGO","TRASIEGO cal. "&amp;MOVIMIENTOS!$C396,IF(MOVIMIENTOS!$B396="REGALO","REGALO "&amp;MOVIMIENTOS!$C396,IF(MOVIMIENTOS!$B396="VENTA","VENTA "&amp;MOVIMIENTOS!$C396,IF(MOVIMIENTOS!$B396="AJUSTE","AJUSTE inventario ("&amp;MOVIMIENTOS!$C396&amp;")",MOVIMIENTOS!$B396)))))))))),"")</f>
        <v/>
      </c>
      <c r="M397" t="str">
        <f>IF(AND(AND(MOVIMIENTOS!$B396&lt;&gt;"",NOT(AND(MOVIMIENTOS!$B396="PROCESO",MOVIMIENTOS!$C396&lt;&gt;"Chancho")),NOT(AND(MOVIMIENTOS!$B396="SALDO INICIAL",MOVIMIENTOS!$C396="Chancho"))),OR(MOVIMIENTOS!$B396="SALDO INICIAL",MOVIMIENTOS!$B396="COMPRA",MOVIMIENTOS!$B396="REPROCESO",AND(MOVIMIENTOS!$B396="AJUSTE",MOVIMIENTOS!$C396&lt;&gt;"Chancho",N(MOVIMIENTOS!$F396)&gt;=0))),N(MOVIMIENTOS!$F396),"")</f>
        <v/>
      </c>
      <c r="N397" t="str">
        <f>IF(AND(AND(MOVIMIENTOS!$B396&lt;&gt;"",NOT(AND(MOVIMIENTOS!$B396="PROCESO",MOVIMIENTOS!$C396&lt;&gt;"Chancho")),NOT(AND(MOVIMIENTOS!$B396="SALDO INICIAL",MOVIMIENTOS!$C396="Chancho"))),OR(MOVIMIENTOS!$B396="ENVÍO A SUPESA",MOVIMIENTOS!$B396="MALOGRADO",MOVIMIENTOS!$B396="OTRA SALIDA",MOVIMIENTOS!$B396="TRASIEGO",AND(MOVIMIENTOS!$B396="PROCESO",MOVIMIENTOS!$C396="Chancho"),AND(MOVIMIENTOS!$B396="REGALO",MOVIMIENTOS!$C396&lt;&gt;"Chancho"),AND(MOVIMIENTOS!$B396="VENTA",MOVIMIENTOS!$C396&lt;&gt;"Chancho"),AND(MOVIMIENTOS!$B396="AJUSTE",MOVIMIENTOS!$C396&lt;&gt;"Chancho",N(MOVIMIENTOS!$F396)&lt;0))),IF(MOVIMIENTOS!$B396="AJUSTE",-N(MOVIMIENTOS!$F396),N(MOVIMIENTOS!$F396)),"")</f>
        <v/>
      </c>
      <c r="O397" t="str">
        <f>IF(AND(MOVIMIENTOS!$B396&lt;&gt;"",NOT(AND(MOVIMIENTOS!$B396="PROCESO",MOVIMIENTOS!$C396&lt;&gt;"Chancho")),NOT(AND(MOVIMIENTOS!$B396="SALDO INICIAL",MOVIMIENTOS!$C396="Chancho"))),TRIM(IF(MOVIMIENTOS!$G396&lt;&gt;"",IF(MOVIMIENTOS!$B396="ENVÍO A SUPESA","G-"&amp;MOVIMIENTOS!$G396,MOVIMIENTOS!$G396)&amp;"  ","")&amp;IF(N(MOVIMIENTOS!$E396)&gt;0,MOVIMIENTOS!$E396&amp;" "&amp;MOVIMIENTOS!$D396,"")),"")</f>
        <v/>
      </c>
      <c r="P397">
        <f t="shared" si="48"/>
        <v>6138.5</v>
      </c>
    </row>
    <row r="398" spans="1:16" x14ac:dyDescent="0.2">
      <c r="A398" s="7" t="str">
        <f t="shared" si="42"/>
        <v/>
      </c>
      <c r="B398" s="8" t="str">
        <f t="shared" si="43"/>
        <v/>
      </c>
      <c r="C398" s="9" t="str">
        <f t="shared" si="44"/>
        <v/>
      </c>
      <c r="D398" s="9" t="str">
        <f t="shared" si="45"/>
        <v/>
      </c>
      <c r="E398" s="8" t="str">
        <f t="shared" si="46"/>
        <v/>
      </c>
      <c r="F398" s="9" t="str">
        <f t="shared" si="47"/>
        <v/>
      </c>
      <c r="J398" t="str">
        <f>IF(AND(MOVIMIENTOS!$B397&lt;&gt;"",NOT(AND(MOVIMIENTOS!$B397="PROCESO",MOVIMIENTOS!$C397&lt;&gt;"Chancho")),NOT(AND(MOVIMIENTOS!$B397="SALDO INICIAL",MOVIMIENTOS!$C397="Chancho"))),COUNT(J$5:J397)+1,"")</f>
        <v/>
      </c>
      <c r="K398" t="str">
        <f>IF(AND(MOVIMIENTOS!$B397&lt;&gt;"",NOT(AND(MOVIMIENTOS!$B397="PROCESO",MOVIMIENTOS!$C397&lt;&gt;"Chancho")),NOT(AND(MOVIMIENTOS!$B397="SALDO INICIAL",MOVIMIENTOS!$C397="Chancho"))),MOVIMIENTOS!$A397,"")</f>
        <v/>
      </c>
      <c r="L398" t="str">
        <f>IF(AND(MOVIMIENTOS!$B397&lt;&gt;"",NOT(AND(MOVIMIENTOS!$B397="PROCESO",MOVIMIENTOS!$C397&lt;&gt;"Chancho")),NOT(AND(MOVIMIENTOS!$B397="SALDO INICIAL",MOVIMIENTOS!$C397="Chancho"))),IF(MOVIMIENTOS!$B397="SALDO INICIAL","APERTURA ("&amp;MOVIMIENTOS!$C397&amp;")",IF(MOVIMIENTOS!$B397="COMPRA","INGRESO (compra)",IF(MOVIMIENTOS!$B397="PROCESO","CHANCHO (proceso)",IF(MOVIMIENTOS!$B397="ENVÍO A SUPESA","ENVÍO SUPESA cal. "&amp;MOVIMIENTOS!$C397,IF(MOVIMIENTOS!$B397="VENTA CHANCHO","VENTA CHANCHO",IF(MOVIMIENTOS!$B397="DEVOLUCIÓN","DEVOLUCIÓN cal. "&amp;MOVIMIENTOS!$C397,IF(MOVIMIENTOS!$B397="TRASIEGO","TRASIEGO cal. "&amp;MOVIMIENTOS!$C397,IF(MOVIMIENTOS!$B397="REGALO","REGALO "&amp;MOVIMIENTOS!$C397,IF(MOVIMIENTOS!$B397="VENTA","VENTA "&amp;MOVIMIENTOS!$C397,IF(MOVIMIENTOS!$B397="AJUSTE","AJUSTE inventario ("&amp;MOVIMIENTOS!$C397&amp;")",MOVIMIENTOS!$B397)))))))))),"")</f>
        <v/>
      </c>
      <c r="M398" t="str">
        <f>IF(AND(AND(MOVIMIENTOS!$B397&lt;&gt;"",NOT(AND(MOVIMIENTOS!$B397="PROCESO",MOVIMIENTOS!$C397&lt;&gt;"Chancho")),NOT(AND(MOVIMIENTOS!$B397="SALDO INICIAL",MOVIMIENTOS!$C397="Chancho"))),OR(MOVIMIENTOS!$B397="SALDO INICIAL",MOVIMIENTOS!$B397="COMPRA",MOVIMIENTOS!$B397="REPROCESO",AND(MOVIMIENTOS!$B397="AJUSTE",MOVIMIENTOS!$C397&lt;&gt;"Chancho",N(MOVIMIENTOS!$F397)&gt;=0))),N(MOVIMIENTOS!$F397),"")</f>
        <v/>
      </c>
      <c r="N398" t="str">
        <f>IF(AND(AND(MOVIMIENTOS!$B397&lt;&gt;"",NOT(AND(MOVIMIENTOS!$B397="PROCESO",MOVIMIENTOS!$C397&lt;&gt;"Chancho")),NOT(AND(MOVIMIENTOS!$B397="SALDO INICIAL",MOVIMIENTOS!$C397="Chancho"))),OR(MOVIMIENTOS!$B397="ENVÍO A SUPESA",MOVIMIENTOS!$B397="MALOGRADO",MOVIMIENTOS!$B397="OTRA SALIDA",MOVIMIENTOS!$B397="TRASIEGO",AND(MOVIMIENTOS!$B397="PROCESO",MOVIMIENTOS!$C397="Chancho"),AND(MOVIMIENTOS!$B397="REGALO",MOVIMIENTOS!$C397&lt;&gt;"Chancho"),AND(MOVIMIENTOS!$B397="VENTA",MOVIMIENTOS!$C397&lt;&gt;"Chancho"),AND(MOVIMIENTOS!$B397="AJUSTE",MOVIMIENTOS!$C397&lt;&gt;"Chancho",N(MOVIMIENTOS!$F397)&lt;0))),IF(MOVIMIENTOS!$B397="AJUSTE",-N(MOVIMIENTOS!$F397),N(MOVIMIENTOS!$F397)),"")</f>
        <v/>
      </c>
      <c r="O398" t="str">
        <f>IF(AND(MOVIMIENTOS!$B397&lt;&gt;"",NOT(AND(MOVIMIENTOS!$B397="PROCESO",MOVIMIENTOS!$C397&lt;&gt;"Chancho")),NOT(AND(MOVIMIENTOS!$B397="SALDO INICIAL",MOVIMIENTOS!$C397="Chancho"))),TRIM(IF(MOVIMIENTOS!$G397&lt;&gt;"",IF(MOVIMIENTOS!$B397="ENVÍO A SUPESA","G-"&amp;MOVIMIENTOS!$G397,MOVIMIENTOS!$G397)&amp;"  ","")&amp;IF(N(MOVIMIENTOS!$E397)&gt;0,MOVIMIENTOS!$E397&amp;" "&amp;MOVIMIENTOS!$D397,"")),"")</f>
        <v/>
      </c>
      <c r="P398">
        <f t="shared" si="48"/>
        <v>6138.5</v>
      </c>
    </row>
    <row r="399" spans="1:16" x14ac:dyDescent="0.2">
      <c r="A399" s="7" t="str">
        <f t="shared" si="42"/>
        <v/>
      </c>
      <c r="B399" s="8" t="str">
        <f t="shared" si="43"/>
        <v/>
      </c>
      <c r="C399" s="9" t="str">
        <f t="shared" si="44"/>
        <v/>
      </c>
      <c r="D399" s="9" t="str">
        <f t="shared" si="45"/>
        <v/>
      </c>
      <c r="E399" s="8" t="str">
        <f t="shared" si="46"/>
        <v/>
      </c>
      <c r="F399" s="9" t="str">
        <f t="shared" si="47"/>
        <v/>
      </c>
      <c r="J399" t="str">
        <f>IF(AND(MOVIMIENTOS!$B398&lt;&gt;"",NOT(AND(MOVIMIENTOS!$B398="PROCESO",MOVIMIENTOS!$C398&lt;&gt;"Chancho")),NOT(AND(MOVIMIENTOS!$B398="SALDO INICIAL",MOVIMIENTOS!$C398="Chancho"))),COUNT(J$5:J398)+1,"")</f>
        <v/>
      </c>
      <c r="K399" t="str">
        <f>IF(AND(MOVIMIENTOS!$B398&lt;&gt;"",NOT(AND(MOVIMIENTOS!$B398="PROCESO",MOVIMIENTOS!$C398&lt;&gt;"Chancho")),NOT(AND(MOVIMIENTOS!$B398="SALDO INICIAL",MOVIMIENTOS!$C398="Chancho"))),MOVIMIENTOS!$A398,"")</f>
        <v/>
      </c>
      <c r="L399" t="str">
        <f>IF(AND(MOVIMIENTOS!$B398&lt;&gt;"",NOT(AND(MOVIMIENTOS!$B398="PROCESO",MOVIMIENTOS!$C398&lt;&gt;"Chancho")),NOT(AND(MOVIMIENTOS!$B398="SALDO INICIAL",MOVIMIENTOS!$C398="Chancho"))),IF(MOVIMIENTOS!$B398="SALDO INICIAL","APERTURA ("&amp;MOVIMIENTOS!$C398&amp;")",IF(MOVIMIENTOS!$B398="COMPRA","INGRESO (compra)",IF(MOVIMIENTOS!$B398="PROCESO","CHANCHO (proceso)",IF(MOVIMIENTOS!$B398="ENVÍO A SUPESA","ENVÍO SUPESA cal. "&amp;MOVIMIENTOS!$C398,IF(MOVIMIENTOS!$B398="VENTA CHANCHO","VENTA CHANCHO",IF(MOVIMIENTOS!$B398="DEVOLUCIÓN","DEVOLUCIÓN cal. "&amp;MOVIMIENTOS!$C398,IF(MOVIMIENTOS!$B398="TRASIEGO","TRASIEGO cal. "&amp;MOVIMIENTOS!$C398,IF(MOVIMIENTOS!$B398="REGALO","REGALO "&amp;MOVIMIENTOS!$C398,IF(MOVIMIENTOS!$B398="VENTA","VENTA "&amp;MOVIMIENTOS!$C398,IF(MOVIMIENTOS!$B398="AJUSTE","AJUSTE inventario ("&amp;MOVIMIENTOS!$C398&amp;")",MOVIMIENTOS!$B398)))))))))),"")</f>
        <v/>
      </c>
      <c r="M399" t="str">
        <f>IF(AND(AND(MOVIMIENTOS!$B398&lt;&gt;"",NOT(AND(MOVIMIENTOS!$B398="PROCESO",MOVIMIENTOS!$C398&lt;&gt;"Chancho")),NOT(AND(MOVIMIENTOS!$B398="SALDO INICIAL",MOVIMIENTOS!$C398="Chancho"))),OR(MOVIMIENTOS!$B398="SALDO INICIAL",MOVIMIENTOS!$B398="COMPRA",MOVIMIENTOS!$B398="REPROCESO",AND(MOVIMIENTOS!$B398="AJUSTE",MOVIMIENTOS!$C398&lt;&gt;"Chancho",N(MOVIMIENTOS!$F398)&gt;=0))),N(MOVIMIENTOS!$F398),"")</f>
        <v/>
      </c>
      <c r="N399" t="str">
        <f>IF(AND(AND(MOVIMIENTOS!$B398&lt;&gt;"",NOT(AND(MOVIMIENTOS!$B398="PROCESO",MOVIMIENTOS!$C398&lt;&gt;"Chancho")),NOT(AND(MOVIMIENTOS!$B398="SALDO INICIAL",MOVIMIENTOS!$C398="Chancho"))),OR(MOVIMIENTOS!$B398="ENVÍO A SUPESA",MOVIMIENTOS!$B398="MALOGRADO",MOVIMIENTOS!$B398="OTRA SALIDA",MOVIMIENTOS!$B398="TRASIEGO",AND(MOVIMIENTOS!$B398="PROCESO",MOVIMIENTOS!$C398="Chancho"),AND(MOVIMIENTOS!$B398="REGALO",MOVIMIENTOS!$C398&lt;&gt;"Chancho"),AND(MOVIMIENTOS!$B398="VENTA",MOVIMIENTOS!$C398&lt;&gt;"Chancho"),AND(MOVIMIENTOS!$B398="AJUSTE",MOVIMIENTOS!$C398&lt;&gt;"Chancho",N(MOVIMIENTOS!$F398)&lt;0))),IF(MOVIMIENTOS!$B398="AJUSTE",-N(MOVIMIENTOS!$F398),N(MOVIMIENTOS!$F398)),"")</f>
        <v/>
      </c>
      <c r="O399" t="str">
        <f>IF(AND(MOVIMIENTOS!$B398&lt;&gt;"",NOT(AND(MOVIMIENTOS!$B398="PROCESO",MOVIMIENTOS!$C398&lt;&gt;"Chancho")),NOT(AND(MOVIMIENTOS!$B398="SALDO INICIAL",MOVIMIENTOS!$C398="Chancho"))),TRIM(IF(MOVIMIENTOS!$G398&lt;&gt;"",IF(MOVIMIENTOS!$B398="ENVÍO A SUPESA","G-"&amp;MOVIMIENTOS!$G398,MOVIMIENTOS!$G398)&amp;"  ","")&amp;IF(N(MOVIMIENTOS!$E398)&gt;0,MOVIMIENTOS!$E398&amp;" "&amp;MOVIMIENTOS!$D398,"")),"")</f>
        <v/>
      </c>
      <c r="P399">
        <f t="shared" si="48"/>
        <v>6138.5</v>
      </c>
    </row>
    <row r="400" spans="1:16" x14ac:dyDescent="0.2">
      <c r="A400" s="7" t="str">
        <f t="shared" si="42"/>
        <v/>
      </c>
      <c r="B400" s="8" t="str">
        <f t="shared" si="43"/>
        <v/>
      </c>
      <c r="C400" s="9" t="str">
        <f t="shared" si="44"/>
        <v/>
      </c>
      <c r="D400" s="9" t="str">
        <f t="shared" si="45"/>
        <v/>
      </c>
      <c r="E400" s="8" t="str">
        <f t="shared" si="46"/>
        <v/>
      </c>
      <c r="F400" s="9" t="str">
        <f t="shared" si="47"/>
        <v/>
      </c>
      <c r="J400" t="str">
        <f>IF(AND(MOVIMIENTOS!$B399&lt;&gt;"",NOT(AND(MOVIMIENTOS!$B399="PROCESO",MOVIMIENTOS!$C399&lt;&gt;"Chancho")),NOT(AND(MOVIMIENTOS!$B399="SALDO INICIAL",MOVIMIENTOS!$C399="Chancho"))),COUNT(J$5:J399)+1,"")</f>
        <v/>
      </c>
      <c r="K400" t="str">
        <f>IF(AND(MOVIMIENTOS!$B399&lt;&gt;"",NOT(AND(MOVIMIENTOS!$B399="PROCESO",MOVIMIENTOS!$C399&lt;&gt;"Chancho")),NOT(AND(MOVIMIENTOS!$B399="SALDO INICIAL",MOVIMIENTOS!$C399="Chancho"))),MOVIMIENTOS!$A399,"")</f>
        <v/>
      </c>
      <c r="L400" t="str">
        <f>IF(AND(MOVIMIENTOS!$B399&lt;&gt;"",NOT(AND(MOVIMIENTOS!$B399="PROCESO",MOVIMIENTOS!$C399&lt;&gt;"Chancho")),NOT(AND(MOVIMIENTOS!$B399="SALDO INICIAL",MOVIMIENTOS!$C399="Chancho"))),IF(MOVIMIENTOS!$B399="SALDO INICIAL","APERTURA ("&amp;MOVIMIENTOS!$C399&amp;")",IF(MOVIMIENTOS!$B399="COMPRA","INGRESO (compra)",IF(MOVIMIENTOS!$B399="PROCESO","CHANCHO (proceso)",IF(MOVIMIENTOS!$B399="ENVÍO A SUPESA","ENVÍO SUPESA cal. "&amp;MOVIMIENTOS!$C399,IF(MOVIMIENTOS!$B399="VENTA CHANCHO","VENTA CHANCHO",IF(MOVIMIENTOS!$B399="DEVOLUCIÓN","DEVOLUCIÓN cal. "&amp;MOVIMIENTOS!$C399,IF(MOVIMIENTOS!$B399="TRASIEGO","TRASIEGO cal. "&amp;MOVIMIENTOS!$C399,IF(MOVIMIENTOS!$B399="REGALO","REGALO "&amp;MOVIMIENTOS!$C399,IF(MOVIMIENTOS!$B399="VENTA","VENTA "&amp;MOVIMIENTOS!$C399,IF(MOVIMIENTOS!$B399="AJUSTE","AJUSTE inventario ("&amp;MOVIMIENTOS!$C399&amp;")",MOVIMIENTOS!$B399)))))))))),"")</f>
        <v/>
      </c>
      <c r="M400" t="str">
        <f>IF(AND(AND(MOVIMIENTOS!$B399&lt;&gt;"",NOT(AND(MOVIMIENTOS!$B399="PROCESO",MOVIMIENTOS!$C399&lt;&gt;"Chancho")),NOT(AND(MOVIMIENTOS!$B399="SALDO INICIAL",MOVIMIENTOS!$C399="Chancho"))),OR(MOVIMIENTOS!$B399="SALDO INICIAL",MOVIMIENTOS!$B399="COMPRA",MOVIMIENTOS!$B399="REPROCESO",AND(MOVIMIENTOS!$B399="AJUSTE",MOVIMIENTOS!$C399&lt;&gt;"Chancho",N(MOVIMIENTOS!$F399)&gt;=0))),N(MOVIMIENTOS!$F399),"")</f>
        <v/>
      </c>
      <c r="N400" t="str">
        <f>IF(AND(AND(MOVIMIENTOS!$B399&lt;&gt;"",NOT(AND(MOVIMIENTOS!$B399="PROCESO",MOVIMIENTOS!$C399&lt;&gt;"Chancho")),NOT(AND(MOVIMIENTOS!$B399="SALDO INICIAL",MOVIMIENTOS!$C399="Chancho"))),OR(MOVIMIENTOS!$B399="ENVÍO A SUPESA",MOVIMIENTOS!$B399="MALOGRADO",MOVIMIENTOS!$B399="OTRA SALIDA",MOVIMIENTOS!$B399="TRASIEGO",AND(MOVIMIENTOS!$B399="PROCESO",MOVIMIENTOS!$C399="Chancho"),AND(MOVIMIENTOS!$B399="REGALO",MOVIMIENTOS!$C399&lt;&gt;"Chancho"),AND(MOVIMIENTOS!$B399="VENTA",MOVIMIENTOS!$C399&lt;&gt;"Chancho"),AND(MOVIMIENTOS!$B399="AJUSTE",MOVIMIENTOS!$C399&lt;&gt;"Chancho",N(MOVIMIENTOS!$F399)&lt;0))),IF(MOVIMIENTOS!$B399="AJUSTE",-N(MOVIMIENTOS!$F399),N(MOVIMIENTOS!$F399)),"")</f>
        <v/>
      </c>
      <c r="O400" t="str">
        <f>IF(AND(MOVIMIENTOS!$B399&lt;&gt;"",NOT(AND(MOVIMIENTOS!$B399="PROCESO",MOVIMIENTOS!$C399&lt;&gt;"Chancho")),NOT(AND(MOVIMIENTOS!$B399="SALDO INICIAL",MOVIMIENTOS!$C399="Chancho"))),TRIM(IF(MOVIMIENTOS!$G399&lt;&gt;"",IF(MOVIMIENTOS!$B399="ENVÍO A SUPESA","G-"&amp;MOVIMIENTOS!$G399,MOVIMIENTOS!$G399)&amp;"  ","")&amp;IF(N(MOVIMIENTOS!$E399)&gt;0,MOVIMIENTOS!$E399&amp;" "&amp;MOVIMIENTOS!$D399,"")),"")</f>
        <v/>
      </c>
      <c r="P400">
        <f t="shared" si="48"/>
        <v>6138.5</v>
      </c>
    </row>
    <row r="401" spans="1:16" x14ac:dyDescent="0.2">
      <c r="A401" s="7" t="str">
        <f t="shared" si="42"/>
        <v/>
      </c>
      <c r="B401" s="8" t="str">
        <f t="shared" si="43"/>
        <v/>
      </c>
      <c r="C401" s="9" t="str">
        <f t="shared" si="44"/>
        <v/>
      </c>
      <c r="D401" s="9" t="str">
        <f t="shared" si="45"/>
        <v/>
      </c>
      <c r="E401" s="8" t="str">
        <f t="shared" si="46"/>
        <v/>
      </c>
      <c r="F401" s="9" t="str">
        <f t="shared" si="47"/>
        <v/>
      </c>
      <c r="J401" t="str">
        <f>IF(AND(MOVIMIENTOS!$B400&lt;&gt;"",NOT(AND(MOVIMIENTOS!$B400="PROCESO",MOVIMIENTOS!$C400&lt;&gt;"Chancho")),NOT(AND(MOVIMIENTOS!$B400="SALDO INICIAL",MOVIMIENTOS!$C400="Chancho"))),COUNT(J$5:J400)+1,"")</f>
        <v/>
      </c>
      <c r="K401" t="str">
        <f>IF(AND(MOVIMIENTOS!$B400&lt;&gt;"",NOT(AND(MOVIMIENTOS!$B400="PROCESO",MOVIMIENTOS!$C400&lt;&gt;"Chancho")),NOT(AND(MOVIMIENTOS!$B400="SALDO INICIAL",MOVIMIENTOS!$C400="Chancho"))),MOVIMIENTOS!$A400,"")</f>
        <v/>
      </c>
      <c r="L401" t="str">
        <f>IF(AND(MOVIMIENTOS!$B400&lt;&gt;"",NOT(AND(MOVIMIENTOS!$B400="PROCESO",MOVIMIENTOS!$C400&lt;&gt;"Chancho")),NOT(AND(MOVIMIENTOS!$B400="SALDO INICIAL",MOVIMIENTOS!$C400="Chancho"))),IF(MOVIMIENTOS!$B400="SALDO INICIAL","APERTURA ("&amp;MOVIMIENTOS!$C400&amp;")",IF(MOVIMIENTOS!$B400="COMPRA","INGRESO (compra)",IF(MOVIMIENTOS!$B400="PROCESO","CHANCHO (proceso)",IF(MOVIMIENTOS!$B400="ENVÍO A SUPESA","ENVÍO SUPESA cal. "&amp;MOVIMIENTOS!$C400,IF(MOVIMIENTOS!$B400="VENTA CHANCHO","VENTA CHANCHO",IF(MOVIMIENTOS!$B400="DEVOLUCIÓN","DEVOLUCIÓN cal. "&amp;MOVIMIENTOS!$C400,IF(MOVIMIENTOS!$B400="TRASIEGO","TRASIEGO cal. "&amp;MOVIMIENTOS!$C400,IF(MOVIMIENTOS!$B400="REGALO","REGALO "&amp;MOVIMIENTOS!$C400,IF(MOVIMIENTOS!$B400="VENTA","VENTA "&amp;MOVIMIENTOS!$C400,IF(MOVIMIENTOS!$B400="AJUSTE","AJUSTE inventario ("&amp;MOVIMIENTOS!$C400&amp;")",MOVIMIENTOS!$B400)))))))))),"")</f>
        <v/>
      </c>
      <c r="M401" t="str">
        <f>IF(AND(AND(MOVIMIENTOS!$B400&lt;&gt;"",NOT(AND(MOVIMIENTOS!$B400="PROCESO",MOVIMIENTOS!$C400&lt;&gt;"Chancho")),NOT(AND(MOVIMIENTOS!$B400="SALDO INICIAL",MOVIMIENTOS!$C400="Chancho"))),OR(MOVIMIENTOS!$B400="SALDO INICIAL",MOVIMIENTOS!$B400="COMPRA",MOVIMIENTOS!$B400="REPROCESO",AND(MOVIMIENTOS!$B400="AJUSTE",MOVIMIENTOS!$C400&lt;&gt;"Chancho",N(MOVIMIENTOS!$F400)&gt;=0))),N(MOVIMIENTOS!$F400),"")</f>
        <v/>
      </c>
      <c r="N401" t="str">
        <f>IF(AND(AND(MOVIMIENTOS!$B400&lt;&gt;"",NOT(AND(MOVIMIENTOS!$B400="PROCESO",MOVIMIENTOS!$C400&lt;&gt;"Chancho")),NOT(AND(MOVIMIENTOS!$B400="SALDO INICIAL",MOVIMIENTOS!$C400="Chancho"))),OR(MOVIMIENTOS!$B400="ENVÍO A SUPESA",MOVIMIENTOS!$B400="MALOGRADO",MOVIMIENTOS!$B400="OTRA SALIDA",MOVIMIENTOS!$B400="TRASIEGO",AND(MOVIMIENTOS!$B400="PROCESO",MOVIMIENTOS!$C400="Chancho"),AND(MOVIMIENTOS!$B400="REGALO",MOVIMIENTOS!$C400&lt;&gt;"Chancho"),AND(MOVIMIENTOS!$B400="VENTA",MOVIMIENTOS!$C400&lt;&gt;"Chancho"),AND(MOVIMIENTOS!$B400="AJUSTE",MOVIMIENTOS!$C400&lt;&gt;"Chancho",N(MOVIMIENTOS!$F400)&lt;0))),IF(MOVIMIENTOS!$B400="AJUSTE",-N(MOVIMIENTOS!$F400),N(MOVIMIENTOS!$F400)),"")</f>
        <v/>
      </c>
      <c r="O401" t="str">
        <f>IF(AND(MOVIMIENTOS!$B400&lt;&gt;"",NOT(AND(MOVIMIENTOS!$B400="PROCESO",MOVIMIENTOS!$C400&lt;&gt;"Chancho")),NOT(AND(MOVIMIENTOS!$B400="SALDO INICIAL",MOVIMIENTOS!$C400="Chancho"))),TRIM(IF(MOVIMIENTOS!$G400&lt;&gt;"",IF(MOVIMIENTOS!$B400="ENVÍO A SUPESA","G-"&amp;MOVIMIENTOS!$G400,MOVIMIENTOS!$G400)&amp;"  ","")&amp;IF(N(MOVIMIENTOS!$E400)&gt;0,MOVIMIENTOS!$E400&amp;" "&amp;MOVIMIENTOS!$D400,"")),"")</f>
        <v/>
      </c>
      <c r="P401">
        <f t="shared" si="48"/>
        <v>6138.5</v>
      </c>
    </row>
  </sheetData>
  <autoFilter ref="A5:F401" xr:uid="{00000000-0009-0000-0000-000001000000}"/>
  <mergeCells count="2">
    <mergeCell ref="A1:F1"/>
    <mergeCell ref="A2:F2"/>
  </mergeCells>
  <conditionalFormatting sqref="A6:F401">
    <cfRule type="expression" dxfId="13" priority="2">
      <formula>LEFT($B6,8)="APERTURA"</formula>
    </cfRule>
    <cfRule type="expression" dxfId="12" priority="3">
      <formula>LEFT($B6,7)="INGRESO"</formula>
    </cfRule>
    <cfRule type="expression" dxfId="11" priority="4">
      <formula>LEFT($B6,7)="CHANCHO"</formula>
    </cfRule>
    <cfRule type="expression" dxfId="10" priority="5">
      <formula>LEFT($B6,9)="MALOGRADO"</formula>
    </cfRule>
    <cfRule type="expression" dxfId="9" priority="6">
      <formula>LEFT($B6,5)="ENVÍO A SUPESA"</formula>
    </cfRule>
    <cfRule type="expression" dxfId="8" priority="7">
      <formula>LEFT($B6,5)="VENTA"</formula>
    </cfRule>
    <cfRule type="expression" dxfId="7" priority="8">
      <formula>LEFT($B6,10)="DEVOLUCIÓN"</formula>
    </cfRule>
    <cfRule type="expression" dxfId="6" priority="9">
      <formula>LEFT($B6,9)="REPROCESO"</formula>
    </cfRule>
    <cfRule type="expression" dxfId="5" priority="10">
      <formula>LEFT($B6,8)="TRASIEGO"</formula>
    </cfRule>
    <cfRule type="expression" dxfId="4" priority="11">
      <formula>LEFT($B6,4)="OTRA"</formula>
    </cfRule>
    <cfRule type="expression" dxfId="3" priority="12">
      <formula>LEFT($B6,6)="REGALO"</formula>
    </cfRule>
    <cfRule type="expression" dxfId="2" priority="13">
      <formula>LEFT($B6,6)="VENTA "</formula>
    </cfRule>
    <cfRule type="expression" dxfId="1" priority="14">
      <formula>LEFT($B6,6)="AJUSTE"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0"/>
  <sheetViews>
    <sheetView showGridLines="0" zoomScaleNormal="100" workbookViewId="0">
      <pane ySplit="4" topLeftCell="A5" activePane="bottomLeft" state="frozen"/>
      <selection pane="bottomLeft" sqref="A1:H1"/>
    </sheetView>
  </sheetViews>
  <sheetFormatPr baseColWidth="10" defaultColWidth="8.6640625" defaultRowHeight="15" x14ac:dyDescent="0.2"/>
  <cols>
    <col min="1" max="1" width="13" customWidth="1"/>
    <col min="2" max="5" width="9" customWidth="1"/>
    <col min="6" max="6" width="10" customWidth="1"/>
    <col min="7" max="7" width="9" customWidth="1"/>
    <col min="8" max="8" width="11" customWidth="1"/>
    <col min="10" max="12" width="13" hidden="1" customWidth="1"/>
  </cols>
  <sheetData>
    <row r="1" spans="1:12" ht="21.75" customHeight="1" x14ac:dyDescent="0.2">
      <c r="A1" s="15" t="s">
        <v>61</v>
      </c>
      <c r="B1" s="15"/>
      <c r="C1" s="15"/>
      <c r="D1" s="15"/>
      <c r="E1" s="15"/>
      <c r="F1" s="15"/>
      <c r="G1" s="15"/>
      <c r="H1" s="15"/>
    </row>
    <row r="2" spans="1:12" x14ac:dyDescent="0.2">
      <c r="A2" s="16" t="s">
        <v>62</v>
      </c>
      <c r="B2" s="16"/>
      <c r="C2" s="16"/>
      <c r="D2" s="16"/>
      <c r="E2" s="16"/>
      <c r="F2" s="16"/>
      <c r="G2" s="16"/>
      <c r="H2" s="16"/>
    </row>
    <row r="4" spans="1:12" ht="30" customHeight="1" x14ac:dyDescent="0.2">
      <c r="A4" s="1" t="s">
        <v>2</v>
      </c>
      <c r="B4" s="1" t="s">
        <v>63</v>
      </c>
      <c r="C4" s="1" t="s">
        <v>64</v>
      </c>
      <c r="D4" s="1" t="s">
        <v>65</v>
      </c>
      <c r="E4" s="1" t="s">
        <v>66</v>
      </c>
      <c r="F4" s="1" t="s">
        <v>67</v>
      </c>
      <c r="G4" s="1" t="s">
        <v>68</v>
      </c>
      <c r="H4" s="1" t="s">
        <v>69</v>
      </c>
    </row>
    <row r="5" spans="1:12" x14ac:dyDescent="0.2">
      <c r="A5" s="11">
        <f t="shared" ref="A5:A36" si="0">IFERROR(INDEX(K$5:K$400,MATCH(ROW()-4,J$5:J$400,0)),"")</f>
        <v>46214</v>
      </c>
      <c r="B5" s="12">
        <f>IF($A5="","",SUMPRODUCT((MOVIMIENTOS!$B$5:$B$400="SALDO INICIAL")*(MOVIMIENTOS!$C$5:$C$400="A")*(MOVIMIENTOS!$D$5:$D$400="jabas")*(ROW(MOVIMIENTOS!$B$5:$B$400)&lt;=$L5)*MOVIMIENTOS!$E$5:$E$400)+SUMPRODUCT((MOVIMIENTOS!$B$5:$B$400="PROCESO")*(MOVIMIENTOS!$C$5:$C$400="A")*(MOVIMIENTOS!$D$5:$D$400="jabas")*(ROW(MOVIMIENTOS!$B$5:$B$400)&lt;=$L5)*MOVIMIENTOS!$E$5:$E$400)-SUMPRODUCT((MOVIMIENTOS!$B$5:$B$400="ENVÍO A SUPESA")*(MOVIMIENTOS!$C$5:$C$400="A")*(MOVIMIENTOS!$D$5:$D$400="jabas")*(ROW(MOVIMIENTOS!$B$5:$B$400)&lt;=$L5)*MOVIMIENTOS!$E$5:$E$400)+SUMPRODUCT((MOVIMIENTOS!$B$5:$B$400="DEVOLUCIÓN")*(MOVIMIENTOS!$C$5:$C$400="A")*(MOVIMIENTOS!$D$5:$D$400="jabas")*(ROW(MOVIMIENTOS!$B$5:$B$400)&lt;=$L5)*MOVIMIENTOS!$E$5:$E$400)-SUMPRODUCT((MOVIMIENTOS!$B$5:$B$400="TRASIEGO")*(MOVIMIENTOS!$C$5:$C$400="A")*(MOVIMIENTOS!$D$5:$D$400="jabas")*(ROW(MOVIMIENTOS!$B$5:$B$400)&lt;=$L5)*MOVIMIENTOS!$E$5:$E$400)-SUMPRODUCT((MOVIMIENTOS!$B$5:$B$400="REGALO")*(MOVIMIENTOS!$C$5:$C$400="A")*(MOVIMIENTOS!$D$5:$D$400="jabas")*(ROW(MOVIMIENTOS!$B$5:$B$400)&lt;=$L5)*MOVIMIENTOS!$E$5:$E$400)-SUMPRODUCT((MOVIMIENTOS!$B$5:$B$400="VENTA")*(MOVIMIENTOS!$C$5:$C$400="A")*(MOVIMIENTOS!$D$5:$D$400="jabas")*(ROW(MOVIMIENTOS!$B$5:$B$400)&lt;=$L5)*MOVIMIENTOS!$E$5:$E$400)+SUMPRODUCT((MOVIMIENTOS!$B$5:$B$400="AJUSTE")*(MOVIMIENTOS!$C$5:$C$400="A")*(MOVIMIENTOS!$D$5:$D$400="jabas")*(ROW(MOVIMIENTOS!$B$5:$B$400)&lt;=$L5)*MOVIMIENTOS!$E$5:$E$400))</f>
        <v>8</v>
      </c>
      <c r="C5" s="12">
        <f>IF($A5="","",SUMPRODUCT((MOVIMIENTOS!$B$5:$B$400="SALDO INICIAL")*(MOVIMIENTOS!$C$5:$C$400="P")*(MOVIMIENTOS!$D$5:$D$400="jabas")*(ROW(MOVIMIENTOS!$B$5:$B$400)&lt;=$L5)*MOVIMIENTOS!$E$5:$E$400)+SUMPRODUCT((MOVIMIENTOS!$B$5:$B$400="PROCESO")*(MOVIMIENTOS!$C$5:$C$400="P")*(MOVIMIENTOS!$D$5:$D$400="jabas")*(ROW(MOVIMIENTOS!$B$5:$B$400)&lt;=$L5)*MOVIMIENTOS!$E$5:$E$400)-SUMPRODUCT((MOVIMIENTOS!$B$5:$B$400="ENVÍO A SUPESA")*(MOVIMIENTOS!$C$5:$C$400="P")*(MOVIMIENTOS!$D$5:$D$400="jabas")*(ROW(MOVIMIENTOS!$B$5:$B$400)&lt;=$L5)*MOVIMIENTOS!$E$5:$E$400)+SUMPRODUCT((MOVIMIENTOS!$B$5:$B$400="DEVOLUCIÓN")*(MOVIMIENTOS!$C$5:$C$400="P")*(MOVIMIENTOS!$D$5:$D$400="jabas")*(ROW(MOVIMIENTOS!$B$5:$B$400)&lt;=$L5)*MOVIMIENTOS!$E$5:$E$400)-SUMPRODUCT((MOVIMIENTOS!$B$5:$B$400="TRASIEGO")*(MOVIMIENTOS!$C$5:$C$400="P")*(MOVIMIENTOS!$D$5:$D$400="jabas")*(ROW(MOVIMIENTOS!$B$5:$B$400)&lt;=$L5)*MOVIMIENTOS!$E$5:$E$400)-SUMPRODUCT((MOVIMIENTOS!$B$5:$B$400="REGALO")*(MOVIMIENTOS!$C$5:$C$400="P")*(MOVIMIENTOS!$D$5:$D$400="jabas")*(ROW(MOVIMIENTOS!$B$5:$B$400)&lt;=$L5)*MOVIMIENTOS!$E$5:$E$400)-SUMPRODUCT((MOVIMIENTOS!$B$5:$B$400="VENTA")*(MOVIMIENTOS!$C$5:$C$400="P")*(MOVIMIENTOS!$D$5:$D$400="jabas")*(ROW(MOVIMIENTOS!$B$5:$B$400)&lt;=$L5)*MOVIMIENTOS!$E$5:$E$400)+SUMPRODUCT((MOVIMIENTOS!$B$5:$B$400="AJUSTE")*(MOVIMIENTOS!$C$5:$C$400="P")*(MOVIMIENTOS!$D$5:$D$400="jabas")*(ROW(MOVIMIENTOS!$B$5:$B$400)&lt;=$L5)*MOVIMIENTOS!$E$5:$E$400))</f>
        <v>0</v>
      </c>
      <c r="D5" s="12">
        <f>IF($A5="","",SUMPRODUCT((MOVIMIENTOS!$B$5:$B$400="SALDO INICIAL")*(MOVIMIENTOS!$C$5:$C$400="C")*(MOVIMIENTOS!$D$5:$D$400="jabas")*(ROW(MOVIMIENTOS!$B$5:$B$400)&lt;=$L5)*MOVIMIENTOS!$E$5:$E$400)+SUMPRODUCT((MOVIMIENTOS!$B$5:$B$400="PROCESO")*(MOVIMIENTOS!$C$5:$C$400="C")*(MOVIMIENTOS!$D$5:$D$400="jabas")*(ROW(MOVIMIENTOS!$B$5:$B$400)&lt;=$L5)*MOVIMIENTOS!$E$5:$E$400)-SUMPRODUCT((MOVIMIENTOS!$B$5:$B$400="ENVÍO A SUPESA")*(MOVIMIENTOS!$C$5:$C$400="C")*(MOVIMIENTOS!$D$5:$D$400="jabas")*(ROW(MOVIMIENTOS!$B$5:$B$400)&lt;=$L5)*MOVIMIENTOS!$E$5:$E$400)+SUMPRODUCT((MOVIMIENTOS!$B$5:$B$400="DEVOLUCIÓN")*(MOVIMIENTOS!$C$5:$C$400="C")*(MOVIMIENTOS!$D$5:$D$400="jabas")*(ROW(MOVIMIENTOS!$B$5:$B$400)&lt;=$L5)*MOVIMIENTOS!$E$5:$E$400)-SUMPRODUCT((MOVIMIENTOS!$B$5:$B$400="TRASIEGO")*(MOVIMIENTOS!$C$5:$C$400="C")*(MOVIMIENTOS!$D$5:$D$400="jabas")*(ROW(MOVIMIENTOS!$B$5:$B$400)&lt;=$L5)*MOVIMIENTOS!$E$5:$E$400)-SUMPRODUCT((MOVIMIENTOS!$B$5:$B$400="REGALO")*(MOVIMIENTOS!$C$5:$C$400="C")*(MOVIMIENTOS!$D$5:$D$400="jabas")*(ROW(MOVIMIENTOS!$B$5:$B$400)&lt;=$L5)*MOVIMIENTOS!$E$5:$E$400)-SUMPRODUCT((MOVIMIENTOS!$B$5:$B$400="VENTA")*(MOVIMIENTOS!$C$5:$C$400="C")*(MOVIMIENTOS!$D$5:$D$400="jabas")*(ROW(MOVIMIENTOS!$B$5:$B$400)&lt;=$L5)*MOVIMIENTOS!$E$5:$E$400)+SUMPRODUCT((MOVIMIENTOS!$B$5:$B$400="AJUSTE")*(MOVIMIENTOS!$C$5:$C$400="C")*(MOVIMIENTOS!$D$5:$D$400="jabas")*(ROW(MOVIMIENTOS!$B$5:$B$400)&lt;=$L5)*MOVIMIENTOS!$E$5:$E$400))</f>
        <v>0</v>
      </c>
      <c r="E5" s="12">
        <f>IF($A5="","",SUMPRODUCT((MOVIMIENTOS!$B$5:$B$400="SALDO INICIAL")*(MOVIMIENTOS!$C$5:$C$400="M")*(MOVIMIENTOS!$D$5:$D$400="jabas")*(ROW(MOVIMIENTOS!$B$5:$B$400)&lt;=$L5)*MOVIMIENTOS!$E$5:$E$400)+SUMPRODUCT((MOVIMIENTOS!$B$5:$B$400="PROCESO")*(MOVIMIENTOS!$C$5:$C$400="M")*(MOVIMIENTOS!$D$5:$D$400="jabas")*(ROW(MOVIMIENTOS!$B$5:$B$400)&lt;=$L5)*MOVIMIENTOS!$E$5:$E$400)-SUMPRODUCT((MOVIMIENTOS!$B$5:$B$400="ENVÍO A SUPESA")*(MOVIMIENTOS!$C$5:$C$400="M")*(MOVIMIENTOS!$D$5:$D$400="jabas")*(ROW(MOVIMIENTOS!$B$5:$B$400)&lt;=$L5)*MOVIMIENTOS!$E$5:$E$400)+SUMPRODUCT((MOVIMIENTOS!$B$5:$B$400="DEVOLUCIÓN")*(MOVIMIENTOS!$C$5:$C$400="M")*(MOVIMIENTOS!$D$5:$D$400="jabas")*(ROW(MOVIMIENTOS!$B$5:$B$400)&lt;=$L5)*MOVIMIENTOS!$E$5:$E$400)-SUMPRODUCT((MOVIMIENTOS!$B$5:$B$400="TRASIEGO")*(MOVIMIENTOS!$C$5:$C$400="M")*(MOVIMIENTOS!$D$5:$D$400="jabas")*(ROW(MOVIMIENTOS!$B$5:$B$400)&lt;=$L5)*MOVIMIENTOS!$E$5:$E$400)-SUMPRODUCT((MOVIMIENTOS!$B$5:$B$400="REGALO")*(MOVIMIENTOS!$C$5:$C$400="M")*(MOVIMIENTOS!$D$5:$D$400="jabas")*(ROW(MOVIMIENTOS!$B$5:$B$400)&lt;=$L5)*MOVIMIENTOS!$E$5:$E$400)-SUMPRODUCT((MOVIMIENTOS!$B$5:$B$400="VENTA")*(MOVIMIENTOS!$C$5:$C$400="M")*(MOVIMIENTOS!$D$5:$D$400="jabas")*(ROW(MOVIMIENTOS!$B$5:$B$400)&lt;=$L5)*MOVIMIENTOS!$E$5:$E$400)+SUMPRODUCT((MOVIMIENTOS!$B$5:$B$400="AJUSTE")*(MOVIMIENTOS!$C$5:$C$400="M")*(MOVIMIENTOS!$D$5:$D$400="jabas")*(ROW(MOVIMIENTOS!$B$5:$B$400)&lt;=$L5)*MOVIMIENTOS!$E$5:$E$400))</f>
        <v>7</v>
      </c>
      <c r="F5" s="12">
        <f>IF($A5="","",SUMPRODUCT((MOVIMIENTOS!$B$5:$B$400="SALDO INICIAL")*(MOVIMIENTOS!$C$5:$C$400="Chancho")*(MOVIMIENTOS!$D$5:$D$400="sacos")*(ROW(MOVIMIENTOS!$B$5:$B$400)&lt;=$L5)*MOVIMIENTOS!$E$5:$E$400)+SUMPRODUCT((MOVIMIENTOS!$B$5:$B$400="PROCESO")*(MOVIMIENTOS!$C$5:$C$400="Chancho")*(MOVIMIENTOS!$D$5:$D$400="sacos")*(ROW(MOVIMIENTOS!$B$5:$B$400)&lt;=$L5)*MOVIMIENTOS!$E$5:$E$400)-SUMPRODUCT((MOVIMIENTOS!$B$5:$B$400="VENTA CHANCHO")*(MOVIMIENTOS!$C$5:$C$400="Chancho")*(MOVIMIENTOS!$D$5:$D$400="sacos")*(ROW(MOVIMIENTOS!$B$5:$B$400)&lt;=$L5)*MOVIMIENTOS!$E$5:$E$400)-SUMPRODUCT((MOVIMIENTOS!$B$5:$B$400="REGALO")*(MOVIMIENTOS!$C$5:$C$400="Chancho")*(MOVIMIENTOS!$D$5:$D$400="sacos")*(ROW(MOVIMIENTOS!$B$5:$B$400)&lt;=$L5)*MOVIMIENTOS!$E$5:$E$400)-SUMPRODUCT((MOVIMIENTOS!$B$5:$B$400="VENTA")*(MOVIMIENTOS!$C$5:$C$400="Chancho")*(MOVIMIENTOS!$D$5:$D$400="sacos")*(ROW(MOVIMIENTOS!$B$5:$B$400)&lt;=$L5)*MOVIMIENTOS!$E$5:$E$400)+SUMPRODUCT((MOVIMIENTOS!$B$5:$B$400="AJUSTE")*(MOVIMIENTOS!$C$5:$C$400="Chancho")*(MOVIMIENTOS!$D$5:$D$400="sacos")*(ROW(MOVIMIENTOS!$B$5:$B$400)&lt;=$L5)*MOVIMIENTOS!$E$5:$E$400))</f>
        <v>20</v>
      </c>
      <c r="G5" s="12">
        <f t="shared" ref="G5:G36" si="1">IF($A5="","",SUM(B5:E5))</f>
        <v>15</v>
      </c>
      <c r="H5" s="12">
        <f>IF($A5="","",SUMPRODUCT((((MOVIMIENTOS!$B$5:$B$400="SALDO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5)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5)*MOVIMIENTOS!$I$5:$I$400))</f>
        <v>239</v>
      </c>
      <c r="J5">
        <f>IF(MOVIMIENTOS!$A$5&lt;&gt;"",1,"")</f>
        <v>1</v>
      </c>
      <c r="K5" s="10">
        <f>MOVIMIENTOS!$A5</f>
        <v>46214</v>
      </c>
      <c r="L5">
        <f>IF($A5="","",SUMPRODUCT(MAX((MOVIMIENTOS!$A$5:$A$400=$A5)*ROW(MOVIMIENTOS!$A$5:$A$400))))</f>
        <v>7</v>
      </c>
    </row>
    <row r="6" spans="1:12" x14ac:dyDescent="0.2">
      <c r="A6" s="11">
        <f t="shared" si="0"/>
        <v>46215</v>
      </c>
      <c r="B6" s="12">
        <f>IF($A6="","",SUMPRODUCT((MOVIMIENTOS!$B$5:$B$400="SALDO INICIAL")*(MOVIMIENTOS!$C$5:$C$400="A")*(MOVIMIENTOS!$D$5:$D$400="jabas")*(ROW(MOVIMIENTOS!$B$5:$B$400)&lt;=$L6)*MOVIMIENTOS!$E$5:$E$400)+SUMPRODUCT((MOVIMIENTOS!$B$5:$B$400="PROCESO")*(MOVIMIENTOS!$C$5:$C$400="A")*(MOVIMIENTOS!$D$5:$D$400="jabas")*(ROW(MOVIMIENTOS!$B$5:$B$400)&lt;=$L6)*MOVIMIENTOS!$E$5:$E$400)-SUMPRODUCT((MOVIMIENTOS!$B$5:$B$400="ENVÍO A SUPESA")*(MOVIMIENTOS!$C$5:$C$400="A")*(MOVIMIENTOS!$D$5:$D$400="jabas")*(ROW(MOVIMIENTOS!$B$5:$B$400)&lt;=$L6)*MOVIMIENTOS!$E$5:$E$400)+SUMPRODUCT((MOVIMIENTOS!$B$5:$B$400="DEVOLUCIÓN")*(MOVIMIENTOS!$C$5:$C$400="A")*(MOVIMIENTOS!$D$5:$D$400="jabas")*(ROW(MOVIMIENTOS!$B$5:$B$400)&lt;=$L6)*MOVIMIENTOS!$E$5:$E$400)-SUMPRODUCT((MOVIMIENTOS!$B$5:$B$400="TRASIEGO")*(MOVIMIENTOS!$C$5:$C$400="A")*(MOVIMIENTOS!$D$5:$D$400="jabas")*(ROW(MOVIMIENTOS!$B$5:$B$400)&lt;=$L6)*MOVIMIENTOS!$E$5:$E$400)-SUMPRODUCT((MOVIMIENTOS!$B$5:$B$400="REGALO")*(MOVIMIENTOS!$C$5:$C$400="A")*(MOVIMIENTOS!$D$5:$D$400="jabas")*(ROW(MOVIMIENTOS!$B$5:$B$400)&lt;=$L6)*MOVIMIENTOS!$E$5:$E$400)-SUMPRODUCT((MOVIMIENTOS!$B$5:$B$400="VENTA")*(MOVIMIENTOS!$C$5:$C$400="A")*(MOVIMIENTOS!$D$5:$D$400="jabas")*(ROW(MOVIMIENTOS!$B$5:$B$400)&lt;=$L6)*MOVIMIENTOS!$E$5:$E$400)+SUMPRODUCT((MOVIMIENTOS!$B$5:$B$400="AJUSTE")*(MOVIMIENTOS!$C$5:$C$400="A")*(MOVIMIENTOS!$D$5:$D$400="jabas")*(ROW(MOVIMIENTOS!$B$5:$B$400)&lt;=$L6)*MOVIMIENTOS!$E$5:$E$400))</f>
        <v>0</v>
      </c>
      <c r="C6" s="12">
        <f>IF($A6="","",SUMPRODUCT((MOVIMIENTOS!$B$5:$B$400="SALDO INICIAL")*(MOVIMIENTOS!$C$5:$C$400="P")*(MOVIMIENTOS!$D$5:$D$400="jabas")*(ROW(MOVIMIENTOS!$B$5:$B$400)&lt;=$L6)*MOVIMIENTOS!$E$5:$E$400)+SUMPRODUCT((MOVIMIENTOS!$B$5:$B$400="PROCESO")*(MOVIMIENTOS!$C$5:$C$400="P")*(MOVIMIENTOS!$D$5:$D$400="jabas")*(ROW(MOVIMIENTOS!$B$5:$B$400)&lt;=$L6)*MOVIMIENTOS!$E$5:$E$400)-SUMPRODUCT((MOVIMIENTOS!$B$5:$B$400="ENVÍO A SUPESA")*(MOVIMIENTOS!$C$5:$C$400="P")*(MOVIMIENTOS!$D$5:$D$400="jabas")*(ROW(MOVIMIENTOS!$B$5:$B$400)&lt;=$L6)*MOVIMIENTOS!$E$5:$E$400)+SUMPRODUCT((MOVIMIENTOS!$B$5:$B$400="DEVOLUCIÓN")*(MOVIMIENTOS!$C$5:$C$400="P")*(MOVIMIENTOS!$D$5:$D$400="jabas")*(ROW(MOVIMIENTOS!$B$5:$B$400)&lt;=$L6)*MOVIMIENTOS!$E$5:$E$400)-SUMPRODUCT((MOVIMIENTOS!$B$5:$B$400="TRASIEGO")*(MOVIMIENTOS!$C$5:$C$400="P")*(MOVIMIENTOS!$D$5:$D$400="jabas")*(ROW(MOVIMIENTOS!$B$5:$B$400)&lt;=$L6)*MOVIMIENTOS!$E$5:$E$400)-SUMPRODUCT((MOVIMIENTOS!$B$5:$B$400="REGALO")*(MOVIMIENTOS!$C$5:$C$400="P")*(MOVIMIENTOS!$D$5:$D$400="jabas")*(ROW(MOVIMIENTOS!$B$5:$B$400)&lt;=$L6)*MOVIMIENTOS!$E$5:$E$400)-SUMPRODUCT((MOVIMIENTOS!$B$5:$B$400="VENTA")*(MOVIMIENTOS!$C$5:$C$400="P")*(MOVIMIENTOS!$D$5:$D$400="jabas")*(ROW(MOVIMIENTOS!$B$5:$B$400)&lt;=$L6)*MOVIMIENTOS!$E$5:$E$400)+SUMPRODUCT((MOVIMIENTOS!$B$5:$B$400="AJUSTE")*(MOVIMIENTOS!$C$5:$C$400="P")*(MOVIMIENTOS!$D$5:$D$400="jabas")*(ROW(MOVIMIENTOS!$B$5:$B$400)&lt;=$L6)*MOVIMIENTOS!$E$5:$E$400))</f>
        <v>0</v>
      </c>
      <c r="D6" s="12">
        <f>IF($A6="","",SUMPRODUCT((MOVIMIENTOS!$B$5:$B$400="SALDO INICIAL")*(MOVIMIENTOS!$C$5:$C$400="C")*(MOVIMIENTOS!$D$5:$D$400="jabas")*(ROW(MOVIMIENTOS!$B$5:$B$400)&lt;=$L6)*MOVIMIENTOS!$E$5:$E$400)+SUMPRODUCT((MOVIMIENTOS!$B$5:$B$400="PROCESO")*(MOVIMIENTOS!$C$5:$C$400="C")*(MOVIMIENTOS!$D$5:$D$400="jabas")*(ROW(MOVIMIENTOS!$B$5:$B$400)&lt;=$L6)*MOVIMIENTOS!$E$5:$E$400)-SUMPRODUCT((MOVIMIENTOS!$B$5:$B$400="ENVÍO A SUPESA")*(MOVIMIENTOS!$C$5:$C$400="C")*(MOVIMIENTOS!$D$5:$D$400="jabas")*(ROW(MOVIMIENTOS!$B$5:$B$400)&lt;=$L6)*MOVIMIENTOS!$E$5:$E$400)+SUMPRODUCT((MOVIMIENTOS!$B$5:$B$400="DEVOLUCIÓN")*(MOVIMIENTOS!$C$5:$C$400="C")*(MOVIMIENTOS!$D$5:$D$400="jabas")*(ROW(MOVIMIENTOS!$B$5:$B$400)&lt;=$L6)*MOVIMIENTOS!$E$5:$E$400)-SUMPRODUCT((MOVIMIENTOS!$B$5:$B$400="TRASIEGO")*(MOVIMIENTOS!$C$5:$C$400="C")*(MOVIMIENTOS!$D$5:$D$400="jabas")*(ROW(MOVIMIENTOS!$B$5:$B$400)&lt;=$L6)*MOVIMIENTOS!$E$5:$E$400)-SUMPRODUCT((MOVIMIENTOS!$B$5:$B$400="REGALO")*(MOVIMIENTOS!$C$5:$C$400="C")*(MOVIMIENTOS!$D$5:$D$400="jabas")*(ROW(MOVIMIENTOS!$B$5:$B$400)&lt;=$L6)*MOVIMIENTOS!$E$5:$E$400)-SUMPRODUCT((MOVIMIENTOS!$B$5:$B$400="VENTA")*(MOVIMIENTOS!$C$5:$C$400="C")*(MOVIMIENTOS!$D$5:$D$400="jabas")*(ROW(MOVIMIENTOS!$B$5:$B$400)&lt;=$L6)*MOVIMIENTOS!$E$5:$E$400)+SUMPRODUCT((MOVIMIENTOS!$B$5:$B$400="AJUSTE")*(MOVIMIENTOS!$C$5:$C$400="C")*(MOVIMIENTOS!$D$5:$D$400="jabas")*(ROW(MOVIMIENTOS!$B$5:$B$400)&lt;=$L6)*MOVIMIENTOS!$E$5:$E$400))</f>
        <v>0</v>
      </c>
      <c r="E6" s="12">
        <f>IF($A6="","",SUMPRODUCT((MOVIMIENTOS!$B$5:$B$400="SALDO INICIAL")*(MOVIMIENTOS!$C$5:$C$400="M")*(MOVIMIENTOS!$D$5:$D$400="jabas")*(ROW(MOVIMIENTOS!$B$5:$B$400)&lt;=$L6)*MOVIMIENTOS!$E$5:$E$400)+SUMPRODUCT((MOVIMIENTOS!$B$5:$B$400="PROCESO")*(MOVIMIENTOS!$C$5:$C$400="M")*(MOVIMIENTOS!$D$5:$D$400="jabas")*(ROW(MOVIMIENTOS!$B$5:$B$400)&lt;=$L6)*MOVIMIENTOS!$E$5:$E$400)-SUMPRODUCT((MOVIMIENTOS!$B$5:$B$400="ENVÍO A SUPESA")*(MOVIMIENTOS!$C$5:$C$400="M")*(MOVIMIENTOS!$D$5:$D$400="jabas")*(ROW(MOVIMIENTOS!$B$5:$B$400)&lt;=$L6)*MOVIMIENTOS!$E$5:$E$400)+SUMPRODUCT((MOVIMIENTOS!$B$5:$B$400="DEVOLUCIÓN")*(MOVIMIENTOS!$C$5:$C$400="M")*(MOVIMIENTOS!$D$5:$D$400="jabas")*(ROW(MOVIMIENTOS!$B$5:$B$400)&lt;=$L6)*MOVIMIENTOS!$E$5:$E$400)-SUMPRODUCT((MOVIMIENTOS!$B$5:$B$400="TRASIEGO")*(MOVIMIENTOS!$C$5:$C$400="M")*(MOVIMIENTOS!$D$5:$D$400="jabas")*(ROW(MOVIMIENTOS!$B$5:$B$400)&lt;=$L6)*MOVIMIENTOS!$E$5:$E$400)-SUMPRODUCT((MOVIMIENTOS!$B$5:$B$400="REGALO")*(MOVIMIENTOS!$C$5:$C$400="M")*(MOVIMIENTOS!$D$5:$D$400="jabas")*(ROW(MOVIMIENTOS!$B$5:$B$400)&lt;=$L6)*MOVIMIENTOS!$E$5:$E$400)-SUMPRODUCT((MOVIMIENTOS!$B$5:$B$400="VENTA")*(MOVIMIENTOS!$C$5:$C$400="M")*(MOVIMIENTOS!$D$5:$D$400="jabas")*(ROW(MOVIMIENTOS!$B$5:$B$400)&lt;=$L6)*MOVIMIENTOS!$E$5:$E$400)+SUMPRODUCT((MOVIMIENTOS!$B$5:$B$400="AJUSTE")*(MOVIMIENTOS!$C$5:$C$400="M")*(MOVIMIENTOS!$D$5:$D$400="jabas")*(ROW(MOVIMIENTOS!$B$5:$B$400)&lt;=$L6)*MOVIMIENTOS!$E$5:$E$400))</f>
        <v>29</v>
      </c>
      <c r="F6" s="12">
        <f>IF($A6="","",SUMPRODUCT((MOVIMIENTOS!$B$5:$B$400="SALDO INICIAL")*(MOVIMIENTOS!$C$5:$C$400="Chancho")*(MOVIMIENTOS!$D$5:$D$400="sacos")*(ROW(MOVIMIENTOS!$B$5:$B$400)&lt;=$L6)*MOVIMIENTOS!$E$5:$E$400)+SUMPRODUCT((MOVIMIENTOS!$B$5:$B$400="PROCESO")*(MOVIMIENTOS!$C$5:$C$400="Chancho")*(MOVIMIENTOS!$D$5:$D$400="sacos")*(ROW(MOVIMIENTOS!$B$5:$B$400)&lt;=$L6)*MOVIMIENTOS!$E$5:$E$400)-SUMPRODUCT((MOVIMIENTOS!$B$5:$B$400="VENTA CHANCHO")*(MOVIMIENTOS!$C$5:$C$400="Chancho")*(MOVIMIENTOS!$D$5:$D$400="sacos")*(ROW(MOVIMIENTOS!$B$5:$B$400)&lt;=$L6)*MOVIMIENTOS!$E$5:$E$400)-SUMPRODUCT((MOVIMIENTOS!$B$5:$B$400="REGALO")*(MOVIMIENTOS!$C$5:$C$400="Chancho")*(MOVIMIENTOS!$D$5:$D$400="sacos")*(ROW(MOVIMIENTOS!$B$5:$B$400)&lt;=$L6)*MOVIMIENTOS!$E$5:$E$400)-SUMPRODUCT((MOVIMIENTOS!$B$5:$B$400="VENTA")*(MOVIMIENTOS!$C$5:$C$400="Chancho")*(MOVIMIENTOS!$D$5:$D$400="sacos")*(ROW(MOVIMIENTOS!$B$5:$B$400)&lt;=$L6)*MOVIMIENTOS!$E$5:$E$400)+SUMPRODUCT((MOVIMIENTOS!$B$5:$B$400="AJUSTE")*(MOVIMIENTOS!$C$5:$C$400="Chancho")*(MOVIMIENTOS!$D$5:$D$400="sacos")*(ROW(MOVIMIENTOS!$B$5:$B$400)&lt;=$L6)*MOVIMIENTOS!$E$5:$E$400))</f>
        <v>26</v>
      </c>
      <c r="G6" s="12">
        <f t="shared" si="1"/>
        <v>29</v>
      </c>
      <c r="H6" s="12">
        <f>IF($A6="","",SUMPRODUCT((((MOVIMIENTOS!$B$5:$B$400="SALDO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6)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6)*MOVIMIENTOS!$I$5:$I$400))</f>
        <v>398</v>
      </c>
      <c r="J6" t="str">
        <f>IF(AND(MOVIMIENTOS!$A6&lt;&gt;"",COUNTIF(MOVIMIENTOS!$A$5:$A5,MOVIMIENTOS!$A6)=0),COUNT(J$4:J5)+1,"")</f>
        <v/>
      </c>
      <c r="K6" s="10">
        <f>MOVIMIENTOS!$A6</f>
        <v>46214</v>
      </c>
      <c r="L6">
        <f>IF($A6="","",SUMPRODUCT(MAX((MOVIMIENTOS!$A$5:$A$400=$A6)*ROW(MOVIMIENTOS!$A$5:$A$400))))</f>
        <v>17</v>
      </c>
    </row>
    <row r="7" spans="1:12" x14ac:dyDescent="0.2">
      <c r="A7" s="11">
        <f t="shared" si="0"/>
        <v>46216</v>
      </c>
      <c r="B7" s="12">
        <f>IF($A7="","",SUMPRODUCT((MOVIMIENTOS!$B$5:$B$400="SALDO INICIAL")*(MOVIMIENTOS!$C$5:$C$400="A")*(MOVIMIENTOS!$D$5:$D$400="jabas")*(ROW(MOVIMIENTOS!$B$5:$B$400)&lt;=$L7)*MOVIMIENTOS!$E$5:$E$400)+SUMPRODUCT((MOVIMIENTOS!$B$5:$B$400="PROCESO")*(MOVIMIENTOS!$C$5:$C$400="A")*(MOVIMIENTOS!$D$5:$D$400="jabas")*(ROW(MOVIMIENTOS!$B$5:$B$400)&lt;=$L7)*MOVIMIENTOS!$E$5:$E$400)-SUMPRODUCT((MOVIMIENTOS!$B$5:$B$400="ENVÍO A SUPESA")*(MOVIMIENTOS!$C$5:$C$400="A")*(MOVIMIENTOS!$D$5:$D$400="jabas")*(ROW(MOVIMIENTOS!$B$5:$B$400)&lt;=$L7)*MOVIMIENTOS!$E$5:$E$400)+SUMPRODUCT((MOVIMIENTOS!$B$5:$B$400="DEVOLUCIÓN")*(MOVIMIENTOS!$C$5:$C$400="A")*(MOVIMIENTOS!$D$5:$D$400="jabas")*(ROW(MOVIMIENTOS!$B$5:$B$400)&lt;=$L7)*MOVIMIENTOS!$E$5:$E$400)-SUMPRODUCT((MOVIMIENTOS!$B$5:$B$400="TRASIEGO")*(MOVIMIENTOS!$C$5:$C$400="A")*(MOVIMIENTOS!$D$5:$D$400="jabas")*(ROW(MOVIMIENTOS!$B$5:$B$400)&lt;=$L7)*MOVIMIENTOS!$E$5:$E$400)-SUMPRODUCT((MOVIMIENTOS!$B$5:$B$400="REGALO")*(MOVIMIENTOS!$C$5:$C$400="A")*(MOVIMIENTOS!$D$5:$D$400="jabas")*(ROW(MOVIMIENTOS!$B$5:$B$400)&lt;=$L7)*MOVIMIENTOS!$E$5:$E$400)-SUMPRODUCT((MOVIMIENTOS!$B$5:$B$400="VENTA")*(MOVIMIENTOS!$C$5:$C$400="A")*(MOVIMIENTOS!$D$5:$D$400="jabas")*(ROW(MOVIMIENTOS!$B$5:$B$400)&lt;=$L7)*MOVIMIENTOS!$E$5:$E$400)+SUMPRODUCT((MOVIMIENTOS!$B$5:$B$400="AJUSTE")*(MOVIMIENTOS!$C$5:$C$400="A")*(MOVIMIENTOS!$D$5:$D$400="jabas")*(ROW(MOVIMIENTOS!$B$5:$B$400)&lt;=$L7)*MOVIMIENTOS!$E$5:$E$400))</f>
        <v>40</v>
      </c>
      <c r="C7" s="12">
        <f>IF($A7="","",SUMPRODUCT((MOVIMIENTOS!$B$5:$B$400="SALDO INICIAL")*(MOVIMIENTOS!$C$5:$C$400="P")*(MOVIMIENTOS!$D$5:$D$400="jabas")*(ROW(MOVIMIENTOS!$B$5:$B$400)&lt;=$L7)*MOVIMIENTOS!$E$5:$E$400)+SUMPRODUCT((MOVIMIENTOS!$B$5:$B$400="PROCESO")*(MOVIMIENTOS!$C$5:$C$400="P")*(MOVIMIENTOS!$D$5:$D$400="jabas")*(ROW(MOVIMIENTOS!$B$5:$B$400)&lt;=$L7)*MOVIMIENTOS!$E$5:$E$400)-SUMPRODUCT((MOVIMIENTOS!$B$5:$B$400="ENVÍO A SUPESA")*(MOVIMIENTOS!$C$5:$C$400="P")*(MOVIMIENTOS!$D$5:$D$400="jabas")*(ROW(MOVIMIENTOS!$B$5:$B$400)&lt;=$L7)*MOVIMIENTOS!$E$5:$E$400)+SUMPRODUCT((MOVIMIENTOS!$B$5:$B$400="DEVOLUCIÓN")*(MOVIMIENTOS!$C$5:$C$400="P")*(MOVIMIENTOS!$D$5:$D$400="jabas")*(ROW(MOVIMIENTOS!$B$5:$B$400)&lt;=$L7)*MOVIMIENTOS!$E$5:$E$400)-SUMPRODUCT((MOVIMIENTOS!$B$5:$B$400="TRASIEGO")*(MOVIMIENTOS!$C$5:$C$400="P")*(MOVIMIENTOS!$D$5:$D$400="jabas")*(ROW(MOVIMIENTOS!$B$5:$B$400)&lt;=$L7)*MOVIMIENTOS!$E$5:$E$400)-SUMPRODUCT((MOVIMIENTOS!$B$5:$B$400="REGALO")*(MOVIMIENTOS!$C$5:$C$400="P")*(MOVIMIENTOS!$D$5:$D$400="jabas")*(ROW(MOVIMIENTOS!$B$5:$B$400)&lt;=$L7)*MOVIMIENTOS!$E$5:$E$400)-SUMPRODUCT((MOVIMIENTOS!$B$5:$B$400="VENTA")*(MOVIMIENTOS!$C$5:$C$400="P")*(MOVIMIENTOS!$D$5:$D$400="jabas")*(ROW(MOVIMIENTOS!$B$5:$B$400)&lt;=$L7)*MOVIMIENTOS!$E$5:$E$400)+SUMPRODUCT((MOVIMIENTOS!$B$5:$B$400="AJUSTE")*(MOVIMIENTOS!$C$5:$C$400="P")*(MOVIMIENTOS!$D$5:$D$400="jabas")*(ROW(MOVIMIENTOS!$B$5:$B$400)&lt;=$L7)*MOVIMIENTOS!$E$5:$E$400))</f>
        <v>0</v>
      </c>
      <c r="D7" s="12">
        <f>IF($A7="","",SUMPRODUCT((MOVIMIENTOS!$B$5:$B$400="SALDO INICIAL")*(MOVIMIENTOS!$C$5:$C$400="C")*(MOVIMIENTOS!$D$5:$D$400="jabas")*(ROW(MOVIMIENTOS!$B$5:$B$400)&lt;=$L7)*MOVIMIENTOS!$E$5:$E$400)+SUMPRODUCT((MOVIMIENTOS!$B$5:$B$400="PROCESO")*(MOVIMIENTOS!$C$5:$C$400="C")*(MOVIMIENTOS!$D$5:$D$400="jabas")*(ROW(MOVIMIENTOS!$B$5:$B$400)&lt;=$L7)*MOVIMIENTOS!$E$5:$E$400)-SUMPRODUCT((MOVIMIENTOS!$B$5:$B$400="ENVÍO A SUPESA")*(MOVIMIENTOS!$C$5:$C$400="C")*(MOVIMIENTOS!$D$5:$D$400="jabas")*(ROW(MOVIMIENTOS!$B$5:$B$400)&lt;=$L7)*MOVIMIENTOS!$E$5:$E$400)+SUMPRODUCT((MOVIMIENTOS!$B$5:$B$400="DEVOLUCIÓN")*(MOVIMIENTOS!$C$5:$C$400="C")*(MOVIMIENTOS!$D$5:$D$400="jabas")*(ROW(MOVIMIENTOS!$B$5:$B$400)&lt;=$L7)*MOVIMIENTOS!$E$5:$E$400)-SUMPRODUCT((MOVIMIENTOS!$B$5:$B$400="TRASIEGO")*(MOVIMIENTOS!$C$5:$C$400="C")*(MOVIMIENTOS!$D$5:$D$400="jabas")*(ROW(MOVIMIENTOS!$B$5:$B$400)&lt;=$L7)*MOVIMIENTOS!$E$5:$E$400)-SUMPRODUCT((MOVIMIENTOS!$B$5:$B$400="REGALO")*(MOVIMIENTOS!$C$5:$C$400="C")*(MOVIMIENTOS!$D$5:$D$400="jabas")*(ROW(MOVIMIENTOS!$B$5:$B$400)&lt;=$L7)*MOVIMIENTOS!$E$5:$E$400)-SUMPRODUCT((MOVIMIENTOS!$B$5:$B$400="VENTA")*(MOVIMIENTOS!$C$5:$C$400="C")*(MOVIMIENTOS!$D$5:$D$400="jabas")*(ROW(MOVIMIENTOS!$B$5:$B$400)&lt;=$L7)*MOVIMIENTOS!$E$5:$E$400)+SUMPRODUCT((MOVIMIENTOS!$B$5:$B$400="AJUSTE")*(MOVIMIENTOS!$C$5:$C$400="C")*(MOVIMIENTOS!$D$5:$D$400="jabas")*(ROW(MOVIMIENTOS!$B$5:$B$400)&lt;=$L7)*MOVIMIENTOS!$E$5:$E$400))</f>
        <v>0</v>
      </c>
      <c r="E7" s="12">
        <f>IF($A7="","",SUMPRODUCT((MOVIMIENTOS!$B$5:$B$400="SALDO INICIAL")*(MOVIMIENTOS!$C$5:$C$400="M")*(MOVIMIENTOS!$D$5:$D$400="jabas")*(ROW(MOVIMIENTOS!$B$5:$B$400)&lt;=$L7)*MOVIMIENTOS!$E$5:$E$400)+SUMPRODUCT((MOVIMIENTOS!$B$5:$B$400="PROCESO")*(MOVIMIENTOS!$C$5:$C$400="M")*(MOVIMIENTOS!$D$5:$D$400="jabas")*(ROW(MOVIMIENTOS!$B$5:$B$400)&lt;=$L7)*MOVIMIENTOS!$E$5:$E$400)-SUMPRODUCT((MOVIMIENTOS!$B$5:$B$400="ENVÍO A SUPESA")*(MOVIMIENTOS!$C$5:$C$400="M")*(MOVIMIENTOS!$D$5:$D$400="jabas")*(ROW(MOVIMIENTOS!$B$5:$B$400)&lt;=$L7)*MOVIMIENTOS!$E$5:$E$400)+SUMPRODUCT((MOVIMIENTOS!$B$5:$B$400="DEVOLUCIÓN")*(MOVIMIENTOS!$C$5:$C$400="M")*(MOVIMIENTOS!$D$5:$D$400="jabas")*(ROW(MOVIMIENTOS!$B$5:$B$400)&lt;=$L7)*MOVIMIENTOS!$E$5:$E$400)-SUMPRODUCT((MOVIMIENTOS!$B$5:$B$400="TRASIEGO")*(MOVIMIENTOS!$C$5:$C$400="M")*(MOVIMIENTOS!$D$5:$D$400="jabas")*(ROW(MOVIMIENTOS!$B$5:$B$400)&lt;=$L7)*MOVIMIENTOS!$E$5:$E$400)-SUMPRODUCT((MOVIMIENTOS!$B$5:$B$400="REGALO")*(MOVIMIENTOS!$C$5:$C$400="M")*(MOVIMIENTOS!$D$5:$D$400="jabas")*(ROW(MOVIMIENTOS!$B$5:$B$400)&lt;=$L7)*MOVIMIENTOS!$E$5:$E$400)-SUMPRODUCT((MOVIMIENTOS!$B$5:$B$400="VENTA")*(MOVIMIENTOS!$C$5:$C$400="M")*(MOVIMIENTOS!$D$5:$D$400="jabas")*(ROW(MOVIMIENTOS!$B$5:$B$400)&lt;=$L7)*MOVIMIENTOS!$E$5:$E$400)+SUMPRODUCT((MOVIMIENTOS!$B$5:$B$400="AJUSTE")*(MOVIMIENTOS!$C$5:$C$400="M")*(MOVIMIENTOS!$D$5:$D$400="jabas")*(ROW(MOVIMIENTOS!$B$5:$B$400)&lt;=$L7)*MOVIMIENTOS!$E$5:$E$400))</f>
        <v>42</v>
      </c>
      <c r="F7" s="12">
        <f>IF($A7="","",SUMPRODUCT((MOVIMIENTOS!$B$5:$B$400="SALDO INICIAL")*(MOVIMIENTOS!$C$5:$C$400="Chancho")*(MOVIMIENTOS!$D$5:$D$400="sacos")*(ROW(MOVIMIENTOS!$B$5:$B$400)&lt;=$L7)*MOVIMIENTOS!$E$5:$E$400)+SUMPRODUCT((MOVIMIENTOS!$B$5:$B$400="PROCESO")*(MOVIMIENTOS!$C$5:$C$400="Chancho")*(MOVIMIENTOS!$D$5:$D$400="sacos")*(ROW(MOVIMIENTOS!$B$5:$B$400)&lt;=$L7)*MOVIMIENTOS!$E$5:$E$400)-SUMPRODUCT((MOVIMIENTOS!$B$5:$B$400="VENTA CHANCHO")*(MOVIMIENTOS!$C$5:$C$400="Chancho")*(MOVIMIENTOS!$D$5:$D$400="sacos")*(ROW(MOVIMIENTOS!$B$5:$B$400)&lt;=$L7)*MOVIMIENTOS!$E$5:$E$400)-SUMPRODUCT((MOVIMIENTOS!$B$5:$B$400="REGALO")*(MOVIMIENTOS!$C$5:$C$400="Chancho")*(MOVIMIENTOS!$D$5:$D$400="sacos")*(ROW(MOVIMIENTOS!$B$5:$B$400)&lt;=$L7)*MOVIMIENTOS!$E$5:$E$400)-SUMPRODUCT((MOVIMIENTOS!$B$5:$B$400="VENTA")*(MOVIMIENTOS!$C$5:$C$400="Chancho")*(MOVIMIENTOS!$D$5:$D$400="sacos")*(ROW(MOVIMIENTOS!$B$5:$B$400)&lt;=$L7)*MOVIMIENTOS!$E$5:$E$400)+SUMPRODUCT((MOVIMIENTOS!$B$5:$B$400="AJUSTE")*(MOVIMIENTOS!$C$5:$C$400="Chancho")*(MOVIMIENTOS!$D$5:$D$400="sacos")*(ROW(MOVIMIENTOS!$B$5:$B$400)&lt;=$L7)*MOVIMIENTOS!$E$5:$E$400))</f>
        <v>28</v>
      </c>
      <c r="G7" s="12">
        <f t="shared" si="1"/>
        <v>82</v>
      </c>
      <c r="H7" s="12">
        <f>IF($A7="","",SUMPRODUCT((((MOVIMIENTOS!$B$5:$B$400="SALDO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7)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7)*MOVIMIENTOS!$I$5:$I$400))</f>
        <v>952</v>
      </c>
      <c r="J7" t="str">
        <f>IF(AND(MOVIMIENTOS!$A7&lt;&gt;"",COUNTIF(MOVIMIENTOS!$A$5:$A6,MOVIMIENTOS!$A7)=0),COUNT(J$4:J6)+1,"")</f>
        <v/>
      </c>
      <c r="K7" s="10">
        <f>MOVIMIENTOS!$A7</f>
        <v>46214</v>
      </c>
      <c r="L7">
        <f>IF($A7="","",SUMPRODUCT(MAX((MOVIMIENTOS!$A$5:$A$400=$A7)*ROW(MOVIMIENTOS!$A$5:$A$400))))</f>
        <v>27</v>
      </c>
    </row>
    <row r="8" spans="1:12" x14ac:dyDescent="0.2">
      <c r="A8" s="11">
        <f t="shared" si="0"/>
        <v>46217</v>
      </c>
      <c r="B8" s="12">
        <f>IF($A8="","",SUMPRODUCT((MOVIMIENTOS!$B$5:$B$400="SALDO INICIAL")*(MOVIMIENTOS!$C$5:$C$400="A")*(MOVIMIENTOS!$D$5:$D$400="jabas")*(ROW(MOVIMIENTOS!$B$5:$B$400)&lt;=$L8)*MOVIMIENTOS!$E$5:$E$400)+SUMPRODUCT((MOVIMIENTOS!$B$5:$B$400="PROCESO")*(MOVIMIENTOS!$C$5:$C$400="A")*(MOVIMIENTOS!$D$5:$D$400="jabas")*(ROW(MOVIMIENTOS!$B$5:$B$400)&lt;=$L8)*MOVIMIENTOS!$E$5:$E$400)-SUMPRODUCT((MOVIMIENTOS!$B$5:$B$400="ENVÍO A SUPESA")*(MOVIMIENTOS!$C$5:$C$400="A")*(MOVIMIENTOS!$D$5:$D$400="jabas")*(ROW(MOVIMIENTOS!$B$5:$B$400)&lt;=$L8)*MOVIMIENTOS!$E$5:$E$400)+SUMPRODUCT((MOVIMIENTOS!$B$5:$B$400="DEVOLUCIÓN")*(MOVIMIENTOS!$C$5:$C$400="A")*(MOVIMIENTOS!$D$5:$D$400="jabas")*(ROW(MOVIMIENTOS!$B$5:$B$400)&lt;=$L8)*MOVIMIENTOS!$E$5:$E$400)-SUMPRODUCT((MOVIMIENTOS!$B$5:$B$400="TRASIEGO")*(MOVIMIENTOS!$C$5:$C$400="A")*(MOVIMIENTOS!$D$5:$D$400="jabas")*(ROW(MOVIMIENTOS!$B$5:$B$400)&lt;=$L8)*MOVIMIENTOS!$E$5:$E$400)-SUMPRODUCT((MOVIMIENTOS!$B$5:$B$400="REGALO")*(MOVIMIENTOS!$C$5:$C$400="A")*(MOVIMIENTOS!$D$5:$D$400="jabas")*(ROW(MOVIMIENTOS!$B$5:$B$400)&lt;=$L8)*MOVIMIENTOS!$E$5:$E$400)-SUMPRODUCT((MOVIMIENTOS!$B$5:$B$400="VENTA")*(MOVIMIENTOS!$C$5:$C$400="A")*(MOVIMIENTOS!$D$5:$D$400="jabas")*(ROW(MOVIMIENTOS!$B$5:$B$400)&lt;=$L8)*MOVIMIENTOS!$E$5:$E$400)+SUMPRODUCT((MOVIMIENTOS!$B$5:$B$400="AJUSTE")*(MOVIMIENTOS!$C$5:$C$400="A")*(MOVIMIENTOS!$D$5:$D$400="jabas")*(ROW(MOVIMIENTOS!$B$5:$B$400)&lt;=$L8)*MOVIMIENTOS!$E$5:$E$400))</f>
        <v>18</v>
      </c>
      <c r="C8" s="12">
        <f>IF($A8="","",SUMPRODUCT((MOVIMIENTOS!$B$5:$B$400="SALDO INICIAL")*(MOVIMIENTOS!$C$5:$C$400="P")*(MOVIMIENTOS!$D$5:$D$400="jabas")*(ROW(MOVIMIENTOS!$B$5:$B$400)&lt;=$L8)*MOVIMIENTOS!$E$5:$E$400)+SUMPRODUCT((MOVIMIENTOS!$B$5:$B$400="PROCESO")*(MOVIMIENTOS!$C$5:$C$400="P")*(MOVIMIENTOS!$D$5:$D$400="jabas")*(ROW(MOVIMIENTOS!$B$5:$B$400)&lt;=$L8)*MOVIMIENTOS!$E$5:$E$400)-SUMPRODUCT((MOVIMIENTOS!$B$5:$B$400="ENVÍO A SUPESA")*(MOVIMIENTOS!$C$5:$C$400="P")*(MOVIMIENTOS!$D$5:$D$400="jabas")*(ROW(MOVIMIENTOS!$B$5:$B$400)&lt;=$L8)*MOVIMIENTOS!$E$5:$E$400)+SUMPRODUCT((MOVIMIENTOS!$B$5:$B$400="DEVOLUCIÓN")*(MOVIMIENTOS!$C$5:$C$400="P")*(MOVIMIENTOS!$D$5:$D$400="jabas")*(ROW(MOVIMIENTOS!$B$5:$B$400)&lt;=$L8)*MOVIMIENTOS!$E$5:$E$400)-SUMPRODUCT((MOVIMIENTOS!$B$5:$B$400="TRASIEGO")*(MOVIMIENTOS!$C$5:$C$400="P")*(MOVIMIENTOS!$D$5:$D$400="jabas")*(ROW(MOVIMIENTOS!$B$5:$B$400)&lt;=$L8)*MOVIMIENTOS!$E$5:$E$400)-SUMPRODUCT((MOVIMIENTOS!$B$5:$B$400="REGALO")*(MOVIMIENTOS!$C$5:$C$400="P")*(MOVIMIENTOS!$D$5:$D$400="jabas")*(ROW(MOVIMIENTOS!$B$5:$B$400)&lt;=$L8)*MOVIMIENTOS!$E$5:$E$400)-SUMPRODUCT((MOVIMIENTOS!$B$5:$B$400="VENTA")*(MOVIMIENTOS!$C$5:$C$400="P")*(MOVIMIENTOS!$D$5:$D$400="jabas")*(ROW(MOVIMIENTOS!$B$5:$B$400)&lt;=$L8)*MOVIMIENTOS!$E$5:$E$400)+SUMPRODUCT((MOVIMIENTOS!$B$5:$B$400="AJUSTE")*(MOVIMIENTOS!$C$5:$C$400="P")*(MOVIMIENTOS!$D$5:$D$400="jabas")*(ROW(MOVIMIENTOS!$B$5:$B$400)&lt;=$L8)*MOVIMIENTOS!$E$5:$E$400))</f>
        <v>0</v>
      </c>
      <c r="D8" s="12">
        <f>IF($A8="","",SUMPRODUCT((MOVIMIENTOS!$B$5:$B$400="SALDO INICIAL")*(MOVIMIENTOS!$C$5:$C$400="C")*(MOVIMIENTOS!$D$5:$D$400="jabas")*(ROW(MOVIMIENTOS!$B$5:$B$400)&lt;=$L8)*MOVIMIENTOS!$E$5:$E$400)+SUMPRODUCT((MOVIMIENTOS!$B$5:$B$400="PROCESO")*(MOVIMIENTOS!$C$5:$C$400="C")*(MOVIMIENTOS!$D$5:$D$400="jabas")*(ROW(MOVIMIENTOS!$B$5:$B$400)&lt;=$L8)*MOVIMIENTOS!$E$5:$E$400)-SUMPRODUCT((MOVIMIENTOS!$B$5:$B$400="ENVÍO A SUPESA")*(MOVIMIENTOS!$C$5:$C$400="C")*(MOVIMIENTOS!$D$5:$D$400="jabas")*(ROW(MOVIMIENTOS!$B$5:$B$400)&lt;=$L8)*MOVIMIENTOS!$E$5:$E$400)+SUMPRODUCT((MOVIMIENTOS!$B$5:$B$400="DEVOLUCIÓN")*(MOVIMIENTOS!$C$5:$C$400="C")*(MOVIMIENTOS!$D$5:$D$400="jabas")*(ROW(MOVIMIENTOS!$B$5:$B$400)&lt;=$L8)*MOVIMIENTOS!$E$5:$E$400)-SUMPRODUCT((MOVIMIENTOS!$B$5:$B$400="TRASIEGO")*(MOVIMIENTOS!$C$5:$C$400="C")*(MOVIMIENTOS!$D$5:$D$400="jabas")*(ROW(MOVIMIENTOS!$B$5:$B$400)&lt;=$L8)*MOVIMIENTOS!$E$5:$E$400)-SUMPRODUCT((MOVIMIENTOS!$B$5:$B$400="REGALO")*(MOVIMIENTOS!$C$5:$C$400="C")*(MOVIMIENTOS!$D$5:$D$400="jabas")*(ROW(MOVIMIENTOS!$B$5:$B$400)&lt;=$L8)*MOVIMIENTOS!$E$5:$E$400)-SUMPRODUCT((MOVIMIENTOS!$B$5:$B$400="VENTA")*(MOVIMIENTOS!$C$5:$C$400="C")*(MOVIMIENTOS!$D$5:$D$400="jabas")*(ROW(MOVIMIENTOS!$B$5:$B$400)&lt;=$L8)*MOVIMIENTOS!$E$5:$E$400)+SUMPRODUCT((MOVIMIENTOS!$B$5:$B$400="AJUSTE")*(MOVIMIENTOS!$C$5:$C$400="C")*(MOVIMIENTOS!$D$5:$D$400="jabas")*(ROW(MOVIMIENTOS!$B$5:$B$400)&lt;=$L8)*MOVIMIENTOS!$E$5:$E$400))</f>
        <v>0</v>
      </c>
      <c r="E8" s="12">
        <f>IF($A8="","",SUMPRODUCT((MOVIMIENTOS!$B$5:$B$400="SALDO INICIAL")*(MOVIMIENTOS!$C$5:$C$400="M")*(MOVIMIENTOS!$D$5:$D$400="jabas")*(ROW(MOVIMIENTOS!$B$5:$B$400)&lt;=$L8)*MOVIMIENTOS!$E$5:$E$400)+SUMPRODUCT((MOVIMIENTOS!$B$5:$B$400="PROCESO")*(MOVIMIENTOS!$C$5:$C$400="M")*(MOVIMIENTOS!$D$5:$D$400="jabas")*(ROW(MOVIMIENTOS!$B$5:$B$400)&lt;=$L8)*MOVIMIENTOS!$E$5:$E$400)-SUMPRODUCT((MOVIMIENTOS!$B$5:$B$400="ENVÍO A SUPESA")*(MOVIMIENTOS!$C$5:$C$400="M")*(MOVIMIENTOS!$D$5:$D$400="jabas")*(ROW(MOVIMIENTOS!$B$5:$B$400)&lt;=$L8)*MOVIMIENTOS!$E$5:$E$400)+SUMPRODUCT((MOVIMIENTOS!$B$5:$B$400="DEVOLUCIÓN")*(MOVIMIENTOS!$C$5:$C$400="M")*(MOVIMIENTOS!$D$5:$D$400="jabas")*(ROW(MOVIMIENTOS!$B$5:$B$400)&lt;=$L8)*MOVIMIENTOS!$E$5:$E$400)-SUMPRODUCT((MOVIMIENTOS!$B$5:$B$400="TRASIEGO")*(MOVIMIENTOS!$C$5:$C$400="M")*(MOVIMIENTOS!$D$5:$D$400="jabas")*(ROW(MOVIMIENTOS!$B$5:$B$400)&lt;=$L8)*MOVIMIENTOS!$E$5:$E$400)-SUMPRODUCT((MOVIMIENTOS!$B$5:$B$400="REGALO")*(MOVIMIENTOS!$C$5:$C$400="M")*(MOVIMIENTOS!$D$5:$D$400="jabas")*(ROW(MOVIMIENTOS!$B$5:$B$400)&lt;=$L8)*MOVIMIENTOS!$E$5:$E$400)-SUMPRODUCT((MOVIMIENTOS!$B$5:$B$400="VENTA")*(MOVIMIENTOS!$C$5:$C$400="M")*(MOVIMIENTOS!$D$5:$D$400="jabas")*(ROW(MOVIMIENTOS!$B$5:$B$400)&lt;=$L8)*MOVIMIENTOS!$E$5:$E$400)+SUMPRODUCT((MOVIMIENTOS!$B$5:$B$400="AJUSTE")*(MOVIMIENTOS!$C$5:$C$400="M")*(MOVIMIENTOS!$D$5:$D$400="jabas")*(ROW(MOVIMIENTOS!$B$5:$B$400)&lt;=$L8)*MOVIMIENTOS!$E$5:$E$400))</f>
        <v>47</v>
      </c>
      <c r="F8" s="12">
        <f>IF($A8="","",SUMPRODUCT((MOVIMIENTOS!$B$5:$B$400="SALDO INICIAL")*(MOVIMIENTOS!$C$5:$C$400="Chancho")*(MOVIMIENTOS!$D$5:$D$400="sacos")*(ROW(MOVIMIENTOS!$B$5:$B$400)&lt;=$L8)*MOVIMIENTOS!$E$5:$E$400)+SUMPRODUCT((MOVIMIENTOS!$B$5:$B$400="PROCESO")*(MOVIMIENTOS!$C$5:$C$400="Chancho")*(MOVIMIENTOS!$D$5:$D$400="sacos")*(ROW(MOVIMIENTOS!$B$5:$B$400)&lt;=$L8)*MOVIMIENTOS!$E$5:$E$400)-SUMPRODUCT((MOVIMIENTOS!$B$5:$B$400="VENTA CHANCHO")*(MOVIMIENTOS!$C$5:$C$400="Chancho")*(MOVIMIENTOS!$D$5:$D$400="sacos")*(ROW(MOVIMIENTOS!$B$5:$B$400)&lt;=$L8)*MOVIMIENTOS!$E$5:$E$400)-SUMPRODUCT((MOVIMIENTOS!$B$5:$B$400="REGALO")*(MOVIMIENTOS!$C$5:$C$400="Chancho")*(MOVIMIENTOS!$D$5:$D$400="sacos")*(ROW(MOVIMIENTOS!$B$5:$B$400)&lt;=$L8)*MOVIMIENTOS!$E$5:$E$400)-SUMPRODUCT((MOVIMIENTOS!$B$5:$B$400="VENTA")*(MOVIMIENTOS!$C$5:$C$400="Chancho")*(MOVIMIENTOS!$D$5:$D$400="sacos")*(ROW(MOVIMIENTOS!$B$5:$B$400)&lt;=$L8)*MOVIMIENTOS!$E$5:$E$400)+SUMPRODUCT((MOVIMIENTOS!$B$5:$B$400="AJUSTE")*(MOVIMIENTOS!$C$5:$C$400="Chancho")*(MOVIMIENTOS!$D$5:$D$400="sacos")*(ROW(MOVIMIENTOS!$B$5:$B$400)&lt;=$L8)*MOVIMIENTOS!$E$5:$E$400))</f>
        <v>35</v>
      </c>
      <c r="G8" s="12">
        <f t="shared" si="1"/>
        <v>65</v>
      </c>
      <c r="H8" s="12">
        <f>IF($A8="","",SUMPRODUCT((((MOVIMIENTOS!$B$5:$B$400="SALDO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8)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8)*MOVIMIENTOS!$I$5:$I$400))</f>
        <v>708</v>
      </c>
      <c r="J8">
        <f>IF(AND(MOVIMIENTOS!$A8&lt;&gt;"",COUNTIF(MOVIMIENTOS!$A$5:$A7,MOVIMIENTOS!$A8)=0),COUNT(J$4:J7)+1,"")</f>
        <v>2</v>
      </c>
      <c r="K8" s="10">
        <f>MOVIMIENTOS!$A8</f>
        <v>46215</v>
      </c>
      <c r="L8">
        <f>IF($A8="","",SUMPRODUCT(MAX((MOVIMIENTOS!$A$5:$A$400=$A8)*ROW(MOVIMIENTOS!$A$5:$A$400))))</f>
        <v>37</v>
      </c>
    </row>
    <row r="9" spans="1:12" x14ac:dyDescent="0.2">
      <c r="A9" s="11">
        <f t="shared" si="0"/>
        <v>46218</v>
      </c>
      <c r="B9" s="12">
        <f>IF($A9="","",SUMPRODUCT((MOVIMIENTOS!$B$5:$B$400="SALDO INICIAL")*(MOVIMIENTOS!$C$5:$C$400="A")*(MOVIMIENTOS!$D$5:$D$400="jabas")*(ROW(MOVIMIENTOS!$B$5:$B$400)&lt;=$L9)*MOVIMIENTOS!$E$5:$E$400)+SUMPRODUCT((MOVIMIENTOS!$B$5:$B$400="PROCESO")*(MOVIMIENTOS!$C$5:$C$400="A")*(MOVIMIENTOS!$D$5:$D$400="jabas")*(ROW(MOVIMIENTOS!$B$5:$B$400)&lt;=$L9)*MOVIMIENTOS!$E$5:$E$400)-SUMPRODUCT((MOVIMIENTOS!$B$5:$B$400="ENVÍO A SUPESA")*(MOVIMIENTOS!$C$5:$C$400="A")*(MOVIMIENTOS!$D$5:$D$400="jabas")*(ROW(MOVIMIENTOS!$B$5:$B$400)&lt;=$L9)*MOVIMIENTOS!$E$5:$E$400)+SUMPRODUCT((MOVIMIENTOS!$B$5:$B$400="DEVOLUCIÓN")*(MOVIMIENTOS!$C$5:$C$400="A")*(MOVIMIENTOS!$D$5:$D$400="jabas")*(ROW(MOVIMIENTOS!$B$5:$B$400)&lt;=$L9)*MOVIMIENTOS!$E$5:$E$400)-SUMPRODUCT((MOVIMIENTOS!$B$5:$B$400="TRASIEGO")*(MOVIMIENTOS!$C$5:$C$400="A")*(MOVIMIENTOS!$D$5:$D$400="jabas")*(ROW(MOVIMIENTOS!$B$5:$B$400)&lt;=$L9)*MOVIMIENTOS!$E$5:$E$400)-SUMPRODUCT((MOVIMIENTOS!$B$5:$B$400="REGALO")*(MOVIMIENTOS!$C$5:$C$400="A")*(MOVIMIENTOS!$D$5:$D$400="jabas")*(ROW(MOVIMIENTOS!$B$5:$B$400)&lt;=$L9)*MOVIMIENTOS!$E$5:$E$400)-SUMPRODUCT((MOVIMIENTOS!$B$5:$B$400="VENTA")*(MOVIMIENTOS!$C$5:$C$400="A")*(MOVIMIENTOS!$D$5:$D$400="jabas")*(ROW(MOVIMIENTOS!$B$5:$B$400)&lt;=$L9)*MOVIMIENTOS!$E$5:$E$400)+SUMPRODUCT((MOVIMIENTOS!$B$5:$B$400="AJUSTE")*(MOVIMIENTOS!$C$5:$C$400="A")*(MOVIMIENTOS!$D$5:$D$400="jabas")*(ROW(MOVIMIENTOS!$B$5:$B$400)&lt;=$L9)*MOVIMIENTOS!$E$5:$E$400))</f>
        <v>30</v>
      </c>
      <c r="C9" s="12">
        <f>IF($A9="","",SUMPRODUCT((MOVIMIENTOS!$B$5:$B$400="SALDO INICIAL")*(MOVIMIENTOS!$C$5:$C$400="P")*(MOVIMIENTOS!$D$5:$D$400="jabas")*(ROW(MOVIMIENTOS!$B$5:$B$400)&lt;=$L9)*MOVIMIENTOS!$E$5:$E$400)+SUMPRODUCT((MOVIMIENTOS!$B$5:$B$400="PROCESO")*(MOVIMIENTOS!$C$5:$C$400="P")*(MOVIMIENTOS!$D$5:$D$400="jabas")*(ROW(MOVIMIENTOS!$B$5:$B$400)&lt;=$L9)*MOVIMIENTOS!$E$5:$E$400)-SUMPRODUCT((MOVIMIENTOS!$B$5:$B$400="ENVÍO A SUPESA")*(MOVIMIENTOS!$C$5:$C$400="P")*(MOVIMIENTOS!$D$5:$D$400="jabas")*(ROW(MOVIMIENTOS!$B$5:$B$400)&lt;=$L9)*MOVIMIENTOS!$E$5:$E$400)+SUMPRODUCT((MOVIMIENTOS!$B$5:$B$400="DEVOLUCIÓN")*(MOVIMIENTOS!$C$5:$C$400="P")*(MOVIMIENTOS!$D$5:$D$400="jabas")*(ROW(MOVIMIENTOS!$B$5:$B$400)&lt;=$L9)*MOVIMIENTOS!$E$5:$E$400)-SUMPRODUCT((MOVIMIENTOS!$B$5:$B$400="TRASIEGO")*(MOVIMIENTOS!$C$5:$C$400="P")*(MOVIMIENTOS!$D$5:$D$400="jabas")*(ROW(MOVIMIENTOS!$B$5:$B$400)&lt;=$L9)*MOVIMIENTOS!$E$5:$E$400)-SUMPRODUCT((MOVIMIENTOS!$B$5:$B$400="REGALO")*(MOVIMIENTOS!$C$5:$C$400="P")*(MOVIMIENTOS!$D$5:$D$400="jabas")*(ROW(MOVIMIENTOS!$B$5:$B$400)&lt;=$L9)*MOVIMIENTOS!$E$5:$E$400)-SUMPRODUCT((MOVIMIENTOS!$B$5:$B$400="VENTA")*(MOVIMIENTOS!$C$5:$C$400="P")*(MOVIMIENTOS!$D$5:$D$400="jabas")*(ROW(MOVIMIENTOS!$B$5:$B$400)&lt;=$L9)*MOVIMIENTOS!$E$5:$E$400)+SUMPRODUCT((MOVIMIENTOS!$B$5:$B$400="AJUSTE")*(MOVIMIENTOS!$C$5:$C$400="P")*(MOVIMIENTOS!$D$5:$D$400="jabas")*(ROW(MOVIMIENTOS!$B$5:$B$400)&lt;=$L9)*MOVIMIENTOS!$E$5:$E$400))</f>
        <v>11</v>
      </c>
      <c r="D9" s="12">
        <f>IF($A9="","",SUMPRODUCT((MOVIMIENTOS!$B$5:$B$400="SALDO INICIAL")*(MOVIMIENTOS!$C$5:$C$400="C")*(MOVIMIENTOS!$D$5:$D$400="jabas")*(ROW(MOVIMIENTOS!$B$5:$B$400)&lt;=$L9)*MOVIMIENTOS!$E$5:$E$400)+SUMPRODUCT((MOVIMIENTOS!$B$5:$B$400="PROCESO")*(MOVIMIENTOS!$C$5:$C$400="C")*(MOVIMIENTOS!$D$5:$D$400="jabas")*(ROW(MOVIMIENTOS!$B$5:$B$400)&lt;=$L9)*MOVIMIENTOS!$E$5:$E$400)-SUMPRODUCT((MOVIMIENTOS!$B$5:$B$400="ENVÍO A SUPESA")*(MOVIMIENTOS!$C$5:$C$400="C")*(MOVIMIENTOS!$D$5:$D$400="jabas")*(ROW(MOVIMIENTOS!$B$5:$B$400)&lt;=$L9)*MOVIMIENTOS!$E$5:$E$400)+SUMPRODUCT((MOVIMIENTOS!$B$5:$B$400="DEVOLUCIÓN")*(MOVIMIENTOS!$C$5:$C$400="C")*(MOVIMIENTOS!$D$5:$D$400="jabas")*(ROW(MOVIMIENTOS!$B$5:$B$400)&lt;=$L9)*MOVIMIENTOS!$E$5:$E$400)-SUMPRODUCT((MOVIMIENTOS!$B$5:$B$400="TRASIEGO")*(MOVIMIENTOS!$C$5:$C$400="C")*(MOVIMIENTOS!$D$5:$D$400="jabas")*(ROW(MOVIMIENTOS!$B$5:$B$400)&lt;=$L9)*MOVIMIENTOS!$E$5:$E$400)-SUMPRODUCT((MOVIMIENTOS!$B$5:$B$400="REGALO")*(MOVIMIENTOS!$C$5:$C$400="C")*(MOVIMIENTOS!$D$5:$D$400="jabas")*(ROW(MOVIMIENTOS!$B$5:$B$400)&lt;=$L9)*MOVIMIENTOS!$E$5:$E$400)-SUMPRODUCT((MOVIMIENTOS!$B$5:$B$400="VENTA")*(MOVIMIENTOS!$C$5:$C$400="C")*(MOVIMIENTOS!$D$5:$D$400="jabas")*(ROW(MOVIMIENTOS!$B$5:$B$400)&lt;=$L9)*MOVIMIENTOS!$E$5:$E$400)+SUMPRODUCT((MOVIMIENTOS!$B$5:$B$400="AJUSTE")*(MOVIMIENTOS!$C$5:$C$400="C")*(MOVIMIENTOS!$D$5:$D$400="jabas")*(ROW(MOVIMIENTOS!$B$5:$B$400)&lt;=$L9)*MOVIMIENTOS!$E$5:$E$400))</f>
        <v>12</v>
      </c>
      <c r="E9" s="12">
        <f>IF($A9="","",SUMPRODUCT((MOVIMIENTOS!$B$5:$B$400="SALDO INICIAL")*(MOVIMIENTOS!$C$5:$C$400="M")*(MOVIMIENTOS!$D$5:$D$400="jabas")*(ROW(MOVIMIENTOS!$B$5:$B$400)&lt;=$L9)*MOVIMIENTOS!$E$5:$E$400)+SUMPRODUCT((MOVIMIENTOS!$B$5:$B$400="PROCESO")*(MOVIMIENTOS!$C$5:$C$400="M")*(MOVIMIENTOS!$D$5:$D$400="jabas")*(ROW(MOVIMIENTOS!$B$5:$B$400)&lt;=$L9)*MOVIMIENTOS!$E$5:$E$400)-SUMPRODUCT((MOVIMIENTOS!$B$5:$B$400="ENVÍO A SUPESA")*(MOVIMIENTOS!$C$5:$C$400="M")*(MOVIMIENTOS!$D$5:$D$400="jabas")*(ROW(MOVIMIENTOS!$B$5:$B$400)&lt;=$L9)*MOVIMIENTOS!$E$5:$E$400)+SUMPRODUCT((MOVIMIENTOS!$B$5:$B$400="DEVOLUCIÓN")*(MOVIMIENTOS!$C$5:$C$400="M")*(MOVIMIENTOS!$D$5:$D$400="jabas")*(ROW(MOVIMIENTOS!$B$5:$B$400)&lt;=$L9)*MOVIMIENTOS!$E$5:$E$400)-SUMPRODUCT((MOVIMIENTOS!$B$5:$B$400="TRASIEGO")*(MOVIMIENTOS!$C$5:$C$400="M")*(MOVIMIENTOS!$D$5:$D$400="jabas")*(ROW(MOVIMIENTOS!$B$5:$B$400)&lt;=$L9)*MOVIMIENTOS!$E$5:$E$400)-SUMPRODUCT((MOVIMIENTOS!$B$5:$B$400="REGALO")*(MOVIMIENTOS!$C$5:$C$400="M")*(MOVIMIENTOS!$D$5:$D$400="jabas")*(ROW(MOVIMIENTOS!$B$5:$B$400)&lt;=$L9)*MOVIMIENTOS!$E$5:$E$400)-SUMPRODUCT((MOVIMIENTOS!$B$5:$B$400="VENTA")*(MOVIMIENTOS!$C$5:$C$400="M")*(MOVIMIENTOS!$D$5:$D$400="jabas")*(ROW(MOVIMIENTOS!$B$5:$B$400)&lt;=$L9)*MOVIMIENTOS!$E$5:$E$400)+SUMPRODUCT((MOVIMIENTOS!$B$5:$B$400="AJUSTE")*(MOVIMIENTOS!$C$5:$C$400="M")*(MOVIMIENTOS!$D$5:$D$400="jabas")*(ROW(MOVIMIENTOS!$B$5:$B$400)&lt;=$L9)*MOVIMIENTOS!$E$5:$E$400))</f>
        <v>35</v>
      </c>
      <c r="F9" s="12">
        <f>IF($A9="","",SUMPRODUCT((MOVIMIENTOS!$B$5:$B$400="SALDO INICIAL")*(MOVIMIENTOS!$C$5:$C$400="Chancho")*(MOVIMIENTOS!$D$5:$D$400="sacos")*(ROW(MOVIMIENTOS!$B$5:$B$400)&lt;=$L9)*MOVIMIENTOS!$E$5:$E$400)+SUMPRODUCT((MOVIMIENTOS!$B$5:$B$400="PROCESO")*(MOVIMIENTOS!$C$5:$C$400="Chancho")*(MOVIMIENTOS!$D$5:$D$400="sacos")*(ROW(MOVIMIENTOS!$B$5:$B$400)&lt;=$L9)*MOVIMIENTOS!$E$5:$E$400)-SUMPRODUCT((MOVIMIENTOS!$B$5:$B$400="VENTA CHANCHO")*(MOVIMIENTOS!$C$5:$C$400="Chancho")*(MOVIMIENTOS!$D$5:$D$400="sacos")*(ROW(MOVIMIENTOS!$B$5:$B$400)&lt;=$L9)*MOVIMIENTOS!$E$5:$E$400)-SUMPRODUCT((MOVIMIENTOS!$B$5:$B$400="REGALO")*(MOVIMIENTOS!$C$5:$C$400="Chancho")*(MOVIMIENTOS!$D$5:$D$400="sacos")*(ROW(MOVIMIENTOS!$B$5:$B$400)&lt;=$L9)*MOVIMIENTOS!$E$5:$E$400)-SUMPRODUCT((MOVIMIENTOS!$B$5:$B$400="VENTA")*(MOVIMIENTOS!$C$5:$C$400="Chancho")*(MOVIMIENTOS!$D$5:$D$400="sacos")*(ROW(MOVIMIENTOS!$B$5:$B$400)&lt;=$L9)*MOVIMIENTOS!$E$5:$E$400)+SUMPRODUCT((MOVIMIENTOS!$B$5:$B$400="AJUSTE")*(MOVIMIENTOS!$C$5:$C$400="Chancho")*(MOVIMIENTOS!$D$5:$D$400="sacos")*(ROW(MOVIMIENTOS!$B$5:$B$400)&lt;=$L9)*MOVIMIENTOS!$E$5:$E$400))</f>
        <v>5</v>
      </c>
      <c r="G9" s="12">
        <f t="shared" si="1"/>
        <v>88</v>
      </c>
      <c r="H9" s="12">
        <f>IF($A9="","",SUMPRODUCT((((MOVIMIENTOS!$B$5:$B$400="SALDO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9)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9)*MOVIMIENTOS!$I$5:$I$400))</f>
        <v>1062</v>
      </c>
      <c r="J9" t="str">
        <f>IF(AND(MOVIMIENTOS!$A9&lt;&gt;"",COUNTIF(MOVIMIENTOS!$A$5:$A8,MOVIMIENTOS!$A9)=0),COUNT(J$4:J8)+1,"")</f>
        <v/>
      </c>
      <c r="K9" s="10">
        <f>MOVIMIENTOS!$A9</f>
        <v>46215</v>
      </c>
      <c r="L9">
        <f>IF($A9="","",SUMPRODUCT(MAX((MOVIMIENTOS!$A$5:$A$400=$A9)*ROW(MOVIMIENTOS!$A$5:$A$400))))</f>
        <v>48</v>
      </c>
    </row>
    <row r="10" spans="1:12" x14ac:dyDescent="0.2">
      <c r="A10" s="11">
        <f t="shared" si="0"/>
        <v>46219</v>
      </c>
      <c r="B10" s="12">
        <f>IF($A10="","",SUMPRODUCT((MOVIMIENTOS!$B$5:$B$400="SALDO INICIAL")*(MOVIMIENTOS!$C$5:$C$400="A")*(MOVIMIENTOS!$D$5:$D$400="jabas")*(ROW(MOVIMIENTOS!$B$5:$B$400)&lt;=$L10)*MOVIMIENTOS!$E$5:$E$400)+SUMPRODUCT((MOVIMIENTOS!$B$5:$B$400="PROCESO")*(MOVIMIENTOS!$C$5:$C$400="A")*(MOVIMIENTOS!$D$5:$D$400="jabas")*(ROW(MOVIMIENTOS!$B$5:$B$400)&lt;=$L10)*MOVIMIENTOS!$E$5:$E$400)-SUMPRODUCT((MOVIMIENTOS!$B$5:$B$400="ENVÍO A SUPESA")*(MOVIMIENTOS!$C$5:$C$400="A")*(MOVIMIENTOS!$D$5:$D$400="jabas")*(ROW(MOVIMIENTOS!$B$5:$B$400)&lt;=$L10)*MOVIMIENTOS!$E$5:$E$400)+SUMPRODUCT((MOVIMIENTOS!$B$5:$B$400="DEVOLUCIÓN")*(MOVIMIENTOS!$C$5:$C$400="A")*(MOVIMIENTOS!$D$5:$D$400="jabas")*(ROW(MOVIMIENTOS!$B$5:$B$400)&lt;=$L10)*MOVIMIENTOS!$E$5:$E$400)-SUMPRODUCT((MOVIMIENTOS!$B$5:$B$400="TRASIEGO")*(MOVIMIENTOS!$C$5:$C$400="A")*(MOVIMIENTOS!$D$5:$D$400="jabas")*(ROW(MOVIMIENTOS!$B$5:$B$400)&lt;=$L10)*MOVIMIENTOS!$E$5:$E$400)-SUMPRODUCT((MOVIMIENTOS!$B$5:$B$400="REGALO")*(MOVIMIENTOS!$C$5:$C$400="A")*(MOVIMIENTOS!$D$5:$D$400="jabas")*(ROW(MOVIMIENTOS!$B$5:$B$400)&lt;=$L10)*MOVIMIENTOS!$E$5:$E$400)-SUMPRODUCT((MOVIMIENTOS!$B$5:$B$400="VENTA")*(MOVIMIENTOS!$C$5:$C$400="A")*(MOVIMIENTOS!$D$5:$D$400="jabas")*(ROW(MOVIMIENTOS!$B$5:$B$400)&lt;=$L10)*MOVIMIENTOS!$E$5:$E$400)+SUMPRODUCT((MOVIMIENTOS!$B$5:$B$400="AJUSTE")*(MOVIMIENTOS!$C$5:$C$400="A")*(MOVIMIENTOS!$D$5:$D$400="jabas")*(ROW(MOVIMIENTOS!$B$5:$B$400)&lt;=$L10)*MOVIMIENTOS!$E$5:$E$400))</f>
        <v>35</v>
      </c>
      <c r="C10" s="12">
        <f>IF($A10="","",SUMPRODUCT((MOVIMIENTOS!$B$5:$B$400="SALDO INICIAL")*(MOVIMIENTOS!$C$5:$C$400="P")*(MOVIMIENTOS!$D$5:$D$400="jabas")*(ROW(MOVIMIENTOS!$B$5:$B$400)&lt;=$L10)*MOVIMIENTOS!$E$5:$E$400)+SUMPRODUCT((MOVIMIENTOS!$B$5:$B$400="PROCESO")*(MOVIMIENTOS!$C$5:$C$400="P")*(MOVIMIENTOS!$D$5:$D$400="jabas")*(ROW(MOVIMIENTOS!$B$5:$B$400)&lt;=$L10)*MOVIMIENTOS!$E$5:$E$400)-SUMPRODUCT((MOVIMIENTOS!$B$5:$B$400="ENVÍO A SUPESA")*(MOVIMIENTOS!$C$5:$C$400="P")*(MOVIMIENTOS!$D$5:$D$400="jabas")*(ROW(MOVIMIENTOS!$B$5:$B$400)&lt;=$L10)*MOVIMIENTOS!$E$5:$E$400)+SUMPRODUCT((MOVIMIENTOS!$B$5:$B$400="DEVOLUCIÓN")*(MOVIMIENTOS!$C$5:$C$400="P")*(MOVIMIENTOS!$D$5:$D$400="jabas")*(ROW(MOVIMIENTOS!$B$5:$B$400)&lt;=$L10)*MOVIMIENTOS!$E$5:$E$400)-SUMPRODUCT((MOVIMIENTOS!$B$5:$B$400="TRASIEGO")*(MOVIMIENTOS!$C$5:$C$400="P")*(MOVIMIENTOS!$D$5:$D$400="jabas")*(ROW(MOVIMIENTOS!$B$5:$B$400)&lt;=$L10)*MOVIMIENTOS!$E$5:$E$400)-SUMPRODUCT((MOVIMIENTOS!$B$5:$B$400="REGALO")*(MOVIMIENTOS!$C$5:$C$400="P")*(MOVIMIENTOS!$D$5:$D$400="jabas")*(ROW(MOVIMIENTOS!$B$5:$B$400)&lt;=$L10)*MOVIMIENTOS!$E$5:$E$400)-SUMPRODUCT((MOVIMIENTOS!$B$5:$B$400="VENTA")*(MOVIMIENTOS!$C$5:$C$400="P")*(MOVIMIENTOS!$D$5:$D$400="jabas")*(ROW(MOVIMIENTOS!$B$5:$B$400)&lt;=$L10)*MOVIMIENTOS!$E$5:$E$400)+SUMPRODUCT((MOVIMIENTOS!$B$5:$B$400="AJUSTE")*(MOVIMIENTOS!$C$5:$C$400="P")*(MOVIMIENTOS!$D$5:$D$400="jabas")*(ROW(MOVIMIENTOS!$B$5:$B$400)&lt;=$L10)*MOVIMIENTOS!$E$5:$E$400))</f>
        <v>11</v>
      </c>
      <c r="D10" s="12">
        <f>IF($A10="","",SUMPRODUCT((MOVIMIENTOS!$B$5:$B$400="SALDO INICIAL")*(MOVIMIENTOS!$C$5:$C$400="C")*(MOVIMIENTOS!$D$5:$D$400="jabas")*(ROW(MOVIMIENTOS!$B$5:$B$400)&lt;=$L10)*MOVIMIENTOS!$E$5:$E$400)+SUMPRODUCT((MOVIMIENTOS!$B$5:$B$400="PROCESO")*(MOVIMIENTOS!$C$5:$C$400="C")*(MOVIMIENTOS!$D$5:$D$400="jabas")*(ROW(MOVIMIENTOS!$B$5:$B$400)&lt;=$L10)*MOVIMIENTOS!$E$5:$E$400)-SUMPRODUCT((MOVIMIENTOS!$B$5:$B$400="ENVÍO A SUPESA")*(MOVIMIENTOS!$C$5:$C$400="C")*(MOVIMIENTOS!$D$5:$D$400="jabas")*(ROW(MOVIMIENTOS!$B$5:$B$400)&lt;=$L10)*MOVIMIENTOS!$E$5:$E$400)+SUMPRODUCT((MOVIMIENTOS!$B$5:$B$400="DEVOLUCIÓN")*(MOVIMIENTOS!$C$5:$C$400="C")*(MOVIMIENTOS!$D$5:$D$400="jabas")*(ROW(MOVIMIENTOS!$B$5:$B$400)&lt;=$L10)*MOVIMIENTOS!$E$5:$E$400)-SUMPRODUCT((MOVIMIENTOS!$B$5:$B$400="TRASIEGO")*(MOVIMIENTOS!$C$5:$C$400="C")*(MOVIMIENTOS!$D$5:$D$400="jabas")*(ROW(MOVIMIENTOS!$B$5:$B$400)&lt;=$L10)*MOVIMIENTOS!$E$5:$E$400)-SUMPRODUCT((MOVIMIENTOS!$B$5:$B$400="REGALO")*(MOVIMIENTOS!$C$5:$C$400="C")*(MOVIMIENTOS!$D$5:$D$400="jabas")*(ROW(MOVIMIENTOS!$B$5:$B$400)&lt;=$L10)*MOVIMIENTOS!$E$5:$E$400)-SUMPRODUCT((MOVIMIENTOS!$B$5:$B$400="VENTA")*(MOVIMIENTOS!$C$5:$C$400="C")*(MOVIMIENTOS!$D$5:$D$400="jabas")*(ROW(MOVIMIENTOS!$B$5:$B$400)&lt;=$L10)*MOVIMIENTOS!$E$5:$E$400)+SUMPRODUCT((MOVIMIENTOS!$B$5:$B$400="AJUSTE")*(MOVIMIENTOS!$C$5:$C$400="C")*(MOVIMIENTOS!$D$5:$D$400="jabas")*(ROW(MOVIMIENTOS!$B$5:$B$400)&lt;=$L10)*MOVIMIENTOS!$E$5:$E$400))</f>
        <v>12</v>
      </c>
      <c r="E10" s="12">
        <f>IF($A10="","",SUMPRODUCT((MOVIMIENTOS!$B$5:$B$400="SALDO INICIAL")*(MOVIMIENTOS!$C$5:$C$400="M")*(MOVIMIENTOS!$D$5:$D$400="jabas")*(ROW(MOVIMIENTOS!$B$5:$B$400)&lt;=$L10)*MOVIMIENTOS!$E$5:$E$400)+SUMPRODUCT((MOVIMIENTOS!$B$5:$B$400="PROCESO")*(MOVIMIENTOS!$C$5:$C$400="M")*(MOVIMIENTOS!$D$5:$D$400="jabas")*(ROW(MOVIMIENTOS!$B$5:$B$400)&lt;=$L10)*MOVIMIENTOS!$E$5:$E$400)-SUMPRODUCT((MOVIMIENTOS!$B$5:$B$400="ENVÍO A SUPESA")*(MOVIMIENTOS!$C$5:$C$400="M")*(MOVIMIENTOS!$D$5:$D$400="jabas")*(ROW(MOVIMIENTOS!$B$5:$B$400)&lt;=$L10)*MOVIMIENTOS!$E$5:$E$400)+SUMPRODUCT((MOVIMIENTOS!$B$5:$B$400="DEVOLUCIÓN")*(MOVIMIENTOS!$C$5:$C$400="M")*(MOVIMIENTOS!$D$5:$D$400="jabas")*(ROW(MOVIMIENTOS!$B$5:$B$400)&lt;=$L10)*MOVIMIENTOS!$E$5:$E$400)-SUMPRODUCT((MOVIMIENTOS!$B$5:$B$400="TRASIEGO")*(MOVIMIENTOS!$C$5:$C$400="M")*(MOVIMIENTOS!$D$5:$D$400="jabas")*(ROW(MOVIMIENTOS!$B$5:$B$400)&lt;=$L10)*MOVIMIENTOS!$E$5:$E$400)-SUMPRODUCT((MOVIMIENTOS!$B$5:$B$400="REGALO")*(MOVIMIENTOS!$C$5:$C$400="M")*(MOVIMIENTOS!$D$5:$D$400="jabas")*(ROW(MOVIMIENTOS!$B$5:$B$400)&lt;=$L10)*MOVIMIENTOS!$E$5:$E$400)-SUMPRODUCT((MOVIMIENTOS!$B$5:$B$400="VENTA")*(MOVIMIENTOS!$C$5:$C$400="M")*(MOVIMIENTOS!$D$5:$D$400="jabas")*(ROW(MOVIMIENTOS!$B$5:$B$400)&lt;=$L10)*MOVIMIENTOS!$E$5:$E$400)+SUMPRODUCT((MOVIMIENTOS!$B$5:$B$400="AJUSTE")*(MOVIMIENTOS!$C$5:$C$400="M")*(MOVIMIENTOS!$D$5:$D$400="jabas")*(ROW(MOVIMIENTOS!$B$5:$B$400)&lt;=$L10)*MOVIMIENTOS!$E$5:$E$400))</f>
        <v>36</v>
      </c>
      <c r="F10" s="12">
        <f>IF($A10="","",SUMPRODUCT((MOVIMIENTOS!$B$5:$B$400="SALDO INICIAL")*(MOVIMIENTOS!$C$5:$C$400="Chancho")*(MOVIMIENTOS!$D$5:$D$400="sacos")*(ROW(MOVIMIENTOS!$B$5:$B$400)&lt;=$L10)*MOVIMIENTOS!$E$5:$E$400)+SUMPRODUCT((MOVIMIENTOS!$B$5:$B$400="PROCESO")*(MOVIMIENTOS!$C$5:$C$400="Chancho")*(MOVIMIENTOS!$D$5:$D$400="sacos")*(ROW(MOVIMIENTOS!$B$5:$B$400)&lt;=$L10)*MOVIMIENTOS!$E$5:$E$400)-SUMPRODUCT((MOVIMIENTOS!$B$5:$B$400="VENTA CHANCHO")*(MOVIMIENTOS!$C$5:$C$400="Chancho")*(MOVIMIENTOS!$D$5:$D$400="sacos")*(ROW(MOVIMIENTOS!$B$5:$B$400)&lt;=$L10)*MOVIMIENTOS!$E$5:$E$400)-SUMPRODUCT((MOVIMIENTOS!$B$5:$B$400="REGALO")*(MOVIMIENTOS!$C$5:$C$400="Chancho")*(MOVIMIENTOS!$D$5:$D$400="sacos")*(ROW(MOVIMIENTOS!$B$5:$B$400)&lt;=$L10)*MOVIMIENTOS!$E$5:$E$400)-SUMPRODUCT((MOVIMIENTOS!$B$5:$B$400="VENTA")*(MOVIMIENTOS!$C$5:$C$400="Chancho")*(MOVIMIENTOS!$D$5:$D$400="sacos")*(ROW(MOVIMIENTOS!$B$5:$B$400)&lt;=$L10)*MOVIMIENTOS!$E$5:$E$400)+SUMPRODUCT((MOVIMIENTOS!$B$5:$B$400="AJUSTE")*(MOVIMIENTOS!$C$5:$C$400="Chancho")*(MOVIMIENTOS!$D$5:$D$400="sacos")*(ROW(MOVIMIENTOS!$B$5:$B$400)&lt;=$L10)*MOVIMIENTOS!$E$5:$E$400))</f>
        <v>9</v>
      </c>
      <c r="G10" s="12">
        <f t="shared" si="1"/>
        <v>94</v>
      </c>
      <c r="H10" s="12">
        <f>IF($A10="","",SUMPRODUCT((((MOVIMIENTOS!$B$5:$B$400="SALDO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10)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10)*MOVIMIENTOS!$I$5:$I$400))</f>
        <v>1180</v>
      </c>
      <c r="J10" t="str">
        <f>IF(AND(MOVIMIENTOS!$A10&lt;&gt;"",COUNTIF(MOVIMIENTOS!$A$5:$A9,MOVIMIENTOS!$A10)=0),COUNT(J$4:J9)+1,"")</f>
        <v/>
      </c>
      <c r="K10" s="10">
        <f>MOVIMIENTOS!$A10</f>
        <v>46215</v>
      </c>
      <c r="L10">
        <f>IF($A10="","",SUMPRODUCT(MAX((MOVIMIENTOS!$A$5:$A$400=$A10)*ROW(MOVIMIENTOS!$A$5:$A$400))))</f>
        <v>58</v>
      </c>
    </row>
    <row r="11" spans="1:12" x14ac:dyDescent="0.2">
      <c r="A11" s="11">
        <f t="shared" si="0"/>
        <v>46220</v>
      </c>
      <c r="B11" s="12">
        <f>IF($A11="","",SUMPRODUCT((MOVIMIENTOS!$B$5:$B$400="SALDO INICIAL")*(MOVIMIENTOS!$C$5:$C$400="A")*(MOVIMIENTOS!$D$5:$D$400="jabas")*(ROW(MOVIMIENTOS!$B$5:$B$400)&lt;=$L11)*MOVIMIENTOS!$E$5:$E$400)+SUMPRODUCT((MOVIMIENTOS!$B$5:$B$400="PROCESO")*(MOVIMIENTOS!$C$5:$C$400="A")*(MOVIMIENTOS!$D$5:$D$400="jabas")*(ROW(MOVIMIENTOS!$B$5:$B$400)&lt;=$L11)*MOVIMIENTOS!$E$5:$E$400)-SUMPRODUCT((MOVIMIENTOS!$B$5:$B$400="ENVÍO A SUPESA")*(MOVIMIENTOS!$C$5:$C$400="A")*(MOVIMIENTOS!$D$5:$D$400="jabas")*(ROW(MOVIMIENTOS!$B$5:$B$400)&lt;=$L11)*MOVIMIENTOS!$E$5:$E$400)+SUMPRODUCT((MOVIMIENTOS!$B$5:$B$400="DEVOLUCIÓN")*(MOVIMIENTOS!$C$5:$C$400="A")*(MOVIMIENTOS!$D$5:$D$400="jabas")*(ROW(MOVIMIENTOS!$B$5:$B$400)&lt;=$L11)*MOVIMIENTOS!$E$5:$E$400)-SUMPRODUCT((MOVIMIENTOS!$B$5:$B$400="TRASIEGO")*(MOVIMIENTOS!$C$5:$C$400="A")*(MOVIMIENTOS!$D$5:$D$400="jabas")*(ROW(MOVIMIENTOS!$B$5:$B$400)&lt;=$L11)*MOVIMIENTOS!$E$5:$E$400)-SUMPRODUCT((MOVIMIENTOS!$B$5:$B$400="REGALO")*(MOVIMIENTOS!$C$5:$C$400="A")*(MOVIMIENTOS!$D$5:$D$400="jabas")*(ROW(MOVIMIENTOS!$B$5:$B$400)&lt;=$L11)*MOVIMIENTOS!$E$5:$E$400)-SUMPRODUCT((MOVIMIENTOS!$B$5:$B$400="VENTA")*(MOVIMIENTOS!$C$5:$C$400="A")*(MOVIMIENTOS!$D$5:$D$400="jabas")*(ROW(MOVIMIENTOS!$B$5:$B$400)&lt;=$L11)*MOVIMIENTOS!$E$5:$E$400)+SUMPRODUCT((MOVIMIENTOS!$B$5:$B$400="AJUSTE")*(MOVIMIENTOS!$C$5:$C$400="A")*(MOVIMIENTOS!$D$5:$D$400="jabas")*(ROW(MOVIMIENTOS!$B$5:$B$400)&lt;=$L11)*MOVIMIENTOS!$E$5:$E$400))</f>
        <v>71</v>
      </c>
      <c r="C11" s="12">
        <f>IF($A11="","",SUMPRODUCT((MOVIMIENTOS!$B$5:$B$400="SALDO INICIAL")*(MOVIMIENTOS!$C$5:$C$400="P")*(MOVIMIENTOS!$D$5:$D$400="jabas")*(ROW(MOVIMIENTOS!$B$5:$B$400)&lt;=$L11)*MOVIMIENTOS!$E$5:$E$400)+SUMPRODUCT((MOVIMIENTOS!$B$5:$B$400="PROCESO")*(MOVIMIENTOS!$C$5:$C$400="P")*(MOVIMIENTOS!$D$5:$D$400="jabas")*(ROW(MOVIMIENTOS!$B$5:$B$400)&lt;=$L11)*MOVIMIENTOS!$E$5:$E$400)-SUMPRODUCT((MOVIMIENTOS!$B$5:$B$400="ENVÍO A SUPESA")*(MOVIMIENTOS!$C$5:$C$400="P")*(MOVIMIENTOS!$D$5:$D$400="jabas")*(ROW(MOVIMIENTOS!$B$5:$B$400)&lt;=$L11)*MOVIMIENTOS!$E$5:$E$400)+SUMPRODUCT((MOVIMIENTOS!$B$5:$B$400="DEVOLUCIÓN")*(MOVIMIENTOS!$C$5:$C$400="P")*(MOVIMIENTOS!$D$5:$D$400="jabas")*(ROW(MOVIMIENTOS!$B$5:$B$400)&lt;=$L11)*MOVIMIENTOS!$E$5:$E$400)-SUMPRODUCT((MOVIMIENTOS!$B$5:$B$400="TRASIEGO")*(MOVIMIENTOS!$C$5:$C$400="P")*(MOVIMIENTOS!$D$5:$D$400="jabas")*(ROW(MOVIMIENTOS!$B$5:$B$400)&lt;=$L11)*MOVIMIENTOS!$E$5:$E$400)-SUMPRODUCT((MOVIMIENTOS!$B$5:$B$400="REGALO")*(MOVIMIENTOS!$C$5:$C$400="P")*(MOVIMIENTOS!$D$5:$D$400="jabas")*(ROW(MOVIMIENTOS!$B$5:$B$400)&lt;=$L11)*MOVIMIENTOS!$E$5:$E$400)-SUMPRODUCT((MOVIMIENTOS!$B$5:$B$400="VENTA")*(MOVIMIENTOS!$C$5:$C$400="P")*(MOVIMIENTOS!$D$5:$D$400="jabas")*(ROW(MOVIMIENTOS!$B$5:$B$400)&lt;=$L11)*MOVIMIENTOS!$E$5:$E$400)+SUMPRODUCT((MOVIMIENTOS!$B$5:$B$400="AJUSTE")*(MOVIMIENTOS!$C$5:$C$400="P")*(MOVIMIENTOS!$D$5:$D$400="jabas")*(ROW(MOVIMIENTOS!$B$5:$B$400)&lt;=$L11)*MOVIMIENTOS!$E$5:$E$400))</f>
        <v>4</v>
      </c>
      <c r="D11" s="12">
        <f>IF($A11="","",SUMPRODUCT((MOVIMIENTOS!$B$5:$B$400="SALDO INICIAL")*(MOVIMIENTOS!$C$5:$C$400="C")*(MOVIMIENTOS!$D$5:$D$400="jabas")*(ROW(MOVIMIENTOS!$B$5:$B$400)&lt;=$L11)*MOVIMIENTOS!$E$5:$E$400)+SUMPRODUCT((MOVIMIENTOS!$B$5:$B$400="PROCESO")*(MOVIMIENTOS!$C$5:$C$400="C")*(MOVIMIENTOS!$D$5:$D$400="jabas")*(ROW(MOVIMIENTOS!$B$5:$B$400)&lt;=$L11)*MOVIMIENTOS!$E$5:$E$400)-SUMPRODUCT((MOVIMIENTOS!$B$5:$B$400="ENVÍO A SUPESA")*(MOVIMIENTOS!$C$5:$C$400="C")*(MOVIMIENTOS!$D$5:$D$400="jabas")*(ROW(MOVIMIENTOS!$B$5:$B$400)&lt;=$L11)*MOVIMIENTOS!$E$5:$E$400)+SUMPRODUCT((MOVIMIENTOS!$B$5:$B$400="DEVOLUCIÓN")*(MOVIMIENTOS!$C$5:$C$400="C")*(MOVIMIENTOS!$D$5:$D$400="jabas")*(ROW(MOVIMIENTOS!$B$5:$B$400)&lt;=$L11)*MOVIMIENTOS!$E$5:$E$400)-SUMPRODUCT((MOVIMIENTOS!$B$5:$B$400="TRASIEGO")*(MOVIMIENTOS!$C$5:$C$400="C")*(MOVIMIENTOS!$D$5:$D$400="jabas")*(ROW(MOVIMIENTOS!$B$5:$B$400)&lt;=$L11)*MOVIMIENTOS!$E$5:$E$400)-SUMPRODUCT((MOVIMIENTOS!$B$5:$B$400="REGALO")*(MOVIMIENTOS!$C$5:$C$400="C")*(MOVIMIENTOS!$D$5:$D$400="jabas")*(ROW(MOVIMIENTOS!$B$5:$B$400)&lt;=$L11)*MOVIMIENTOS!$E$5:$E$400)-SUMPRODUCT((MOVIMIENTOS!$B$5:$B$400="VENTA")*(MOVIMIENTOS!$C$5:$C$400="C")*(MOVIMIENTOS!$D$5:$D$400="jabas")*(ROW(MOVIMIENTOS!$B$5:$B$400)&lt;=$L11)*MOVIMIENTOS!$E$5:$E$400)+SUMPRODUCT((MOVIMIENTOS!$B$5:$B$400="AJUSTE")*(MOVIMIENTOS!$C$5:$C$400="C")*(MOVIMIENTOS!$D$5:$D$400="jabas")*(ROW(MOVIMIENTOS!$B$5:$B$400)&lt;=$L11)*MOVIMIENTOS!$E$5:$E$400))</f>
        <v>9</v>
      </c>
      <c r="E11" s="12">
        <f>IF($A11="","",SUMPRODUCT((MOVIMIENTOS!$B$5:$B$400="SALDO INICIAL")*(MOVIMIENTOS!$C$5:$C$400="M")*(MOVIMIENTOS!$D$5:$D$400="jabas")*(ROW(MOVIMIENTOS!$B$5:$B$400)&lt;=$L11)*MOVIMIENTOS!$E$5:$E$400)+SUMPRODUCT((MOVIMIENTOS!$B$5:$B$400="PROCESO")*(MOVIMIENTOS!$C$5:$C$400="M")*(MOVIMIENTOS!$D$5:$D$400="jabas")*(ROW(MOVIMIENTOS!$B$5:$B$400)&lt;=$L11)*MOVIMIENTOS!$E$5:$E$400)-SUMPRODUCT((MOVIMIENTOS!$B$5:$B$400="ENVÍO A SUPESA")*(MOVIMIENTOS!$C$5:$C$400="M")*(MOVIMIENTOS!$D$5:$D$400="jabas")*(ROW(MOVIMIENTOS!$B$5:$B$400)&lt;=$L11)*MOVIMIENTOS!$E$5:$E$400)+SUMPRODUCT((MOVIMIENTOS!$B$5:$B$400="DEVOLUCIÓN")*(MOVIMIENTOS!$C$5:$C$400="M")*(MOVIMIENTOS!$D$5:$D$400="jabas")*(ROW(MOVIMIENTOS!$B$5:$B$400)&lt;=$L11)*MOVIMIENTOS!$E$5:$E$400)-SUMPRODUCT((MOVIMIENTOS!$B$5:$B$400="TRASIEGO")*(MOVIMIENTOS!$C$5:$C$400="M")*(MOVIMIENTOS!$D$5:$D$400="jabas")*(ROW(MOVIMIENTOS!$B$5:$B$400)&lt;=$L11)*MOVIMIENTOS!$E$5:$E$400)-SUMPRODUCT((MOVIMIENTOS!$B$5:$B$400="REGALO")*(MOVIMIENTOS!$C$5:$C$400="M")*(MOVIMIENTOS!$D$5:$D$400="jabas")*(ROW(MOVIMIENTOS!$B$5:$B$400)&lt;=$L11)*MOVIMIENTOS!$E$5:$E$400)-SUMPRODUCT((MOVIMIENTOS!$B$5:$B$400="VENTA")*(MOVIMIENTOS!$C$5:$C$400="M")*(MOVIMIENTOS!$D$5:$D$400="jabas")*(ROW(MOVIMIENTOS!$B$5:$B$400)&lt;=$L11)*MOVIMIENTOS!$E$5:$E$400)+SUMPRODUCT((MOVIMIENTOS!$B$5:$B$400="AJUSTE")*(MOVIMIENTOS!$C$5:$C$400="M")*(MOVIMIENTOS!$D$5:$D$400="jabas")*(ROW(MOVIMIENTOS!$B$5:$B$400)&lt;=$L11)*MOVIMIENTOS!$E$5:$E$400))</f>
        <v>114</v>
      </c>
      <c r="F11" s="12">
        <f>IF($A11="","",SUMPRODUCT((MOVIMIENTOS!$B$5:$B$400="SALDO INICIAL")*(MOVIMIENTOS!$C$5:$C$400="Chancho")*(MOVIMIENTOS!$D$5:$D$400="sacos")*(ROW(MOVIMIENTOS!$B$5:$B$400)&lt;=$L11)*MOVIMIENTOS!$E$5:$E$400)+SUMPRODUCT((MOVIMIENTOS!$B$5:$B$400="PROCESO")*(MOVIMIENTOS!$C$5:$C$400="Chancho")*(MOVIMIENTOS!$D$5:$D$400="sacos")*(ROW(MOVIMIENTOS!$B$5:$B$400)&lt;=$L11)*MOVIMIENTOS!$E$5:$E$400)-SUMPRODUCT((MOVIMIENTOS!$B$5:$B$400="VENTA CHANCHO")*(MOVIMIENTOS!$C$5:$C$400="Chancho")*(MOVIMIENTOS!$D$5:$D$400="sacos")*(ROW(MOVIMIENTOS!$B$5:$B$400)&lt;=$L11)*MOVIMIENTOS!$E$5:$E$400)-SUMPRODUCT((MOVIMIENTOS!$B$5:$B$400="REGALO")*(MOVIMIENTOS!$C$5:$C$400="Chancho")*(MOVIMIENTOS!$D$5:$D$400="sacos")*(ROW(MOVIMIENTOS!$B$5:$B$400)&lt;=$L11)*MOVIMIENTOS!$E$5:$E$400)-SUMPRODUCT((MOVIMIENTOS!$B$5:$B$400="VENTA")*(MOVIMIENTOS!$C$5:$C$400="Chancho")*(MOVIMIENTOS!$D$5:$D$400="sacos")*(ROW(MOVIMIENTOS!$B$5:$B$400)&lt;=$L11)*MOVIMIENTOS!$E$5:$E$400)+SUMPRODUCT((MOVIMIENTOS!$B$5:$B$400="AJUSTE")*(MOVIMIENTOS!$C$5:$C$400="Chancho")*(MOVIMIENTOS!$D$5:$D$400="sacos")*(ROW(MOVIMIENTOS!$B$5:$B$400)&lt;=$L11)*MOVIMIENTOS!$E$5:$E$400))</f>
        <v>5</v>
      </c>
      <c r="G11" s="12">
        <f t="shared" si="1"/>
        <v>198</v>
      </c>
      <c r="H11" s="12">
        <f>IF($A11="","",SUMPRODUCT((((MOVIMIENTOS!$B$5:$B$400="SALDO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11)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11)*MOVIMIENTOS!$I$5:$I$400))</f>
        <v>2897</v>
      </c>
      <c r="J11" t="str">
        <f>IF(AND(MOVIMIENTOS!$A11&lt;&gt;"",COUNTIF(MOVIMIENTOS!$A$5:$A10,MOVIMIENTOS!$A11)=0),COUNT(J$4:J10)+1,"")</f>
        <v/>
      </c>
      <c r="K11" s="10">
        <f>MOVIMIENTOS!$A11</f>
        <v>46215</v>
      </c>
      <c r="L11">
        <f>IF($A11="","",SUMPRODUCT(MAX((MOVIMIENTOS!$A$5:$A$400=$A11)*ROW(MOVIMIENTOS!$A$5:$A$400))))</f>
        <v>73</v>
      </c>
    </row>
    <row r="12" spans="1:12" x14ac:dyDescent="0.2">
      <c r="A12" s="11">
        <f t="shared" si="0"/>
        <v>46221</v>
      </c>
      <c r="B12" s="12">
        <f>IF($A12="","",SUMPRODUCT((MOVIMIENTOS!$B$5:$B$400="SALDO INICIAL")*(MOVIMIENTOS!$C$5:$C$400="A")*(MOVIMIENTOS!$D$5:$D$400="jabas")*(ROW(MOVIMIENTOS!$B$5:$B$400)&lt;=$L12)*MOVIMIENTOS!$E$5:$E$400)+SUMPRODUCT((MOVIMIENTOS!$B$5:$B$400="PROCESO")*(MOVIMIENTOS!$C$5:$C$400="A")*(MOVIMIENTOS!$D$5:$D$400="jabas")*(ROW(MOVIMIENTOS!$B$5:$B$400)&lt;=$L12)*MOVIMIENTOS!$E$5:$E$400)-SUMPRODUCT((MOVIMIENTOS!$B$5:$B$400="ENVÍO A SUPESA")*(MOVIMIENTOS!$C$5:$C$400="A")*(MOVIMIENTOS!$D$5:$D$400="jabas")*(ROW(MOVIMIENTOS!$B$5:$B$400)&lt;=$L12)*MOVIMIENTOS!$E$5:$E$400)+SUMPRODUCT((MOVIMIENTOS!$B$5:$B$400="DEVOLUCIÓN")*(MOVIMIENTOS!$C$5:$C$400="A")*(MOVIMIENTOS!$D$5:$D$400="jabas")*(ROW(MOVIMIENTOS!$B$5:$B$400)&lt;=$L12)*MOVIMIENTOS!$E$5:$E$400)-SUMPRODUCT((MOVIMIENTOS!$B$5:$B$400="TRASIEGO")*(MOVIMIENTOS!$C$5:$C$400="A")*(MOVIMIENTOS!$D$5:$D$400="jabas")*(ROW(MOVIMIENTOS!$B$5:$B$400)&lt;=$L12)*MOVIMIENTOS!$E$5:$E$400)-SUMPRODUCT((MOVIMIENTOS!$B$5:$B$400="REGALO")*(MOVIMIENTOS!$C$5:$C$400="A")*(MOVIMIENTOS!$D$5:$D$400="jabas")*(ROW(MOVIMIENTOS!$B$5:$B$400)&lt;=$L12)*MOVIMIENTOS!$E$5:$E$400)-SUMPRODUCT((MOVIMIENTOS!$B$5:$B$400="VENTA")*(MOVIMIENTOS!$C$5:$C$400="A")*(MOVIMIENTOS!$D$5:$D$400="jabas")*(ROW(MOVIMIENTOS!$B$5:$B$400)&lt;=$L12)*MOVIMIENTOS!$E$5:$E$400)+SUMPRODUCT((MOVIMIENTOS!$B$5:$B$400="AJUSTE")*(MOVIMIENTOS!$C$5:$C$400="A")*(MOVIMIENTOS!$D$5:$D$400="jabas")*(ROW(MOVIMIENTOS!$B$5:$B$400)&lt;=$L12)*MOVIMIENTOS!$E$5:$E$400))</f>
        <v>3</v>
      </c>
      <c r="C12" s="12">
        <f>IF($A12="","",SUMPRODUCT((MOVIMIENTOS!$B$5:$B$400="SALDO INICIAL")*(MOVIMIENTOS!$C$5:$C$400="P")*(MOVIMIENTOS!$D$5:$D$400="jabas")*(ROW(MOVIMIENTOS!$B$5:$B$400)&lt;=$L12)*MOVIMIENTOS!$E$5:$E$400)+SUMPRODUCT((MOVIMIENTOS!$B$5:$B$400="PROCESO")*(MOVIMIENTOS!$C$5:$C$400="P")*(MOVIMIENTOS!$D$5:$D$400="jabas")*(ROW(MOVIMIENTOS!$B$5:$B$400)&lt;=$L12)*MOVIMIENTOS!$E$5:$E$400)-SUMPRODUCT((MOVIMIENTOS!$B$5:$B$400="ENVÍO A SUPESA")*(MOVIMIENTOS!$C$5:$C$400="P")*(MOVIMIENTOS!$D$5:$D$400="jabas")*(ROW(MOVIMIENTOS!$B$5:$B$400)&lt;=$L12)*MOVIMIENTOS!$E$5:$E$400)+SUMPRODUCT((MOVIMIENTOS!$B$5:$B$400="DEVOLUCIÓN")*(MOVIMIENTOS!$C$5:$C$400="P")*(MOVIMIENTOS!$D$5:$D$400="jabas")*(ROW(MOVIMIENTOS!$B$5:$B$400)&lt;=$L12)*MOVIMIENTOS!$E$5:$E$400)-SUMPRODUCT((MOVIMIENTOS!$B$5:$B$400="TRASIEGO")*(MOVIMIENTOS!$C$5:$C$400="P")*(MOVIMIENTOS!$D$5:$D$400="jabas")*(ROW(MOVIMIENTOS!$B$5:$B$400)&lt;=$L12)*MOVIMIENTOS!$E$5:$E$400)-SUMPRODUCT((MOVIMIENTOS!$B$5:$B$400="REGALO")*(MOVIMIENTOS!$C$5:$C$400="P")*(MOVIMIENTOS!$D$5:$D$400="jabas")*(ROW(MOVIMIENTOS!$B$5:$B$400)&lt;=$L12)*MOVIMIENTOS!$E$5:$E$400)-SUMPRODUCT((MOVIMIENTOS!$B$5:$B$400="VENTA")*(MOVIMIENTOS!$C$5:$C$400="P")*(MOVIMIENTOS!$D$5:$D$400="jabas")*(ROW(MOVIMIENTOS!$B$5:$B$400)&lt;=$L12)*MOVIMIENTOS!$E$5:$E$400)+SUMPRODUCT((MOVIMIENTOS!$B$5:$B$400="AJUSTE")*(MOVIMIENTOS!$C$5:$C$400="P")*(MOVIMIENTOS!$D$5:$D$400="jabas")*(ROW(MOVIMIENTOS!$B$5:$B$400)&lt;=$L12)*MOVIMIENTOS!$E$5:$E$400))</f>
        <v>0</v>
      </c>
      <c r="D12" s="12">
        <f>IF($A12="","",SUMPRODUCT((MOVIMIENTOS!$B$5:$B$400="SALDO INICIAL")*(MOVIMIENTOS!$C$5:$C$400="C")*(MOVIMIENTOS!$D$5:$D$400="jabas")*(ROW(MOVIMIENTOS!$B$5:$B$400)&lt;=$L12)*MOVIMIENTOS!$E$5:$E$400)+SUMPRODUCT((MOVIMIENTOS!$B$5:$B$400="PROCESO")*(MOVIMIENTOS!$C$5:$C$400="C")*(MOVIMIENTOS!$D$5:$D$400="jabas")*(ROW(MOVIMIENTOS!$B$5:$B$400)&lt;=$L12)*MOVIMIENTOS!$E$5:$E$400)-SUMPRODUCT((MOVIMIENTOS!$B$5:$B$400="ENVÍO A SUPESA")*(MOVIMIENTOS!$C$5:$C$400="C")*(MOVIMIENTOS!$D$5:$D$400="jabas")*(ROW(MOVIMIENTOS!$B$5:$B$400)&lt;=$L12)*MOVIMIENTOS!$E$5:$E$400)+SUMPRODUCT((MOVIMIENTOS!$B$5:$B$400="DEVOLUCIÓN")*(MOVIMIENTOS!$C$5:$C$400="C")*(MOVIMIENTOS!$D$5:$D$400="jabas")*(ROW(MOVIMIENTOS!$B$5:$B$400)&lt;=$L12)*MOVIMIENTOS!$E$5:$E$400)-SUMPRODUCT((MOVIMIENTOS!$B$5:$B$400="TRASIEGO")*(MOVIMIENTOS!$C$5:$C$400="C")*(MOVIMIENTOS!$D$5:$D$400="jabas")*(ROW(MOVIMIENTOS!$B$5:$B$400)&lt;=$L12)*MOVIMIENTOS!$E$5:$E$400)-SUMPRODUCT((MOVIMIENTOS!$B$5:$B$400="REGALO")*(MOVIMIENTOS!$C$5:$C$400="C")*(MOVIMIENTOS!$D$5:$D$400="jabas")*(ROW(MOVIMIENTOS!$B$5:$B$400)&lt;=$L12)*MOVIMIENTOS!$E$5:$E$400)-SUMPRODUCT((MOVIMIENTOS!$B$5:$B$400="VENTA")*(MOVIMIENTOS!$C$5:$C$400="C")*(MOVIMIENTOS!$D$5:$D$400="jabas")*(ROW(MOVIMIENTOS!$B$5:$B$400)&lt;=$L12)*MOVIMIENTOS!$E$5:$E$400)+SUMPRODUCT((MOVIMIENTOS!$B$5:$B$400="AJUSTE")*(MOVIMIENTOS!$C$5:$C$400="C")*(MOVIMIENTOS!$D$5:$D$400="jabas")*(ROW(MOVIMIENTOS!$B$5:$B$400)&lt;=$L12)*MOVIMIENTOS!$E$5:$E$400))</f>
        <v>0</v>
      </c>
      <c r="E12" s="12">
        <f>IF($A12="","",SUMPRODUCT((MOVIMIENTOS!$B$5:$B$400="SALDO INICIAL")*(MOVIMIENTOS!$C$5:$C$400="M")*(MOVIMIENTOS!$D$5:$D$400="jabas")*(ROW(MOVIMIENTOS!$B$5:$B$400)&lt;=$L12)*MOVIMIENTOS!$E$5:$E$400)+SUMPRODUCT((MOVIMIENTOS!$B$5:$B$400="PROCESO")*(MOVIMIENTOS!$C$5:$C$400="M")*(MOVIMIENTOS!$D$5:$D$400="jabas")*(ROW(MOVIMIENTOS!$B$5:$B$400)&lt;=$L12)*MOVIMIENTOS!$E$5:$E$400)-SUMPRODUCT((MOVIMIENTOS!$B$5:$B$400="ENVÍO A SUPESA")*(MOVIMIENTOS!$C$5:$C$400="M")*(MOVIMIENTOS!$D$5:$D$400="jabas")*(ROW(MOVIMIENTOS!$B$5:$B$400)&lt;=$L12)*MOVIMIENTOS!$E$5:$E$400)+SUMPRODUCT((MOVIMIENTOS!$B$5:$B$400="DEVOLUCIÓN")*(MOVIMIENTOS!$C$5:$C$400="M")*(MOVIMIENTOS!$D$5:$D$400="jabas")*(ROW(MOVIMIENTOS!$B$5:$B$400)&lt;=$L12)*MOVIMIENTOS!$E$5:$E$400)-SUMPRODUCT((MOVIMIENTOS!$B$5:$B$400="TRASIEGO")*(MOVIMIENTOS!$C$5:$C$400="M")*(MOVIMIENTOS!$D$5:$D$400="jabas")*(ROW(MOVIMIENTOS!$B$5:$B$400)&lt;=$L12)*MOVIMIENTOS!$E$5:$E$400)-SUMPRODUCT((MOVIMIENTOS!$B$5:$B$400="REGALO")*(MOVIMIENTOS!$C$5:$C$400="M")*(MOVIMIENTOS!$D$5:$D$400="jabas")*(ROW(MOVIMIENTOS!$B$5:$B$400)&lt;=$L12)*MOVIMIENTOS!$E$5:$E$400)-SUMPRODUCT((MOVIMIENTOS!$B$5:$B$400="VENTA")*(MOVIMIENTOS!$C$5:$C$400="M")*(MOVIMIENTOS!$D$5:$D$400="jabas")*(ROW(MOVIMIENTOS!$B$5:$B$400)&lt;=$L12)*MOVIMIENTOS!$E$5:$E$400)+SUMPRODUCT((MOVIMIENTOS!$B$5:$B$400="AJUSTE")*(MOVIMIENTOS!$C$5:$C$400="M")*(MOVIMIENTOS!$D$5:$D$400="jabas")*(ROW(MOVIMIENTOS!$B$5:$B$400)&lt;=$L12)*MOVIMIENTOS!$E$5:$E$400))</f>
        <v>0</v>
      </c>
      <c r="F12" s="12">
        <f>IF($A12="","",SUMPRODUCT((MOVIMIENTOS!$B$5:$B$400="SALDO INICIAL")*(MOVIMIENTOS!$C$5:$C$400="Chancho")*(MOVIMIENTOS!$D$5:$D$400="sacos")*(ROW(MOVIMIENTOS!$B$5:$B$400)&lt;=$L12)*MOVIMIENTOS!$E$5:$E$400)+SUMPRODUCT((MOVIMIENTOS!$B$5:$B$400="PROCESO")*(MOVIMIENTOS!$C$5:$C$400="Chancho")*(MOVIMIENTOS!$D$5:$D$400="sacos")*(ROW(MOVIMIENTOS!$B$5:$B$400)&lt;=$L12)*MOVIMIENTOS!$E$5:$E$400)-SUMPRODUCT((MOVIMIENTOS!$B$5:$B$400="VENTA CHANCHO")*(MOVIMIENTOS!$C$5:$C$400="Chancho")*(MOVIMIENTOS!$D$5:$D$400="sacos")*(ROW(MOVIMIENTOS!$B$5:$B$400)&lt;=$L12)*MOVIMIENTOS!$E$5:$E$400)-SUMPRODUCT((MOVIMIENTOS!$B$5:$B$400="REGALO")*(MOVIMIENTOS!$C$5:$C$400="Chancho")*(MOVIMIENTOS!$D$5:$D$400="sacos")*(ROW(MOVIMIENTOS!$B$5:$B$400)&lt;=$L12)*MOVIMIENTOS!$E$5:$E$400)-SUMPRODUCT((MOVIMIENTOS!$B$5:$B$400="VENTA")*(MOVIMIENTOS!$C$5:$C$400="Chancho")*(MOVIMIENTOS!$D$5:$D$400="sacos")*(ROW(MOVIMIENTOS!$B$5:$B$400)&lt;=$L12)*MOVIMIENTOS!$E$5:$E$400)+SUMPRODUCT((MOVIMIENTOS!$B$5:$B$400="AJUSTE")*(MOVIMIENTOS!$C$5:$C$400="Chancho")*(MOVIMIENTOS!$D$5:$D$400="sacos")*(ROW(MOVIMIENTOS!$B$5:$B$400)&lt;=$L12)*MOVIMIENTOS!$E$5:$E$400))</f>
        <v>5</v>
      </c>
      <c r="G12" s="12">
        <f t="shared" si="1"/>
        <v>3</v>
      </c>
      <c r="H12" s="12">
        <f>IF($A12="","",SUMPRODUCT((((MOVIMIENTOS!$B$5:$B$400="SALDO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12)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12)*MOVIMIENTOS!$I$5:$I$400))</f>
        <v>-286</v>
      </c>
      <c r="J12" t="str">
        <f>IF(AND(MOVIMIENTOS!$A12&lt;&gt;"",COUNTIF(MOVIMIENTOS!$A$5:$A11,MOVIMIENTOS!$A12)=0),COUNT(J$4:J11)+1,"")</f>
        <v/>
      </c>
      <c r="K12" s="10">
        <f>MOVIMIENTOS!$A12</f>
        <v>46215</v>
      </c>
      <c r="L12">
        <f>IF($A12="","",SUMPRODUCT(MAX((MOVIMIENTOS!$A$5:$A$400=$A12)*ROW(MOVIMIENTOS!$A$5:$A$400))))</f>
        <v>78</v>
      </c>
    </row>
    <row r="13" spans="1:12" x14ac:dyDescent="0.2">
      <c r="A13" s="11">
        <f t="shared" si="0"/>
        <v>46222</v>
      </c>
      <c r="B13" s="12">
        <f>IF($A13="","",SUMPRODUCT((MOVIMIENTOS!$B$5:$B$400="SALDO INICIAL")*(MOVIMIENTOS!$C$5:$C$400="A")*(MOVIMIENTOS!$D$5:$D$400="jabas")*(ROW(MOVIMIENTOS!$B$5:$B$400)&lt;=$L13)*MOVIMIENTOS!$E$5:$E$400)+SUMPRODUCT((MOVIMIENTOS!$B$5:$B$400="PROCESO")*(MOVIMIENTOS!$C$5:$C$400="A")*(MOVIMIENTOS!$D$5:$D$400="jabas")*(ROW(MOVIMIENTOS!$B$5:$B$400)&lt;=$L13)*MOVIMIENTOS!$E$5:$E$400)-SUMPRODUCT((MOVIMIENTOS!$B$5:$B$400="ENVÍO A SUPESA")*(MOVIMIENTOS!$C$5:$C$400="A")*(MOVIMIENTOS!$D$5:$D$400="jabas")*(ROW(MOVIMIENTOS!$B$5:$B$400)&lt;=$L13)*MOVIMIENTOS!$E$5:$E$400)+SUMPRODUCT((MOVIMIENTOS!$B$5:$B$400="DEVOLUCIÓN")*(MOVIMIENTOS!$C$5:$C$400="A")*(MOVIMIENTOS!$D$5:$D$400="jabas")*(ROW(MOVIMIENTOS!$B$5:$B$400)&lt;=$L13)*MOVIMIENTOS!$E$5:$E$400)-SUMPRODUCT((MOVIMIENTOS!$B$5:$B$400="TRASIEGO")*(MOVIMIENTOS!$C$5:$C$400="A")*(MOVIMIENTOS!$D$5:$D$400="jabas")*(ROW(MOVIMIENTOS!$B$5:$B$400)&lt;=$L13)*MOVIMIENTOS!$E$5:$E$400)-SUMPRODUCT((MOVIMIENTOS!$B$5:$B$400="REGALO")*(MOVIMIENTOS!$C$5:$C$400="A")*(MOVIMIENTOS!$D$5:$D$400="jabas")*(ROW(MOVIMIENTOS!$B$5:$B$400)&lt;=$L13)*MOVIMIENTOS!$E$5:$E$400)-SUMPRODUCT((MOVIMIENTOS!$B$5:$B$400="VENTA")*(MOVIMIENTOS!$C$5:$C$400="A")*(MOVIMIENTOS!$D$5:$D$400="jabas")*(ROW(MOVIMIENTOS!$B$5:$B$400)&lt;=$L13)*MOVIMIENTOS!$E$5:$E$400)+SUMPRODUCT((MOVIMIENTOS!$B$5:$B$400="AJUSTE")*(MOVIMIENTOS!$C$5:$C$400="A")*(MOVIMIENTOS!$D$5:$D$400="jabas")*(ROW(MOVIMIENTOS!$B$5:$B$400)&lt;=$L13)*MOVIMIENTOS!$E$5:$E$400))</f>
        <v>43</v>
      </c>
      <c r="C13" s="12">
        <f>IF($A13="","",SUMPRODUCT((MOVIMIENTOS!$B$5:$B$400="SALDO INICIAL")*(MOVIMIENTOS!$C$5:$C$400="P")*(MOVIMIENTOS!$D$5:$D$400="jabas")*(ROW(MOVIMIENTOS!$B$5:$B$400)&lt;=$L13)*MOVIMIENTOS!$E$5:$E$400)+SUMPRODUCT((MOVIMIENTOS!$B$5:$B$400="PROCESO")*(MOVIMIENTOS!$C$5:$C$400="P")*(MOVIMIENTOS!$D$5:$D$400="jabas")*(ROW(MOVIMIENTOS!$B$5:$B$400)&lt;=$L13)*MOVIMIENTOS!$E$5:$E$400)-SUMPRODUCT((MOVIMIENTOS!$B$5:$B$400="ENVÍO A SUPESA")*(MOVIMIENTOS!$C$5:$C$400="P")*(MOVIMIENTOS!$D$5:$D$400="jabas")*(ROW(MOVIMIENTOS!$B$5:$B$400)&lt;=$L13)*MOVIMIENTOS!$E$5:$E$400)+SUMPRODUCT((MOVIMIENTOS!$B$5:$B$400="DEVOLUCIÓN")*(MOVIMIENTOS!$C$5:$C$400="P")*(MOVIMIENTOS!$D$5:$D$400="jabas")*(ROW(MOVIMIENTOS!$B$5:$B$400)&lt;=$L13)*MOVIMIENTOS!$E$5:$E$400)-SUMPRODUCT((MOVIMIENTOS!$B$5:$B$400="TRASIEGO")*(MOVIMIENTOS!$C$5:$C$400="P")*(MOVIMIENTOS!$D$5:$D$400="jabas")*(ROW(MOVIMIENTOS!$B$5:$B$400)&lt;=$L13)*MOVIMIENTOS!$E$5:$E$400)-SUMPRODUCT((MOVIMIENTOS!$B$5:$B$400="REGALO")*(MOVIMIENTOS!$C$5:$C$400="P")*(MOVIMIENTOS!$D$5:$D$400="jabas")*(ROW(MOVIMIENTOS!$B$5:$B$400)&lt;=$L13)*MOVIMIENTOS!$E$5:$E$400)-SUMPRODUCT((MOVIMIENTOS!$B$5:$B$400="VENTA")*(MOVIMIENTOS!$C$5:$C$400="P")*(MOVIMIENTOS!$D$5:$D$400="jabas")*(ROW(MOVIMIENTOS!$B$5:$B$400)&lt;=$L13)*MOVIMIENTOS!$E$5:$E$400)+SUMPRODUCT((MOVIMIENTOS!$B$5:$B$400="AJUSTE")*(MOVIMIENTOS!$C$5:$C$400="P")*(MOVIMIENTOS!$D$5:$D$400="jabas")*(ROW(MOVIMIENTOS!$B$5:$B$400)&lt;=$L13)*MOVIMIENTOS!$E$5:$E$400))</f>
        <v>0</v>
      </c>
      <c r="D13" s="12">
        <f>IF($A13="","",SUMPRODUCT((MOVIMIENTOS!$B$5:$B$400="SALDO INICIAL")*(MOVIMIENTOS!$C$5:$C$400="C")*(MOVIMIENTOS!$D$5:$D$400="jabas")*(ROW(MOVIMIENTOS!$B$5:$B$400)&lt;=$L13)*MOVIMIENTOS!$E$5:$E$400)+SUMPRODUCT((MOVIMIENTOS!$B$5:$B$400="PROCESO")*(MOVIMIENTOS!$C$5:$C$400="C")*(MOVIMIENTOS!$D$5:$D$400="jabas")*(ROW(MOVIMIENTOS!$B$5:$B$400)&lt;=$L13)*MOVIMIENTOS!$E$5:$E$400)-SUMPRODUCT((MOVIMIENTOS!$B$5:$B$400="ENVÍO A SUPESA")*(MOVIMIENTOS!$C$5:$C$400="C")*(MOVIMIENTOS!$D$5:$D$400="jabas")*(ROW(MOVIMIENTOS!$B$5:$B$400)&lt;=$L13)*MOVIMIENTOS!$E$5:$E$400)+SUMPRODUCT((MOVIMIENTOS!$B$5:$B$400="DEVOLUCIÓN")*(MOVIMIENTOS!$C$5:$C$400="C")*(MOVIMIENTOS!$D$5:$D$400="jabas")*(ROW(MOVIMIENTOS!$B$5:$B$400)&lt;=$L13)*MOVIMIENTOS!$E$5:$E$400)-SUMPRODUCT((MOVIMIENTOS!$B$5:$B$400="TRASIEGO")*(MOVIMIENTOS!$C$5:$C$400="C")*(MOVIMIENTOS!$D$5:$D$400="jabas")*(ROW(MOVIMIENTOS!$B$5:$B$400)&lt;=$L13)*MOVIMIENTOS!$E$5:$E$400)-SUMPRODUCT((MOVIMIENTOS!$B$5:$B$400="REGALO")*(MOVIMIENTOS!$C$5:$C$400="C")*(MOVIMIENTOS!$D$5:$D$400="jabas")*(ROW(MOVIMIENTOS!$B$5:$B$400)&lt;=$L13)*MOVIMIENTOS!$E$5:$E$400)-SUMPRODUCT((MOVIMIENTOS!$B$5:$B$400="VENTA")*(MOVIMIENTOS!$C$5:$C$400="C")*(MOVIMIENTOS!$D$5:$D$400="jabas")*(ROW(MOVIMIENTOS!$B$5:$B$400)&lt;=$L13)*MOVIMIENTOS!$E$5:$E$400)+SUMPRODUCT((MOVIMIENTOS!$B$5:$B$400="AJUSTE")*(MOVIMIENTOS!$C$5:$C$400="C")*(MOVIMIENTOS!$D$5:$D$400="jabas")*(ROW(MOVIMIENTOS!$B$5:$B$400)&lt;=$L13)*MOVIMIENTOS!$E$5:$E$400))</f>
        <v>0</v>
      </c>
      <c r="E13" s="12">
        <f>IF($A13="","",SUMPRODUCT((MOVIMIENTOS!$B$5:$B$400="SALDO INICIAL")*(MOVIMIENTOS!$C$5:$C$400="M")*(MOVIMIENTOS!$D$5:$D$400="jabas")*(ROW(MOVIMIENTOS!$B$5:$B$400)&lt;=$L13)*MOVIMIENTOS!$E$5:$E$400)+SUMPRODUCT((MOVIMIENTOS!$B$5:$B$400="PROCESO")*(MOVIMIENTOS!$C$5:$C$400="M")*(MOVIMIENTOS!$D$5:$D$400="jabas")*(ROW(MOVIMIENTOS!$B$5:$B$400)&lt;=$L13)*MOVIMIENTOS!$E$5:$E$400)-SUMPRODUCT((MOVIMIENTOS!$B$5:$B$400="ENVÍO A SUPESA")*(MOVIMIENTOS!$C$5:$C$400="M")*(MOVIMIENTOS!$D$5:$D$400="jabas")*(ROW(MOVIMIENTOS!$B$5:$B$400)&lt;=$L13)*MOVIMIENTOS!$E$5:$E$400)+SUMPRODUCT((MOVIMIENTOS!$B$5:$B$400="DEVOLUCIÓN")*(MOVIMIENTOS!$C$5:$C$400="M")*(MOVIMIENTOS!$D$5:$D$400="jabas")*(ROW(MOVIMIENTOS!$B$5:$B$400)&lt;=$L13)*MOVIMIENTOS!$E$5:$E$400)-SUMPRODUCT((MOVIMIENTOS!$B$5:$B$400="TRASIEGO")*(MOVIMIENTOS!$C$5:$C$400="M")*(MOVIMIENTOS!$D$5:$D$400="jabas")*(ROW(MOVIMIENTOS!$B$5:$B$400)&lt;=$L13)*MOVIMIENTOS!$E$5:$E$400)-SUMPRODUCT((MOVIMIENTOS!$B$5:$B$400="REGALO")*(MOVIMIENTOS!$C$5:$C$400="M")*(MOVIMIENTOS!$D$5:$D$400="jabas")*(ROW(MOVIMIENTOS!$B$5:$B$400)&lt;=$L13)*MOVIMIENTOS!$E$5:$E$400)-SUMPRODUCT((MOVIMIENTOS!$B$5:$B$400="VENTA")*(MOVIMIENTOS!$C$5:$C$400="M")*(MOVIMIENTOS!$D$5:$D$400="jabas")*(ROW(MOVIMIENTOS!$B$5:$B$400)&lt;=$L13)*MOVIMIENTOS!$E$5:$E$400)+SUMPRODUCT((MOVIMIENTOS!$B$5:$B$400="AJUSTE")*(MOVIMIENTOS!$C$5:$C$400="M")*(MOVIMIENTOS!$D$5:$D$400="jabas")*(ROW(MOVIMIENTOS!$B$5:$B$400)&lt;=$L13)*MOVIMIENTOS!$E$5:$E$400))</f>
        <v>60</v>
      </c>
      <c r="F13" s="12">
        <f>IF($A13="","",SUMPRODUCT((MOVIMIENTOS!$B$5:$B$400="SALDO INICIAL")*(MOVIMIENTOS!$C$5:$C$400="Chancho")*(MOVIMIENTOS!$D$5:$D$400="sacos")*(ROW(MOVIMIENTOS!$B$5:$B$400)&lt;=$L13)*MOVIMIENTOS!$E$5:$E$400)+SUMPRODUCT((MOVIMIENTOS!$B$5:$B$400="PROCESO")*(MOVIMIENTOS!$C$5:$C$400="Chancho")*(MOVIMIENTOS!$D$5:$D$400="sacos")*(ROW(MOVIMIENTOS!$B$5:$B$400)&lt;=$L13)*MOVIMIENTOS!$E$5:$E$400)-SUMPRODUCT((MOVIMIENTOS!$B$5:$B$400="VENTA CHANCHO")*(MOVIMIENTOS!$C$5:$C$400="Chancho")*(MOVIMIENTOS!$D$5:$D$400="sacos")*(ROW(MOVIMIENTOS!$B$5:$B$400)&lt;=$L13)*MOVIMIENTOS!$E$5:$E$400)-SUMPRODUCT((MOVIMIENTOS!$B$5:$B$400="REGALO")*(MOVIMIENTOS!$C$5:$C$400="Chancho")*(MOVIMIENTOS!$D$5:$D$400="sacos")*(ROW(MOVIMIENTOS!$B$5:$B$400)&lt;=$L13)*MOVIMIENTOS!$E$5:$E$400)-SUMPRODUCT((MOVIMIENTOS!$B$5:$B$400="VENTA")*(MOVIMIENTOS!$C$5:$C$400="Chancho")*(MOVIMIENTOS!$D$5:$D$400="sacos")*(ROW(MOVIMIENTOS!$B$5:$B$400)&lt;=$L13)*MOVIMIENTOS!$E$5:$E$400)+SUMPRODUCT((MOVIMIENTOS!$B$5:$B$400="AJUSTE")*(MOVIMIENTOS!$C$5:$C$400="Chancho")*(MOVIMIENTOS!$D$5:$D$400="sacos")*(ROW(MOVIMIENTOS!$B$5:$B$400)&lt;=$L13)*MOVIMIENTOS!$E$5:$E$400))</f>
        <v>18.5</v>
      </c>
      <c r="G13" s="12">
        <f t="shared" si="1"/>
        <v>103</v>
      </c>
      <c r="H13" s="12">
        <f>IF($A13="","",SUMPRODUCT((((MOVIMIENTOS!$B$5:$B$400="SALDO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13)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13)*MOVIMIENTOS!$I$5:$I$400))</f>
        <v>1298.5</v>
      </c>
      <c r="J13" t="str">
        <f>IF(AND(MOVIMIENTOS!$A13&lt;&gt;"",COUNTIF(MOVIMIENTOS!$A$5:$A12,MOVIMIENTOS!$A13)=0),COUNT(J$4:J12)+1,"")</f>
        <v/>
      </c>
      <c r="K13" s="10">
        <f>MOVIMIENTOS!$A13</f>
        <v>46215</v>
      </c>
      <c r="L13">
        <f>IF($A13="","",SUMPRODUCT(MAX((MOVIMIENTOS!$A$5:$A$400=$A13)*ROW(MOVIMIENTOS!$A$5:$A$400))))</f>
        <v>88</v>
      </c>
    </row>
    <row r="14" spans="1:12" x14ac:dyDescent="0.2">
      <c r="A14" s="11">
        <f t="shared" si="0"/>
        <v>46223</v>
      </c>
      <c r="B14" s="12">
        <f>IF($A14="","",SUMPRODUCT((MOVIMIENTOS!$B$5:$B$400="SALDO INICIAL")*(MOVIMIENTOS!$C$5:$C$400="A")*(MOVIMIENTOS!$D$5:$D$400="jabas")*(ROW(MOVIMIENTOS!$B$5:$B$400)&lt;=$L14)*MOVIMIENTOS!$E$5:$E$400)+SUMPRODUCT((MOVIMIENTOS!$B$5:$B$400="PROCESO")*(MOVIMIENTOS!$C$5:$C$400="A")*(MOVIMIENTOS!$D$5:$D$400="jabas")*(ROW(MOVIMIENTOS!$B$5:$B$400)&lt;=$L14)*MOVIMIENTOS!$E$5:$E$400)-SUMPRODUCT((MOVIMIENTOS!$B$5:$B$400="ENVÍO A SUPESA")*(MOVIMIENTOS!$C$5:$C$400="A")*(MOVIMIENTOS!$D$5:$D$400="jabas")*(ROW(MOVIMIENTOS!$B$5:$B$400)&lt;=$L14)*MOVIMIENTOS!$E$5:$E$400)+SUMPRODUCT((MOVIMIENTOS!$B$5:$B$400="DEVOLUCIÓN")*(MOVIMIENTOS!$C$5:$C$400="A")*(MOVIMIENTOS!$D$5:$D$400="jabas")*(ROW(MOVIMIENTOS!$B$5:$B$400)&lt;=$L14)*MOVIMIENTOS!$E$5:$E$400)-SUMPRODUCT((MOVIMIENTOS!$B$5:$B$400="TRASIEGO")*(MOVIMIENTOS!$C$5:$C$400="A")*(MOVIMIENTOS!$D$5:$D$400="jabas")*(ROW(MOVIMIENTOS!$B$5:$B$400)&lt;=$L14)*MOVIMIENTOS!$E$5:$E$400)-SUMPRODUCT((MOVIMIENTOS!$B$5:$B$400="REGALO")*(MOVIMIENTOS!$C$5:$C$400="A")*(MOVIMIENTOS!$D$5:$D$400="jabas")*(ROW(MOVIMIENTOS!$B$5:$B$400)&lt;=$L14)*MOVIMIENTOS!$E$5:$E$400)-SUMPRODUCT((MOVIMIENTOS!$B$5:$B$400="VENTA")*(MOVIMIENTOS!$C$5:$C$400="A")*(MOVIMIENTOS!$D$5:$D$400="jabas")*(ROW(MOVIMIENTOS!$B$5:$B$400)&lt;=$L14)*MOVIMIENTOS!$E$5:$E$400)+SUMPRODUCT((MOVIMIENTOS!$B$5:$B$400="AJUSTE")*(MOVIMIENTOS!$C$5:$C$400="A")*(MOVIMIENTOS!$D$5:$D$400="jabas")*(ROW(MOVIMIENTOS!$B$5:$B$400)&lt;=$L14)*MOVIMIENTOS!$E$5:$E$400))</f>
        <v>44</v>
      </c>
      <c r="C14" s="12">
        <f>IF($A14="","",SUMPRODUCT((MOVIMIENTOS!$B$5:$B$400="SALDO INICIAL")*(MOVIMIENTOS!$C$5:$C$400="P")*(MOVIMIENTOS!$D$5:$D$400="jabas")*(ROW(MOVIMIENTOS!$B$5:$B$400)&lt;=$L14)*MOVIMIENTOS!$E$5:$E$400)+SUMPRODUCT((MOVIMIENTOS!$B$5:$B$400="PROCESO")*(MOVIMIENTOS!$C$5:$C$400="P")*(MOVIMIENTOS!$D$5:$D$400="jabas")*(ROW(MOVIMIENTOS!$B$5:$B$400)&lt;=$L14)*MOVIMIENTOS!$E$5:$E$400)-SUMPRODUCT((MOVIMIENTOS!$B$5:$B$400="ENVÍO A SUPESA")*(MOVIMIENTOS!$C$5:$C$400="P")*(MOVIMIENTOS!$D$5:$D$400="jabas")*(ROW(MOVIMIENTOS!$B$5:$B$400)&lt;=$L14)*MOVIMIENTOS!$E$5:$E$400)+SUMPRODUCT((MOVIMIENTOS!$B$5:$B$400="DEVOLUCIÓN")*(MOVIMIENTOS!$C$5:$C$400="P")*(MOVIMIENTOS!$D$5:$D$400="jabas")*(ROW(MOVIMIENTOS!$B$5:$B$400)&lt;=$L14)*MOVIMIENTOS!$E$5:$E$400)-SUMPRODUCT((MOVIMIENTOS!$B$5:$B$400="TRASIEGO")*(MOVIMIENTOS!$C$5:$C$400="P")*(MOVIMIENTOS!$D$5:$D$400="jabas")*(ROW(MOVIMIENTOS!$B$5:$B$400)&lt;=$L14)*MOVIMIENTOS!$E$5:$E$400)-SUMPRODUCT((MOVIMIENTOS!$B$5:$B$400="REGALO")*(MOVIMIENTOS!$C$5:$C$400="P")*(MOVIMIENTOS!$D$5:$D$400="jabas")*(ROW(MOVIMIENTOS!$B$5:$B$400)&lt;=$L14)*MOVIMIENTOS!$E$5:$E$400)-SUMPRODUCT((MOVIMIENTOS!$B$5:$B$400="VENTA")*(MOVIMIENTOS!$C$5:$C$400="P")*(MOVIMIENTOS!$D$5:$D$400="jabas")*(ROW(MOVIMIENTOS!$B$5:$B$400)&lt;=$L14)*MOVIMIENTOS!$E$5:$E$400)+SUMPRODUCT((MOVIMIENTOS!$B$5:$B$400="AJUSTE")*(MOVIMIENTOS!$C$5:$C$400="P")*(MOVIMIENTOS!$D$5:$D$400="jabas")*(ROW(MOVIMIENTOS!$B$5:$B$400)&lt;=$L14)*MOVIMIENTOS!$E$5:$E$400))</f>
        <v>11</v>
      </c>
      <c r="D14" s="12">
        <f>IF($A14="","",SUMPRODUCT((MOVIMIENTOS!$B$5:$B$400="SALDO INICIAL")*(MOVIMIENTOS!$C$5:$C$400="C")*(MOVIMIENTOS!$D$5:$D$400="jabas")*(ROW(MOVIMIENTOS!$B$5:$B$400)&lt;=$L14)*MOVIMIENTOS!$E$5:$E$400)+SUMPRODUCT((MOVIMIENTOS!$B$5:$B$400="PROCESO")*(MOVIMIENTOS!$C$5:$C$400="C")*(MOVIMIENTOS!$D$5:$D$400="jabas")*(ROW(MOVIMIENTOS!$B$5:$B$400)&lt;=$L14)*MOVIMIENTOS!$E$5:$E$400)-SUMPRODUCT((MOVIMIENTOS!$B$5:$B$400="ENVÍO A SUPESA")*(MOVIMIENTOS!$C$5:$C$400="C")*(MOVIMIENTOS!$D$5:$D$400="jabas")*(ROW(MOVIMIENTOS!$B$5:$B$400)&lt;=$L14)*MOVIMIENTOS!$E$5:$E$400)+SUMPRODUCT((MOVIMIENTOS!$B$5:$B$400="DEVOLUCIÓN")*(MOVIMIENTOS!$C$5:$C$400="C")*(MOVIMIENTOS!$D$5:$D$400="jabas")*(ROW(MOVIMIENTOS!$B$5:$B$400)&lt;=$L14)*MOVIMIENTOS!$E$5:$E$400)-SUMPRODUCT((MOVIMIENTOS!$B$5:$B$400="TRASIEGO")*(MOVIMIENTOS!$C$5:$C$400="C")*(MOVIMIENTOS!$D$5:$D$400="jabas")*(ROW(MOVIMIENTOS!$B$5:$B$400)&lt;=$L14)*MOVIMIENTOS!$E$5:$E$400)-SUMPRODUCT((MOVIMIENTOS!$B$5:$B$400="REGALO")*(MOVIMIENTOS!$C$5:$C$400="C")*(MOVIMIENTOS!$D$5:$D$400="jabas")*(ROW(MOVIMIENTOS!$B$5:$B$400)&lt;=$L14)*MOVIMIENTOS!$E$5:$E$400)-SUMPRODUCT((MOVIMIENTOS!$B$5:$B$400="VENTA")*(MOVIMIENTOS!$C$5:$C$400="C")*(MOVIMIENTOS!$D$5:$D$400="jabas")*(ROW(MOVIMIENTOS!$B$5:$B$400)&lt;=$L14)*MOVIMIENTOS!$E$5:$E$400)+SUMPRODUCT((MOVIMIENTOS!$B$5:$B$400="AJUSTE")*(MOVIMIENTOS!$C$5:$C$400="C")*(MOVIMIENTOS!$D$5:$D$400="jabas")*(ROW(MOVIMIENTOS!$B$5:$B$400)&lt;=$L14)*MOVIMIENTOS!$E$5:$E$400))</f>
        <v>10</v>
      </c>
      <c r="E14" s="12">
        <f>IF($A14="","",SUMPRODUCT((MOVIMIENTOS!$B$5:$B$400="SALDO INICIAL")*(MOVIMIENTOS!$C$5:$C$400="M")*(MOVIMIENTOS!$D$5:$D$400="jabas")*(ROW(MOVIMIENTOS!$B$5:$B$400)&lt;=$L14)*MOVIMIENTOS!$E$5:$E$400)+SUMPRODUCT((MOVIMIENTOS!$B$5:$B$400="PROCESO")*(MOVIMIENTOS!$C$5:$C$400="M")*(MOVIMIENTOS!$D$5:$D$400="jabas")*(ROW(MOVIMIENTOS!$B$5:$B$400)&lt;=$L14)*MOVIMIENTOS!$E$5:$E$400)-SUMPRODUCT((MOVIMIENTOS!$B$5:$B$400="ENVÍO A SUPESA")*(MOVIMIENTOS!$C$5:$C$400="M")*(MOVIMIENTOS!$D$5:$D$400="jabas")*(ROW(MOVIMIENTOS!$B$5:$B$400)&lt;=$L14)*MOVIMIENTOS!$E$5:$E$400)+SUMPRODUCT((MOVIMIENTOS!$B$5:$B$400="DEVOLUCIÓN")*(MOVIMIENTOS!$C$5:$C$400="M")*(MOVIMIENTOS!$D$5:$D$400="jabas")*(ROW(MOVIMIENTOS!$B$5:$B$400)&lt;=$L14)*MOVIMIENTOS!$E$5:$E$400)-SUMPRODUCT((MOVIMIENTOS!$B$5:$B$400="TRASIEGO")*(MOVIMIENTOS!$C$5:$C$400="M")*(MOVIMIENTOS!$D$5:$D$400="jabas")*(ROW(MOVIMIENTOS!$B$5:$B$400)&lt;=$L14)*MOVIMIENTOS!$E$5:$E$400)-SUMPRODUCT((MOVIMIENTOS!$B$5:$B$400="REGALO")*(MOVIMIENTOS!$C$5:$C$400="M")*(MOVIMIENTOS!$D$5:$D$400="jabas")*(ROW(MOVIMIENTOS!$B$5:$B$400)&lt;=$L14)*MOVIMIENTOS!$E$5:$E$400)-SUMPRODUCT((MOVIMIENTOS!$B$5:$B$400="VENTA")*(MOVIMIENTOS!$C$5:$C$400="M")*(MOVIMIENTOS!$D$5:$D$400="jabas")*(ROW(MOVIMIENTOS!$B$5:$B$400)&lt;=$L14)*MOVIMIENTOS!$E$5:$E$400)+SUMPRODUCT((MOVIMIENTOS!$B$5:$B$400="AJUSTE")*(MOVIMIENTOS!$C$5:$C$400="M")*(MOVIMIENTOS!$D$5:$D$400="jabas")*(ROW(MOVIMIENTOS!$B$5:$B$400)&lt;=$L14)*MOVIMIENTOS!$E$5:$E$400))</f>
        <v>78</v>
      </c>
      <c r="F14" s="12">
        <f>IF($A14="","",SUMPRODUCT((MOVIMIENTOS!$B$5:$B$400="SALDO INICIAL")*(MOVIMIENTOS!$C$5:$C$400="Chancho")*(MOVIMIENTOS!$D$5:$D$400="sacos")*(ROW(MOVIMIENTOS!$B$5:$B$400)&lt;=$L14)*MOVIMIENTOS!$E$5:$E$400)+SUMPRODUCT((MOVIMIENTOS!$B$5:$B$400="PROCESO")*(MOVIMIENTOS!$C$5:$C$400="Chancho")*(MOVIMIENTOS!$D$5:$D$400="sacos")*(ROW(MOVIMIENTOS!$B$5:$B$400)&lt;=$L14)*MOVIMIENTOS!$E$5:$E$400)-SUMPRODUCT((MOVIMIENTOS!$B$5:$B$400="VENTA CHANCHO")*(MOVIMIENTOS!$C$5:$C$400="Chancho")*(MOVIMIENTOS!$D$5:$D$400="sacos")*(ROW(MOVIMIENTOS!$B$5:$B$400)&lt;=$L14)*MOVIMIENTOS!$E$5:$E$400)-SUMPRODUCT((MOVIMIENTOS!$B$5:$B$400="REGALO")*(MOVIMIENTOS!$C$5:$C$400="Chancho")*(MOVIMIENTOS!$D$5:$D$400="sacos")*(ROW(MOVIMIENTOS!$B$5:$B$400)&lt;=$L14)*MOVIMIENTOS!$E$5:$E$400)-SUMPRODUCT((MOVIMIENTOS!$B$5:$B$400="VENTA")*(MOVIMIENTOS!$C$5:$C$400="Chancho")*(MOVIMIENTOS!$D$5:$D$400="sacos")*(ROW(MOVIMIENTOS!$B$5:$B$400)&lt;=$L14)*MOVIMIENTOS!$E$5:$E$400)+SUMPRODUCT((MOVIMIENTOS!$B$5:$B$400="AJUSTE")*(MOVIMIENTOS!$C$5:$C$400="Chancho")*(MOVIMIENTOS!$D$5:$D$400="sacos")*(ROW(MOVIMIENTOS!$B$5:$B$400)&lt;=$L14)*MOVIMIENTOS!$E$5:$E$400))</f>
        <v>7</v>
      </c>
      <c r="G14" s="12">
        <f t="shared" si="1"/>
        <v>143</v>
      </c>
      <c r="H14" s="12">
        <f>IF($A14="","",SUMPRODUCT((((MOVIMIENTOS!$B$5:$B$400="SALDO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14)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14)*MOVIMIENTOS!$I$5:$I$400))</f>
        <v>4002</v>
      </c>
      <c r="J14" t="str">
        <f>IF(AND(MOVIMIENTOS!$A14&lt;&gt;"",COUNTIF(MOVIMIENTOS!$A$5:$A13,MOVIMIENTOS!$A14)=0),COUNT(J$4:J13)+1,"")</f>
        <v/>
      </c>
      <c r="K14" s="10">
        <f>MOVIMIENTOS!$A14</f>
        <v>46215</v>
      </c>
      <c r="L14">
        <f>IF($A14="","",SUMPRODUCT(MAX((MOVIMIENTOS!$A$5:$A$400=$A14)*ROW(MOVIMIENTOS!$A$5:$A$400))))</f>
        <v>102</v>
      </c>
    </row>
    <row r="15" spans="1:12" x14ac:dyDescent="0.2">
      <c r="A15" s="11">
        <f t="shared" si="0"/>
        <v>46224</v>
      </c>
      <c r="B15" s="12">
        <f>IF($A15="","",SUMPRODUCT((MOVIMIENTOS!$B$5:$B$400="SALDO INICIAL")*(MOVIMIENTOS!$C$5:$C$400="A")*(MOVIMIENTOS!$D$5:$D$400="jabas")*(ROW(MOVIMIENTOS!$B$5:$B$400)&lt;=$L15)*MOVIMIENTOS!$E$5:$E$400)+SUMPRODUCT((MOVIMIENTOS!$B$5:$B$400="PROCESO")*(MOVIMIENTOS!$C$5:$C$400="A")*(MOVIMIENTOS!$D$5:$D$400="jabas")*(ROW(MOVIMIENTOS!$B$5:$B$400)&lt;=$L15)*MOVIMIENTOS!$E$5:$E$400)-SUMPRODUCT((MOVIMIENTOS!$B$5:$B$400="ENVÍO A SUPESA")*(MOVIMIENTOS!$C$5:$C$400="A")*(MOVIMIENTOS!$D$5:$D$400="jabas")*(ROW(MOVIMIENTOS!$B$5:$B$400)&lt;=$L15)*MOVIMIENTOS!$E$5:$E$400)+SUMPRODUCT((MOVIMIENTOS!$B$5:$B$400="DEVOLUCIÓN")*(MOVIMIENTOS!$C$5:$C$400="A")*(MOVIMIENTOS!$D$5:$D$400="jabas")*(ROW(MOVIMIENTOS!$B$5:$B$400)&lt;=$L15)*MOVIMIENTOS!$E$5:$E$400)-SUMPRODUCT((MOVIMIENTOS!$B$5:$B$400="TRASIEGO")*(MOVIMIENTOS!$C$5:$C$400="A")*(MOVIMIENTOS!$D$5:$D$400="jabas")*(ROW(MOVIMIENTOS!$B$5:$B$400)&lt;=$L15)*MOVIMIENTOS!$E$5:$E$400)-SUMPRODUCT((MOVIMIENTOS!$B$5:$B$400="REGALO")*(MOVIMIENTOS!$C$5:$C$400="A")*(MOVIMIENTOS!$D$5:$D$400="jabas")*(ROW(MOVIMIENTOS!$B$5:$B$400)&lt;=$L15)*MOVIMIENTOS!$E$5:$E$400)-SUMPRODUCT((MOVIMIENTOS!$B$5:$B$400="VENTA")*(MOVIMIENTOS!$C$5:$C$400="A")*(MOVIMIENTOS!$D$5:$D$400="jabas")*(ROW(MOVIMIENTOS!$B$5:$B$400)&lt;=$L15)*MOVIMIENTOS!$E$5:$E$400)+SUMPRODUCT((MOVIMIENTOS!$B$5:$B$400="AJUSTE")*(MOVIMIENTOS!$C$5:$C$400="A")*(MOVIMIENTOS!$D$5:$D$400="jabas")*(ROW(MOVIMIENTOS!$B$5:$B$400)&lt;=$L15)*MOVIMIENTOS!$E$5:$E$400))</f>
        <v>67</v>
      </c>
      <c r="C15" s="12">
        <f>IF($A15="","",SUMPRODUCT((MOVIMIENTOS!$B$5:$B$400="SALDO INICIAL")*(MOVIMIENTOS!$C$5:$C$400="P")*(MOVIMIENTOS!$D$5:$D$400="jabas")*(ROW(MOVIMIENTOS!$B$5:$B$400)&lt;=$L15)*MOVIMIENTOS!$E$5:$E$400)+SUMPRODUCT((MOVIMIENTOS!$B$5:$B$400="PROCESO")*(MOVIMIENTOS!$C$5:$C$400="P")*(MOVIMIENTOS!$D$5:$D$400="jabas")*(ROW(MOVIMIENTOS!$B$5:$B$400)&lt;=$L15)*MOVIMIENTOS!$E$5:$E$400)-SUMPRODUCT((MOVIMIENTOS!$B$5:$B$400="ENVÍO A SUPESA")*(MOVIMIENTOS!$C$5:$C$400="P")*(MOVIMIENTOS!$D$5:$D$400="jabas")*(ROW(MOVIMIENTOS!$B$5:$B$400)&lt;=$L15)*MOVIMIENTOS!$E$5:$E$400)+SUMPRODUCT((MOVIMIENTOS!$B$5:$B$400="DEVOLUCIÓN")*(MOVIMIENTOS!$C$5:$C$400="P")*(MOVIMIENTOS!$D$5:$D$400="jabas")*(ROW(MOVIMIENTOS!$B$5:$B$400)&lt;=$L15)*MOVIMIENTOS!$E$5:$E$400)-SUMPRODUCT((MOVIMIENTOS!$B$5:$B$400="TRASIEGO")*(MOVIMIENTOS!$C$5:$C$400="P")*(MOVIMIENTOS!$D$5:$D$400="jabas")*(ROW(MOVIMIENTOS!$B$5:$B$400)&lt;=$L15)*MOVIMIENTOS!$E$5:$E$400)-SUMPRODUCT((MOVIMIENTOS!$B$5:$B$400="REGALO")*(MOVIMIENTOS!$C$5:$C$400="P")*(MOVIMIENTOS!$D$5:$D$400="jabas")*(ROW(MOVIMIENTOS!$B$5:$B$400)&lt;=$L15)*MOVIMIENTOS!$E$5:$E$400)-SUMPRODUCT((MOVIMIENTOS!$B$5:$B$400="VENTA")*(MOVIMIENTOS!$C$5:$C$400="P")*(MOVIMIENTOS!$D$5:$D$400="jabas")*(ROW(MOVIMIENTOS!$B$5:$B$400)&lt;=$L15)*MOVIMIENTOS!$E$5:$E$400)+SUMPRODUCT((MOVIMIENTOS!$B$5:$B$400="AJUSTE")*(MOVIMIENTOS!$C$5:$C$400="P")*(MOVIMIENTOS!$D$5:$D$400="jabas")*(ROW(MOVIMIENTOS!$B$5:$B$400)&lt;=$L15)*MOVIMIENTOS!$E$5:$E$400))</f>
        <v>11</v>
      </c>
      <c r="D15" s="12">
        <f>IF($A15="","",SUMPRODUCT((MOVIMIENTOS!$B$5:$B$400="SALDO INICIAL")*(MOVIMIENTOS!$C$5:$C$400="C")*(MOVIMIENTOS!$D$5:$D$400="jabas")*(ROW(MOVIMIENTOS!$B$5:$B$400)&lt;=$L15)*MOVIMIENTOS!$E$5:$E$400)+SUMPRODUCT((MOVIMIENTOS!$B$5:$B$400="PROCESO")*(MOVIMIENTOS!$C$5:$C$400="C")*(MOVIMIENTOS!$D$5:$D$400="jabas")*(ROW(MOVIMIENTOS!$B$5:$B$400)&lt;=$L15)*MOVIMIENTOS!$E$5:$E$400)-SUMPRODUCT((MOVIMIENTOS!$B$5:$B$400="ENVÍO A SUPESA")*(MOVIMIENTOS!$C$5:$C$400="C")*(MOVIMIENTOS!$D$5:$D$400="jabas")*(ROW(MOVIMIENTOS!$B$5:$B$400)&lt;=$L15)*MOVIMIENTOS!$E$5:$E$400)+SUMPRODUCT((MOVIMIENTOS!$B$5:$B$400="DEVOLUCIÓN")*(MOVIMIENTOS!$C$5:$C$400="C")*(MOVIMIENTOS!$D$5:$D$400="jabas")*(ROW(MOVIMIENTOS!$B$5:$B$400)&lt;=$L15)*MOVIMIENTOS!$E$5:$E$400)-SUMPRODUCT((MOVIMIENTOS!$B$5:$B$400="TRASIEGO")*(MOVIMIENTOS!$C$5:$C$400="C")*(MOVIMIENTOS!$D$5:$D$400="jabas")*(ROW(MOVIMIENTOS!$B$5:$B$400)&lt;=$L15)*MOVIMIENTOS!$E$5:$E$400)-SUMPRODUCT((MOVIMIENTOS!$B$5:$B$400="REGALO")*(MOVIMIENTOS!$C$5:$C$400="C")*(MOVIMIENTOS!$D$5:$D$400="jabas")*(ROW(MOVIMIENTOS!$B$5:$B$400)&lt;=$L15)*MOVIMIENTOS!$E$5:$E$400)-SUMPRODUCT((MOVIMIENTOS!$B$5:$B$400="VENTA")*(MOVIMIENTOS!$C$5:$C$400="C")*(MOVIMIENTOS!$D$5:$D$400="jabas")*(ROW(MOVIMIENTOS!$B$5:$B$400)&lt;=$L15)*MOVIMIENTOS!$E$5:$E$400)+SUMPRODUCT((MOVIMIENTOS!$B$5:$B$400="AJUSTE")*(MOVIMIENTOS!$C$5:$C$400="C")*(MOVIMIENTOS!$D$5:$D$400="jabas")*(ROW(MOVIMIENTOS!$B$5:$B$400)&lt;=$L15)*MOVIMIENTOS!$E$5:$E$400))</f>
        <v>12</v>
      </c>
      <c r="E15" s="12">
        <f>IF($A15="","",SUMPRODUCT((MOVIMIENTOS!$B$5:$B$400="SALDO INICIAL")*(MOVIMIENTOS!$C$5:$C$400="M")*(MOVIMIENTOS!$D$5:$D$400="jabas")*(ROW(MOVIMIENTOS!$B$5:$B$400)&lt;=$L15)*MOVIMIENTOS!$E$5:$E$400)+SUMPRODUCT((MOVIMIENTOS!$B$5:$B$400="PROCESO")*(MOVIMIENTOS!$C$5:$C$400="M")*(MOVIMIENTOS!$D$5:$D$400="jabas")*(ROW(MOVIMIENTOS!$B$5:$B$400)&lt;=$L15)*MOVIMIENTOS!$E$5:$E$400)-SUMPRODUCT((MOVIMIENTOS!$B$5:$B$400="ENVÍO A SUPESA")*(MOVIMIENTOS!$C$5:$C$400="M")*(MOVIMIENTOS!$D$5:$D$400="jabas")*(ROW(MOVIMIENTOS!$B$5:$B$400)&lt;=$L15)*MOVIMIENTOS!$E$5:$E$400)+SUMPRODUCT((MOVIMIENTOS!$B$5:$B$400="DEVOLUCIÓN")*(MOVIMIENTOS!$C$5:$C$400="M")*(MOVIMIENTOS!$D$5:$D$400="jabas")*(ROW(MOVIMIENTOS!$B$5:$B$400)&lt;=$L15)*MOVIMIENTOS!$E$5:$E$400)-SUMPRODUCT((MOVIMIENTOS!$B$5:$B$400="TRASIEGO")*(MOVIMIENTOS!$C$5:$C$400="M")*(MOVIMIENTOS!$D$5:$D$400="jabas")*(ROW(MOVIMIENTOS!$B$5:$B$400)&lt;=$L15)*MOVIMIENTOS!$E$5:$E$400)-SUMPRODUCT((MOVIMIENTOS!$B$5:$B$400="REGALO")*(MOVIMIENTOS!$C$5:$C$400="M")*(MOVIMIENTOS!$D$5:$D$400="jabas")*(ROW(MOVIMIENTOS!$B$5:$B$400)&lt;=$L15)*MOVIMIENTOS!$E$5:$E$400)-SUMPRODUCT((MOVIMIENTOS!$B$5:$B$400="VENTA")*(MOVIMIENTOS!$C$5:$C$400="M")*(MOVIMIENTOS!$D$5:$D$400="jabas")*(ROW(MOVIMIENTOS!$B$5:$B$400)&lt;=$L15)*MOVIMIENTOS!$E$5:$E$400)+SUMPRODUCT((MOVIMIENTOS!$B$5:$B$400="AJUSTE")*(MOVIMIENTOS!$C$5:$C$400="M")*(MOVIMIENTOS!$D$5:$D$400="jabas")*(ROW(MOVIMIENTOS!$B$5:$B$400)&lt;=$L15)*MOVIMIENTOS!$E$5:$E$400))</f>
        <v>111</v>
      </c>
      <c r="F15" s="12">
        <f>IF($A15="","",SUMPRODUCT((MOVIMIENTOS!$B$5:$B$400="SALDO INICIAL")*(MOVIMIENTOS!$C$5:$C$400="Chancho")*(MOVIMIENTOS!$D$5:$D$400="sacos")*(ROW(MOVIMIENTOS!$B$5:$B$400)&lt;=$L15)*MOVIMIENTOS!$E$5:$E$400)+SUMPRODUCT((MOVIMIENTOS!$B$5:$B$400="PROCESO")*(MOVIMIENTOS!$C$5:$C$400="Chancho")*(MOVIMIENTOS!$D$5:$D$400="sacos")*(ROW(MOVIMIENTOS!$B$5:$B$400)&lt;=$L15)*MOVIMIENTOS!$E$5:$E$400)-SUMPRODUCT((MOVIMIENTOS!$B$5:$B$400="VENTA CHANCHO")*(MOVIMIENTOS!$C$5:$C$400="Chancho")*(MOVIMIENTOS!$D$5:$D$400="sacos")*(ROW(MOVIMIENTOS!$B$5:$B$400)&lt;=$L15)*MOVIMIENTOS!$E$5:$E$400)-SUMPRODUCT((MOVIMIENTOS!$B$5:$B$400="REGALO")*(MOVIMIENTOS!$C$5:$C$400="Chancho")*(MOVIMIENTOS!$D$5:$D$400="sacos")*(ROW(MOVIMIENTOS!$B$5:$B$400)&lt;=$L15)*MOVIMIENTOS!$E$5:$E$400)-SUMPRODUCT((MOVIMIENTOS!$B$5:$B$400="VENTA")*(MOVIMIENTOS!$C$5:$C$400="Chancho")*(MOVIMIENTOS!$D$5:$D$400="sacos")*(ROW(MOVIMIENTOS!$B$5:$B$400)&lt;=$L15)*MOVIMIENTOS!$E$5:$E$400)+SUMPRODUCT((MOVIMIENTOS!$B$5:$B$400="AJUSTE")*(MOVIMIENTOS!$C$5:$C$400="Chancho")*(MOVIMIENTOS!$D$5:$D$400="sacos")*(ROW(MOVIMIENTOS!$B$5:$B$400)&lt;=$L15)*MOVIMIENTOS!$E$5:$E$400))</f>
        <v>14</v>
      </c>
      <c r="G15" s="12">
        <f t="shared" si="1"/>
        <v>201</v>
      </c>
      <c r="H15" s="12">
        <f>IF($A15="","",SUMPRODUCT((((MOVIMIENTOS!$B$5:$B$400="SALDO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15)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15)*MOVIMIENTOS!$I$5:$I$400))</f>
        <v>6712</v>
      </c>
      <c r="J15" t="str">
        <f>IF(AND(MOVIMIENTOS!$A15&lt;&gt;"",COUNTIF(MOVIMIENTOS!$A$5:$A14,MOVIMIENTOS!$A15)=0),COUNT(J$4:J14)+1,"")</f>
        <v/>
      </c>
      <c r="K15" s="10">
        <f>MOVIMIENTOS!$A15</f>
        <v>46215</v>
      </c>
      <c r="L15">
        <f>IF($A15="","",SUMPRODUCT(MAX((MOVIMIENTOS!$A$5:$A$400=$A15)*ROW(MOVIMIENTOS!$A$5:$A$400))))</f>
        <v>120</v>
      </c>
    </row>
    <row r="16" spans="1:12" x14ac:dyDescent="0.2">
      <c r="A16" s="11">
        <f t="shared" si="0"/>
        <v>46225</v>
      </c>
      <c r="B16" s="12">
        <f>IF($A16="","",SUMPRODUCT((MOVIMIENTOS!$B$5:$B$400="SALDO INICIAL")*(MOVIMIENTOS!$C$5:$C$400="A")*(MOVIMIENTOS!$D$5:$D$400="jabas")*(ROW(MOVIMIENTOS!$B$5:$B$400)&lt;=$L16)*MOVIMIENTOS!$E$5:$E$400)+SUMPRODUCT((MOVIMIENTOS!$B$5:$B$400="PROCESO")*(MOVIMIENTOS!$C$5:$C$400="A")*(MOVIMIENTOS!$D$5:$D$400="jabas")*(ROW(MOVIMIENTOS!$B$5:$B$400)&lt;=$L16)*MOVIMIENTOS!$E$5:$E$400)-SUMPRODUCT((MOVIMIENTOS!$B$5:$B$400="ENVÍO A SUPESA")*(MOVIMIENTOS!$C$5:$C$400="A")*(MOVIMIENTOS!$D$5:$D$400="jabas")*(ROW(MOVIMIENTOS!$B$5:$B$400)&lt;=$L16)*MOVIMIENTOS!$E$5:$E$400)+SUMPRODUCT((MOVIMIENTOS!$B$5:$B$400="DEVOLUCIÓN")*(MOVIMIENTOS!$C$5:$C$400="A")*(MOVIMIENTOS!$D$5:$D$400="jabas")*(ROW(MOVIMIENTOS!$B$5:$B$400)&lt;=$L16)*MOVIMIENTOS!$E$5:$E$400)-SUMPRODUCT((MOVIMIENTOS!$B$5:$B$400="TRASIEGO")*(MOVIMIENTOS!$C$5:$C$400="A")*(MOVIMIENTOS!$D$5:$D$400="jabas")*(ROW(MOVIMIENTOS!$B$5:$B$400)&lt;=$L16)*MOVIMIENTOS!$E$5:$E$400)-SUMPRODUCT((MOVIMIENTOS!$B$5:$B$400="REGALO")*(MOVIMIENTOS!$C$5:$C$400="A")*(MOVIMIENTOS!$D$5:$D$400="jabas")*(ROW(MOVIMIENTOS!$B$5:$B$400)&lt;=$L16)*MOVIMIENTOS!$E$5:$E$400)-SUMPRODUCT((MOVIMIENTOS!$B$5:$B$400="VENTA")*(MOVIMIENTOS!$C$5:$C$400="A")*(MOVIMIENTOS!$D$5:$D$400="jabas")*(ROW(MOVIMIENTOS!$B$5:$B$400)&lt;=$L16)*MOVIMIENTOS!$E$5:$E$400)+SUMPRODUCT((MOVIMIENTOS!$B$5:$B$400="AJUSTE")*(MOVIMIENTOS!$C$5:$C$400="A")*(MOVIMIENTOS!$D$5:$D$400="jabas")*(ROW(MOVIMIENTOS!$B$5:$B$400)&lt;=$L16)*MOVIMIENTOS!$E$5:$E$400))</f>
        <v>64</v>
      </c>
      <c r="C16" s="12">
        <f>IF($A16="","",SUMPRODUCT((MOVIMIENTOS!$B$5:$B$400="SALDO INICIAL")*(MOVIMIENTOS!$C$5:$C$400="P")*(MOVIMIENTOS!$D$5:$D$400="jabas")*(ROW(MOVIMIENTOS!$B$5:$B$400)&lt;=$L16)*MOVIMIENTOS!$E$5:$E$400)+SUMPRODUCT((MOVIMIENTOS!$B$5:$B$400="PROCESO")*(MOVIMIENTOS!$C$5:$C$400="P")*(MOVIMIENTOS!$D$5:$D$400="jabas")*(ROW(MOVIMIENTOS!$B$5:$B$400)&lt;=$L16)*MOVIMIENTOS!$E$5:$E$400)-SUMPRODUCT((MOVIMIENTOS!$B$5:$B$400="ENVÍO A SUPESA")*(MOVIMIENTOS!$C$5:$C$400="P")*(MOVIMIENTOS!$D$5:$D$400="jabas")*(ROW(MOVIMIENTOS!$B$5:$B$400)&lt;=$L16)*MOVIMIENTOS!$E$5:$E$400)+SUMPRODUCT((MOVIMIENTOS!$B$5:$B$400="DEVOLUCIÓN")*(MOVIMIENTOS!$C$5:$C$400="P")*(MOVIMIENTOS!$D$5:$D$400="jabas")*(ROW(MOVIMIENTOS!$B$5:$B$400)&lt;=$L16)*MOVIMIENTOS!$E$5:$E$400)-SUMPRODUCT((MOVIMIENTOS!$B$5:$B$400="TRASIEGO")*(MOVIMIENTOS!$C$5:$C$400="P")*(MOVIMIENTOS!$D$5:$D$400="jabas")*(ROW(MOVIMIENTOS!$B$5:$B$400)&lt;=$L16)*MOVIMIENTOS!$E$5:$E$400)-SUMPRODUCT((MOVIMIENTOS!$B$5:$B$400="REGALO")*(MOVIMIENTOS!$C$5:$C$400="P")*(MOVIMIENTOS!$D$5:$D$400="jabas")*(ROW(MOVIMIENTOS!$B$5:$B$400)&lt;=$L16)*MOVIMIENTOS!$E$5:$E$400)-SUMPRODUCT((MOVIMIENTOS!$B$5:$B$400="VENTA")*(MOVIMIENTOS!$C$5:$C$400="P")*(MOVIMIENTOS!$D$5:$D$400="jabas")*(ROW(MOVIMIENTOS!$B$5:$B$400)&lt;=$L16)*MOVIMIENTOS!$E$5:$E$400)+SUMPRODUCT((MOVIMIENTOS!$B$5:$B$400="AJUSTE")*(MOVIMIENTOS!$C$5:$C$400="P")*(MOVIMIENTOS!$D$5:$D$400="jabas")*(ROW(MOVIMIENTOS!$B$5:$B$400)&lt;=$L16)*MOVIMIENTOS!$E$5:$E$400))</f>
        <v>11</v>
      </c>
      <c r="D16" s="12">
        <f>IF($A16="","",SUMPRODUCT((MOVIMIENTOS!$B$5:$B$400="SALDO INICIAL")*(MOVIMIENTOS!$C$5:$C$400="C")*(MOVIMIENTOS!$D$5:$D$400="jabas")*(ROW(MOVIMIENTOS!$B$5:$B$400)&lt;=$L16)*MOVIMIENTOS!$E$5:$E$400)+SUMPRODUCT((MOVIMIENTOS!$B$5:$B$400="PROCESO")*(MOVIMIENTOS!$C$5:$C$400="C")*(MOVIMIENTOS!$D$5:$D$400="jabas")*(ROW(MOVIMIENTOS!$B$5:$B$400)&lt;=$L16)*MOVIMIENTOS!$E$5:$E$400)-SUMPRODUCT((MOVIMIENTOS!$B$5:$B$400="ENVÍO A SUPESA")*(MOVIMIENTOS!$C$5:$C$400="C")*(MOVIMIENTOS!$D$5:$D$400="jabas")*(ROW(MOVIMIENTOS!$B$5:$B$400)&lt;=$L16)*MOVIMIENTOS!$E$5:$E$400)+SUMPRODUCT((MOVIMIENTOS!$B$5:$B$400="DEVOLUCIÓN")*(MOVIMIENTOS!$C$5:$C$400="C")*(MOVIMIENTOS!$D$5:$D$400="jabas")*(ROW(MOVIMIENTOS!$B$5:$B$400)&lt;=$L16)*MOVIMIENTOS!$E$5:$E$400)-SUMPRODUCT((MOVIMIENTOS!$B$5:$B$400="TRASIEGO")*(MOVIMIENTOS!$C$5:$C$400="C")*(MOVIMIENTOS!$D$5:$D$400="jabas")*(ROW(MOVIMIENTOS!$B$5:$B$400)&lt;=$L16)*MOVIMIENTOS!$E$5:$E$400)-SUMPRODUCT((MOVIMIENTOS!$B$5:$B$400="REGALO")*(MOVIMIENTOS!$C$5:$C$400="C")*(MOVIMIENTOS!$D$5:$D$400="jabas")*(ROW(MOVIMIENTOS!$B$5:$B$400)&lt;=$L16)*MOVIMIENTOS!$E$5:$E$400)-SUMPRODUCT((MOVIMIENTOS!$B$5:$B$400="VENTA")*(MOVIMIENTOS!$C$5:$C$400="C")*(MOVIMIENTOS!$D$5:$D$400="jabas")*(ROW(MOVIMIENTOS!$B$5:$B$400)&lt;=$L16)*MOVIMIENTOS!$E$5:$E$400)+SUMPRODUCT((MOVIMIENTOS!$B$5:$B$400="AJUSTE")*(MOVIMIENTOS!$C$5:$C$400="C")*(MOVIMIENTOS!$D$5:$D$400="jabas")*(ROW(MOVIMIENTOS!$B$5:$B$400)&lt;=$L16)*MOVIMIENTOS!$E$5:$E$400))</f>
        <v>12</v>
      </c>
      <c r="E16" s="12">
        <f>IF($A16="","",SUMPRODUCT((MOVIMIENTOS!$B$5:$B$400="SALDO INICIAL")*(MOVIMIENTOS!$C$5:$C$400="M")*(MOVIMIENTOS!$D$5:$D$400="jabas")*(ROW(MOVIMIENTOS!$B$5:$B$400)&lt;=$L16)*MOVIMIENTOS!$E$5:$E$400)+SUMPRODUCT((MOVIMIENTOS!$B$5:$B$400="PROCESO")*(MOVIMIENTOS!$C$5:$C$400="M")*(MOVIMIENTOS!$D$5:$D$400="jabas")*(ROW(MOVIMIENTOS!$B$5:$B$400)&lt;=$L16)*MOVIMIENTOS!$E$5:$E$400)-SUMPRODUCT((MOVIMIENTOS!$B$5:$B$400="ENVÍO A SUPESA")*(MOVIMIENTOS!$C$5:$C$400="M")*(MOVIMIENTOS!$D$5:$D$400="jabas")*(ROW(MOVIMIENTOS!$B$5:$B$400)&lt;=$L16)*MOVIMIENTOS!$E$5:$E$400)+SUMPRODUCT((MOVIMIENTOS!$B$5:$B$400="DEVOLUCIÓN")*(MOVIMIENTOS!$C$5:$C$400="M")*(MOVIMIENTOS!$D$5:$D$400="jabas")*(ROW(MOVIMIENTOS!$B$5:$B$400)&lt;=$L16)*MOVIMIENTOS!$E$5:$E$400)-SUMPRODUCT((MOVIMIENTOS!$B$5:$B$400="TRASIEGO")*(MOVIMIENTOS!$C$5:$C$400="M")*(MOVIMIENTOS!$D$5:$D$400="jabas")*(ROW(MOVIMIENTOS!$B$5:$B$400)&lt;=$L16)*MOVIMIENTOS!$E$5:$E$400)-SUMPRODUCT((MOVIMIENTOS!$B$5:$B$400="REGALO")*(MOVIMIENTOS!$C$5:$C$400="M")*(MOVIMIENTOS!$D$5:$D$400="jabas")*(ROW(MOVIMIENTOS!$B$5:$B$400)&lt;=$L16)*MOVIMIENTOS!$E$5:$E$400)-SUMPRODUCT((MOVIMIENTOS!$B$5:$B$400="VENTA")*(MOVIMIENTOS!$C$5:$C$400="M")*(MOVIMIENTOS!$D$5:$D$400="jabas")*(ROW(MOVIMIENTOS!$B$5:$B$400)&lt;=$L16)*MOVIMIENTOS!$E$5:$E$400)+SUMPRODUCT((MOVIMIENTOS!$B$5:$B$400="AJUSTE")*(MOVIMIENTOS!$C$5:$C$400="M")*(MOVIMIENTOS!$D$5:$D$400="jabas")*(ROW(MOVIMIENTOS!$B$5:$B$400)&lt;=$L16)*MOVIMIENTOS!$E$5:$E$400))</f>
        <v>120</v>
      </c>
      <c r="F16" s="12">
        <f>IF($A16="","",SUMPRODUCT((MOVIMIENTOS!$B$5:$B$400="SALDO INICIAL")*(MOVIMIENTOS!$C$5:$C$400="Chancho")*(MOVIMIENTOS!$D$5:$D$400="sacos")*(ROW(MOVIMIENTOS!$B$5:$B$400)&lt;=$L16)*MOVIMIENTOS!$E$5:$E$400)+SUMPRODUCT((MOVIMIENTOS!$B$5:$B$400="PROCESO")*(MOVIMIENTOS!$C$5:$C$400="Chancho")*(MOVIMIENTOS!$D$5:$D$400="sacos")*(ROW(MOVIMIENTOS!$B$5:$B$400)&lt;=$L16)*MOVIMIENTOS!$E$5:$E$400)-SUMPRODUCT((MOVIMIENTOS!$B$5:$B$400="VENTA CHANCHO")*(MOVIMIENTOS!$C$5:$C$400="Chancho")*(MOVIMIENTOS!$D$5:$D$400="sacos")*(ROW(MOVIMIENTOS!$B$5:$B$400)&lt;=$L16)*MOVIMIENTOS!$E$5:$E$400)-SUMPRODUCT((MOVIMIENTOS!$B$5:$B$400="REGALO")*(MOVIMIENTOS!$C$5:$C$400="Chancho")*(MOVIMIENTOS!$D$5:$D$400="sacos")*(ROW(MOVIMIENTOS!$B$5:$B$400)&lt;=$L16)*MOVIMIENTOS!$E$5:$E$400)-SUMPRODUCT((MOVIMIENTOS!$B$5:$B$400="VENTA")*(MOVIMIENTOS!$C$5:$C$400="Chancho")*(MOVIMIENTOS!$D$5:$D$400="sacos")*(ROW(MOVIMIENTOS!$B$5:$B$400)&lt;=$L16)*MOVIMIENTOS!$E$5:$E$400)+SUMPRODUCT((MOVIMIENTOS!$B$5:$B$400="AJUSTE")*(MOVIMIENTOS!$C$5:$C$400="Chancho")*(MOVIMIENTOS!$D$5:$D$400="sacos")*(ROW(MOVIMIENTOS!$B$5:$B$400)&lt;=$L16)*MOVIMIENTOS!$E$5:$E$400))</f>
        <v>12</v>
      </c>
      <c r="G16" s="12">
        <f t="shared" si="1"/>
        <v>207</v>
      </c>
      <c r="H16" s="12">
        <f>IF($A16="","",SUMPRODUCT((((MOVIMIENTOS!$B$5:$B$400="SALDO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16)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16)*MOVIMIENTOS!$I$5:$I$400))</f>
        <v>6555</v>
      </c>
      <c r="J16" t="str">
        <f>IF(AND(MOVIMIENTOS!$A16&lt;&gt;"",COUNTIF(MOVIMIENTOS!$A$5:$A15,MOVIMIENTOS!$A16)=0),COUNT(J$4:J15)+1,"")</f>
        <v/>
      </c>
      <c r="K16" s="10">
        <f>MOVIMIENTOS!$A16</f>
        <v>46215</v>
      </c>
      <c r="L16">
        <f>IF($A16="","",SUMPRODUCT(MAX((MOVIMIENTOS!$A$5:$A$400=$A16)*ROW(MOVIMIENTOS!$A$5:$A$400))))</f>
        <v>136</v>
      </c>
    </row>
    <row r="17" spans="1:12" x14ac:dyDescent="0.2">
      <c r="A17" s="11">
        <f t="shared" si="0"/>
        <v>46226</v>
      </c>
      <c r="B17" s="12">
        <f>IF($A17="","",SUMPRODUCT((MOVIMIENTOS!$B$5:$B$400="SALDO INICIAL")*(MOVIMIENTOS!$C$5:$C$400="A")*(MOVIMIENTOS!$D$5:$D$400="jabas")*(ROW(MOVIMIENTOS!$B$5:$B$400)&lt;=$L17)*MOVIMIENTOS!$E$5:$E$400)+SUMPRODUCT((MOVIMIENTOS!$B$5:$B$400="PROCESO")*(MOVIMIENTOS!$C$5:$C$400="A")*(MOVIMIENTOS!$D$5:$D$400="jabas")*(ROW(MOVIMIENTOS!$B$5:$B$400)&lt;=$L17)*MOVIMIENTOS!$E$5:$E$400)-SUMPRODUCT((MOVIMIENTOS!$B$5:$B$400="ENVÍO A SUPESA")*(MOVIMIENTOS!$C$5:$C$400="A")*(MOVIMIENTOS!$D$5:$D$400="jabas")*(ROW(MOVIMIENTOS!$B$5:$B$400)&lt;=$L17)*MOVIMIENTOS!$E$5:$E$400)+SUMPRODUCT((MOVIMIENTOS!$B$5:$B$400="DEVOLUCIÓN")*(MOVIMIENTOS!$C$5:$C$400="A")*(MOVIMIENTOS!$D$5:$D$400="jabas")*(ROW(MOVIMIENTOS!$B$5:$B$400)&lt;=$L17)*MOVIMIENTOS!$E$5:$E$400)-SUMPRODUCT((MOVIMIENTOS!$B$5:$B$400="TRASIEGO")*(MOVIMIENTOS!$C$5:$C$400="A")*(MOVIMIENTOS!$D$5:$D$400="jabas")*(ROW(MOVIMIENTOS!$B$5:$B$400)&lt;=$L17)*MOVIMIENTOS!$E$5:$E$400)-SUMPRODUCT((MOVIMIENTOS!$B$5:$B$400="REGALO")*(MOVIMIENTOS!$C$5:$C$400="A")*(MOVIMIENTOS!$D$5:$D$400="jabas")*(ROW(MOVIMIENTOS!$B$5:$B$400)&lt;=$L17)*MOVIMIENTOS!$E$5:$E$400)-SUMPRODUCT((MOVIMIENTOS!$B$5:$B$400="VENTA")*(MOVIMIENTOS!$C$5:$C$400="A")*(MOVIMIENTOS!$D$5:$D$400="jabas")*(ROW(MOVIMIENTOS!$B$5:$B$400)&lt;=$L17)*MOVIMIENTOS!$E$5:$E$400)+SUMPRODUCT((MOVIMIENTOS!$B$5:$B$400="AJUSTE")*(MOVIMIENTOS!$C$5:$C$400="A")*(MOVIMIENTOS!$D$5:$D$400="jabas")*(ROW(MOVIMIENTOS!$B$5:$B$400)&lt;=$L17)*MOVIMIENTOS!$E$5:$E$400))</f>
        <v>75</v>
      </c>
      <c r="C17" s="12">
        <f>IF($A17="","",SUMPRODUCT((MOVIMIENTOS!$B$5:$B$400="SALDO INICIAL")*(MOVIMIENTOS!$C$5:$C$400="P")*(MOVIMIENTOS!$D$5:$D$400="jabas")*(ROW(MOVIMIENTOS!$B$5:$B$400)&lt;=$L17)*MOVIMIENTOS!$E$5:$E$400)+SUMPRODUCT((MOVIMIENTOS!$B$5:$B$400="PROCESO")*(MOVIMIENTOS!$C$5:$C$400="P")*(MOVIMIENTOS!$D$5:$D$400="jabas")*(ROW(MOVIMIENTOS!$B$5:$B$400)&lt;=$L17)*MOVIMIENTOS!$E$5:$E$400)-SUMPRODUCT((MOVIMIENTOS!$B$5:$B$400="ENVÍO A SUPESA")*(MOVIMIENTOS!$C$5:$C$400="P")*(MOVIMIENTOS!$D$5:$D$400="jabas")*(ROW(MOVIMIENTOS!$B$5:$B$400)&lt;=$L17)*MOVIMIENTOS!$E$5:$E$400)+SUMPRODUCT((MOVIMIENTOS!$B$5:$B$400="DEVOLUCIÓN")*(MOVIMIENTOS!$C$5:$C$400="P")*(MOVIMIENTOS!$D$5:$D$400="jabas")*(ROW(MOVIMIENTOS!$B$5:$B$400)&lt;=$L17)*MOVIMIENTOS!$E$5:$E$400)-SUMPRODUCT((MOVIMIENTOS!$B$5:$B$400="TRASIEGO")*(MOVIMIENTOS!$C$5:$C$400="P")*(MOVIMIENTOS!$D$5:$D$400="jabas")*(ROW(MOVIMIENTOS!$B$5:$B$400)&lt;=$L17)*MOVIMIENTOS!$E$5:$E$400)-SUMPRODUCT((MOVIMIENTOS!$B$5:$B$400="REGALO")*(MOVIMIENTOS!$C$5:$C$400="P")*(MOVIMIENTOS!$D$5:$D$400="jabas")*(ROW(MOVIMIENTOS!$B$5:$B$400)&lt;=$L17)*MOVIMIENTOS!$E$5:$E$400)-SUMPRODUCT((MOVIMIENTOS!$B$5:$B$400="VENTA")*(MOVIMIENTOS!$C$5:$C$400="P")*(MOVIMIENTOS!$D$5:$D$400="jabas")*(ROW(MOVIMIENTOS!$B$5:$B$400)&lt;=$L17)*MOVIMIENTOS!$E$5:$E$400)+SUMPRODUCT((MOVIMIENTOS!$B$5:$B$400="AJUSTE")*(MOVIMIENTOS!$C$5:$C$400="P")*(MOVIMIENTOS!$D$5:$D$400="jabas")*(ROW(MOVIMIENTOS!$B$5:$B$400)&lt;=$L17)*MOVIMIENTOS!$E$5:$E$400))</f>
        <v>11</v>
      </c>
      <c r="D17" s="12">
        <f>IF($A17="","",SUMPRODUCT((MOVIMIENTOS!$B$5:$B$400="SALDO INICIAL")*(MOVIMIENTOS!$C$5:$C$400="C")*(MOVIMIENTOS!$D$5:$D$400="jabas")*(ROW(MOVIMIENTOS!$B$5:$B$400)&lt;=$L17)*MOVIMIENTOS!$E$5:$E$400)+SUMPRODUCT((MOVIMIENTOS!$B$5:$B$400="PROCESO")*(MOVIMIENTOS!$C$5:$C$400="C")*(MOVIMIENTOS!$D$5:$D$400="jabas")*(ROW(MOVIMIENTOS!$B$5:$B$400)&lt;=$L17)*MOVIMIENTOS!$E$5:$E$400)-SUMPRODUCT((MOVIMIENTOS!$B$5:$B$400="ENVÍO A SUPESA")*(MOVIMIENTOS!$C$5:$C$400="C")*(MOVIMIENTOS!$D$5:$D$400="jabas")*(ROW(MOVIMIENTOS!$B$5:$B$400)&lt;=$L17)*MOVIMIENTOS!$E$5:$E$400)+SUMPRODUCT((MOVIMIENTOS!$B$5:$B$400="DEVOLUCIÓN")*(MOVIMIENTOS!$C$5:$C$400="C")*(MOVIMIENTOS!$D$5:$D$400="jabas")*(ROW(MOVIMIENTOS!$B$5:$B$400)&lt;=$L17)*MOVIMIENTOS!$E$5:$E$400)-SUMPRODUCT((MOVIMIENTOS!$B$5:$B$400="TRASIEGO")*(MOVIMIENTOS!$C$5:$C$400="C")*(MOVIMIENTOS!$D$5:$D$400="jabas")*(ROW(MOVIMIENTOS!$B$5:$B$400)&lt;=$L17)*MOVIMIENTOS!$E$5:$E$400)-SUMPRODUCT((MOVIMIENTOS!$B$5:$B$400="REGALO")*(MOVIMIENTOS!$C$5:$C$400="C")*(MOVIMIENTOS!$D$5:$D$400="jabas")*(ROW(MOVIMIENTOS!$B$5:$B$400)&lt;=$L17)*MOVIMIENTOS!$E$5:$E$400)-SUMPRODUCT((MOVIMIENTOS!$B$5:$B$400="VENTA")*(MOVIMIENTOS!$C$5:$C$400="C")*(MOVIMIENTOS!$D$5:$D$400="jabas")*(ROW(MOVIMIENTOS!$B$5:$B$400)&lt;=$L17)*MOVIMIENTOS!$E$5:$E$400)+SUMPRODUCT((MOVIMIENTOS!$B$5:$B$400="AJUSTE")*(MOVIMIENTOS!$C$5:$C$400="C")*(MOVIMIENTOS!$D$5:$D$400="jabas")*(ROW(MOVIMIENTOS!$B$5:$B$400)&lt;=$L17)*MOVIMIENTOS!$E$5:$E$400))</f>
        <v>12</v>
      </c>
      <c r="E17" s="12">
        <f>IF($A17="","",SUMPRODUCT((MOVIMIENTOS!$B$5:$B$400="SALDO INICIAL")*(MOVIMIENTOS!$C$5:$C$400="M")*(MOVIMIENTOS!$D$5:$D$400="jabas")*(ROW(MOVIMIENTOS!$B$5:$B$400)&lt;=$L17)*MOVIMIENTOS!$E$5:$E$400)+SUMPRODUCT((MOVIMIENTOS!$B$5:$B$400="PROCESO")*(MOVIMIENTOS!$C$5:$C$400="M")*(MOVIMIENTOS!$D$5:$D$400="jabas")*(ROW(MOVIMIENTOS!$B$5:$B$400)&lt;=$L17)*MOVIMIENTOS!$E$5:$E$400)-SUMPRODUCT((MOVIMIENTOS!$B$5:$B$400="ENVÍO A SUPESA")*(MOVIMIENTOS!$C$5:$C$400="M")*(MOVIMIENTOS!$D$5:$D$400="jabas")*(ROW(MOVIMIENTOS!$B$5:$B$400)&lt;=$L17)*MOVIMIENTOS!$E$5:$E$400)+SUMPRODUCT((MOVIMIENTOS!$B$5:$B$400="DEVOLUCIÓN")*(MOVIMIENTOS!$C$5:$C$400="M")*(MOVIMIENTOS!$D$5:$D$400="jabas")*(ROW(MOVIMIENTOS!$B$5:$B$400)&lt;=$L17)*MOVIMIENTOS!$E$5:$E$400)-SUMPRODUCT((MOVIMIENTOS!$B$5:$B$400="TRASIEGO")*(MOVIMIENTOS!$C$5:$C$400="M")*(MOVIMIENTOS!$D$5:$D$400="jabas")*(ROW(MOVIMIENTOS!$B$5:$B$400)&lt;=$L17)*MOVIMIENTOS!$E$5:$E$400)-SUMPRODUCT((MOVIMIENTOS!$B$5:$B$400="REGALO")*(MOVIMIENTOS!$C$5:$C$400="M")*(MOVIMIENTOS!$D$5:$D$400="jabas")*(ROW(MOVIMIENTOS!$B$5:$B$400)&lt;=$L17)*MOVIMIENTOS!$E$5:$E$400)-SUMPRODUCT((MOVIMIENTOS!$B$5:$B$400="VENTA")*(MOVIMIENTOS!$C$5:$C$400="M")*(MOVIMIENTOS!$D$5:$D$400="jabas")*(ROW(MOVIMIENTOS!$B$5:$B$400)&lt;=$L17)*MOVIMIENTOS!$E$5:$E$400)+SUMPRODUCT((MOVIMIENTOS!$B$5:$B$400="AJUSTE")*(MOVIMIENTOS!$C$5:$C$400="M")*(MOVIMIENTOS!$D$5:$D$400="jabas")*(ROW(MOVIMIENTOS!$B$5:$B$400)&lt;=$L17)*MOVIMIENTOS!$E$5:$E$400))</f>
        <v>96</v>
      </c>
      <c r="F17" s="12">
        <f>IF($A17="","",SUMPRODUCT((MOVIMIENTOS!$B$5:$B$400="SALDO INICIAL")*(MOVIMIENTOS!$C$5:$C$400="Chancho")*(MOVIMIENTOS!$D$5:$D$400="sacos")*(ROW(MOVIMIENTOS!$B$5:$B$400)&lt;=$L17)*MOVIMIENTOS!$E$5:$E$400)+SUMPRODUCT((MOVIMIENTOS!$B$5:$B$400="PROCESO")*(MOVIMIENTOS!$C$5:$C$400="Chancho")*(MOVIMIENTOS!$D$5:$D$400="sacos")*(ROW(MOVIMIENTOS!$B$5:$B$400)&lt;=$L17)*MOVIMIENTOS!$E$5:$E$400)-SUMPRODUCT((MOVIMIENTOS!$B$5:$B$400="VENTA CHANCHO")*(MOVIMIENTOS!$C$5:$C$400="Chancho")*(MOVIMIENTOS!$D$5:$D$400="sacos")*(ROW(MOVIMIENTOS!$B$5:$B$400)&lt;=$L17)*MOVIMIENTOS!$E$5:$E$400)-SUMPRODUCT((MOVIMIENTOS!$B$5:$B$400="REGALO")*(MOVIMIENTOS!$C$5:$C$400="Chancho")*(MOVIMIENTOS!$D$5:$D$400="sacos")*(ROW(MOVIMIENTOS!$B$5:$B$400)&lt;=$L17)*MOVIMIENTOS!$E$5:$E$400)-SUMPRODUCT((MOVIMIENTOS!$B$5:$B$400="VENTA")*(MOVIMIENTOS!$C$5:$C$400="Chancho")*(MOVIMIENTOS!$D$5:$D$400="sacos")*(ROW(MOVIMIENTOS!$B$5:$B$400)&lt;=$L17)*MOVIMIENTOS!$E$5:$E$400)+SUMPRODUCT((MOVIMIENTOS!$B$5:$B$400="AJUSTE")*(MOVIMIENTOS!$C$5:$C$400="Chancho")*(MOVIMIENTOS!$D$5:$D$400="sacos")*(ROW(MOVIMIENTOS!$B$5:$B$400)&lt;=$L17)*MOVIMIENTOS!$E$5:$E$400))</f>
        <v>18</v>
      </c>
      <c r="G17" s="12">
        <f t="shared" si="1"/>
        <v>194</v>
      </c>
      <c r="H17" s="12">
        <f>IF($A17="","",SUMPRODUCT((((MOVIMIENTOS!$B$5:$B$400="SALDO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17)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17)*MOVIMIENTOS!$I$5:$I$400))</f>
        <v>10124.5</v>
      </c>
      <c r="J17" t="str">
        <f>IF(AND(MOVIMIENTOS!$A17&lt;&gt;"",COUNTIF(MOVIMIENTOS!$A$5:$A16,MOVIMIENTOS!$A17)=0),COUNT(J$4:J16)+1,"")</f>
        <v/>
      </c>
      <c r="K17" s="10">
        <f>MOVIMIENTOS!$A17</f>
        <v>46215</v>
      </c>
      <c r="L17">
        <f>IF($A17="","",SUMPRODUCT(MAX((MOVIMIENTOS!$A$5:$A$400=$A17)*ROW(MOVIMIENTOS!$A$5:$A$400))))</f>
        <v>148</v>
      </c>
    </row>
    <row r="18" spans="1:12" x14ac:dyDescent="0.2">
      <c r="A18" s="11">
        <f t="shared" si="0"/>
        <v>46227</v>
      </c>
      <c r="B18" s="12">
        <f>IF($A18="","",SUMPRODUCT((MOVIMIENTOS!$B$5:$B$400="SALDO INICIAL")*(MOVIMIENTOS!$C$5:$C$400="A")*(MOVIMIENTOS!$D$5:$D$400="jabas")*(ROW(MOVIMIENTOS!$B$5:$B$400)&lt;=$L18)*MOVIMIENTOS!$E$5:$E$400)+SUMPRODUCT((MOVIMIENTOS!$B$5:$B$400="PROCESO")*(MOVIMIENTOS!$C$5:$C$400="A")*(MOVIMIENTOS!$D$5:$D$400="jabas")*(ROW(MOVIMIENTOS!$B$5:$B$400)&lt;=$L18)*MOVIMIENTOS!$E$5:$E$400)-SUMPRODUCT((MOVIMIENTOS!$B$5:$B$400="ENVÍO A SUPESA")*(MOVIMIENTOS!$C$5:$C$400="A")*(MOVIMIENTOS!$D$5:$D$400="jabas")*(ROW(MOVIMIENTOS!$B$5:$B$400)&lt;=$L18)*MOVIMIENTOS!$E$5:$E$400)+SUMPRODUCT((MOVIMIENTOS!$B$5:$B$400="DEVOLUCIÓN")*(MOVIMIENTOS!$C$5:$C$400="A")*(MOVIMIENTOS!$D$5:$D$400="jabas")*(ROW(MOVIMIENTOS!$B$5:$B$400)&lt;=$L18)*MOVIMIENTOS!$E$5:$E$400)-SUMPRODUCT((MOVIMIENTOS!$B$5:$B$400="TRASIEGO")*(MOVIMIENTOS!$C$5:$C$400="A")*(MOVIMIENTOS!$D$5:$D$400="jabas")*(ROW(MOVIMIENTOS!$B$5:$B$400)&lt;=$L18)*MOVIMIENTOS!$E$5:$E$400)-SUMPRODUCT((MOVIMIENTOS!$B$5:$B$400="REGALO")*(MOVIMIENTOS!$C$5:$C$400="A")*(MOVIMIENTOS!$D$5:$D$400="jabas")*(ROW(MOVIMIENTOS!$B$5:$B$400)&lt;=$L18)*MOVIMIENTOS!$E$5:$E$400)-SUMPRODUCT((MOVIMIENTOS!$B$5:$B$400="VENTA")*(MOVIMIENTOS!$C$5:$C$400="A")*(MOVIMIENTOS!$D$5:$D$400="jabas")*(ROW(MOVIMIENTOS!$B$5:$B$400)&lt;=$L18)*MOVIMIENTOS!$E$5:$E$400)+SUMPRODUCT((MOVIMIENTOS!$B$5:$B$400="AJUSTE")*(MOVIMIENTOS!$C$5:$C$400="A")*(MOVIMIENTOS!$D$5:$D$400="jabas")*(ROW(MOVIMIENTOS!$B$5:$B$400)&lt;=$L18)*MOVIMIENTOS!$E$5:$E$400))</f>
        <v>48</v>
      </c>
      <c r="C18" s="12">
        <f>IF($A18="","",SUMPRODUCT((MOVIMIENTOS!$B$5:$B$400="SALDO INICIAL")*(MOVIMIENTOS!$C$5:$C$400="P")*(MOVIMIENTOS!$D$5:$D$400="jabas")*(ROW(MOVIMIENTOS!$B$5:$B$400)&lt;=$L18)*MOVIMIENTOS!$E$5:$E$400)+SUMPRODUCT((MOVIMIENTOS!$B$5:$B$400="PROCESO")*(MOVIMIENTOS!$C$5:$C$400="P")*(MOVIMIENTOS!$D$5:$D$400="jabas")*(ROW(MOVIMIENTOS!$B$5:$B$400)&lt;=$L18)*MOVIMIENTOS!$E$5:$E$400)-SUMPRODUCT((MOVIMIENTOS!$B$5:$B$400="ENVÍO A SUPESA")*(MOVIMIENTOS!$C$5:$C$400="P")*(MOVIMIENTOS!$D$5:$D$400="jabas")*(ROW(MOVIMIENTOS!$B$5:$B$400)&lt;=$L18)*MOVIMIENTOS!$E$5:$E$400)+SUMPRODUCT((MOVIMIENTOS!$B$5:$B$400="DEVOLUCIÓN")*(MOVIMIENTOS!$C$5:$C$400="P")*(MOVIMIENTOS!$D$5:$D$400="jabas")*(ROW(MOVIMIENTOS!$B$5:$B$400)&lt;=$L18)*MOVIMIENTOS!$E$5:$E$400)-SUMPRODUCT((MOVIMIENTOS!$B$5:$B$400="TRASIEGO")*(MOVIMIENTOS!$C$5:$C$400="P")*(MOVIMIENTOS!$D$5:$D$400="jabas")*(ROW(MOVIMIENTOS!$B$5:$B$400)&lt;=$L18)*MOVIMIENTOS!$E$5:$E$400)-SUMPRODUCT((MOVIMIENTOS!$B$5:$B$400="REGALO")*(MOVIMIENTOS!$C$5:$C$400="P")*(MOVIMIENTOS!$D$5:$D$400="jabas")*(ROW(MOVIMIENTOS!$B$5:$B$400)&lt;=$L18)*MOVIMIENTOS!$E$5:$E$400)-SUMPRODUCT((MOVIMIENTOS!$B$5:$B$400="VENTA")*(MOVIMIENTOS!$C$5:$C$400="P")*(MOVIMIENTOS!$D$5:$D$400="jabas")*(ROW(MOVIMIENTOS!$B$5:$B$400)&lt;=$L18)*MOVIMIENTOS!$E$5:$E$400)+SUMPRODUCT((MOVIMIENTOS!$B$5:$B$400="AJUSTE")*(MOVIMIENTOS!$C$5:$C$400="P")*(MOVIMIENTOS!$D$5:$D$400="jabas")*(ROW(MOVIMIENTOS!$B$5:$B$400)&lt;=$L18)*MOVIMIENTOS!$E$5:$E$400))</f>
        <v>3</v>
      </c>
      <c r="D18" s="12">
        <f>IF($A18="","",SUMPRODUCT((MOVIMIENTOS!$B$5:$B$400="SALDO INICIAL")*(MOVIMIENTOS!$C$5:$C$400="C")*(MOVIMIENTOS!$D$5:$D$400="jabas")*(ROW(MOVIMIENTOS!$B$5:$B$400)&lt;=$L18)*MOVIMIENTOS!$E$5:$E$400)+SUMPRODUCT((MOVIMIENTOS!$B$5:$B$400="PROCESO")*(MOVIMIENTOS!$C$5:$C$400="C")*(MOVIMIENTOS!$D$5:$D$400="jabas")*(ROW(MOVIMIENTOS!$B$5:$B$400)&lt;=$L18)*MOVIMIENTOS!$E$5:$E$400)-SUMPRODUCT((MOVIMIENTOS!$B$5:$B$400="ENVÍO A SUPESA")*(MOVIMIENTOS!$C$5:$C$400="C")*(MOVIMIENTOS!$D$5:$D$400="jabas")*(ROW(MOVIMIENTOS!$B$5:$B$400)&lt;=$L18)*MOVIMIENTOS!$E$5:$E$400)+SUMPRODUCT((MOVIMIENTOS!$B$5:$B$400="DEVOLUCIÓN")*(MOVIMIENTOS!$C$5:$C$400="C")*(MOVIMIENTOS!$D$5:$D$400="jabas")*(ROW(MOVIMIENTOS!$B$5:$B$400)&lt;=$L18)*MOVIMIENTOS!$E$5:$E$400)-SUMPRODUCT((MOVIMIENTOS!$B$5:$B$400="TRASIEGO")*(MOVIMIENTOS!$C$5:$C$400="C")*(MOVIMIENTOS!$D$5:$D$400="jabas")*(ROW(MOVIMIENTOS!$B$5:$B$400)&lt;=$L18)*MOVIMIENTOS!$E$5:$E$400)-SUMPRODUCT((MOVIMIENTOS!$B$5:$B$400="REGALO")*(MOVIMIENTOS!$C$5:$C$400="C")*(MOVIMIENTOS!$D$5:$D$400="jabas")*(ROW(MOVIMIENTOS!$B$5:$B$400)&lt;=$L18)*MOVIMIENTOS!$E$5:$E$400)-SUMPRODUCT((MOVIMIENTOS!$B$5:$B$400="VENTA")*(MOVIMIENTOS!$C$5:$C$400="C")*(MOVIMIENTOS!$D$5:$D$400="jabas")*(ROW(MOVIMIENTOS!$B$5:$B$400)&lt;=$L18)*MOVIMIENTOS!$E$5:$E$400)+SUMPRODUCT((MOVIMIENTOS!$B$5:$B$400="AJUSTE")*(MOVIMIENTOS!$C$5:$C$400="C")*(MOVIMIENTOS!$D$5:$D$400="jabas")*(ROW(MOVIMIENTOS!$B$5:$B$400)&lt;=$L18)*MOVIMIENTOS!$E$5:$E$400))</f>
        <v>5</v>
      </c>
      <c r="E18" s="12">
        <f>IF($A18="","",SUMPRODUCT((MOVIMIENTOS!$B$5:$B$400="SALDO INICIAL")*(MOVIMIENTOS!$C$5:$C$400="M")*(MOVIMIENTOS!$D$5:$D$400="jabas")*(ROW(MOVIMIENTOS!$B$5:$B$400)&lt;=$L18)*MOVIMIENTOS!$E$5:$E$400)+SUMPRODUCT((MOVIMIENTOS!$B$5:$B$400="PROCESO")*(MOVIMIENTOS!$C$5:$C$400="M")*(MOVIMIENTOS!$D$5:$D$400="jabas")*(ROW(MOVIMIENTOS!$B$5:$B$400)&lt;=$L18)*MOVIMIENTOS!$E$5:$E$400)-SUMPRODUCT((MOVIMIENTOS!$B$5:$B$400="ENVÍO A SUPESA")*(MOVIMIENTOS!$C$5:$C$400="M")*(MOVIMIENTOS!$D$5:$D$400="jabas")*(ROW(MOVIMIENTOS!$B$5:$B$400)&lt;=$L18)*MOVIMIENTOS!$E$5:$E$400)+SUMPRODUCT((MOVIMIENTOS!$B$5:$B$400="DEVOLUCIÓN")*(MOVIMIENTOS!$C$5:$C$400="M")*(MOVIMIENTOS!$D$5:$D$400="jabas")*(ROW(MOVIMIENTOS!$B$5:$B$400)&lt;=$L18)*MOVIMIENTOS!$E$5:$E$400)-SUMPRODUCT((MOVIMIENTOS!$B$5:$B$400="TRASIEGO")*(MOVIMIENTOS!$C$5:$C$400="M")*(MOVIMIENTOS!$D$5:$D$400="jabas")*(ROW(MOVIMIENTOS!$B$5:$B$400)&lt;=$L18)*MOVIMIENTOS!$E$5:$E$400)-SUMPRODUCT((MOVIMIENTOS!$B$5:$B$400="REGALO")*(MOVIMIENTOS!$C$5:$C$400="M")*(MOVIMIENTOS!$D$5:$D$400="jabas")*(ROW(MOVIMIENTOS!$B$5:$B$400)&lt;=$L18)*MOVIMIENTOS!$E$5:$E$400)-SUMPRODUCT((MOVIMIENTOS!$B$5:$B$400="VENTA")*(MOVIMIENTOS!$C$5:$C$400="M")*(MOVIMIENTOS!$D$5:$D$400="jabas")*(ROW(MOVIMIENTOS!$B$5:$B$400)&lt;=$L18)*MOVIMIENTOS!$E$5:$E$400)+SUMPRODUCT((MOVIMIENTOS!$B$5:$B$400="AJUSTE")*(MOVIMIENTOS!$C$5:$C$400="M")*(MOVIMIENTOS!$D$5:$D$400="jabas")*(ROW(MOVIMIENTOS!$B$5:$B$400)&lt;=$L18)*MOVIMIENTOS!$E$5:$E$400))</f>
        <v>73</v>
      </c>
      <c r="F18" s="12">
        <f>IF($A18="","",SUMPRODUCT((MOVIMIENTOS!$B$5:$B$400="SALDO INICIAL")*(MOVIMIENTOS!$C$5:$C$400="Chancho")*(MOVIMIENTOS!$D$5:$D$400="sacos")*(ROW(MOVIMIENTOS!$B$5:$B$400)&lt;=$L18)*MOVIMIENTOS!$E$5:$E$400)+SUMPRODUCT((MOVIMIENTOS!$B$5:$B$400="PROCESO")*(MOVIMIENTOS!$C$5:$C$400="Chancho")*(MOVIMIENTOS!$D$5:$D$400="sacos")*(ROW(MOVIMIENTOS!$B$5:$B$400)&lt;=$L18)*MOVIMIENTOS!$E$5:$E$400)-SUMPRODUCT((MOVIMIENTOS!$B$5:$B$400="VENTA CHANCHO")*(MOVIMIENTOS!$C$5:$C$400="Chancho")*(MOVIMIENTOS!$D$5:$D$400="sacos")*(ROW(MOVIMIENTOS!$B$5:$B$400)&lt;=$L18)*MOVIMIENTOS!$E$5:$E$400)-SUMPRODUCT((MOVIMIENTOS!$B$5:$B$400="REGALO")*(MOVIMIENTOS!$C$5:$C$400="Chancho")*(MOVIMIENTOS!$D$5:$D$400="sacos")*(ROW(MOVIMIENTOS!$B$5:$B$400)&lt;=$L18)*MOVIMIENTOS!$E$5:$E$400)-SUMPRODUCT((MOVIMIENTOS!$B$5:$B$400="VENTA")*(MOVIMIENTOS!$C$5:$C$400="Chancho")*(MOVIMIENTOS!$D$5:$D$400="sacos")*(ROW(MOVIMIENTOS!$B$5:$B$400)&lt;=$L18)*MOVIMIENTOS!$E$5:$E$400)+SUMPRODUCT((MOVIMIENTOS!$B$5:$B$400="AJUSTE")*(MOVIMIENTOS!$C$5:$C$400="Chancho")*(MOVIMIENTOS!$D$5:$D$400="sacos")*(ROW(MOVIMIENTOS!$B$5:$B$400)&lt;=$L18)*MOVIMIENTOS!$E$5:$E$400))</f>
        <v>14</v>
      </c>
      <c r="G18" s="12">
        <f t="shared" si="1"/>
        <v>129</v>
      </c>
      <c r="H18" s="12">
        <f>IF($A18="","",SUMPRODUCT((((MOVIMIENTOS!$B$5:$B$400="SALDO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18)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18)*MOVIMIENTOS!$I$5:$I$400))</f>
        <v>6138.5</v>
      </c>
      <c r="J18">
        <f>IF(AND(MOVIMIENTOS!$A18&lt;&gt;"",COUNTIF(MOVIMIENTOS!$A$5:$A17,MOVIMIENTOS!$A18)=0),COUNT(J$4:J17)+1,"")</f>
        <v>3</v>
      </c>
      <c r="K18" s="10">
        <f>MOVIMIENTOS!$A18</f>
        <v>46216</v>
      </c>
      <c r="L18">
        <f>IF($A18="","",SUMPRODUCT(MAX((MOVIMIENTOS!$A$5:$A$400=$A18)*ROW(MOVIMIENTOS!$A$5:$A$400))))</f>
        <v>161</v>
      </c>
    </row>
    <row r="19" spans="1:12" x14ac:dyDescent="0.2">
      <c r="A19" s="11" t="str">
        <f t="shared" si="0"/>
        <v/>
      </c>
      <c r="B19" s="12" t="str">
        <f>IF($A19="","",SUMPRODUCT((MOVIMIENTOS!$B$5:$B$400="SALDO INICIAL")*(MOVIMIENTOS!$C$5:$C$400="A")*(MOVIMIENTOS!$D$5:$D$400="jabas")*(ROW(MOVIMIENTOS!$B$5:$B$400)&lt;=$L19)*MOVIMIENTOS!$E$5:$E$400)+SUMPRODUCT((MOVIMIENTOS!$B$5:$B$400="PROCESO")*(MOVIMIENTOS!$C$5:$C$400="A")*(MOVIMIENTOS!$D$5:$D$400="jabas")*(ROW(MOVIMIENTOS!$B$5:$B$400)&lt;=$L19)*MOVIMIENTOS!$E$5:$E$400)-SUMPRODUCT((MOVIMIENTOS!$B$5:$B$400="ENVÍO A SUPESA")*(MOVIMIENTOS!$C$5:$C$400="A")*(MOVIMIENTOS!$D$5:$D$400="jabas")*(ROW(MOVIMIENTOS!$B$5:$B$400)&lt;=$L19)*MOVIMIENTOS!$E$5:$E$400)+SUMPRODUCT((MOVIMIENTOS!$B$5:$B$400="DEVOLUCIÓN")*(MOVIMIENTOS!$C$5:$C$400="A")*(MOVIMIENTOS!$D$5:$D$400="jabas")*(ROW(MOVIMIENTOS!$B$5:$B$400)&lt;=$L19)*MOVIMIENTOS!$E$5:$E$400)-SUMPRODUCT((MOVIMIENTOS!$B$5:$B$400="TRASIEGO")*(MOVIMIENTOS!$C$5:$C$400="A")*(MOVIMIENTOS!$D$5:$D$400="jabas")*(ROW(MOVIMIENTOS!$B$5:$B$400)&lt;=$L19)*MOVIMIENTOS!$E$5:$E$400)-SUMPRODUCT((MOVIMIENTOS!$B$5:$B$400="REGALO")*(MOVIMIENTOS!$C$5:$C$400="A")*(MOVIMIENTOS!$D$5:$D$400="jabas")*(ROW(MOVIMIENTOS!$B$5:$B$400)&lt;=$L19)*MOVIMIENTOS!$E$5:$E$400)-SUMPRODUCT((MOVIMIENTOS!$B$5:$B$400="VENTA")*(MOVIMIENTOS!$C$5:$C$400="A")*(MOVIMIENTOS!$D$5:$D$400="jabas")*(ROW(MOVIMIENTOS!$B$5:$B$400)&lt;=$L19)*MOVIMIENTOS!$E$5:$E$400)+SUMPRODUCT((MOVIMIENTOS!$B$5:$B$400="AJUSTE")*(MOVIMIENTOS!$C$5:$C$400="A")*(MOVIMIENTOS!$D$5:$D$400="jabas")*(ROW(MOVIMIENTOS!$B$5:$B$400)&lt;=$L19)*MOVIMIENTOS!$E$5:$E$400))</f>
        <v/>
      </c>
      <c r="C19" s="12" t="str">
        <f>IF($A19="","",SUMPRODUCT((MOVIMIENTOS!$B$5:$B$400="SALDO INICIAL")*(MOVIMIENTOS!$C$5:$C$400="P")*(MOVIMIENTOS!$D$5:$D$400="jabas")*(ROW(MOVIMIENTOS!$B$5:$B$400)&lt;=$L19)*MOVIMIENTOS!$E$5:$E$400)+SUMPRODUCT((MOVIMIENTOS!$B$5:$B$400="PROCESO")*(MOVIMIENTOS!$C$5:$C$400="P")*(MOVIMIENTOS!$D$5:$D$400="jabas")*(ROW(MOVIMIENTOS!$B$5:$B$400)&lt;=$L19)*MOVIMIENTOS!$E$5:$E$400)-SUMPRODUCT((MOVIMIENTOS!$B$5:$B$400="ENVÍO A SUPESA")*(MOVIMIENTOS!$C$5:$C$400="P")*(MOVIMIENTOS!$D$5:$D$400="jabas")*(ROW(MOVIMIENTOS!$B$5:$B$400)&lt;=$L19)*MOVIMIENTOS!$E$5:$E$400)+SUMPRODUCT((MOVIMIENTOS!$B$5:$B$400="DEVOLUCIÓN")*(MOVIMIENTOS!$C$5:$C$400="P")*(MOVIMIENTOS!$D$5:$D$400="jabas")*(ROW(MOVIMIENTOS!$B$5:$B$400)&lt;=$L19)*MOVIMIENTOS!$E$5:$E$400)-SUMPRODUCT((MOVIMIENTOS!$B$5:$B$400="TRASIEGO")*(MOVIMIENTOS!$C$5:$C$400="P")*(MOVIMIENTOS!$D$5:$D$400="jabas")*(ROW(MOVIMIENTOS!$B$5:$B$400)&lt;=$L19)*MOVIMIENTOS!$E$5:$E$400)-SUMPRODUCT((MOVIMIENTOS!$B$5:$B$400="REGALO")*(MOVIMIENTOS!$C$5:$C$400="P")*(MOVIMIENTOS!$D$5:$D$400="jabas")*(ROW(MOVIMIENTOS!$B$5:$B$400)&lt;=$L19)*MOVIMIENTOS!$E$5:$E$400)-SUMPRODUCT((MOVIMIENTOS!$B$5:$B$400="VENTA")*(MOVIMIENTOS!$C$5:$C$400="P")*(MOVIMIENTOS!$D$5:$D$400="jabas")*(ROW(MOVIMIENTOS!$B$5:$B$400)&lt;=$L19)*MOVIMIENTOS!$E$5:$E$400)+SUMPRODUCT((MOVIMIENTOS!$B$5:$B$400="AJUSTE")*(MOVIMIENTOS!$C$5:$C$400="P")*(MOVIMIENTOS!$D$5:$D$400="jabas")*(ROW(MOVIMIENTOS!$B$5:$B$400)&lt;=$L19)*MOVIMIENTOS!$E$5:$E$400))</f>
        <v/>
      </c>
      <c r="D19" s="12" t="str">
        <f>IF($A19="","",SUMPRODUCT((MOVIMIENTOS!$B$5:$B$400="SALDO INICIAL")*(MOVIMIENTOS!$C$5:$C$400="C")*(MOVIMIENTOS!$D$5:$D$400="jabas")*(ROW(MOVIMIENTOS!$B$5:$B$400)&lt;=$L19)*MOVIMIENTOS!$E$5:$E$400)+SUMPRODUCT((MOVIMIENTOS!$B$5:$B$400="PROCESO")*(MOVIMIENTOS!$C$5:$C$400="C")*(MOVIMIENTOS!$D$5:$D$400="jabas")*(ROW(MOVIMIENTOS!$B$5:$B$400)&lt;=$L19)*MOVIMIENTOS!$E$5:$E$400)-SUMPRODUCT((MOVIMIENTOS!$B$5:$B$400="ENVÍO A SUPESA")*(MOVIMIENTOS!$C$5:$C$400="C")*(MOVIMIENTOS!$D$5:$D$400="jabas")*(ROW(MOVIMIENTOS!$B$5:$B$400)&lt;=$L19)*MOVIMIENTOS!$E$5:$E$400)+SUMPRODUCT((MOVIMIENTOS!$B$5:$B$400="DEVOLUCIÓN")*(MOVIMIENTOS!$C$5:$C$400="C")*(MOVIMIENTOS!$D$5:$D$400="jabas")*(ROW(MOVIMIENTOS!$B$5:$B$400)&lt;=$L19)*MOVIMIENTOS!$E$5:$E$400)-SUMPRODUCT((MOVIMIENTOS!$B$5:$B$400="TRASIEGO")*(MOVIMIENTOS!$C$5:$C$400="C")*(MOVIMIENTOS!$D$5:$D$400="jabas")*(ROW(MOVIMIENTOS!$B$5:$B$400)&lt;=$L19)*MOVIMIENTOS!$E$5:$E$400)-SUMPRODUCT((MOVIMIENTOS!$B$5:$B$400="REGALO")*(MOVIMIENTOS!$C$5:$C$400="C")*(MOVIMIENTOS!$D$5:$D$400="jabas")*(ROW(MOVIMIENTOS!$B$5:$B$400)&lt;=$L19)*MOVIMIENTOS!$E$5:$E$400)-SUMPRODUCT((MOVIMIENTOS!$B$5:$B$400="VENTA")*(MOVIMIENTOS!$C$5:$C$400="C")*(MOVIMIENTOS!$D$5:$D$400="jabas")*(ROW(MOVIMIENTOS!$B$5:$B$400)&lt;=$L19)*MOVIMIENTOS!$E$5:$E$400)+SUMPRODUCT((MOVIMIENTOS!$B$5:$B$400="AJUSTE")*(MOVIMIENTOS!$C$5:$C$400="C")*(MOVIMIENTOS!$D$5:$D$400="jabas")*(ROW(MOVIMIENTOS!$B$5:$B$400)&lt;=$L19)*MOVIMIENTOS!$E$5:$E$400))</f>
        <v/>
      </c>
      <c r="E19" s="12" t="str">
        <f>IF($A19="","",SUMPRODUCT((MOVIMIENTOS!$B$5:$B$400="SALDO INICIAL")*(MOVIMIENTOS!$C$5:$C$400="M")*(MOVIMIENTOS!$D$5:$D$400="jabas")*(ROW(MOVIMIENTOS!$B$5:$B$400)&lt;=$L19)*MOVIMIENTOS!$E$5:$E$400)+SUMPRODUCT((MOVIMIENTOS!$B$5:$B$400="PROCESO")*(MOVIMIENTOS!$C$5:$C$400="M")*(MOVIMIENTOS!$D$5:$D$400="jabas")*(ROW(MOVIMIENTOS!$B$5:$B$400)&lt;=$L19)*MOVIMIENTOS!$E$5:$E$400)-SUMPRODUCT((MOVIMIENTOS!$B$5:$B$400="ENVÍO A SUPESA")*(MOVIMIENTOS!$C$5:$C$400="M")*(MOVIMIENTOS!$D$5:$D$400="jabas")*(ROW(MOVIMIENTOS!$B$5:$B$400)&lt;=$L19)*MOVIMIENTOS!$E$5:$E$400)+SUMPRODUCT((MOVIMIENTOS!$B$5:$B$400="DEVOLUCIÓN")*(MOVIMIENTOS!$C$5:$C$400="M")*(MOVIMIENTOS!$D$5:$D$400="jabas")*(ROW(MOVIMIENTOS!$B$5:$B$400)&lt;=$L19)*MOVIMIENTOS!$E$5:$E$400)-SUMPRODUCT((MOVIMIENTOS!$B$5:$B$400="TRASIEGO")*(MOVIMIENTOS!$C$5:$C$400="M")*(MOVIMIENTOS!$D$5:$D$400="jabas")*(ROW(MOVIMIENTOS!$B$5:$B$400)&lt;=$L19)*MOVIMIENTOS!$E$5:$E$400)-SUMPRODUCT((MOVIMIENTOS!$B$5:$B$400="REGALO")*(MOVIMIENTOS!$C$5:$C$400="M")*(MOVIMIENTOS!$D$5:$D$400="jabas")*(ROW(MOVIMIENTOS!$B$5:$B$400)&lt;=$L19)*MOVIMIENTOS!$E$5:$E$400)-SUMPRODUCT((MOVIMIENTOS!$B$5:$B$400="VENTA")*(MOVIMIENTOS!$C$5:$C$400="M")*(MOVIMIENTOS!$D$5:$D$400="jabas")*(ROW(MOVIMIENTOS!$B$5:$B$400)&lt;=$L19)*MOVIMIENTOS!$E$5:$E$400)+SUMPRODUCT((MOVIMIENTOS!$B$5:$B$400="AJUSTE")*(MOVIMIENTOS!$C$5:$C$400="M")*(MOVIMIENTOS!$D$5:$D$400="jabas")*(ROW(MOVIMIENTOS!$B$5:$B$400)&lt;=$L19)*MOVIMIENTOS!$E$5:$E$400))</f>
        <v/>
      </c>
      <c r="F19" s="12" t="str">
        <f>IF($A19="","",SUMPRODUCT((MOVIMIENTOS!$B$5:$B$400="SALDO INICIAL")*(MOVIMIENTOS!$C$5:$C$400="Chancho")*(MOVIMIENTOS!$D$5:$D$400="sacos")*(ROW(MOVIMIENTOS!$B$5:$B$400)&lt;=$L19)*MOVIMIENTOS!$E$5:$E$400)+SUMPRODUCT((MOVIMIENTOS!$B$5:$B$400="PROCESO")*(MOVIMIENTOS!$C$5:$C$400="Chancho")*(MOVIMIENTOS!$D$5:$D$400="sacos")*(ROW(MOVIMIENTOS!$B$5:$B$400)&lt;=$L19)*MOVIMIENTOS!$E$5:$E$400)-SUMPRODUCT((MOVIMIENTOS!$B$5:$B$400="VENTA CHANCHO")*(MOVIMIENTOS!$C$5:$C$400="Chancho")*(MOVIMIENTOS!$D$5:$D$400="sacos")*(ROW(MOVIMIENTOS!$B$5:$B$400)&lt;=$L19)*MOVIMIENTOS!$E$5:$E$400)-SUMPRODUCT((MOVIMIENTOS!$B$5:$B$400="REGALO")*(MOVIMIENTOS!$C$5:$C$400="Chancho")*(MOVIMIENTOS!$D$5:$D$400="sacos")*(ROW(MOVIMIENTOS!$B$5:$B$400)&lt;=$L19)*MOVIMIENTOS!$E$5:$E$400)-SUMPRODUCT((MOVIMIENTOS!$B$5:$B$400="VENTA")*(MOVIMIENTOS!$C$5:$C$400="Chancho")*(MOVIMIENTOS!$D$5:$D$400="sacos")*(ROW(MOVIMIENTOS!$B$5:$B$400)&lt;=$L19)*MOVIMIENTOS!$E$5:$E$400)+SUMPRODUCT((MOVIMIENTOS!$B$5:$B$400="AJUSTE")*(MOVIMIENTOS!$C$5:$C$400="Chancho")*(MOVIMIENTOS!$D$5:$D$400="sacos")*(ROW(MOVIMIENTOS!$B$5:$B$400)&lt;=$L19)*MOVIMIENTOS!$E$5:$E$400))</f>
        <v/>
      </c>
      <c r="G19" s="12" t="str">
        <f t="shared" si="1"/>
        <v/>
      </c>
      <c r="H19" s="12" t="str">
        <f>IF($A19="","",SUMPRODUCT((((MOVIMIENTOS!$B$5:$B$400="SALDO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19)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19)*MOVIMIENTOS!$I$5:$I$400))</f>
        <v/>
      </c>
      <c r="J19" t="str">
        <f>IF(AND(MOVIMIENTOS!$A19&lt;&gt;"",COUNTIF(MOVIMIENTOS!$A$5:$A18,MOVIMIENTOS!$A19)=0),COUNT(J$4:J18)+1,"")</f>
        <v/>
      </c>
      <c r="K19" s="10">
        <f>MOVIMIENTOS!$A19</f>
        <v>46216</v>
      </c>
      <c r="L19" t="str">
        <f>IF($A19="","",SUMPRODUCT(MAX((MOVIMIENTOS!$A$5:$A$400=$A19)*ROW(MOVIMIENTOS!$A$5:$A$400))))</f>
        <v/>
      </c>
    </row>
    <row r="20" spans="1:12" x14ac:dyDescent="0.2">
      <c r="A20" s="11" t="str">
        <f t="shared" si="0"/>
        <v/>
      </c>
      <c r="B20" s="12" t="str">
        <f>IF($A20="","",SUMPRODUCT((MOVIMIENTOS!$B$5:$B$400="SALDO INICIAL")*(MOVIMIENTOS!$C$5:$C$400="A")*(MOVIMIENTOS!$D$5:$D$400="jabas")*(ROW(MOVIMIENTOS!$B$5:$B$400)&lt;=$L20)*MOVIMIENTOS!$E$5:$E$400)+SUMPRODUCT((MOVIMIENTOS!$B$5:$B$400="PROCESO")*(MOVIMIENTOS!$C$5:$C$400="A")*(MOVIMIENTOS!$D$5:$D$400="jabas")*(ROW(MOVIMIENTOS!$B$5:$B$400)&lt;=$L20)*MOVIMIENTOS!$E$5:$E$400)-SUMPRODUCT((MOVIMIENTOS!$B$5:$B$400="ENVÍO A SUPESA")*(MOVIMIENTOS!$C$5:$C$400="A")*(MOVIMIENTOS!$D$5:$D$400="jabas")*(ROW(MOVIMIENTOS!$B$5:$B$400)&lt;=$L20)*MOVIMIENTOS!$E$5:$E$400)+SUMPRODUCT((MOVIMIENTOS!$B$5:$B$400="DEVOLUCIÓN")*(MOVIMIENTOS!$C$5:$C$400="A")*(MOVIMIENTOS!$D$5:$D$400="jabas")*(ROW(MOVIMIENTOS!$B$5:$B$400)&lt;=$L20)*MOVIMIENTOS!$E$5:$E$400)-SUMPRODUCT((MOVIMIENTOS!$B$5:$B$400="TRASIEGO")*(MOVIMIENTOS!$C$5:$C$400="A")*(MOVIMIENTOS!$D$5:$D$400="jabas")*(ROW(MOVIMIENTOS!$B$5:$B$400)&lt;=$L20)*MOVIMIENTOS!$E$5:$E$400)-SUMPRODUCT((MOVIMIENTOS!$B$5:$B$400="REGALO")*(MOVIMIENTOS!$C$5:$C$400="A")*(MOVIMIENTOS!$D$5:$D$400="jabas")*(ROW(MOVIMIENTOS!$B$5:$B$400)&lt;=$L20)*MOVIMIENTOS!$E$5:$E$400)-SUMPRODUCT((MOVIMIENTOS!$B$5:$B$400="VENTA")*(MOVIMIENTOS!$C$5:$C$400="A")*(MOVIMIENTOS!$D$5:$D$400="jabas")*(ROW(MOVIMIENTOS!$B$5:$B$400)&lt;=$L20)*MOVIMIENTOS!$E$5:$E$400)+SUMPRODUCT((MOVIMIENTOS!$B$5:$B$400="AJUSTE")*(MOVIMIENTOS!$C$5:$C$400="A")*(MOVIMIENTOS!$D$5:$D$400="jabas")*(ROW(MOVIMIENTOS!$B$5:$B$400)&lt;=$L20)*MOVIMIENTOS!$E$5:$E$400))</f>
        <v/>
      </c>
      <c r="C20" s="12" t="str">
        <f>IF($A20="","",SUMPRODUCT((MOVIMIENTOS!$B$5:$B$400="SALDO INICIAL")*(MOVIMIENTOS!$C$5:$C$400="P")*(MOVIMIENTOS!$D$5:$D$400="jabas")*(ROW(MOVIMIENTOS!$B$5:$B$400)&lt;=$L20)*MOVIMIENTOS!$E$5:$E$400)+SUMPRODUCT((MOVIMIENTOS!$B$5:$B$400="PROCESO")*(MOVIMIENTOS!$C$5:$C$400="P")*(MOVIMIENTOS!$D$5:$D$400="jabas")*(ROW(MOVIMIENTOS!$B$5:$B$400)&lt;=$L20)*MOVIMIENTOS!$E$5:$E$400)-SUMPRODUCT((MOVIMIENTOS!$B$5:$B$400="ENVÍO A SUPESA")*(MOVIMIENTOS!$C$5:$C$400="P")*(MOVIMIENTOS!$D$5:$D$400="jabas")*(ROW(MOVIMIENTOS!$B$5:$B$400)&lt;=$L20)*MOVIMIENTOS!$E$5:$E$400)+SUMPRODUCT((MOVIMIENTOS!$B$5:$B$400="DEVOLUCIÓN")*(MOVIMIENTOS!$C$5:$C$400="P")*(MOVIMIENTOS!$D$5:$D$400="jabas")*(ROW(MOVIMIENTOS!$B$5:$B$400)&lt;=$L20)*MOVIMIENTOS!$E$5:$E$400)-SUMPRODUCT((MOVIMIENTOS!$B$5:$B$400="TRASIEGO")*(MOVIMIENTOS!$C$5:$C$400="P")*(MOVIMIENTOS!$D$5:$D$400="jabas")*(ROW(MOVIMIENTOS!$B$5:$B$400)&lt;=$L20)*MOVIMIENTOS!$E$5:$E$400)-SUMPRODUCT((MOVIMIENTOS!$B$5:$B$400="REGALO")*(MOVIMIENTOS!$C$5:$C$400="P")*(MOVIMIENTOS!$D$5:$D$400="jabas")*(ROW(MOVIMIENTOS!$B$5:$B$400)&lt;=$L20)*MOVIMIENTOS!$E$5:$E$400)-SUMPRODUCT((MOVIMIENTOS!$B$5:$B$400="VENTA")*(MOVIMIENTOS!$C$5:$C$400="P")*(MOVIMIENTOS!$D$5:$D$400="jabas")*(ROW(MOVIMIENTOS!$B$5:$B$400)&lt;=$L20)*MOVIMIENTOS!$E$5:$E$400)+SUMPRODUCT((MOVIMIENTOS!$B$5:$B$400="AJUSTE")*(MOVIMIENTOS!$C$5:$C$400="P")*(MOVIMIENTOS!$D$5:$D$400="jabas")*(ROW(MOVIMIENTOS!$B$5:$B$400)&lt;=$L20)*MOVIMIENTOS!$E$5:$E$400))</f>
        <v/>
      </c>
      <c r="D20" s="12" t="str">
        <f>IF($A20="","",SUMPRODUCT((MOVIMIENTOS!$B$5:$B$400="SALDO INICIAL")*(MOVIMIENTOS!$C$5:$C$400="C")*(MOVIMIENTOS!$D$5:$D$400="jabas")*(ROW(MOVIMIENTOS!$B$5:$B$400)&lt;=$L20)*MOVIMIENTOS!$E$5:$E$400)+SUMPRODUCT((MOVIMIENTOS!$B$5:$B$400="PROCESO")*(MOVIMIENTOS!$C$5:$C$400="C")*(MOVIMIENTOS!$D$5:$D$400="jabas")*(ROW(MOVIMIENTOS!$B$5:$B$400)&lt;=$L20)*MOVIMIENTOS!$E$5:$E$400)-SUMPRODUCT((MOVIMIENTOS!$B$5:$B$400="ENVÍO A SUPESA")*(MOVIMIENTOS!$C$5:$C$400="C")*(MOVIMIENTOS!$D$5:$D$400="jabas")*(ROW(MOVIMIENTOS!$B$5:$B$400)&lt;=$L20)*MOVIMIENTOS!$E$5:$E$400)+SUMPRODUCT((MOVIMIENTOS!$B$5:$B$400="DEVOLUCIÓN")*(MOVIMIENTOS!$C$5:$C$400="C")*(MOVIMIENTOS!$D$5:$D$400="jabas")*(ROW(MOVIMIENTOS!$B$5:$B$400)&lt;=$L20)*MOVIMIENTOS!$E$5:$E$400)-SUMPRODUCT((MOVIMIENTOS!$B$5:$B$400="TRASIEGO")*(MOVIMIENTOS!$C$5:$C$400="C")*(MOVIMIENTOS!$D$5:$D$400="jabas")*(ROW(MOVIMIENTOS!$B$5:$B$400)&lt;=$L20)*MOVIMIENTOS!$E$5:$E$400)-SUMPRODUCT((MOVIMIENTOS!$B$5:$B$400="REGALO")*(MOVIMIENTOS!$C$5:$C$400="C")*(MOVIMIENTOS!$D$5:$D$400="jabas")*(ROW(MOVIMIENTOS!$B$5:$B$400)&lt;=$L20)*MOVIMIENTOS!$E$5:$E$400)-SUMPRODUCT((MOVIMIENTOS!$B$5:$B$400="VENTA")*(MOVIMIENTOS!$C$5:$C$400="C")*(MOVIMIENTOS!$D$5:$D$400="jabas")*(ROW(MOVIMIENTOS!$B$5:$B$400)&lt;=$L20)*MOVIMIENTOS!$E$5:$E$400)+SUMPRODUCT((MOVIMIENTOS!$B$5:$B$400="AJUSTE")*(MOVIMIENTOS!$C$5:$C$400="C")*(MOVIMIENTOS!$D$5:$D$400="jabas")*(ROW(MOVIMIENTOS!$B$5:$B$400)&lt;=$L20)*MOVIMIENTOS!$E$5:$E$400))</f>
        <v/>
      </c>
      <c r="E20" s="12" t="str">
        <f>IF($A20="","",SUMPRODUCT((MOVIMIENTOS!$B$5:$B$400="SALDO INICIAL")*(MOVIMIENTOS!$C$5:$C$400="M")*(MOVIMIENTOS!$D$5:$D$400="jabas")*(ROW(MOVIMIENTOS!$B$5:$B$400)&lt;=$L20)*MOVIMIENTOS!$E$5:$E$400)+SUMPRODUCT((MOVIMIENTOS!$B$5:$B$400="PROCESO")*(MOVIMIENTOS!$C$5:$C$400="M")*(MOVIMIENTOS!$D$5:$D$400="jabas")*(ROW(MOVIMIENTOS!$B$5:$B$400)&lt;=$L20)*MOVIMIENTOS!$E$5:$E$400)-SUMPRODUCT((MOVIMIENTOS!$B$5:$B$400="ENVÍO A SUPESA")*(MOVIMIENTOS!$C$5:$C$400="M")*(MOVIMIENTOS!$D$5:$D$400="jabas")*(ROW(MOVIMIENTOS!$B$5:$B$400)&lt;=$L20)*MOVIMIENTOS!$E$5:$E$400)+SUMPRODUCT((MOVIMIENTOS!$B$5:$B$400="DEVOLUCIÓN")*(MOVIMIENTOS!$C$5:$C$400="M")*(MOVIMIENTOS!$D$5:$D$400="jabas")*(ROW(MOVIMIENTOS!$B$5:$B$400)&lt;=$L20)*MOVIMIENTOS!$E$5:$E$400)-SUMPRODUCT((MOVIMIENTOS!$B$5:$B$400="TRASIEGO")*(MOVIMIENTOS!$C$5:$C$400="M")*(MOVIMIENTOS!$D$5:$D$400="jabas")*(ROW(MOVIMIENTOS!$B$5:$B$400)&lt;=$L20)*MOVIMIENTOS!$E$5:$E$400)-SUMPRODUCT((MOVIMIENTOS!$B$5:$B$400="REGALO")*(MOVIMIENTOS!$C$5:$C$400="M")*(MOVIMIENTOS!$D$5:$D$400="jabas")*(ROW(MOVIMIENTOS!$B$5:$B$400)&lt;=$L20)*MOVIMIENTOS!$E$5:$E$400)-SUMPRODUCT((MOVIMIENTOS!$B$5:$B$400="VENTA")*(MOVIMIENTOS!$C$5:$C$400="M")*(MOVIMIENTOS!$D$5:$D$400="jabas")*(ROW(MOVIMIENTOS!$B$5:$B$400)&lt;=$L20)*MOVIMIENTOS!$E$5:$E$400)+SUMPRODUCT((MOVIMIENTOS!$B$5:$B$400="AJUSTE")*(MOVIMIENTOS!$C$5:$C$400="M")*(MOVIMIENTOS!$D$5:$D$400="jabas")*(ROW(MOVIMIENTOS!$B$5:$B$400)&lt;=$L20)*MOVIMIENTOS!$E$5:$E$400))</f>
        <v/>
      </c>
      <c r="F20" s="12" t="str">
        <f>IF($A20="","",SUMPRODUCT((MOVIMIENTOS!$B$5:$B$400="SALDO INICIAL")*(MOVIMIENTOS!$C$5:$C$400="Chancho")*(MOVIMIENTOS!$D$5:$D$400="sacos")*(ROW(MOVIMIENTOS!$B$5:$B$400)&lt;=$L20)*MOVIMIENTOS!$E$5:$E$400)+SUMPRODUCT((MOVIMIENTOS!$B$5:$B$400="PROCESO")*(MOVIMIENTOS!$C$5:$C$400="Chancho")*(MOVIMIENTOS!$D$5:$D$400="sacos")*(ROW(MOVIMIENTOS!$B$5:$B$400)&lt;=$L20)*MOVIMIENTOS!$E$5:$E$400)-SUMPRODUCT((MOVIMIENTOS!$B$5:$B$400="VENTA CHANCHO")*(MOVIMIENTOS!$C$5:$C$400="Chancho")*(MOVIMIENTOS!$D$5:$D$400="sacos")*(ROW(MOVIMIENTOS!$B$5:$B$400)&lt;=$L20)*MOVIMIENTOS!$E$5:$E$400)-SUMPRODUCT((MOVIMIENTOS!$B$5:$B$400="REGALO")*(MOVIMIENTOS!$C$5:$C$400="Chancho")*(MOVIMIENTOS!$D$5:$D$400="sacos")*(ROW(MOVIMIENTOS!$B$5:$B$400)&lt;=$L20)*MOVIMIENTOS!$E$5:$E$400)-SUMPRODUCT((MOVIMIENTOS!$B$5:$B$400="VENTA")*(MOVIMIENTOS!$C$5:$C$400="Chancho")*(MOVIMIENTOS!$D$5:$D$400="sacos")*(ROW(MOVIMIENTOS!$B$5:$B$400)&lt;=$L20)*MOVIMIENTOS!$E$5:$E$400)+SUMPRODUCT((MOVIMIENTOS!$B$5:$B$400="AJUSTE")*(MOVIMIENTOS!$C$5:$C$400="Chancho")*(MOVIMIENTOS!$D$5:$D$400="sacos")*(ROW(MOVIMIENTOS!$B$5:$B$400)&lt;=$L20)*MOVIMIENTOS!$E$5:$E$400))</f>
        <v/>
      </c>
      <c r="G20" s="12" t="str">
        <f t="shared" si="1"/>
        <v/>
      </c>
      <c r="H20" s="12" t="str">
        <f>IF($A20="","",SUMPRODUCT((((MOVIMIENTOS!$B$5:$B$400="SALDO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20)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20)*MOVIMIENTOS!$I$5:$I$400))</f>
        <v/>
      </c>
      <c r="J20" t="str">
        <f>IF(AND(MOVIMIENTOS!$A20&lt;&gt;"",COUNTIF(MOVIMIENTOS!$A$5:$A19,MOVIMIENTOS!$A20)=0),COUNT(J$4:J19)+1,"")</f>
        <v/>
      </c>
      <c r="K20" s="10">
        <f>MOVIMIENTOS!$A20</f>
        <v>46216</v>
      </c>
      <c r="L20" t="str">
        <f>IF($A20="","",SUMPRODUCT(MAX((MOVIMIENTOS!$A$5:$A$400=$A20)*ROW(MOVIMIENTOS!$A$5:$A$400))))</f>
        <v/>
      </c>
    </row>
    <row r="21" spans="1:12" x14ac:dyDescent="0.2">
      <c r="A21" s="11" t="str">
        <f t="shared" si="0"/>
        <v/>
      </c>
      <c r="B21" s="12" t="str">
        <f>IF($A21="","",SUMPRODUCT((MOVIMIENTOS!$B$5:$B$400="SALDO INICIAL")*(MOVIMIENTOS!$C$5:$C$400="A")*(MOVIMIENTOS!$D$5:$D$400="jabas")*(ROW(MOVIMIENTOS!$B$5:$B$400)&lt;=$L21)*MOVIMIENTOS!$E$5:$E$400)+SUMPRODUCT((MOVIMIENTOS!$B$5:$B$400="PROCESO")*(MOVIMIENTOS!$C$5:$C$400="A")*(MOVIMIENTOS!$D$5:$D$400="jabas")*(ROW(MOVIMIENTOS!$B$5:$B$400)&lt;=$L21)*MOVIMIENTOS!$E$5:$E$400)-SUMPRODUCT((MOVIMIENTOS!$B$5:$B$400="ENVÍO A SUPESA")*(MOVIMIENTOS!$C$5:$C$400="A")*(MOVIMIENTOS!$D$5:$D$400="jabas")*(ROW(MOVIMIENTOS!$B$5:$B$400)&lt;=$L21)*MOVIMIENTOS!$E$5:$E$400)+SUMPRODUCT((MOVIMIENTOS!$B$5:$B$400="DEVOLUCIÓN")*(MOVIMIENTOS!$C$5:$C$400="A")*(MOVIMIENTOS!$D$5:$D$400="jabas")*(ROW(MOVIMIENTOS!$B$5:$B$400)&lt;=$L21)*MOVIMIENTOS!$E$5:$E$400)-SUMPRODUCT((MOVIMIENTOS!$B$5:$B$400="TRASIEGO")*(MOVIMIENTOS!$C$5:$C$400="A")*(MOVIMIENTOS!$D$5:$D$400="jabas")*(ROW(MOVIMIENTOS!$B$5:$B$400)&lt;=$L21)*MOVIMIENTOS!$E$5:$E$400)-SUMPRODUCT((MOVIMIENTOS!$B$5:$B$400="REGALO")*(MOVIMIENTOS!$C$5:$C$400="A")*(MOVIMIENTOS!$D$5:$D$400="jabas")*(ROW(MOVIMIENTOS!$B$5:$B$400)&lt;=$L21)*MOVIMIENTOS!$E$5:$E$400)-SUMPRODUCT((MOVIMIENTOS!$B$5:$B$400="VENTA")*(MOVIMIENTOS!$C$5:$C$400="A")*(MOVIMIENTOS!$D$5:$D$400="jabas")*(ROW(MOVIMIENTOS!$B$5:$B$400)&lt;=$L21)*MOVIMIENTOS!$E$5:$E$400)+SUMPRODUCT((MOVIMIENTOS!$B$5:$B$400="AJUSTE")*(MOVIMIENTOS!$C$5:$C$400="A")*(MOVIMIENTOS!$D$5:$D$400="jabas")*(ROW(MOVIMIENTOS!$B$5:$B$400)&lt;=$L21)*MOVIMIENTOS!$E$5:$E$400))</f>
        <v/>
      </c>
      <c r="C21" s="12" t="str">
        <f>IF($A21="","",SUMPRODUCT((MOVIMIENTOS!$B$5:$B$400="SALDO INICIAL")*(MOVIMIENTOS!$C$5:$C$400="P")*(MOVIMIENTOS!$D$5:$D$400="jabas")*(ROW(MOVIMIENTOS!$B$5:$B$400)&lt;=$L21)*MOVIMIENTOS!$E$5:$E$400)+SUMPRODUCT((MOVIMIENTOS!$B$5:$B$400="PROCESO")*(MOVIMIENTOS!$C$5:$C$400="P")*(MOVIMIENTOS!$D$5:$D$400="jabas")*(ROW(MOVIMIENTOS!$B$5:$B$400)&lt;=$L21)*MOVIMIENTOS!$E$5:$E$400)-SUMPRODUCT((MOVIMIENTOS!$B$5:$B$400="ENVÍO A SUPESA")*(MOVIMIENTOS!$C$5:$C$400="P")*(MOVIMIENTOS!$D$5:$D$400="jabas")*(ROW(MOVIMIENTOS!$B$5:$B$400)&lt;=$L21)*MOVIMIENTOS!$E$5:$E$400)+SUMPRODUCT((MOVIMIENTOS!$B$5:$B$400="DEVOLUCIÓN")*(MOVIMIENTOS!$C$5:$C$400="P")*(MOVIMIENTOS!$D$5:$D$400="jabas")*(ROW(MOVIMIENTOS!$B$5:$B$400)&lt;=$L21)*MOVIMIENTOS!$E$5:$E$400)-SUMPRODUCT((MOVIMIENTOS!$B$5:$B$400="TRASIEGO")*(MOVIMIENTOS!$C$5:$C$400="P")*(MOVIMIENTOS!$D$5:$D$400="jabas")*(ROW(MOVIMIENTOS!$B$5:$B$400)&lt;=$L21)*MOVIMIENTOS!$E$5:$E$400)-SUMPRODUCT((MOVIMIENTOS!$B$5:$B$400="REGALO")*(MOVIMIENTOS!$C$5:$C$400="P")*(MOVIMIENTOS!$D$5:$D$400="jabas")*(ROW(MOVIMIENTOS!$B$5:$B$400)&lt;=$L21)*MOVIMIENTOS!$E$5:$E$400)-SUMPRODUCT((MOVIMIENTOS!$B$5:$B$400="VENTA")*(MOVIMIENTOS!$C$5:$C$400="P")*(MOVIMIENTOS!$D$5:$D$400="jabas")*(ROW(MOVIMIENTOS!$B$5:$B$400)&lt;=$L21)*MOVIMIENTOS!$E$5:$E$400)+SUMPRODUCT((MOVIMIENTOS!$B$5:$B$400="AJUSTE")*(MOVIMIENTOS!$C$5:$C$400="P")*(MOVIMIENTOS!$D$5:$D$400="jabas")*(ROW(MOVIMIENTOS!$B$5:$B$400)&lt;=$L21)*MOVIMIENTOS!$E$5:$E$400))</f>
        <v/>
      </c>
      <c r="D21" s="12" t="str">
        <f>IF($A21="","",SUMPRODUCT((MOVIMIENTOS!$B$5:$B$400="SALDO INICIAL")*(MOVIMIENTOS!$C$5:$C$400="C")*(MOVIMIENTOS!$D$5:$D$400="jabas")*(ROW(MOVIMIENTOS!$B$5:$B$400)&lt;=$L21)*MOVIMIENTOS!$E$5:$E$400)+SUMPRODUCT((MOVIMIENTOS!$B$5:$B$400="PROCESO")*(MOVIMIENTOS!$C$5:$C$400="C")*(MOVIMIENTOS!$D$5:$D$400="jabas")*(ROW(MOVIMIENTOS!$B$5:$B$400)&lt;=$L21)*MOVIMIENTOS!$E$5:$E$400)-SUMPRODUCT((MOVIMIENTOS!$B$5:$B$400="ENVÍO A SUPESA")*(MOVIMIENTOS!$C$5:$C$400="C")*(MOVIMIENTOS!$D$5:$D$400="jabas")*(ROW(MOVIMIENTOS!$B$5:$B$400)&lt;=$L21)*MOVIMIENTOS!$E$5:$E$400)+SUMPRODUCT((MOVIMIENTOS!$B$5:$B$400="DEVOLUCIÓN")*(MOVIMIENTOS!$C$5:$C$400="C")*(MOVIMIENTOS!$D$5:$D$400="jabas")*(ROW(MOVIMIENTOS!$B$5:$B$400)&lt;=$L21)*MOVIMIENTOS!$E$5:$E$400)-SUMPRODUCT((MOVIMIENTOS!$B$5:$B$400="TRASIEGO")*(MOVIMIENTOS!$C$5:$C$400="C")*(MOVIMIENTOS!$D$5:$D$400="jabas")*(ROW(MOVIMIENTOS!$B$5:$B$400)&lt;=$L21)*MOVIMIENTOS!$E$5:$E$400)-SUMPRODUCT((MOVIMIENTOS!$B$5:$B$400="REGALO")*(MOVIMIENTOS!$C$5:$C$400="C")*(MOVIMIENTOS!$D$5:$D$400="jabas")*(ROW(MOVIMIENTOS!$B$5:$B$400)&lt;=$L21)*MOVIMIENTOS!$E$5:$E$400)-SUMPRODUCT((MOVIMIENTOS!$B$5:$B$400="VENTA")*(MOVIMIENTOS!$C$5:$C$400="C")*(MOVIMIENTOS!$D$5:$D$400="jabas")*(ROW(MOVIMIENTOS!$B$5:$B$400)&lt;=$L21)*MOVIMIENTOS!$E$5:$E$400)+SUMPRODUCT((MOVIMIENTOS!$B$5:$B$400="AJUSTE")*(MOVIMIENTOS!$C$5:$C$400="C")*(MOVIMIENTOS!$D$5:$D$400="jabas")*(ROW(MOVIMIENTOS!$B$5:$B$400)&lt;=$L21)*MOVIMIENTOS!$E$5:$E$400))</f>
        <v/>
      </c>
      <c r="E21" s="12" t="str">
        <f>IF($A21="","",SUMPRODUCT((MOVIMIENTOS!$B$5:$B$400="SALDO INICIAL")*(MOVIMIENTOS!$C$5:$C$400="M")*(MOVIMIENTOS!$D$5:$D$400="jabas")*(ROW(MOVIMIENTOS!$B$5:$B$400)&lt;=$L21)*MOVIMIENTOS!$E$5:$E$400)+SUMPRODUCT((MOVIMIENTOS!$B$5:$B$400="PROCESO")*(MOVIMIENTOS!$C$5:$C$400="M")*(MOVIMIENTOS!$D$5:$D$400="jabas")*(ROW(MOVIMIENTOS!$B$5:$B$400)&lt;=$L21)*MOVIMIENTOS!$E$5:$E$400)-SUMPRODUCT((MOVIMIENTOS!$B$5:$B$400="ENVÍO A SUPESA")*(MOVIMIENTOS!$C$5:$C$400="M")*(MOVIMIENTOS!$D$5:$D$400="jabas")*(ROW(MOVIMIENTOS!$B$5:$B$400)&lt;=$L21)*MOVIMIENTOS!$E$5:$E$400)+SUMPRODUCT((MOVIMIENTOS!$B$5:$B$400="DEVOLUCIÓN")*(MOVIMIENTOS!$C$5:$C$400="M")*(MOVIMIENTOS!$D$5:$D$400="jabas")*(ROW(MOVIMIENTOS!$B$5:$B$400)&lt;=$L21)*MOVIMIENTOS!$E$5:$E$400)-SUMPRODUCT((MOVIMIENTOS!$B$5:$B$400="TRASIEGO")*(MOVIMIENTOS!$C$5:$C$400="M")*(MOVIMIENTOS!$D$5:$D$400="jabas")*(ROW(MOVIMIENTOS!$B$5:$B$400)&lt;=$L21)*MOVIMIENTOS!$E$5:$E$400)-SUMPRODUCT((MOVIMIENTOS!$B$5:$B$400="REGALO")*(MOVIMIENTOS!$C$5:$C$400="M")*(MOVIMIENTOS!$D$5:$D$400="jabas")*(ROW(MOVIMIENTOS!$B$5:$B$400)&lt;=$L21)*MOVIMIENTOS!$E$5:$E$400)-SUMPRODUCT((MOVIMIENTOS!$B$5:$B$400="VENTA")*(MOVIMIENTOS!$C$5:$C$400="M")*(MOVIMIENTOS!$D$5:$D$400="jabas")*(ROW(MOVIMIENTOS!$B$5:$B$400)&lt;=$L21)*MOVIMIENTOS!$E$5:$E$400)+SUMPRODUCT((MOVIMIENTOS!$B$5:$B$400="AJUSTE")*(MOVIMIENTOS!$C$5:$C$400="M")*(MOVIMIENTOS!$D$5:$D$400="jabas")*(ROW(MOVIMIENTOS!$B$5:$B$400)&lt;=$L21)*MOVIMIENTOS!$E$5:$E$400))</f>
        <v/>
      </c>
      <c r="F21" s="12" t="str">
        <f>IF($A21="","",SUMPRODUCT((MOVIMIENTOS!$B$5:$B$400="SALDO INICIAL")*(MOVIMIENTOS!$C$5:$C$400="Chancho")*(MOVIMIENTOS!$D$5:$D$400="sacos")*(ROW(MOVIMIENTOS!$B$5:$B$400)&lt;=$L21)*MOVIMIENTOS!$E$5:$E$400)+SUMPRODUCT((MOVIMIENTOS!$B$5:$B$400="PROCESO")*(MOVIMIENTOS!$C$5:$C$400="Chancho")*(MOVIMIENTOS!$D$5:$D$400="sacos")*(ROW(MOVIMIENTOS!$B$5:$B$400)&lt;=$L21)*MOVIMIENTOS!$E$5:$E$400)-SUMPRODUCT((MOVIMIENTOS!$B$5:$B$400="VENTA CHANCHO")*(MOVIMIENTOS!$C$5:$C$400="Chancho")*(MOVIMIENTOS!$D$5:$D$400="sacos")*(ROW(MOVIMIENTOS!$B$5:$B$400)&lt;=$L21)*MOVIMIENTOS!$E$5:$E$400)-SUMPRODUCT((MOVIMIENTOS!$B$5:$B$400="REGALO")*(MOVIMIENTOS!$C$5:$C$400="Chancho")*(MOVIMIENTOS!$D$5:$D$400="sacos")*(ROW(MOVIMIENTOS!$B$5:$B$400)&lt;=$L21)*MOVIMIENTOS!$E$5:$E$400)-SUMPRODUCT((MOVIMIENTOS!$B$5:$B$400="VENTA")*(MOVIMIENTOS!$C$5:$C$400="Chancho")*(MOVIMIENTOS!$D$5:$D$400="sacos")*(ROW(MOVIMIENTOS!$B$5:$B$400)&lt;=$L21)*MOVIMIENTOS!$E$5:$E$400)+SUMPRODUCT((MOVIMIENTOS!$B$5:$B$400="AJUSTE")*(MOVIMIENTOS!$C$5:$C$400="Chancho")*(MOVIMIENTOS!$D$5:$D$400="sacos")*(ROW(MOVIMIENTOS!$B$5:$B$400)&lt;=$L21)*MOVIMIENTOS!$E$5:$E$400))</f>
        <v/>
      </c>
      <c r="G21" s="12" t="str">
        <f t="shared" si="1"/>
        <v/>
      </c>
      <c r="H21" s="12" t="str">
        <f>IF($A21="","",SUMPRODUCT((((MOVIMIENTOS!$B$5:$B$400="SALDO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21)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21)*MOVIMIENTOS!$I$5:$I$400))</f>
        <v/>
      </c>
      <c r="J21" t="str">
        <f>IF(AND(MOVIMIENTOS!$A21&lt;&gt;"",COUNTIF(MOVIMIENTOS!$A$5:$A20,MOVIMIENTOS!$A21)=0),COUNT(J$4:J20)+1,"")</f>
        <v/>
      </c>
      <c r="K21" s="10">
        <f>MOVIMIENTOS!$A21</f>
        <v>46216</v>
      </c>
      <c r="L21" t="str">
        <f>IF($A21="","",SUMPRODUCT(MAX((MOVIMIENTOS!$A$5:$A$400=$A21)*ROW(MOVIMIENTOS!$A$5:$A$400))))</f>
        <v/>
      </c>
    </row>
    <row r="22" spans="1:12" x14ac:dyDescent="0.2">
      <c r="A22" s="11" t="str">
        <f t="shared" si="0"/>
        <v/>
      </c>
      <c r="B22" s="12" t="str">
        <f>IF($A22="","",SUMPRODUCT((MOVIMIENTOS!$B$5:$B$400="SALDO INICIAL")*(MOVIMIENTOS!$C$5:$C$400="A")*(MOVIMIENTOS!$D$5:$D$400="jabas")*(ROW(MOVIMIENTOS!$B$5:$B$400)&lt;=$L22)*MOVIMIENTOS!$E$5:$E$400)+SUMPRODUCT((MOVIMIENTOS!$B$5:$B$400="PROCESO")*(MOVIMIENTOS!$C$5:$C$400="A")*(MOVIMIENTOS!$D$5:$D$400="jabas")*(ROW(MOVIMIENTOS!$B$5:$B$400)&lt;=$L22)*MOVIMIENTOS!$E$5:$E$400)-SUMPRODUCT((MOVIMIENTOS!$B$5:$B$400="ENVÍO A SUPESA")*(MOVIMIENTOS!$C$5:$C$400="A")*(MOVIMIENTOS!$D$5:$D$400="jabas")*(ROW(MOVIMIENTOS!$B$5:$B$400)&lt;=$L22)*MOVIMIENTOS!$E$5:$E$400)+SUMPRODUCT((MOVIMIENTOS!$B$5:$B$400="DEVOLUCIÓN")*(MOVIMIENTOS!$C$5:$C$400="A")*(MOVIMIENTOS!$D$5:$D$400="jabas")*(ROW(MOVIMIENTOS!$B$5:$B$400)&lt;=$L22)*MOVIMIENTOS!$E$5:$E$400)-SUMPRODUCT((MOVIMIENTOS!$B$5:$B$400="TRASIEGO")*(MOVIMIENTOS!$C$5:$C$400="A")*(MOVIMIENTOS!$D$5:$D$400="jabas")*(ROW(MOVIMIENTOS!$B$5:$B$400)&lt;=$L22)*MOVIMIENTOS!$E$5:$E$400)-SUMPRODUCT((MOVIMIENTOS!$B$5:$B$400="REGALO")*(MOVIMIENTOS!$C$5:$C$400="A")*(MOVIMIENTOS!$D$5:$D$400="jabas")*(ROW(MOVIMIENTOS!$B$5:$B$400)&lt;=$L22)*MOVIMIENTOS!$E$5:$E$400)-SUMPRODUCT((MOVIMIENTOS!$B$5:$B$400="VENTA")*(MOVIMIENTOS!$C$5:$C$400="A")*(MOVIMIENTOS!$D$5:$D$400="jabas")*(ROW(MOVIMIENTOS!$B$5:$B$400)&lt;=$L22)*MOVIMIENTOS!$E$5:$E$400)+SUMPRODUCT((MOVIMIENTOS!$B$5:$B$400="AJUSTE")*(MOVIMIENTOS!$C$5:$C$400="A")*(MOVIMIENTOS!$D$5:$D$400="jabas")*(ROW(MOVIMIENTOS!$B$5:$B$400)&lt;=$L22)*MOVIMIENTOS!$E$5:$E$400))</f>
        <v/>
      </c>
      <c r="C22" s="12" t="str">
        <f>IF($A22="","",SUMPRODUCT((MOVIMIENTOS!$B$5:$B$400="SALDO INICIAL")*(MOVIMIENTOS!$C$5:$C$400="P")*(MOVIMIENTOS!$D$5:$D$400="jabas")*(ROW(MOVIMIENTOS!$B$5:$B$400)&lt;=$L22)*MOVIMIENTOS!$E$5:$E$400)+SUMPRODUCT((MOVIMIENTOS!$B$5:$B$400="PROCESO")*(MOVIMIENTOS!$C$5:$C$400="P")*(MOVIMIENTOS!$D$5:$D$400="jabas")*(ROW(MOVIMIENTOS!$B$5:$B$400)&lt;=$L22)*MOVIMIENTOS!$E$5:$E$400)-SUMPRODUCT((MOVIMIENTOS!$B$5:$B$400="ENVÍO A SUPESA")*(MOVIMIENTOS!$C$5:$C$400="P")*(MOVIMIENTOS!$D$5:$D$400="jabas")*(ROW(MOVIMIENTOS!$B$5:$B$400)&lt;=$L22)*MOVIMIENTOS!$E$5:$E$400)+SUMPRODUCT((MOVIMIENTOS!$B$5:$B$400="DEVOLUCIÓN")*(MOVIMIENTOS!$C$5:$C$400="P")*(MOVIMIENTOS!$D$5:$D$400="jabas")*(ROW(MOVIMIENTOS!$B$5:$B$400)&lt;=$L22)*MOVIMIENTOS!$E$5:$E$400)-SUMPRODUCT((MOVIMIENTOS!$B$5:$B$400="TRASIEGO")*(MOVIMIENTOS!$C$5:$C$400="P")*(MOVIMIENTOS!$D$5:$D$400="jabas")*(ROW(MOVIMIENTOS!$B$5:$B$400)&lt;=$L22)*MOVIMIENTOS!$E$5:$E$400)-SUMPRODUCT((MOVIMIENTOS!$B$5:$B$400="REGALO")*(MOVIMIENTOS!$C$5:$C$400="P")*(MOVIMIENTOS!$D$5:$D$400="jabas")*(ROW(MOVIMIENTOS!$B$5:$B$400)&lt;=$L22)*MOVIMIENTOS!$E$5:$E$400)-SUMPRODUCT((MOVIMIENTOS!$B$5:$B$400="VENTA")*(MOVIMIENTOS!$C$5:$C$400="P")*(MOVIMIENTOS!$D$5:$D$400="jabas")*(ROW(MOVIMIENTOS!$B$5:$B$400)&lt;=$L22)*MOVIMIENTOS!$E$5:$E$400)+SUMPRODUCT((MOVIMIENTOS!$B$5:$B$400="AJUSTE")*(MOVIMIENTOS!$C$5:$C$400="P")*(MOVIMIENTOS!$D$5:$D$400="jabas")*(ROW(MOVIMIENTOS!$B$5:$B$400)&lt;=$L22)*MOVIMIENTOS!$E$5:$E$400))</f>
        <v/>
      </c>
      <c r="D22" s="12" t="str">
        <f>IF($A22="","",SUMPRODUCT((MOVIMIENTOS!$B$5:$B$400="SALDO INICIAL")*(MOVIMIENTOS!$C$5:$C$400="C")*(MOVIMIENTOS!$D$5:$D$400="jabas")*(ROW(MOVIMIENTOS!$B$5:$B$400)&lt;=$L22)*MOVIMIENTOS!$E$5:$E$400)+SUMPRODUCT((MOVIMIENTOS!$B$5:$B$400="PROCESO")*(MOVIMIENTOS!$C$5:$C$400="C")*(MOVIMIENTOS!$D$5:$D$400="jabas")*(ROW(MOVIMIENTOS!$B$5:$B$400)&lt;=$L22)*MOVIMIENTOS!$E$5:$E$400)-SUMPRODUCT((MOVIMIENTOS!$B$5:$B$400="ENVÍO A SUPESA")*(MOVIMIENTOS!$C$5:$C$400="C")*(MOVIMIENTOS!$D$5:$D$400="jabas")*(ROW(MOVIMIENTOS!$B$5:$B$400)&lt;=$L22)*MOVIMIENTOS!$E$5:$E$400)+SUMPRODUCT((MOVIMIENTOS!$B$5:$B$400="DEVOLUCIÓN")*(MOVIMIENTOS!$C$5:$C$400="C")*(MOVIMIENTOS!$D$5:$D$400="jabas")*(ROW(MOVIMIENTOS!$B$5:$B$400)&lt;=$L22)*MOVIMIENTOS!$E$5:$E$400)-SUMPRODUCT((MOVIMIENTOS!$B$5:$B$400="TRASIEGO")*(MOVIMIENTOS!$C$5:$C$400="C")*(MOVIMIENTOS!$D$5:$D$400="jabas")*(ROW(MOVIMIENTOS!$B$5:$B$400)&lt;=$L22)*MOVIMIENTOS!$E$5:$E$400)-SUMPRODUCT((MOVIMIENTOS!$B$5:$B$400="REGALO")*(MOVIMIENTOS!$C$5:$C$400="C")*(MOVIMIENTOS!$D$5:$D$400="jabas")*(ROW(MOVIMIENTOS!$B$5:$B$400)&lt;=$L22)*MOVIMIENTOS!$E$5:$E$400)-SUMPRODUCT((MOVIMIENTOS!$B$5:$B$400="VENTA")*(MOVIMIENTOS!$C$5:$C$400="C")*(MOVIMIENTOS!$D$5:$D$400="jabas")*(ROW(MOVIMIENTOS!$B$5:$B$400)&lt;=$L22)*MOVIMIENTOS!$E$5:$E$400)+SUMPRODUCT((MOVIMIENTOS!$B$5:$B$400="AJUSTE")*(MOVIMIENTOS!$C$5:$C$400="C")*(MOVIMIENTOS!$D$5:$D$400="jabas")*(ROW(MOVIMIENTOS!$B$5:$B$400)&lt;=$L22)*MOVIMIENTOS!$E$5:$E$400))</f>
        <v/>
      </c>
      <c r="E22" s="12" t="str">
        <f>IF($A22="","",SUMPRODUCT((MOVIMIENTOS!$B$5:$B$400="SALDO INICIAL")*(MOVIMIENTOS!$C$5:$C$400="M")*(MOVIMIENTOS!$D$5:$D$400="jabas")*(ROW(MOVIMIENTOS!$B$5:$B$400)&lt;=$L22)*MOVIMIENTOS!$E$5:$E$400)+SUMPRODUCT((MOVIMIENTOS!$B$5:$B$400="PROCESO")*(MOVIMIENTOS!$C$5:$C$400="M")*(MOVIMIENTOS!$D$5:$D$400="jabas")*(ROW(MOVIMIENTOS!$B$5:$B$400)&lt;=$L22)*MOVIMIENTOS!$E$5:$E$400)-SUMPRODUCT((MOVIMIENTOS!$B$5:$B$400="ENVÍO A SUPESA")*(MOVIMIENTOS!$C$5:$C$400="M")*(MOVIMIENTOS!$D$5:$D$400="jabas")*(ROW(MOVIMIENTOS!$B$5:$B$400)&lt;=$L22)*MOVIMIENTOS!$E$5:$E$400)+SUMPRODUCT((MOVIMIENTOS!$B$5:$B$400="DEVOLUCIÓN")*(MOVIMIENTOS!$C$5:$C$400="M")*(MOVIMIENTOS!$D$5:$D$400="jabas")*(ROW(MOVIMIENTOS!$B$5:$B$400)&lt;=$L22)*MOVIMIENTOS!$E$5:$E$400)-SUMPRODUCT((MOVIMIENTOS!$B$5:$B$400="TRASIEGO")*(MOVIMIENTOS!$C$5:$C$400="M")*(MOVIMIENTOS!$D$5:$D$400="jabas")*(ROW(MOVIMIENTOS!$B$5:$B$400)&lt;=$L22)*MOVIMIENTOS!$E$5:$E$400)-SUMPRODUCT((MOVIMIENTOS!$B$5:$B$400="REGALO")*(MOVIMIENTOS!$C$5:$C$400="M")*(MOVIMIENTOS!$D$5:$D$400="jabas")*(ROW(MOVIMIENTOS!$B$5:$B$400)&lt;=$L22)*MOVIMIENTOS!$E$5:$E$400)-SUMPRODUCT((MOVIMIENTOS!$B$5:$B$400="VENTA")*(MOVIMIENTOS!$C$5:$C$400="M")*(MOVIMIENTOS!$D$5:$D$400="jabas")*(ROW(MOVIMIENTOS!$B$5:$B$400)&lt;=$L22)*MOVIMIENTOS!$E$5:$E$400)+SUMPRODUCT((MOVIMIENTOS!$B$5:$B$400="AJUSTE")*(MOVIMIENTOS!$C$5:$C$400="M")*(MOVIMIENTOS!$D$5:$D$400="jabas")*(ROW(MOVIMIENTOS!$B$5:$B$400)&lt;=$L22)*MOVIMIENTOS!$E$5:$E$400))</f>
        <v/>
      </c>
      <c r="F22" s="12" t="str">
        <f>IF($A22="","",SUMPRODUCT((MOVIMIENTOS!$B$5:$B$400="SALDO INICIAL")*(MOVIMIENTOS!$C$5:$C$400="Chancho")*(MOVIMIENTOS!$D$5:$D$400="sacos")*(ROW(MOVIMIENTOS!$B$5:$B$400)&lt;=$L22)*MOVIMIENTOS!$E$5:$E$400)+SUMPRODUCT((MOVIMIENTOS!$B$5:$B$400="PROCESO")*(MOVIMIENTOS!$C$5:$C$400="Chancho")*(MOVIMIENTOS!$D$5:$D$400="sacos")*(ROW(MOVIMIENTOS!$B$5:$B$400)&lt;=$L22)*MOVIMIENTOS!$E$5:$E$400)-SUMPRODUCT((MOVIMIENTOS!$B$5:$B$400="VENTA CHANCHO")*(MOVIMIENTOS!$C$5:$C$400="Chancho")*(MOVIMIENTOS!$D$5:$D$400="sacos")*(ROW(MOVIMIENTOS!$B$5:$B$400)&lt;=$L22)*MOVIMIENTOS!$E$5:$E$400)-SUMPRODUCT((MOVIMIENTOS!$B$5:$B$400="REGALO")*(MOVIMIENTOS!$C$5:$C$400="Chancho")*(MOVIMIENTOS!$D$5:$D$400="sacos")*(ROW(MOVIMIENTOS!$B$5:$B$400)&lt;=$L22)*MOVIMIENTOS!$E$5:$E$400)-SUMPRODUCT((MOVIMIENTOS!$B$5:$B$400="VENTA")*(MOVIMIENTOS!$C$5:$C$400="Chancho")*(MOVIMIENTOS!$D$5:$D$400="sacos")*(ROW(MOVIMIENTOS!$B$5:$B$400)&lt;=$L22)*MOVIMIENTOS!$E$5:$E$400)+SUMPRODUCT((MOVIMIENTOS!$B$5:$B$400="AJUSTE")*(MOVIMIENTOS!$C$5:$C$400="Chancho")*(MOVIMIENTOS!$D$5:$D$400="sacos")*(ROW(MOVIMIENTOS!$B$5:$B$400)&lt;=$L22)*MOVIMIENTOS!$E$5:$E$400))</f>
        <v/>
      </c>
      <c r="G22" s="12" t="str">
        <f t="shared" si="1"/>
        <v/>
      </c>
      <c r="H22" s="12" t="str">
        <f>IF($A22="","",SUMPRODUCT((((MOVIMIENTOS!$B$5:$B$400="SALDO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22)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22)*MOVIMIENTOS!$I$5:$I$400))</f>
        <v/>
      </c>
      <c r="J22" t="str">
        <f>IF(AND(MOVIMIENTOS!$A22&lt;&gt;"",COUNTIF(MOVIMIENTOS!$A$5:$A21,MOVIMIENTOS!$A22)=0),COUNT(J$4:J21)+1,"")</f>
        <v/>
      </c>
      <c r="K22" s="10">
        <f>MOVIMIENTOS!$A22</f>
        <v>46216</v>
      </c>
      <c r="L22" t="str">
        <f>IF($A22="","",SUMPRODUCT(MAX((MOVIMIENTOS!$A$5:$A$400=$A22)*ROW(MOVIMIENTOS!$A$5:$A$400))))</f>
        <v/>
      </c>
    </row>
    <row r="23" spans="1:12" x14ac:dyDescent="0.2">
      <c r="A23" s="11" t="str">
        <f t="shared" si="0"/>
        <v/>
      </c>
      <c r="B23" s="12" t="str">
        <f>IF($A23="","",SUMPRODUCT((MOVIMIENTOS!$B$5:$B$400="SALDO INICIAL")*(MOVIMIENTOS!$C$5:$C$400="A")*(MOVIMIENTOS!$D$5:$D$400="jabas")*(ROW(MOVIMIENTOS!$B$5:$B$400)&lt;=$L23)*MOVIMIENTOS!$E$5:$E$400)+SUMPRODUCT((MOVIMIENTOS!$B$5:$B$400="PROCESO")*(MOVIMIENTOS!$C$5:$C$400="A")*(MOVIMIENTOS!$D$5:$D$400="jabas")*(ROW(MOVIMIENTOS!$B$5:$B$400)&lt;=$L23)*MOVIMIENTOS!$E$5:$E$400)-SUMPRODUCT((MOVIMIENTOS!$B$5:$B$400="ENVÍO A SUPESA")*(MOVIMIENTOS!$C$5:$C$400="A")*(MOVIMIENTOS!$D$5:$D$400="jabas")*(ROW(MOVIMIENTOS!$B$5:$B$400)&lt;=$L23)*MOVIMIENTOS!$E$5:$E$400)+SUMPRODUCT((MOVIMIENTOS!$B$5:$B$400="DEVOLUCIÓN")*(MOVIMIENTOS!$C$5:$C$400="A")*(MOVIMIENTOS!$D$5:$D$400="jabas")*(ROW(MOVIMIENTOS!$B$5:$B$400)&lt;=$L23)*MOVIMIENTOS!$E$5:$E$400)-SUMPRODUCT((MOVIMIENTOS!$B$5:$B$400="TRASIEGO")*(MOVIMIENTOS!$C$5:$C$400="A")*(MOVIMIENTOS!$D$5:$D$400="jabas")*(ROW(MOVIMIENTOS!$B$5:$B$400)&lt;=$L23)*MOVIMIENTOS!$E$5:$E$400)-SUMPRODUCT((MOVIMIENTOS!$B$5:$B$400="REGALO")*(MOVIMIENTOS!$C$5:$C$400="A")*(MOVIMIENTOS!$D$5:$D$400="jabas")*(ROW(MOVIMIENTOS!$B$5:$B$400)&lt;=$L23)*MOVIMIENTOS!$E$5:$E$400)-SUMPRODUCT((MOVIMIENTOS!$B$5:$B$400="VENTA")*(MOVIMIENTOS!$C$5:$C$400="A")*(MOVIMIENTOS!$D$5:$D$400="jabas")*(ROW(MOVIMIENTOS!$B$5:$B$400)&lt;=$L23)*MOVIMIENTOS!$E$5:$E$400)+SUMPRODUCT((MOVIMIENTOS!$B$5:$B$400="AJUSTE")*(MOVIMIENTOS!$C$5:$C$400="A")*(MOVIMIENTOS!$D$5:$D$400="jabas")*(ROW(MOVIMIENTOS!$B$5:$B$400)&lt;=$L23)*MOVIMIENTOS!$E$5:$E$400))</f>
        <v/>
      </c>
      <c r="C23" s="12" t="str">
        <f>IF($A23="","",SUMPRODUCT((MOVIMIENTOS!$B$5:$B$400="SALDO INICIAL")*(MOVIMIENTOS!$C$5:$C$400="P")*(MOVIMIENTOS!$D$5:$D$400="jabas")*(ROW(MOVIMIENTOS!$B$5:$B$400)&lt;=$L23)*MOVIMIENTOS!$E$5:$E$400)+SUMPRODUCT((MOVIMIENTOS!$B$5:$B$400="PROCESO")*(MOVIMIENTOS!$C$5:$C$400="P")*(MOVIMIENTOS!$D$5:$D$400="jabas")*(ROW(MOVIMIENTOS!$B$5:$B$400)&lt;=$L23)*MOVIMIENTOS!$E$5:$E$400)-SUMPRODUCT((MOVIMIENTOS!$B$5:$B$400="ENVÍO A SUPESA")*(MOVIMIENTOS!$C$5:$C$400="P")*(MOVIMIENTOS!$D$5:$D$400="jabas")*(ROW(MOVIMIENTOS!$B$5:$B$400)&lt;=$L23)*MOVIMIENTOS!$E$5:$E$400)+SUMPRODUCT((MOVIMIENTOS!$B$5:$B$400="DEVOLUCIÓN")*(MOVIMIENTOS!$C$5:$C$400="P")*(MOVIMIENTOS!$D$5:$D$400="jabas")*(ROW(MOVIMIENTOS!$B$5:$B$400)&lt;=$L23)*MOVIMIENTOS!$E$5:$E$400)-SUMPRODUCT((MOVIMIENTOS!$B$5:$B$400="TRASIEGO")*(MOVIMIENTOS!$C$5:$C$400="P")*(MOVIMIENTOS!$D$5:$D$400="jabas")*(ROW(MOVIMIENTOS!$B$5:$B$400)&lt;=$L23)*MOVIMIENTOS!$E$5:$E$400)-SUMPRODUCT((MOVIMIENTOS!$B$5:$B$400="REGALO")*(MOVIMIENTOS!$C$5:$C$400="P")*(MOVIMIENTOS!$D$5:$D$400="jabas")*(ROW(MOVIMIENTOS!$B$5:$B$400)&lt;=$L23)*MOVIMIENTOS!$E$5:$E$400)-SUMPRODUCT((MOVIMIENTOS!$B$5:$B$400="VENTA")*(MOVIMIENTOS!$C$5:$C$400="P")*(MOVIMIENTOS!$D$5:$D$400="jabas")*(ROW(MOVIMIENTOS!$B$5:$B$400)&lt;=$L23)*MOVIMIENTOS!$E$5:$E$400)+SUMPRODUCT((MOVIMIENTOS!$B$5:$B$400="AJUSTE")*(MOVIMIENTOS!$C$5:$C$400="P")*(MOVIMIENTOS!$D$5:$D$400="jabas")*(ROW(MOVIMIENTOS!$B$5:$B$400)&lt;=$L23)*MOVIMIENTOS!$E$5:$E$400))</f>
        <v/>
      </c>
      <c r="D23" s="12" t="str">
        <f>IF($A23="","",SUMPRODUCT((MOVIMIENTOS!$B$5:$B$400="SALDO INICIAL")*(MOVIMIENTOS!$C$5:$C$400="C")*(MOVIMIENTOS!$D$5:$D$400="jabas")*(ROW(MOVIMIENTOS!$B$5:$B$400)&lt;=$L23)*MOVIMIENTOS!$E$5:$E$400)+SUMPRODUCT((MOVIMIENTOS!$B$5:$B$400="PROCESO")*(MOVIMIENTOS!$C$5:$C$400="C")*(MOVIMIENTOS!$D$5:$D$400="jabas")*(ROW(MOVIMIENTOS!$B$5:$B$400)&lt;=$L23)*MOVIMIENTOS!$E$5:$E$400)-SUMPRODUCT((MOVIMIENTOS!$B$5:$B$400="ENVÍO A SUPESA")*(MOVIMIENTOS!$C$5:$C$400="C")*(MOVIMIENTOS!$D$5:$D$400="jabas")*(ROW(MOVIMIENTOS!$B$5:$B$400)&lt;=$L23)*MOVIMIENTOS!$E$5:$E$400)+SUMPRODUCT((MOVIMIENTOS!$B$5:$B$400="DEVOLUCIÓN")*(MOVIMIENTOS!$C$5:$C$400="C")*(MOVIMIENTOS!$D$5:$D$400="jabas")*(ROW(MOVIMIENTOS!$B$5:$B$400)&lt;=$L23)*MOVIMIENTOS!$E$5:$E$400)-SUMPRODUCT((MOVIMIENTOS!$B$5:$B$400="TRASIEGO")*(MOVIMIENTOS!$C$5:$C$400="C")*(MOVIMIENTOS!$D$5:$D$400="jabas")*(ROW(MOVIMIENTOS!$B$5:$B$400)&lt;=$L23)*MOVIMIENTOS!$E$5:$E$400)-SUMPRODUCT((MOVIMIENTOS!$B$5:$B$400="REGALO")*(MOVIMIENTOS!$C$5:$C$400="C")*(MOVIMIENTOS!$D$5:$D$400="jabas")*(ROW(MOVIMIENTOS!$B$5:$B$400)&lt;=$L23)*MOVIMIENTOS!$E$5:$E$400)-SUMPRODUCT((MOVIMIENTOS!$B$5:$B$400="VENTA")*(MOVIMIENTOS!$C$5:$C$400="C")*(MOVIMIENTOS!$D$5:$D$400="jabas")*(ROW(MOVIMIENTOS!$B$5:$B$400)&lt;=$L23)*MOVIMIENTOS!$E$5:$E$400)+SUMPRODUCT((MOVIMIENTOS!$B$5:$B$400="AJUSTE")*(MOVIMIENTOS!$C$5:$C$400="C")*(MOVIMIENTOS!$D$5:$D$400="jabas")*(ROW(MOVIMIENTOS!$B$5:$B$400)&lt;=$L23)*MOVIMIENTOS!$E$5:$E$400))</f>
        <v/>
      </c>
      <c r="E23" s="12" t="str">
        <f>IF($A23="","",SUMPRODUCT((MOVIMIENTOS!$B$5:$B$400="SALDO INICIAL")*(MOVIMIENTOS!$C$5:$C$400="M")*(MOVIMIENTOS!$D$5:$D$400="jabas")*(ROW(MOVIMIENTOS!$B$5:$B$400)&lt;=$L23)*MOVIMIENTOS!$E$5:$E$400)+SUMPRODUCT((MOVIMIENTOS!$B$5:$B$400="PROCESO")*(MOVIMIENTOS!$C$5:$C$400="M")*(MOVIMIENTOS!$D$5:$D$400="jabas")*(ROW(MOVIMIENTOS!$B$5:$B$400)&lt;=$L23)*MOVIMIENTOS!$E$5:$E$400)-SUMPRODUCT((MOVIMIENTOS!$B$5:$B$400="ENVÍO A SUPESA")*(MOVIMIENTOS!$C$5:$C$400="M")*(MOVIMIENTOS!$D$5:$D$400="jabas")*(ROW(MOVIMIENTOS!$B$5:$B$400)&lt;=$L23)*MOVIMIENTOS!$E$5:$E$400)+SUMPRODUCT((MOVIMIENTOS!$B$5:$B$400="DEVOLUCIÓN")*(MOVIMIENTOS!$C$5:$C$400="M")*(MOVIMIENTOS!$D$5:$D$400="jabas")*(ROW(MOVIMIENTOS!$B$5:$B$400)&lt;=$L23)*MOVIMIENTOS!$E$5:$E$400)-SUMPRODUCT((MOVIMIENTOS!$B$5:$B$400="TRASIEGO")*(MOVIMIENTOS!$C$5:$C$400="M")*(MOVIMIENTOS!$D$5:$D$400="jabas")*(ROW(MOVIMIENTOS!$B$5:$B$400)&lt;=$L23)*MOVIMIENTOS!$E$5:$E$400)-SUMPRODUCT((MOVIMIENTOS!$B$5:$B$400="REGALO")*(MOVIMIENTOS!$C$5:$C$400="M")*(MOVIMIENTOS!$D$5:$D$400="jabas")*(ROW(MOVIMIENTOS!$B$5:$B$400)&lt;=$L23)*MOVIMIENTOS!$E$5:$E$400)-SUMPRODUCT((MOVIMIENTOS!$B$5:$B$400="VENTA")*(MOVIMIENTOS!$C$5:$C$400="M")*(MOVIMIENTOS!$D$5:$D$400="jabas")*(ROW(MOVIMIENTOS!$B$5:$B$400)&lt;=$L23)*MOVIMIENTOS!$E$5:$E$400)+SUMPRODUCT((MOVIMIENTOS!$B$5:$B$400="AJUSTE")*(MOVIMIENTOS!$C$5:$C$400="M")*(MOVIMIENTOS!$D$5:$D$400="jabas")*(ROW(MOVIMIENTOS!$B$5:$B$400)&lt;=$L23)*MOVIMIENTOS!$E$5:$E$400))</f>
        <v/>
      </c>
      <c r="F23" s="12" t="str">
        <f>IF($A23="","",SUMPRODUCT((MOVIMIENTOS!$B$5:$B$400="SALDO INICIAL")*(MOVIMIENTOS!$C$5:$C$400="Chancho")*(MOVIMIENTOS!$D$5:$D$400="sacos")*(ROW(MOVIMIENTOS!$B$5:$B$400)&lt;=$L23)*MOVIMIENTOS!$E$5:$E$400)+SUMPRODUCT((MOVIMIENTOS!$B$5:$B$400="PROCESO")*(MOVIMIENTOS!$C$5:$C$400="Chancho")*(MOVIMIENTOS!$D$5:$D$400="sacos")*(ROW(MOVIMIENTOS!$B$5:$B$400)&lt;=$L23)*MOVIMIENTOS!$E$5:$E$400)-SUMPRODUCT((MOVIMIENTOS!$B$5:$B$400="VENTA CHANCHO")*(MOVIMIENTOS!$C$5:$C$400="Chancho")*(MOVIMIENTOS!$D$5:$D$400="sacos")*(ROW(MOVIMIENTOS!$B$5:$B$400)&lt;=$L23)*MOVIMIENTOS!$E$5:$E$400)-SUMPRODUCT((MOVIMIENTOS!$B$5:$B$400="REGALO")*(MOVIMIENTOS!$C$5:$C$400="Chancho")*(MOVIMIENTOS!$D$5:$D$400="sacos")*(ROW(MOVIMIENTOS!$B$5:$B$400)&lt;=$L23)*MOVIMIENTOS!$E$5:$E$400)-SUMPRODUCT((MOVIMIENTOS!$B$5:$B$400="VENTA")*(MOVIMIENTOS!$C$5:$C$400="Chancho")*(MOVIMIENTOS!$D$5:$D$400="sacos")*(ROW(MOVIMIENTOS!$B$5:$B$400)&lt;=$L23)*MOVIMIENTOS!$E$5:$E$400)+SUMPRODUCT((MOVIMIENTOS!$B$5:$B$400="AJUSTE")*(MOVIMIENTOS!$C$5:$C$400="Chancho")*(MOVIMIENTOS!$D$5:$D$400="sacos")*(ROW(MOVIMIENTOS!$B$5:$B$400)&lt;=$L23)*MOVIMIENTOS!$E$5:$E$400))</f>
        <v/>
      </c>
      <c r="G23" s="12" t="str">
        <f t="shared" si="1"/>
        <v/>
      </c>
      <c r="H23" s="12" t="str">
        <f>IF($A23="","",SUMPRODUCT((((MOVIMIENTOS!$B$5:$B$400="SALDO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23)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23)*MOVIMIENTOS!$I$5:$I$400))</f>
        <v/>
      </c>
      <c r="J23" t="str">
        <f>IF(AND(MOVIMIENTOS!$A23&lt;&gt;"",COUNTIF(MOVIMIENTOS!$A$5:$A22,MOVIMIENTOS!$A23)=0),COUNT(J$4:J22)+1,"")</f>
        <v/>
      </c>
      <c r="K23" s="10">
        <f>MOVIMIENTOS!$A23</f>
        <v>46216</v>
      </c>
      <c r="L23" t="str">
        <f>IF($A23="","",SUMPRODUCT(MAX((MOVIMIENTOS!$A$5:$A$400=$A23)*ROW(MOVIMIENTOS!$A$5:$A$400))))</f>
        <v/>
      </c>
    </row>
    <row r="24" spans="1:12" x14ac:dyDescent="0.2">
      <c r="A24" s="11" t="str">
        <f t="shared" si="0"/>
        <v/>
      </c>
      <c r="B24" s="12" t="str">
        <f>IF($A24="","",SUMPRODUCT((MOVIMIENTOS!$B$5:$B$400="SALDO INICIAL")*(MOVIMIENTOS!$C$5:$C$400="A")*(MOVIMIENTOS!$D$5:$D$400="jabas")*(ROW(MOVIMIENTOS!$B$5:$B$400)&lt;=$L24)*MOVIMIENTOS!$E$5:$E$400)+SUMPRODUCT((MOVIMIENTOS!$B$5:$B$400="PROCESO")*(MOVIMIENTOS!$C$5:$C$400="A")*(MOVIMIENTOS!$D$5:$D$400="jabas")*(ROW(MOVIMIENTOS!$B$5:$B$400)&lt;=$L24)*MOVIMIENTOS!$E$5:$E$400)-SUMPRODUCT((MOVIMIENTOS!$B$5:$B$400="ENVÍO A SUPESA")*(MOVIMIENTOS!$C$5:$C$400="A")*(MOVIMIENTOS!$D$5:$D$400="jabas")*(ROW(MOVIMIENTOS!$B$5:$B$400)&lt;=$L24)*MOVIMIENTOS!$E$5:$E$400)+SUMPRODUCT((MOVIMIENTOS!$B$5:$B$400="DEVOLUCIÓN")*(MOVIMIENTOS!$C$5:$C$400="A")*(MOVIMIENTOS!$D$5:$D$400="jabas")*(ROW(MOVIMIENTOS!$B$5:$B$400)&lt;=$L24)*MOVIMIENTOS!$E$5:$E$400)-SUMPRODUCT((MOVIMIENTOS!$B$5:$B$400="TRASIEGO")*(MOVIMIENTOS!$C$5:$C$400="A")*(MOVIMIENTOS!$D$5:$D$400="jabas")*(ROW(MOVIMIENTOS!$B$5:$B$400)&lt;=$L24)*MOVIMIENTOS!$E$5:$E$400)-SUMPRODUCT((MOVIMIENTOS!$B$5:$B$400="REGALO")*(MOVIMIENTOS!$C$5:$C$400="A")*(MOVIMIENTOS!$D$5:$D$400="jabas")*(ROW(MOVIMIENTOS!$B$5:$B$400)&lt;=$L24)*MOVIMIENTOS!$E$5:$E$400)-SUMPRODUCT((MOVIMIENTOS!$B$5:$B$400="VENTA")*(MOVIMIENTOS!$C$5:$C$400="A")*(MOVIMIENTOS!$D$5:$D$400="jabas")*(ROW(MOVIMIENTOS!$B$5:$B$400)&lt;=$L24)*MOVIMIENTOS!$E$5:$E$400)+SUMPRODUCT((MOVIMIENTOS!$B$5:$B$400="AJUSTE")*(MOVIMIENTOS!$C$5:$C$400="A")*(MOVIMIENTOS!$D$5:$D$400="jabas")*(ROW(MOVIMIENTOS!$B$5:$B$400)&lt;=$L24)*MOVIMIENTOS!$E$5:$E$400))</f>
        <v/>
      </c>
      <c r="C24" s="12" t="str">
        <f>IF($A24="","",SUMPRODUCT((MOVIMIENTOS!$B$5:$B$400="SALDO INICIAL")*(MOVIMIENTOS!$C$5:$C$400="P")*(MOVIMIENTOS!$D$5:$D$400="jabas")*(ROW(MOVIMIENTOS!$B$5:$B$400)&lt;=$L24)*MOVIMIENTOS!$E$5:$E$400)+SUMPRODUCT((MOVIMIENTOS!$B$5:$B$400="PROCESO")*(MOVIMIENTOS!$C$5:$C$400="P")*(MOVIMIENTOS!$D$5:$D$400="jabas")*(ROW(MOVIMIENTOS!$B$5:$B$400)&lt;=$L24)*MOVIMIENTOS!$E$5:$E$400)-SUMPRODUCT((MOVIMIENTOS!$B$5:$B$400="ENVÍO A SUPESA")*(MOVIMIENTOS!$C$5:$C$400="P")*(MOVIMIENTOS!$D$5:$D$400="jabas")*(ROW(MOVIMIENTOS!$B$5:$B$400)&lt;=$L24)*MOVIMIENTOS!$E$5:$E$400)+SUMPRODUCT((MOVIMIENTOS!$B$5:$B$400="DEVOLUCIÓN")*(MOVIMIENTOS!$C$5:$C$400="P")*(MOVIMIENTOS!$D$5:$D$400="jabas")*(ROW(MOVIMIENTOS!$B$5:$B$400)&lt;=$L24)*MOVIMIENTOS!$E$5:$E$400)-SUMPRODUCT((MOVIMIENTOS!$B$5:$B$400="TRASIEGO")*(MOVIMIENTOS!$C$5:$C$400="P")*(MOVIMIENTOS!$D$5:$D$400="jabas")*(ROW(MOVIMIENTOS!$B$5:$B$400)&lt;=$L24)*MOVIMIENTOS!$E$5:$E$400)-SUMPRODUCT((MOVIMIENTOS!$B$5:$B$400="REGALO")*(MOVIMIENTOS!$C$5:$C$400="P")*(MOVIMIENTOS!$D$5:$D$400="jabas")*(ROW(MOVIMIENTOS!$B$5:$B$400)&lt;=$L24)*MOVIMIENTOS!$E$5:$E$400)-SUMPRODUCT((MOVIMIENTOS!$B$5:$B$400="VENTA")*(MOVIMIENTOS!$C$5:$C$400="P")*(MOVIMIENTOS!$D$5:$D$400="jabas")*(ROW(MOVIMIENTOS!$B$5:$B$400)&lt;=$L24)*MOVIMIENTOS!$E$5:$E$400)+SUMPRODUCT((MOVIMIENTOS!$B$5:$B$400="AJUSTE")*(MOVIMIENTOS!$C$5:$C$400="P")*(MOVIMIENTOS!$D$5:$D$400="jabas")*(ROW(MOVIMIENTOS!$B$5:$B$400)&lt;=$L24)*MOVIMIENTOS!$E$5:$E$400))</f>
        <v/>
      </c>
      <c r="D24" s="12" t="str">
        <f>IF($A24="","",SUMPRODUCT((MOVIMIENTOS!$B$5:$B$400="SALDO INICIAL")*(MOVIMIENTOS!$C$5:$C$400="C")*(MOVIMIENTOS!$D$5:$D$400="jabas")*(ROW(MOVIMIENTOS!$B$5:$B$400)&lt;=$L24)*MOVIMIENTOS!$E$5:$E$400)+SUMPRODUCT((MOVIMIENTOS!$B$5:$B$400="PROCESO")*(MOVIMIENTOS!$C$5:$C$400="C")*(MOVIMIENTOS!$D$5:$D$400="jabas")*(ROW(MOVIMIENTOS!$B$5:$B$400)&lt;=$L24)*MOVIMIENTOS!$E$5:$E$400)-SUMPRODUCT((MOVIMIENTOS!$B$5:$B$400="ENVÍO A SUPESA")*(MOVIMIENTOS!$C$5:$C$400="C")*(MOVIMIENTOS!$D$5:$D$400="jabas")*(ROW(MOVIMIENTOS!$B$5:$B$400)&lt;=$L24)*MOVIMIENTOS!$E$5:$E$400)+SUMPRODUCT((MOVIMIENTOS!$B$5:$B$400="DEVOLUCIÓN")*(MOVIMIENTOS!$C$5:$C$400="C")*(MOVIMIENTOS!$D$5:$D$400="jabas")*(ROW(MOVIMIENTOS!$B$5:$B$400)&lt;=$L24)*MOVIMIENTOS!$E$5:$E$400)-SUMPRODUCT((MOVIMIENTOS!$B$5:$B$400="TRASIEGO")*(MOVIMIENTOS!$C$5:$C$400="C")*(MOVIMIENTOS!$D$5:$D$400="jabas")*(ROW(MOVIMIENTOS!$B$5:$B$400)&lt;=$L24)*MOVIMIENTOS!$E$5:$E$400)-SUMPRODUCT((MOVIMIENTOS!$B$5:$B$400="REGALO")*(MOVIMIENTOS!$C$5:$C$400="C")*(MOVIMIENTOS!$D$5:$D$400="jabas")*(ROW(MOVIMIENTOS!$B$5:$B$400)&lt;=$L24)*MOVIMIENTOS!$E$5:$E$400)-SUMPRODUCT((MOVIMIENTOS!$B$5:$B$400="VENTA")*(MOVIMIENTOS!$C$5:$C$400="C")*(MOVIMIENTOS!$D$5:$D$400="jabas")*(ROW(MOVIMIENTOS!$B$5:$B$400)&lt;=$L24)*MOVIMIENTOS!$E$5:$E$400)+SUMPRODUCT((MOVIMIENTOS!$B$5:$B$400="AJUSTE")*(MOVIMIENTOS!$C$5:$C$400="C")*(MOVIMIENTOS!$D$5:$D$400="jabas")*(ROW(MOVIMIENTOS!$B$5:$B$400)&lt;=$L24)*MOVIMIENTOS!$E$5:$E$400))</f>
        <v/>
      </c>
      <c r="E24" s="12" t="str">
        <f>IF($A24="","",SUMPRODUCT((MOVIMIENTOS!$B$5:$B$400="SALDO INICIAL")*(MOVIMIENTOS!$C$5:$C$400="M")*(MOVIMIENTOS!$D$5:$D$400="jabas")*(ROW(MOVIMIENTOS!$B$5:$B$400)&lt;=$L24)*MOVIMIENTOS!$E$5:$E$400)+SUMPRODUCT((MOVIMIENTOS!$B$5:$B$400="PROCESO")*(MOVIMIENTOS!$C$5:$C$400="M")*(MOVIMIENTOS!$D$5:$D$400="jabas")*(ROW(MOVIMIENTOS!$B$5:$B$400)&lt;=$L24)*MOVIMIENTOS!$E$5:$E$400)-SUMPRODUCT((MOVIMIENTOS!$B$5:$B$400="ENVÍO A SUPESA")*(MOVIMIENTOS!$C$5:$C$400="M")*(MOVIMIENTOS!$D$5:$D$400="jabas")*(ROW(MOVIMIENTOS!$B$5:$B$400)&lt;=$L24)*MOVIMIENTOS!$E$5:$E$400)+SUMPRODUCT((MOVIMIENTOS!$B$5:$B$400="DEVOLUCIÓN")*(MOVIMIENTOS!$C$5:$C$400="M")*(MOVIMIENTOS!$D$5:$D$400="jabas")*(ROW(MOVIMIENTOS!$B$5:$B$400)&lt;=$L24)*MOVIMIENTOS!$E$5:$E$400)-SUMPRODUCT((MOVIMIENTOS!$B$5:$B$400="TRASIEGO")*(MOVIMIENTOS!$C$5:$C$400="M")*(MOVIMIENTOS!$D$5:$D$400="jabas")*(ROW(MOVIMIENTOS!$B$5:$B$400)&lt;=$L24)*MOVIMIENTOS!$E$5:$E$400)-SUMPRODUCT((MOVIMIENTOS!$B$5:$B$400="REGALO")*(MOVIMIENTOS!$C$5:$C$400="M")*(MOVIMIENTOS!$D$5:$D$400="jabas")*(ROW(MOVIMIENTOS!$B$5:$B$400)&lt;=$L24)*MOVIMIENTOS!$E$5:$E$400)-SUMPRODUCT((MOVIMIENTOS!$B$5:$B$400="VENTA")*(MOVIMIENTOS!$C$5:$C$400="M")*(MOVIMIENTOS!$D$5:$D$400="jabas")*(ROW(MOVIMIENTOS!$B$5:$B$400)&lt;=$L24)*MOVIMIENTOS!$E$5:$E$400)+SUMPRODUCT((MOVIMIENTOS!$B$5:$B$400="AJUSTE")*(MOVIMIENTOS!$C$5:$C$400="M")*(MOVIMIENTOS!$D$5:$D$400="jabas")*(ROW(MOVIMIENTOS!$B$5:$B$400)&lt;=$L24)*MOVIMIENTOS!$E$5:$E$400))</f>
        <v/>
      </c>
      <c r="F24" s="12" t="str">
        <f>IF($A24="","",SUMPRODUCT((MOVIMIENTOS!$B$5:$B$400="SALDO INICIAL")*(MOVIMIENTOS!$C$5:$C$400="Chancho")*(MOVIMIENTOS!$D$5:$D$400="sacos")*(ROW(MOVIMIENTOS!$B$5:$B$400)&lt;=$L24)*MOVIMIENTOS!$E$5:$E$400)+SUMPRODUCT((MOVIMIENTOS!$B$5:$B$400="PROCESO")*(MOVIMIENTOS!$C$5:$C$400="Chancho")*(MOVIMIENTOS!$D$5:$D$400="sacos")*(ROW(MOVIMIENTOS!$B$5:$B$400)&lt;=$L24)*MOVIMIENTOS!$E$5:$E$400)-SUMPRODUCT((MOVIMIENTOS!$B$5:$B$400="VENTA CHANCHO")*(MOVIMIENTOS!$C$5:$C$400="Chancho")*(MOVIMIENTOS!$D$5:$D$400="sacos")*(ROW(MOVIMIENTOS!$B$5:$B$400)&lt;=$L24)*MOVIMIENTOS!$E$5:$E$400)-SUMPRODUCT((MOVIMIENTOS!$B$5:$B$400="REGALO")*(MOVIMIENTOS!$C$5:$C$400="Chancho")*(MOVIMIENTOS!$D$5:$D$400="sacos")*(ROW(MOVIMIENTOS!$B$5:$B$400)&lt;=$L24)*MOVIMIENTOS!$E$5:$E$400)-SUMPRODUCT((MOVIMIENTOS!$B$5:$B$400="VENTA")*(MOVIMIENTOS!$C$5:$C$400="Chancho")*(MOVIMIENTOS!$D$5:$D$400="sacos")*(ROW(MOVIMIENTOS!$B$5:$B$400)&lt;=$L24)*MOVIMIENTOS!$E$5:$E$400)+SUMPRODUCT((MOVIMIENTOS!$B$5:$B$400="AJUSTE")*(MOVIMIENTOS!$C$5:$C$400="Chancho")*(MOVIMIENTOS!$D$5:$D$400="sacos")*(ROW(MOVIMIENTOS!$B$5:$B$400)&lt;=$L24)*MOVIMIENTOS!$E$5:$E$400))</f>
        <v/>
      </c>
      <c r="G24" s="12" t="str">
        <f t="shared" si="1"/>
        <v/>
      </c>
      <c r="H24" s="12" t="str">
        <f>IF($A24="","",SUMPRODUCT((((MOVIMIENTOS!$B$5:$B$400="SALDO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24)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24)*MOVIMIENTOS!$I$5:$I$400))</f>
        <v/>
      </c>
      <c r="J24" t="str">
        <f>IF(AND(MOVIMIENTOS!$A24&lt;&gt;"",COUNTIF(MOVIMIENTOS!$A$5:$A23,MOVIMIENTOS!$A24)=0),COUNT(J$4:J23)+1,"")</f>
        <v/>
      </c>
      <c r="K24" s="10">
        <f>MOVIMIENTOS!$A24</f>
        <v>46216</v>
      </c>
      <c r="L24" t="str">
        <f>IF($A24="","",SUMPRODUCT(MAX((MOVIMIENTOS!$A$5:$A$400=$A24)*ROW(MOVIMIENTOS!$A$5:$A$400))))</f>
        <v/>
      </c>
    </row>
    <row r="25" spans="1:12" x14ac:dyDescent="0.2">
      <c r="A25" s="11" t="str">
        <f t="shared" si="0"/>
        <v/>
      </c>
      <c r="B25" s="12" t="str">
        <f>IF($A25="","",SUMPRODUCT((MOVIMIENTOS!$B$5:$B$400="SALDO INICIAL")*(MOVIMIENTOS!$C$5:$C$400="A")*(MOVIMIENTOS!$D$5:$D$400="jabas")*(ROW(MOVIMIENTOS!$B$5:$B$400)&lt;=$L25)*MOVIMIENTOS!$E$5:$E$400)+SUMPRODUCT((MOVIMIENTOS!$B$5:$B$400="PROCESO")*(MOVIMIENTOS!$C$5:$C$400="A")*(MOVIMIENTOS!$D$5:$D$400="jabas")*(ROW(MOVIMIENTOS!$B$5:$B$400)&lt;=$L25)*MOVIMIENTOS!$E$5:$E$400)-SUMPRODUCT((MOVIMIENTOS!$B$5:$B$400="ENVÍO A SUPESA")*(MOVIMIENTOS!$C$5:$C$400="A")*(MOVIMIENTOS!$D$5:$D$400="jabas")*(ROW(MOVIMIENTOS!$B$5:$B$400)&lt;=$L25)*MOVIMIENTOS!$E$5:$E$400)+SUMPRODUCT((MOVIMIENTOS!$B$5:$B$400="DEVOLUCIÓN")*(MOVIMIENTOS!$C$5:$C$400="A")*(MOVIMIENTOS!$D$5:$D$400="jabas")*(ROW(MOVIMIENTOS!$B$5:$B$400)&lt;=$L25)*MOVIMIENTOS!$E$5:$E$400)-SUMPRODUCT((MOVIMIENTOS!$B$5:$B$400="TRASIEGO")*(MOVIMIENTOS!$C$5:$C$400="A")*(MOVIMIENTOS!$D$5:$D$400="jabas")*(ROW(MOVIMIENTOS!$B$5:$B$400)&lt;=$L25)*MOVIMIENTOS!$E$5:$E$400)-SUMPRODUCT((MOVIMIENTOS!$B$5:$B$400="REGALO")*(MOVIMIENTOS!$C$5:$C$400="A")*(MOVIMIENTOS!$D$5:$D$400="jabas")*(ROW(MOVIMIENTOS!$B$5:$B$400)&lt;=$L25)*MOVIMIENTOS!$E$5:$E$400)-SUMPRODUCT((MOVIMIENTOS!$B$5:$B$400="VENTA")*(MOVIMIENTOS!$C$5:$C$400="A")*(MOVIMIENTOS!$D$5:$D$400="jabas")*(ROW(MOVIMIENTOS!$B$5:$B$400)&lt;=$L25)*MOVIMIENTOS!$E$5:$E$400)+SUMPRODUCT((MOVIMIENTOS!$B$5:$B$400="AJUSTE")*(MOVIMIENTOS!$C$5:$C$400="A")*(MOVIMIENTOS!$D$5:$D$400="jabas")*(ROW(MOVIMIENTOS!$B$5:$B$400)&lt;=$L25)*MOVIMIENTOS!$E$5:$E$400))</f>
        <v/>
      </c>
      <c r="C25" s="12" t="str">
        <f>IF($A25="","",SUMPRODUCT((MOVIMIENTOS!$B$5:$B$400="SALDO INICIAL")*(MOVIMIENTOS!$C$5:$C$400="P")*(MOVIMIENTOS!$D$5:$D$400="jabas")*(ROW(MOVIMIENTOS!$B$5:$B$400)&lt;=$L25)*MOVIMIENTOS!$E$5:$E$400)+SUMPRODUCT((MOVIMIENTOS!$B$5:$B$400="PROCESO")*(MOVIMIENTOS!$C$5:$C$400="P")*(MOVIMIENTOS!$D$5:$D$400="jabas")*(ROW(MOVIMIENTOS!$B$5:$B$400)&lt;=$L25)*MOVIMIENTOS!$E$5:$E$400)-SUMPRODUCT((MOVIMIENTOS!$B$5:$B$400="ENVÍO A SUPESA")*(MOVIMIENTOS!$C$5:$C$400="P")*(MOVIMIENTOS!$D$5:$D$400="jabas")*(ROW(MOVIMIENTOS!$B$5:$B$400)&lt;=$L25)*MOVIMIENTOS!$E$5:$E$400)+SUMPRODUCT((MOVIMIENTOS!$B$5:$B$400="DEVOLUCIÓN")*(MOVIMIENTOS!$C$5:$C$400="P")*(MOVIMIENTOS!$D$5:$D$400="jabas")*(ROW(MOVIMIENTOS!$B$5:$B$400)&lt;=$L25)*MOVIMIENTOS!$E$5:$E$400)-SUMPRODUCT((MOVIMIENTOS!$B$5:$B$400="TRASIEGO")*(MOVIMIENTOS!$C$5:$C$400="P")*(MOVIMIENTOS!$D$5:$D$400="jabas")*(ROW(MOVIMIENTOS!$B$5:$B$400)&lt;=$L25)*MOVIMIENTOS!$E$5:$E$400)-SUMPRODUCT((MOVIMIENTOS!$B$5:$B$400="REGALO")*(MOVIMIENTOS!$C$5:$C$400="P")*(MOVIMIENTOS!$D$5:$D$400="jabas")*(ROW(MOVIMIENTOS!$B$5:$B$400)&lt;=$L25)*MOVIMIENTOS!$E$5:$E$400)-SUMPRODUCT((MOVIMIENTOS!$B$5:$B$400="VENTA")*(MOVIMIENTOS!$C$5:$C$400="P")*(MOVIMIENTOS!$D$5:$D$400="jabas")*(ROW(MOVIMIENTOS!$B$5:$B$400)&lt;=$L25)*MOVIMIENTOS!$E$5:$E$400)+SUMPRODUCT((MOVIMIENTOS!$B$5:$B$400="AJUSTE")*(MOVIMIENTOS!$C$5:$C$400="P")*(MOVIMIENTOS!$D$5:$D$400="jabas")*(ROW(MOVIMIENTOS!$B$5:$B$400)&lt;=$L25)*MOVIMIENTOS!$E$5:$E$400))</f>
        <v/>
      </c>
      <c r="D25" s="12" t="str">
        <f>IF($A25="","",SUMPRODUCT((MOVIMIENTOS!$B$5:$B$400="SALDO INICIAL")*(MOVIMIENTOS!$C$5:$C$400="C")*(MOVIMIENTOS!$D$5:$D$400="jabas")*(ROW(MOVIMIENTOS!$B$5:$B$400)&lt;=$L25)*MOVIMIENTOS!$E$5:$E$400)+SUMPRODUCT((MOVIMIENTOS!$B$5:$B$400="PROCESO")*(MOVIMIENTOS!$C$5:$C$400="C")*(MOVIMIENTOS!$D$5:$D$400="jabas")*(ROW(MOVIMIENTOS!$B$5:$B$400)&lt;=$L25)*MOVIMIENTOS!$E$5:$E$400)-SUMPRODUCT((MOVIMIENTOS!$B$5:$B$400="ENVÍO A SUPESA")*(MOVIMIENTOS!$C$5:$C$400="C")*(MOVIMIENTOS!$D$5:$D$400="jabas")*(ROW(MOVIMIENTOS!$B$5:$B$400)&lt;=$L25)*MOVIMIENTOS!$E$5:$E$400)+SUMPRODUCT((MOVIMIENTOS!$B$5:$B$400="DEVOLUCIÓN")*(MOVIMIENTOS!$C$5:$C$400="C")*(MOVIMIENTOS!$D$5:$D$400="jabas")*(ROW(MOVIMIENTOS!$B$5:$B$400)&lt;=$L25)*MOVIMIENTOS!$E$5:$E$400)-SUMPRODUCT((MOVIMIENTOS!$B$5:$B$400="TRASIEGO")*(MOVIMIENTOS!$C$5:$C$400="C")*(MOVIMIENTOS!$D$5:$D$400="jabas")*(ROW(MOVIMIENTOS!$B$5:$B$400)&lt;=$L25)*MOVIMIENTOS!$E$5:$E$400)-SUMPRODUCT((MOVIMIENTOS!$B$5:$B$400="REGALO")*(MOVIMIENTOS!$C$5:$C$400="C")*(MOVIMIENTOS!$D$5:$D$400="jabas")*(ROW(MOVIMIENTOS!$B$5:$B$400)&lt;=$L25)*MOVIMIENTOS!$E$5:$E$400)-SUMPRODUCT((MOVIMIENTOS!$B$5:$B$400="VENTA")*(MOVIMIENTOS!$C$5:$C$400="C")*(MOVIMIENTOS!$D$5:$D$400="jabas")*(ROW(MOVIMIENTOS!$B$5:$B$400)&lt;=$L25)*MOVIMIENTOS!$E$5:$E$400)+SUMPRODUCT((MOVIMIENTOS!$B$5:$B$400="AJUSTE")*(MOVIMIENTOS!$C$5:$C$400="C")*(MOVIMIENTOS!$D$5:$D$400="jabas")*(ROW(MOVIMIENTOS!$B$5:$B$400)&lt;=$L25)*MOVIMIENTOS!$E$5:$E$400))</f>
        <v/>
      </c>
      <c r="E25" s="12" t="str">
        <f>IF($A25="","",SUMPRODUCT((MOVIMIENTOS!$B$5:$B$400="SALDO INICIAL")*(MOVIMIENTOS!$C$5:$C$400="M")*(MOVIMIENTOS!$D$5:$D$400="jabas")*(ROW(MOVIMIENTOS!$B$5:$B$400)&lt;=$L25)*MOVIMIENTOS!$E$5:$E$400)+SUMPRODUCT((MOVIMIENTOS!$B$5:$B$400="PROCESO")*(MOVIMIENTOS!$C$5:$C$400="M")*(MOVIMIENTOS!$D$5:$D$400="jabas")*(ROW(MOVIMIENTOS!$B$5:$B$400)&lt;=$L25)*MOVIMIENTOS!$E$5:$E$400)-SUMPRODUCT((MOVIMIENTOS!$B$5:$B$400="ENVÍO A SUPESA")*(MOVIMIENTOS!$C$5:$C$400="M")*(MOVIMIENTOS!$D$5:$D$400="jabas")*(ROW(MOVIMIENTOS!$B$5:$B$400)&lt;=$L25)*MOVIMIENTOS!$E$5:$E$400)+SUMPRODUCT((MOVIMIENTOS!$B$5:$B$400="DEVOLUCIÓN")*(MOVIMIENTOS!$C$5:$C$400="M")*(MOVIMIENTOS!$D$5:$D$400="jabas")*(ROW(MOVIMIENTOS!$B$5:$B$400)&lt;=$L25)*MOVIMIENTOS!$E$5:$E$400)-SUMPRODUCT((MOVIMIENTOS!$B$5:$B$400="TRASIEGO")*(MOVIMIENTOS!$C$5:$C$400="M")*(MOVIMIENTOS!$D$5:$D$400="jabas")*(ROW(MOVIMIENTOS!$B$5:$B$400)&lt;=$L25)*MOVIMIENTOS!$E$5:$E$400)-SUMPRODUCT((MOVIMIENTOS!$B$5:$B$400="REGALO")*(MOVIMIENTOS!$C$5:$C$400="M")*(MOVIMIENTOS!$D$5:$D$400="jabas")*(ROW(MOVIMIENTOS!$B$5:$B$400)&lt;=$L25)*MOVIMIENTOS!$E$5:$E$400)-SUMPRODUCT((MOVIMIENTOS!$B$5:$B$400="VENTA")*(MOVIMIENTOS!$C$5:$C$400="M")*(MOVIMIENTOS!$D$5:$D$400="jabas")*(ROW(MOVIMIENTOS!$B$5:$B$400)&lt;=$L25)*MOVIMIENTOS!$E$5:$E$400)+SUMPRODUCT((MOVIMIENTOS!$B$5:$B$400="AJUSTE")*(MOVIMIENTOS!$C$5:$C$400="M")*(MOVIMIENTOS!$D$5:$D$400="jabas")*(ROW(MOVIMIENTOS!$B$5:$B$400)&lt;=$L25)*MOVIMIENTOS!$E$5:$E$400))</f>
        <v/>
      </c>
      <c r="F25" s="12" t="str">
        <f>IF($A25="","",SUMPRODUCT((MOVIMIENTOS!$B$5:$B$400="SALDO INICIAL")*(MOVIMIENTOS!$C$5:$C$400="Chancho")*(MOVIMIENTOS!$D$5:$D$400="sacos")*(ROW(MOVIMIENTOS!$B$5:$B$400)&lt;=$L25)*MOVIMIENTOS!$E$5:$E$400)+SUMPRODUCT((MOVIMIENTOS!$B$5:$B$400="PROCESO")*(MOVIMIENTOS!$C$5:$C$400="Chancho")*(MOVIMIENTOS!$D$5:$D$400="sacos")*(ROW(MOVIMIENTOS!$B$5:$B$400)&lt;=$L25)*MOVIMIENTOS!$E$5:$E$400)-SUMPRODUCT((MOVIMIENTOS!$B$5:$B$400="VENTA CHANCHO")*(MOVIMIENTOS!$C$5:$C$400="Chancho")*(MOVIMIENTOS!$D$5:$D$400="sacos")*(ROW(MOVIMIENTOS!$B$5:$B$400)&lt;=$L25)*MOVIMIENTOS!$E$5:$E$400)-SUMPRODUCT((MOVIMIENTOS!$B$5:$B$400="REGALO")*(MOVIMIENTOS!$C$5:$C$400="Chancho")*(MOVIMIENTOS!$D$5:$D$400="sacos")*(ROW(MOVIMIENTOS!$B$5:$B$400)&lt;=$L25)*MOVIMIENTOS!$E$5:$E$400)-SUMPRODUCT((MOVIMIENTOS!$B$5:$B$400="VENTA")*(MOVIMIENTOS!$C$5:$C$400="Chancho")*(MOVIMIENTOS!$D$5:$D$400="sacos")*(ROW(MOVIMIENTOS!$B$5:$B$400)&lt;=$L25)*MOVIMIENTOS!$E$5:$E$400)+SUMPRODUCT((MOVIMIENTOS!$B$5:$B$400="AJUSTE")*(MOVIMIENTOS!$C$5:$C$400="Chancho")*(MOVIMIENTOS!$D$5:$D$400="sacos")*(ROW(MOVIMIENTOS!$B$5:$B$400)&lt;=$L25)*MOVIMIENTOS!$E$5:$E$400))</f>
        <v/>
      </c>
      <c r="G25" s="12" t="str">
        <f t="shared" si="1"/>
        <v/>
      </c>
      <c r="H25" s="12" t="str">
        <f>IF($A25="","",SUMPRODUCT((((MOVIMIENTOS!$B$5:$B$400="SALDO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25)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25)*MOVIMIENTOS!$I$5:$I$400))</f>
        <v/>
      </c>
      <c r="J25" t="str">
        <f>IF(AND(MOVIMIENTOS!$A25&lt;&gt;"",COUNTIF(MOVIMIENTOS!$A$5:$A24,MOVIMIENTOS!$A25)=0),COUNT(J$4:J24)+1,"")</f>
        <v/>
      </c>
      <c r="K25" s="10">
        <f>MOVIMIENTOS!$A25</f>
        <v>46216</v>
      </c>
      <c r="L25" t="str">
        <f>IF($A25="","",SUMPRODUCT(MAX((MOVIMIENTOS!$A$5:$A$400=$A25)*ROW(MOVIMIENTOS!$A$5:$A$400))))</f>
        <v/>
      </c>
    </row>
    <row r="26" spans="1:12" x14ac:dyDescent="0.2">
      <c r="A26" s="11" t="str">
        <f t="shared" si="0"/>
        <v/>
      </c>
      <c r="B26" s="12" t="str">
        <f>IF($A26="","",SUMPRODUCT((MOVIMIENTOS!$B$5:$B$400="SALDO INICIAL")*(MOVIMIENTOS!$C$5:$C$400="A")*(MOVIMIENTOS!$D$5:$D$400="jabas")*(ROW(MOVIMIENTOS!$B$5:$B$400)&lt;=$L26)*MOVIMIENTOS!$E$5:$E$400)+SUMPRODUCT((MOVIMIENTOS!$B$5:$B$400="PROCESO")*(MOVIMIENTOS!$C$5:$C$400="A")*(MOVIMIENTOS!$D$5:$D$400="jabas")*(ROW(MOVIMIENTOS!$B$5:$B$400)&lt;=$L26)*MOVIMIENTOS!$E$5:$E$400)-SUMPRODUCT((MOVIMIENTOS!$B$5:$B$400="ENVÍO A SUPESA")*(MOVIMIENTOS!$C$5:$C$400="A")*(MOVIMIENTOS!$D$5:$D$400="jabas")*(ROW(MOVIMIENTOS!$B$5:$B$400)&lt;=$L26)*MOVIMIENTOS!$E$5:$E$400)+SUMPRODUCT((MOVIMIENTOS!$B$5:$B$400="DEVOLUCIÓN")*(MOVIMIENTOS!$C$5:$C$400="A")*(MOVIMIENTOS!$D$5:$D$400="jabas")*(ROW(MOVIMIENTOS!$B$5:$B$400)&lt;=$L26)*MOVIMIENTOS!$E$5:$E$400)-SUMPRODUCT((MOVIMIENTOS!$B$5:$B$400="TRASIEGO")*(MOVIMIENTOS!$C$5:$C$400="A")*(MOVIMIENTOS!$D$5:$D$400="jabas")*(ROW(MOVIMIENTOS!$B$5:$B$400)&lt;=$L26)*MOVIMIENTOS!$E$5:$E$400)-SUMPRODUCT((MOVIMIENTOS!$B$5:$B$400="REGALO")*(MOVIMIENTOS!$C$5:$C$400="A")*(MOVIMIENTOS!$D$5:$D$400="jabas")*(ROW(MOVIMIENTOS!$B$5:$B$400)&lt;=$L26)*MOVIMIENTOS!$E$5:$E$400)-SUMPRODUCT((MOVIMIENTOS!$B$5:$B$400="VENTA")*(MOVIMIENTOS!$C$5:$C$400="A")*(MOVIMIENTOS!$D$5:$D$400="jabas")*(ROW(MOVIMIENTOS!$B$5:$B$400)&lt;=$L26)*MOVIMIENTOS!$E$5:$E$400)+SUMPRODUCT((MOVIMIENTOS!$B$5:$B$400="AJUSTE")*(MOVIMIENTOS!$C$5:$C$400="A")*(MOVIMIENTOS!$D$5:$D$400="jabas")*(ROW(MOVIMIENTOS!$B$5:$B$400)&lt;=$L26)*MOVIMIENTOS!$E$5:$E$400))</f>
        <v/>
      </c>
      <c r="C26" s="12" t="str">
        <f>IF($A26="","",SUMPRODUCT((MOVIMIENTOS!$B$5:$B$400="SALDO INICIAL")*(MOVIMIENTOS!$C$5:$C$400="P")*(MOVIMIENTOS!$D$5:$D$400="jabas")*(ROW(MOVIMIENTOS!$B$5:$B$400)&lt;=$L26)*MOVIMIENTOS!$E$5:$E$400)+SUMPRODUCT((MOVIMIENTOS!$B$5:$B$400="PROCESO")*(MOVIMIENTOS!$C$5:$C$400="P")*(MOVIMIENTOS!$D$5:$D$400="jabas")*(ROW(MOVIMIENTOS!$B$5:$B$400)&lt;=$L26)*MOVIMIENTOS!$E$5:$E$400)-SUMPRODUCT((MOVIMIENTOS!$B$5:$B$400="ENVÍO A SUPESA")*(MOVIMIENTOS!$C$5:$C$400="P")*(MOVIMIENTOS!$D$5:$D$400="jabas")*(ROW(MOVIMIENTOS!$B$5:$B$400)&lt;=$L26)*MOVIMIENTOS!$E$5:$E$400)+SUMPRODUCT((MOVIMIENTOS!$B$5:$B$400="DEVOLUCIÓN")*(MOVIMIENTOS!$C$5:$C$400="P")*(MOVIMIENTOS!$D$5:$D$400="jabas")*(ROW(MOVIMIENTOS!$B$5:$B$400)&lt;=$L26)*MOVIMIENTOS!$E$5:$E$400)-SUMPRODUCT((MOVIMIENTOS!$B$5:$B$400="TRASIEGO")*(MOVIMIENTOS!$C$5:$C$400="P")*(MOVIMIENTOS!$D$5:$D$400="jabas")*(ROW(MOVIMIENTOS!$B$5:$B$400)&lt;=$L26)*MOVIMIENTOS!$E$5:$E$400)-SUMPRODUCT((MOVIMIENTOS!$B$5:$B$400="REGALO")*(MOVIMIENTOS!$C$5:$C$400="P")*(MOVIMIENTOS!$D$5:$D$400="jabas")*(ROW(MOVIMIENTOS!$B$5:$B$400)&lt;=$L26)*MOVIMIENTOS!$E$5:$E$400)-SUMPRODUCT((MOVIMIENTOS!$B$5:$B$400="VENTA")*(MOVIMIENTOS!$C$5:$C$400="P")*(MOVIMIENTOS!$D$5:$D$400="jabas")*(ROW(MOVIMIENTOS!$B$5:$B$400)&lt;=$L26)*MOVIMIENTOS!$E$5:$E$400)+SUMPRODUCT((MOVIMIENTOS!$B$5:$B$400="AJUSTE")*(MOVIMIENTOS!$C$5:$C$400="P")*(MOVIMIENTOS!$D$5:$D$400="jabas")*(ROW(MOVIMIENTOS!$B$5:$B$400)&lt;=$L26)*MOVIMIENTOS!$E$5:$E$400))</f>
        <v/>
      </c>
      <c r="D26" s="12" t="str">
        <f>IF($A26="","",SUMPRODUCT((MOVIMIENTOS!$B$5:$B$400="SALDO INICIAL")*(MOVIMIENTOS!$C$5:$C$400="C")*(MOVIMIENTOS!$D$5:$D$400="jabas")*(ROW(MOVIMIENTOS!$B$5:$B$400)&lt;=$L26)*MOVIMIENTOS!$E$5:$E$400)+SUMPRODUCT((MOVIMIENTOS!$B$5:$B$400="PROCESO")*(MOVIMIENTOS!$C$5:$C$400="C")*(MOVIMIENTOS!$D$5:$D$400="jabas")*(ROW(MOVIMIENTOS!$B$5:$B$400)&lt;=$L26)*MOVIMIENTOS!$E$5:$E$400)-SUMPRODUCT((MOVIMIENTOS!$B$5:$B$400="ENVÍO A SUPESA")*(MOVIMIENTOS!$C$5:$C$400="C")*(MOVIMIENTOS!$D$5:$D$400="jabas")*(ROW(MOVIMIENTOS!$B$5:$B$400)&lt;=$L26)*MOVIMIENTOS!$E$5:$E$400)+SUMPRODUCT((MOVIMIENTOS!$B$5:$B$400="DEVOLUCIÓN")*(MOVIMIENTOS!$C$5:$C$400="C")*(MOVIMIENTOS!$D$5:$D$400="jabas")*(ROW(MOVIMIENTOS!$B$5:$B$400)&lt;=$L26)*MOVIMIENTOS!$E$5:$E$400)-SUMPRODUCT((MOVIMIENTOS!$B$5:$B$400="TRASIEGO")*(MOVIMIENTOS!$C$5:$C$400="C")*(MOVIMIENTOS!$D$5:$D$400="jabas")*(ROW(MOVIMIENTOS!$B$5:$B$400)&lt;=$L26)*MOVIMIENTOS!$E$5:$E$400)-SUMPRODUCT((MOVIMIENTOS!$B$5:$B$400="REGALO")*(MOVIMIENTOS!$C$5:$C$400="C")*(MOVIMIENTOS!$D$5:$D$400="jabas")*(ROW(MOVIMIENTOS!$B$5:$B$400)&lt;=$L26)*MOVIMIENTOS!$E$5:$E$400)-SUMPRODUCT((MOVIMIENTOS!$B$5:$B$400="VENTA")*(MOVIMIENTOS!$C$5:$C$400="C")*(MOVIMIENTOS!$D$5:$D$400="jabas")*(ROW(MOVIMIENTOS!$B$5:$B$400)&lt;=$L26)*MOVIMIENTOS!$E$5:$E$400)+SUMPRODUCT((MOVIMIENTOS!$B$5:$B$400="AJUSTE")*(MOVIMIENTOS!$C$5:$C$400="C")*(MOVIMIENTOS!$D$5:$D$400="jabas")*(ROW(MOVIMIENTOS!$B$5:$B$400)&lt;=$L26)*MOVIMIENTOS!$E$5:$E$400))</f>
        <v/>
      </c>
      <c r="E26" s="12" t="str">
        <f>IF($A26="","",SUMPRODUCT((MOVIMIENTOS!$B$5:$B$400="SALDO INICIAL")*(MOVIMIENTOS!$C$5:$C$400="M")*(MOVIMIENTOS!$D$5:$D$400="jabas")*(ROW(MOVIMIENTOS!$B$5:$B$400)&lt;=$L26)*MOVIMIENTOS!$E$5:$E$400)+SUMPRODUCT((MOVIMIENTOS!$B$5:$B$400="PROCESO")*(MOVIMIENTOS!$C$5:$C$400="M")*(MOVIMIENTOS!$D$5:$D$400="jabas")*(ROW(MOVIMIENTOS!$B$5:$B$400)&lt;=$L26)*MOVIMIENTOS!$E$5:$E$400)-SUMPRODUCT((MOVIMIENTOS!$B$5:$B$400="ENVÍO A SUPESA")*(MOVIMIENTOS!$C$5:$C$400="M")*(MOVIMIENTOS!$D$5:$D$400="jabas")*(ROW(MOVIMIENTOS!$B$5:$B$400)&lt;=$L26)*MOVIMIENTOS!$E$5:$E$400)+SUMPRODUCT((MOVIMIENTOS!$B$5:$B$400="DEVOLUCIÓN")*(MOVIMIENTOS!$C$5:$C$400="M")*(MOVIMIENTOS!$D$5:$D$400="jabas")*(ROW(MOVIMIENTOS!$B$5:$B$400)&lt;=$L26)*MOVIMIENTOS!$E$5:$E$400)-SUMPRODUCT((MOVIMIENTOS!$B$5:$B$400="TRASIEGO")*(MOVIMIENTOS!$C$5:$C$400="M")*(MOVIMIENTOS!$D$5:$D$400="jabas")*(ROW(MOVIMIENTOS!$B$5:$B$400)&lt;=$L26)*MOVIMIENTOS!$E$5:$E$400)-SUMPRODUCT((MOVIMIENTOS!$B$5:$B$400="REGALO")*(MOVIMIENTOS!$C$5:$C$400="M")*(MOVIMIENTOS!$D$5:$D$400="jabas")*(ROW(MOVIMIENTOS!$B$5:$B$400)&lt;=$L26)*MOVIMIENTOS!$E$5:$E$400)-SUMPRODUCT((MOVIMIENTOS!$B$5:$B$400="VENTA")*(MOVIMIENTOS!$C$5:$C$400="M")*(MOVIMIENTOS!$D$5:$D$400="jabas")*(ROW(MOVIMIENTOS!$B$5:$B$400)&lt;=$L26)*MOVIMIENTOS!$E$5:$E$400)+SUMPRODUCT((MOVIMIENTOS!$B$5:$B$400="AJUSTE")*(MOVIMIENTOS!$C$5:$C$400="M")*(MOVIMIENTOS!$D$5:$D$400="jabas")*(ROW(MOVIMIENTOS!$B$5:$B$400)&lt;=$L26)*MOVIMIENTOS!$E$5:$E$400))</f>
        <v/>
      </c>
      <c r="F26" s="12" t="str">
        <f>IF($A26="","",SUMPRODUCT((MOVIMIENTOS!$B$5:$B$400="SALDO INICIAL")*(MOVIMIENTOS!$C$5:$C$400="Chancho")*(MOVIMIENTOS!$D$5:$D$400="sacos")*(ROW(MOVIMIENTOS!$B$5:$B$400)&lt;=$L26)*MOVIMIENTOS!$E$5:$E$400)+SUMPRODUCT((MOVIMIENTOS!$B$5:$B$400="PROCESO")*(MOVIMIENTOS!$C$5:$C$400="Chancho")*(MOVIMIENTOS!$D$5:$D$400="sacos")*(ROW(MOVIMIENTOS!$B$5:$B$400)&lt;=$L26)*MOVIMIENTOS!$E$5:$E$400)-SUMPRODUCT((MOVIMIENTOS!$B$5:$B$400="VENTA CHANCHO")*(MOVIMIENTOS!$C$5:$C$400="Chancho")*(MOVIMIENTOS!$D$5:$D$400="sacos")*(ROW(MOVIMIENTOS!$B$5:$B$400)&lt;=$L26)*MOVIMIENTOS!$E$5:$E$400)-SUMPRODUCT((MOVIMIENTOS!$B$5:$B$400="REGALO")*(MOVIMIENTOS!$C$5:$C$400="Chancho")*(MOVIMIENTOS!$D$5:$D$400="sacos")*(ROW(MOVIMIENTOS!$B$5:$B$400)&lt;=$L26)*MOVIMIENTOS!$E$5:$E$400)-SUMPRODUCT((MOVIMIENTOS!$B$5:$B$400="VENTA")*(MOVIMIENTOS!$C$5:$C$400="Chancho")*(MOVIMIENTOS!$D$5:$D$400="sacos")*(ROW(MOVIMIENTOS!$B$5:$B$400)&lt;=$L26)*MOVIMIENTOS!$E$5:$E$400)+SUMPRODUCT((MOVIMIENTOS!$B$5:$B$400="AJUSTE")*(MOVIMIENTOS!$C$5:$C$400="Chancho")*(MOVIMIENTOS!$D$5:$D$400="sacos")*(ROW(MOVIMIENTOS!$B$5:$B$400)&lt;=$L26)*MOVIMIENTOS!$E$5:$E$400))</f>
        <v/>
      </c>
      <c r="G26" s="12" t="str">
        <f t="shared" si="1"/>
        <v/>
      </c>
      <c r="H26" s="12" t="str">
        <f>IF($A26="","",SUMPRODUCT((((MOVIMIENTOS!$B$5:$B$400="SALDO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26)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26)*MOVIMIENTOS!$I$5:$I$400))</f>
        <v/>
      </c>
      <c r="J26" t="str">
        <f>IF(AND(MOVIMIENTOS!$A26&lt;&gt;"",COUNTIF(MOVIMIENTOS!$A$5:$A25,MOVIMIENTOS!$A26)=0),COUNT(J$4:J25)+1,"")</f>
        <v/>
      </c>
      <c r="K26" s="10">
        <f>MOVIMIENTOS!$A26</f>
        <v>46216</v>
      </c>
      <c r="L26" t="str">
        <f>IF($A26="","",SUMPRODUCT(MAX((MOVIMIENTOS!$A$5:$A$400=$A26)*ROW(MOVIMIENTOS!$A$5:$A$400))))</f>
        <v/>
      </c>
    </row>
    <row r="27" spans="1:12" x14ac:dyDescent="0.2">
      <c r="A27" s="11" t="str">
        <f t="shared" si="0"/>
        <v/>
      </c>
      <c r="B27" s="12" t="str">
        <f>IF($A27="","",SUMPRODUCT((MOVIMIENTOS!$B$5:$B$400="SALDO INICIAL")*(MOVIMIENTOS!$C$5:$C$400="A")*(MOVIMIENTOS!$D$5:$D$400="jabas")*(ROW(MOVIMIENTOS!$B$5:$B$400)&lt;=$L27)*MOVIMIENTOS!$E$5:$E$400)+SUMPRODUCT((MOVIMIENTOS!$B$5:$B$400="PROCESO")*(MOVIMIENTOS!$C$5:$C$400="A")*(MOVIMIENTOS!$D$5:$D$400="jabas")*(ROW(MOVIMIENTOS!$B$5:$B$400)&lt;=$L27)*MOVIMIENTOS!$E$5:$E$400)-SUMPRODUCT((MOVIMIENTOS!$B$5:$B$400="ENVÍO A SUPESA")*(MOVIMIENTOS!$C$5:$C$400="A")*(MOVIMIENTOS!$D$5:$D$400="jabas")*(ROW(MOVIMIENTOS!$B$5:$B$400)&lt;=$L27)*MOVIMIENTOS!$E$5:$E$400)+SUMPRODUCT((MOVIMIENTOS!$B$5:$B$400="DEVOLUCIÓN")*(MOVIMIENTOS!$C$5:$C$400="A")*(MOVIMIENTOS!$D$5:$D$400="jabas")*(ROW(MOVIMIENTOS!$B$5:$B$400)&lt;=$L27)*MOVIMIENTOS!$E$5:$E$400)-SUMPRODUCT((MOVIMIENTOS!$B$5:$B$400="TRASIEGO")*(MOVIMIENTOS!$C$5:$C$400="A")*(MOVIMIENTOS!$D$5:$D$400="jabas")*(ROW(MOVIMIENTOS!$B$5:$B$400)&lt;=$L27)*MOVIMIENTOS!$E$5:$E$400)-SUMPRODUCT((MOVIMIENTOS!$B$5:$B$400="REGALO")*(MOVIMIENTOS!$C$5:$C$400="A")*(MOVIMIENTOS!$D$5:$D$400="jabas")*(ROW(MOVIMIENTOS!$B$5:$B$400)&lt;=$L27)*MOVIMIENTOS!$E$5:$E$400)-SUMPRODUCT((MOVIMIENTOS!$B$5:$B$400="VENTA")*(MOVIMIENTOS!$C$5:$C$400="A")*(MOVIMIENTOS!$D$5:$D$400="jabas")*(ROW(MOVIMIENTOS!$B$5:$B$400)&lt;=$L27)*MOVIMIENTOS!$E$5:$E$400)+SUMPRODUCT((MOVIMIENTOS!$B$5:$B$400="AJUSTE")*(MOVIMIENTOS!$C$5:$C$400="A")*(MOVIMIENTOS!$D$5:$D$400="jabas")*(ROW(MOVIMIENTOS!$B$5:$B$400)&lt;=$L27)*MOVIMIENTOS!$E$5:$E$400))</f>
        <v/>
      </c>
      <c r="C27" s="12" t="str">
        <f>IF($A27="","",SUMPRODUCT((MOVIMIENTOS!$B$5:$B$400="SALDO INICIAL")*(MOVIMIENTOS!$C$5:$C$400="P")*(MOVIMIENTOS!$D$5:$D$400="jabas")*(ROW(MOVIMIENTOS!$B$5:$B$400)&lt;=$L27)*MOVIMIENTOS!$E$5:$E$400)+SUMPRODUCT((MOVIMIENTOS!$B$5:$B$400="PROCESO")*(MOVIMIENTOS!$C$5:$C$400="P")*(MOVIMIENTOS!$D$5:$D$400="jabas")*(ROW(MOVIMIENTOS!$B$5:$B$400)&lt;=$L27)*MOVIMIENTOS!$E$5:$E$400)-SUMPRODUCT((MOVIMIENTOS!$B$5:$B$400="ENVÍO A SUPESA")*(MOVIMIENTOS!$C$5:$C$400="P")*(MOVIMIENTOS!$D$5:$D$400="jabas")*(ROW(MOVIMIENTOS!$B$5:$B$400)&lt;=$L27)*MOVIMIENTOS!$E$5:$E$400)+SUMPRODUCT((MOVIMIENTOS!$B$5:$B$400="DEVOLUCIÓN")*(MOVIMIENTOS!$C$5:$C$400="P")*(MOVIMIENTOS!$D$5:$D$400="jabas")*(ROW(MOVIMIENTOS!$B$5:$B$400)&lt;=$L27)*MOVIMIENTOS!$E$5:$E$400)-SUMPRODUCT((MOVIMIENTOS!$B$5:$B$400="TRASIEGO")*(MOVIMIENTOS!$C$5:$C$400="P")*(MOVIMIENTOS!$D$5:$D$400="jabas")*(ROW(MOVIMIENTOS!$B$5:$B$400)&lt;=$L27)*MOVIMIENTOS!$E$5:$E$400)-SUMPRODUCT((MOVIMIENTOS!$B$5:$B$400="REGALO")*(MOVIMIENTOS!$C$5:$C$400="P")*(MOVIMIENTOS!$D$5:$D$400="jabas")*(ROW(MOVIMIENTOS!$B$5:$B$400)&lt;=$L27)*MOVIMIENTOS!$E$5:$E$400)-SUMPRODUCT((MOVIMIENTOS!$B$5:$B$400="VENTA")*(MOVIMIENTOS!$C$5:$C$400="P")*(MOVIMIENTOS!$D$5:$D$400="jabas")*(ROW(MOVIMIENTOS!$B$5:$B$400)&lt;=$L27)*MOVIMIENTOS!$E$5:$E$400)+SUMPRODUCT((MOVIMIENTOS!$B$5:$B$400="AJUSTE")*(MOVIMIENTOS!$C$5:$C$400="P")*(MOVIMIENTOS!$D$5:$D$400="jabas")*(ROW(MOVIMIENTOS!$B$5:$B$400)&lt;=$L27)*MOVIMIENTOS!$E$5:$E$400))</f>
        <v/>
      </c>
      <c r="D27" s="12" t="str">
        <f>IF($A27="","",SUMPRODUCT((MOVIMIENTOS!$B$5:$B$400="SALDO INICIAL")*(MOVIMIENTOS!$C$5:$C$400="C")*(MOVIMIENTOS!$D$5:$D$400="jabas")*(ROW(MOVIMIENTOS!$B$5:$B$400)&lt;=$L27)*MOVIMIENTOS!$E$5:$E$400)+SUMPRODUCT((MOVIMIENTOS!$B$5:$B$400="PROCESO")*(MOVIMIENTOS!$C$5:$C$400="C")*(MOVIMIENTOS!$D$5:$D$400="jabas")*(ROW(MOVIMIENTOS!$B$5:$B$400)&lt;=$L27)*MOVIMIENTOS!$E$5:$E$400)-SUMPRODUCT((MOVIMIENTOS!$B$5:$B$400="ENVÍO A SUPESA")*(MOVIMIENTOS!$C$5:$C$400="C")*(MOVIMIENTOS!$D$5:$D$400="jabas")*(ROW(MOVIMIENTOS!$B$5:$B$400)&lt;=$L27)*MOVIMIENTOS!$E$5:$E$400)+SUMPRODUCT((MOVIMIENTOS!$B$5:$B$400="DEVOLUCIÓN")*(MOVIMIENTOS!$C$5:$C$400="C")*(MOVIMIENTOS!$D$5:$D$400="jabas")*(ROW(MOVIMIENTOS!$B$5:$B$400)&lt;=$L27)*MOVIMIENTOS!$E$5:$E$400)-SUMPRODUCT((MOVIMIENTOS!$B$5:$B$400="TRASIEGO")*(MOVIMIENTOS!$C$5:$C$400="C")*(MOVIMIENTOS!$D$5:$D$400="jabas")*(ROW(MOVIMIENTOS!$B$5:$B$400)&lt;=$L27)*MOVIMIENTOS!$E$5:$E$400)-SUMPRODUCT((MOVIMIENTOS!$B$5:$B$400="REGALO")*(MOVIMIENTOS!$C$5:$C$400="C")*(MOVIMIENTOS!$D$5:$D$400="jabas")*(ROW(MOVIMIENTOS!$B$5:$B$400)&lt;=$L27)*MOVIMIENTOS!$E$5:$E$400)-SUMPRODUCT((MOVIMIENTOS!$B$5:$B$400="VENTA")*(MOVIMIENTOS!$C$5:$C$400="C")*(MOVIMIENTOS!$D$5:$D$400="jabas")*(ROW(MOVIMIENTOS!$B$5:$B$400)&lt;=$L27)*MOVIMIENTOS!$E$5:$E$400)+SUMPRODUCT((MOVIMIENTOS!$B$5:$B$400="AJUSTE")*(MOVIMIENTOS!$C$5:$C$400="C")*(MOVIMIENTOS!$D$5:$D$400="jabas")*(ROW(MOVIMIENTOS!$B$5:$B$400)&lt;=$L27)*MOVIMIENTOS!$E$5:$E$400))</f>
        <v/>
      </c>
      <c r="E27" s="12" t="str">
        <f>IF($A27="","",SUMPRODUCT((MOVIMIENTOS!$B$5:$B$400="SALDO INICIAL")*(MOVIMIENTOS!$C$5:$C$400="M")*(MOVIMIENTOS!$D$5:$D$400="jabas")*(ROW(MOVIMIENTOS!$B$5:$B$400)&lt;=$L27)*MOVIMIENTOS!$E$5:$E$400)+SUMPRODUCT((MOVIMIENTOS!$B$5:$B$400="PROCESO")*(MOVIMIENTOS!$C$5:$C$400="M")*(MOVIMIENTOS!$D$5:$D$400="jabas")*(ROW(MOVIMIENTOS!$B$5:$B$400)&lt;=$L27)*MOVIMIENTOS!$E$5:$E$400)-SUMPRODUCT((MOVIMIENTOS!$B$5:$B$400="ENVÍO A SUPESA")*(MOVIMIENTOS!$C$5:$C$400="M")*(MOVIMIENTOS!$D$5:$D$400="jabas")*(ROW(MOVIMIENTOS!$B$5:$B$400)&lt;=$L27)*MOVIMIENTOS!$E$5:$E$400)+SUMPRODUCT((MOVIMIENTOS!$B$5:$B$400="DEVOLUCIÓN")*(MOVIMIENTOS!$C$5:$C$400="M")*(MOVIMIENTOS!$D$5:$D$400="jabas")*(ROW(MOVIMIENTOS!$B$5:$B$400)&lt;=$L27)*MOVIMIENTOS!$E$5:$E$400)-SUMPRODUCT((MOVIMIENTOS!$B$5:$B$400="TRASIEGO")*(MOVIMIENTOS!$C$5:$C$400="M")*(MOVIMIENTOS!$D$5:$D$400="jabas")*(ROW(MOVIMIENTOS!$B$5:$B$400)&lt;=$L27)*MOVIMIENTOS!$E$5:$E$400)-SUMPRODUCT((MOVIMIENTOS!$B$5:$B$400="REGALO")*(MOVIMIENTOS!$C$5:$C$400="M")*(MOVIMIENTOS!$D$5:$D$400="jabas")*(ROW(MOVIMIENTOS!$B$5:$B$400)&lt;=$L27)*MOVIMIENTOS!$E$5:$E$400)-SUMPRODUCT((MOVIMIENTOS!$B$5:$B$400="VENTA")*(MOVIMIENTOS!$C$5:$C$400="M")*(MOVIMIENTOS!$D$5:$D$400="jabas")*(ROW(MOVIMIENTOS!$B$5:$B$400)&lt;=$L27)*MOVIMIENTOS!$E$5:$E$400)+SUMPRODUCT((MOVIMIENTOS!$B$5:$B$400="AJUSTE")*(MOVIMIENTOS!$C$5:$C$400="M")*(MOVIMIENTOS!$D$5:$D$400="jabas")*(ROW(MOVIMIENTOS!$B$5:$B$400)&lt;=$L27)*MOVIMIENTOS!$E$5:$E$400))</f>
        <v/>
      </c>
      <c r="F27" s="12" t="str">
        <f>IF($A27="","",SUMPRODUCT((MOVIMIENTOS!$B$5:$B$400="SALDO INICIAL")*(MOVIMIENTOS!$C$5:$C$400="Chancho")*(MOVIMIENTOS!$D$5:$D$400="sacos")*(ROW(MOVIMIENTOS!$B$5:$B$400)&lt;=$L27)*MOVIMIENTOS!$E$5:$E$400)+SUMPRODUCT((MOVIMIENTOS!$B$5:$B$400="PROCESO")*(MOVIMIENTOS!$C$5:$C$400="Chancho")*(MOVIMIENTOS!$D$5:$D$400="sacos")*(ROW(MOVIMIENTOS!$B$5:$B$400)&lt;=$L27)*MOVIMIENTOS!$E$5:$E$400)-SUMPRODUCT((MOVIMIENTOS!$B$5:$B$400="VENTA CHANCHO")*(MOVIMIENTOS!$C$5:$C$400="Chancho")*(MOVIMIENTOS!$D$5:$D$400="sacos")*(ROW(MOVIMIENTOS!$B$5:$B$400)&lt;=$L27)*MOVIMIENTOS!$E$5:$E$400)-SUMPRODUCT((MOVIMIENTOS!$B$5:$B$400="REGALO")*(MOVIMIENTOS!$C$5:$C$400="Chancho")*(MOVIMIENTOS!$D$5:$D$400="sacos")*(ROW(MOVIMIENTOS!$B$5:$B$400)&lt;=$L27)*MOVIMIENTOS!$E$5:$E$400)-SUMPRODUCT((MOVIMIENTOS!$B$5:$B$400="VENTA")*(MOVIMIENTOS!$C$5:$C$400="Chancho")*(MOVIMIENTOS!$D$5:$D$400="sacos")*(ROW(MOVIMIENTOS!$B$5:$B$400)&lt;=$L27)*MOVIMIENTOS!$E$5:$E$400)+SUMPRODUCT((MOVIMIENTOS!$B$5:$B$400="AJUSTE")*(MOVIMIENTOS!$C$5:$C$400="Chancho")*(MOVIMIENTOS!$D$5:$D$400="sacos")*(ROW(MOVIMIENTOS!$B$5:$B$400)&lt;=$L27)*MOVIMIENTOS!$E$5:$E$400))</f>
        <v/>
      </c>
      <c r="G27" s="12" t="str">
        <f t="shared" si="1"/>
        <v/>
      </c>
      <c r="H27" s="12" t="str">
        <f>IF($A27="","",SUMPRODUCT((((MOVIMIENTOS!$B$5:$B$400="SALDO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27)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27)*MOVIMIENTOS!$I$5:$I$400))</f>
        <v/>
      </c>
      <c r="J27" t="str">
        <f>IF(AND(MOVIMIENTOS!$A27&lt;&gt;"",COUNTIF(MOVIMIENTOS!$A$5:$A26,MOVIMIENTOS!$A27)=0),COUNT(J$4:J26)+1,"")</f>
        <v/>
      </c>
      <c r="K27" s="10">
        <f>MOVIMIENTOS!$A27</f>
        <v>46216</v>
      </c>
      <c r="L27" t="str">
        <f>IF($A27="","",SUMPRODUCT(MAX((MOVIMIENTOS!$A$5:$A$400=$A27)*ROW(MOVIMIENTOS!$A$5:$A$400))))</f>
        <v/>
      </c>
    </row>
    <row r="28" spans="1:12" x14ac:dyDescent="0.2">
      <c r="A28" s="11" t="str">
        <f t="shared" si="0"/>
        <v/>
      </c>
      <c r="B28" s="12" t="str">
        <f>IF($A28="","",SUMPRODUCT((MOVIMIENTOS!$B$5:$B$400="SALDO INICIAL")*(MOVIMIENTOS!$C$5:$C$400="A")*(MOVIMIENTOS!$D$5:$D$400="jabas")*(ROW(MOVIMIENTOS!$B$5:$B$400)&lt;=$L28)*MOVIMIENTOS!$E$5:$E$400)+SUMPRODUCT((MOVIMIENTOS!$B$5:$B$400="PROCESO")*(MOVIMIENTOS!$C$5:$C$400="A")*(MOVIMIENTOS!$D$5:$D$400="jabas")*(ROW(MOVIMIENTOS!$B$5:$B$400)&lt;=$L28)*MOVIMIENTOS!$E$5:$E$400)-SUMPRODUCT((MOVIMIENTOS!$B$5:$B$400="ENVÍO A SUPESA")*(MOVIMIENTOS!$C$5:$C$400="A")*(MOVIMIENTOS!$D$5:$D$400="jabas")*(ROW(MOVIMIENTOS!$B$5:$B$400)&lt;=$L28)*MOVIMIENTOS!$E$5:$E$400)+SUMPRODUCT((MOVIMIENTOS!$B$5:$B$400="DEVOLUCIÓN")*(MOVIMIENTOS!$C$5:$C$400="A")*(MOVIMIENTOS!$D$5:$D$400="jabas")*(ROW(MOVIMIENTOS!$B$5:$B$400)&lt;=$L28)*MOVIMIENTOS!$E$5:$E$400)-SUMPRODUCT((MOVIMIENTOS!$B$5:$B$400="TRASIEGO")*(MOVIMIENTOS!$C$5:$C$400="A")*(MOVIMIENTOS!$D$5:$D$400="jabas")*(ROW(MOVIMIENTOS!$B$5:$B$400)&lt;=$L28)*MOVIMIENTOS!$E$5:$E$400)-SUMPRODUCT((MOVIMIENTOS!$B$5:$B$400="REGALO")*(MOVIMIENTOS!$C$5:$C$400="A")*(MOVIMIENTOS!$D$5:$D$400="jabas")*(ROW(MOVIMIENTOS!$B$5:$B$400)&lt;=$L28)*MOVIMIENTOS!$E$5:$E$400)-SUMPRODUCT((MOVIMIENTOS!$B$5:$B$400="VENTA")*(MOVIMIENTOS!$C$5:$C$400="A")*(MOVIMIENTOS!$D$5:$D$400="jabas")*(ROW(MOVIMIENTOS!$B$5:$B$400)&lt;=$L28)*MOVIMIENTOS!$E$5:$E$400)+SUMPRODUCT((MOVIMIENTOS!$B$5:$B$400="AJUSTE")*(MOVIMIENTOS!$C$5:$C$400="A")*(MOVIMIENTOS!$D$5:$D$400="jabas")*(ROW(MOVIMIENTOS!$B$5:$B$400)&lt;=$L28)*MOVIMIENTOS!$E$5:$E$400))</f>
        <v/>
      </c>
      <c r="C28" s="12" t="str">
        <f>IF($A28="","",SUMPRODUCT((MOVIMIENTOS!$B$5:$B$400="SALDO INICIAL")*(MOVIMIENTOS!$C$5:$C$400="P")*(MOVIMIENTOS!$D$5:$D$400="jabas")*(ROW(MOVIMIENTOS!$B$5:$B$400)&lt;=$L28)*MOVIMIENTOS!$E$5:$E$400)+SUMPRODUCT((MOVIMIENTOS!$B$5:$B$400="PROCESO")*(MOVIMIENTOS!$C$5:$C$400="P")*(MOVIMIENTOS!$D$5:$D$400="jabas")*(ROW(MOVIMIENTOS!$B$5:$B$400)&lt;=$L28)*MOVIMIENTOS!$E$5:$E$400)-SUMPRODUCT((MOVIMIENTOS!$B$5:$B$400="ENVÍO A SUPESA")*(MOVIMIENTOS!$C$5:$C$400="P")*(MOVIMIENTOS!$D$5:$D$400="jabas")*(ROW(MOVIMIENTOS!$B$5:$B$400)&lt;=$L28)*MOVIMIENTOS!$E$5:$E$400)+SUMPRODUCT((MOVIMIENTOS!$B$5:$B$400="DEVOLUCIÓN")*(MOVIMIENTOS!$C$5:$C$400="P")*(MOVIMIENTOS!$D$5:$D$400="jabas")*(ROW(MOVIMIENTOS!$B$5:$B$400)&lt;=$L28)*MOVIMIENTOS!$E$5:$E$400)-SUMPRODUCT((MOVIMIENTOS!$B$5:$B$400="TRASIEGO")*(MOVIMIENTOS!$C$5:$C$400="P")*(MOVIMIENTOS!$D$5:$D$400="jabas")*(ROW(MOVIMIENTOS!$B$5:$B$400)&lt;=$L28)*MOVIMIENTOS!$E$5:$E$400)-SUMPRODUCT((MOVIMIENTOS!$B$5:$B$400="REGALO")*(MOVIMIENTOS!$C$5:$C$400="P")*(MOVIMIENTOS!$D$5:$D$400="jabas")*(ROW(MOVIMIENTOS!$B$5:$B$400)&lt;=$L28)*MOVIMIENTOS!$E$5:$E$400)-SUMPRODUCT((MOVIMIENTOS!$B$5:$B$400="VENTA")*(MOVIMIENTOS!$C$5:$C$400="P")*(MOVIMIENTOS!$D$5:$D$400="jabas")*(ROW(MOVIMIENTOS!$B$5:$B$400)&lt;=$L28)*MOVIMIENTOS!$E$5:$E$400)+SUMPRODUCT((MOVIMIENTOS!$B$5:$B$400="AJUSTE")*(MOVIMIENTOS!$C$5:$C$400="P")*(MOVIMIENTOS!$D$5:$D$400="jabas")*(ROW(MOVIMIENTOS!$B$5:$B$400)&lt;=$L28)*MOVIMIENTOS!$E$5:$E$400))</f>
        <v/>
      </c>
      <c r="D28" s="12" t="str">
        <f>IF($A28="","",SUMPRODUCT((MOVIMIENTOS!$B$5:$B$400="SALDO INICIAL")*(MOVIMIENTOS!$C$5:$C$400="C")*(MOVIMIENTOS!$D$5:$D$400="jabas")*(ROW(MOVIMIENTOS!$B$5:$B$400)&lt;=$L28)*MOVIMIENTOS!$E$5:$E$400)+SUMPRODUCT((MOVIMIENTOS!$B$5:$B$400="PROCESO")*(MOVIMIENTOS!$C$5:$C$400="C")*(MOVIMIENTOS!$D$5:$D$400="jabas")*(ROW(MOVIMIENTOS!$B$5:$B$400)&lt;=$L28)*MOVIMIENTOS!$E$5:$E$400)-SUMPRODUCT((MOVIMIENTOS!$B$5:$B$400="ENVÍO A SUPESA")*(MOVIMIENTOS!$C$5:$C$400="C")*(MOVIMIENTOS!$D$5:$D$400="jabas")*(ROW(MOVIMIENTOS!$B$5:$B$400)&lt;=$L28)*MOVIMIENTOS!$E$5:$E$400)+SUMPRODUCT((MOVIMIENTOS!$B$5:$B$400="DEVOLUCIÓN")*(MOVIMIENTOS!$C$5:$C$400="C")*(MOVIMIENTOS!$D$5:$D$400="jabas")*(ROW(MOVIMIENTOS!$B$5:$B$400)&lt;=$L28)*MOVIMIENTOS!$E$5:$E$400)-SUMPRODUCT((MOVIMIENTOS!$B$5:$B$400="TRASIEGO")*(MOVIMIENTOS!$C$5:$C$400="C")*(MOVIMIENTOS!$D$5:$D$400="jabas")*(ROW(MOVIMIENTOS!$B$5:$B$400)&lt;=$L28)*MOVIMIENTOS!$E$5:$E$400)-SUMPRODUCT((MOVIMIENTOS!$B$5:$B$400="REGALO")*(MOVIMIENTOS!$C$5:$C$400="C")*(MOVIMIENTOS!$D$5:$D$400="jabas")*(ROW(MOVIMIENTOS!$B$5:$B$400)&lt;=$L28)*MOVIMIENTOS!$E$5:$E$400)-SUMPRODUCT((MOVIMIENTOS!$B$5:$B$400="VENTA")*(MOVIMIENTOS!$C$5:$C$400="C")*(MOVIMIENTOS!$D$5:$D$400="jabas")*(ROW(MOVIMIENTOS!$B$5:$B$400)&lt;=$L28)*MOVIMIENTOS!$E$5:$E$400)+SUMPRODUCT((MOVIMIENTOS!$B$5:$B$400="AJUSTE")*(MOVIMIENTOS!$C$5:$C$400="C")*(MOVIMIENTOS!$D$5:$D$400="jabas")*(ROW(MOVIMIENTOS!$B$5:$B$400)&lt;=$L28)*MOVIMIENTOS!$E$5:$E$400))</f>
        <v/>
      </c>
      <c r="E28" s="12" t="str">
        <f>IF($A28="","",SUMPRODUCT((MOVIMIENTOS!$B$5:$B$400="SALDO INICIAL")*(MOVIMIENTOS!$C$5:$C$400="M")*(MOVIMIENTOS!$D$5:$D$400="jabas")*(ROW(MOVIMIENTOS!$B$5:$B$400)&lt;=$L28)*MOVIMIENTOS!$E$5:$E$400)+SUMPRODUCT((MOVIMIENTOS!$B$5:$B$400="PROCESO")*(MOVIMIENTOS!$C$5:$C$400="M")*(MOVIMIENTOS!$D$5:$D$400="jabas")*(ROW(MOVIMIENTOS!$B$5:$B$400)&lt;=$L28)*MOVIMIENTOS!$E$5:$E$400)-SUMPRODUCT((MOVIMIENTOS!$B$5:$B$400="ENVÍO A SUPESA")*(MOVIMIENTOS!$C$5:$C$400="M")*(MOVIMIENTOS!$D$5:$D$400="jabas")*(ROW(MOVIMIENTOS!$B$5:$B$400)&lt;=$L28)*MOVIMIENTOS!$E$5:$E$400)+SUMPRODUCT((MOVIMIENTOS!$B$5:$B$400="DEVOLUCIÓN")*(MOVIMIENTOS!$C$5:$C$400="M")*(MOVIMIENTOS!$D$5:$D$400="jabas")*(ROW(MOVIMIENTOS!$B$5:$B$400)&lt;=$L28)*MOVIMIENTOS!$E$5:$E$400)-SUMPRODUCT((MOVIMIENTOS!$B$5:$B$400="TRASIEGO")*(MOVIMIENTOS!$C$5:$C$400="M")*(MOVIMIENTOS!$D$5:$D$400="jabas")*(ROW(MOVIMIENTOS!$B$5:$B$400)&lt;=$L28)*MOVIMIENTOS!$E$5:$E$400)-SUMPRODUCT((MOVIMIENTOS!$B$5:$B$400="REGALO")*(MOVIMIENTOS!$C$5:$C$400="M")*(MOVIMIENTOS!$D$5:$D$400="jabas")*(ROW(MOVIMIENTOS!$B$5:$B$400)&lt;=$L28)*MOVIMIENTOS!$E$5:$E$400)-SUMPRODUCT((MOVIMIENTOS!$B$5:$B$400="VENTA")*(MOVIMIENTOS!$C$5:$C$400="M")*(MOVIMIENTOS!$D$5:$D$400="jabas")*(ROW(MOVIMIENTOS!$B$5:$B$400)&lt;=$L28)*MOVIMIENTOS!$E$5:$E$400)+SUMPRODUCT((MOVIMIENTOS!$B$5:$B$400="AJUSTE")*(MOVIMIENTOS!$C$5:$C$400="M")*(MOVIMIENTOS!$D$5:$D$400="jabas")*(ROW(MOVIMIENTOS!$B$5:$B$400)&lt;=$L28)*MOVIMIENTOS!$E$5:$E$400))</f>
        <v/>
      </c>
      <c r="F28" s="12" t="str">
        <f>IF($A28="","",SUMPRODUCT((MOVIMIENTOS!$B$5:$B$400="SALDO INICIAL")*(MOVIMIENTOS!$C$5:$C$400="Chancho")*(MOVIMIENTOS!$D$5:$D$400="sacos")*(ROW(MOVIMIENTOS!$B$5:$B$400)&lt;=$L28)*MOVIMIENTOS!$E$5:$E$400)+SUMPRODUCT((MOVIMIENTOS!$B$5:$B$400="PROCESO")*(MOVIMIENTOS!$C$5:$C$400="Chancho")*(MOVIMIENTOS!$D$5:$D$400="sacos")*(ROW(MOVIMIENTOS!$B$5:$B$400)&lt;=$L28)*MOVIMIENTOS!$E$5:$E$400)-SUMPRODUCT((MOVIMIENTOS!$B$5:$B$400="VENTA CHANCHO")*(MOVIMIENTOS!$C$5:$C$400="Chancho")*(MOVIMIENTOS!$D$5:$D$400="sacos")*(ROW(MOVIMIENTOS!$B$5:$B$400)&lt;=$L28)*MOVIMIENTOS!$E$5:$E$400)-SUMPRODUCT((MOVIMIENTOS!$B$5:$B$400="REGALO")*(MOVIMIENTOS!$C$5:$C$400="Chancho")*(MOVIMIENTOS!$D$5:$D$400="sacos")*(ROW(MOVIMIENTOS!$B$5:$B$400)&lt;=$L28)*MOVIMIENTOS!$E$5:$E$400)-SUMPRODUCT((MOVIMIENTOS!$B$5:$B$400="VENTA")*(MOVIMIENTOS!$C$5:$C$400="Chancho")*(MOVIMIENTOS!$D$5:$D$400="sacos")*(ROW(MOVIMIENTOS!$B$5:$B$400)&lt;=$L28)*MOVIMIENTOS!$E$5:$E$400)+SUMPRODUCT((MOVIMIENTOS!$B$5:$B$400="AJUSTE")*(MOVIMIENTOS!$C$5:$C$400="Chancho")*(MOVIMIENTOS!$D$5:$D$400="sacos")*(ROW(MOVIMIENTOS!$B$5:$B$400)&lt;=$L28)*MOVIMIENTOS!$E$5:$E$400))</f>
        <v/>
      </c>
      <c r="G28" s="12" t="str">
        <f t="shared" si="1"/>
        <v/>
      </c>
      <c r="H28" s="12" t="str">
        <f>IF($A28="","",SUMPRODUCT((((MOVIMIENTOS!$B$5:$B$400="SALDO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28)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28)*MOVIMIENTOS!$I$5:$I$400))</f>
        <v/>
      </c>
      <c r="J28">
        <f>IF(AND(MOVIMIENTOS!$A28&lt;&gt;"",COUNTIF(MOVIMIENTOS!$A$5:$A27,MOVIMIENTOS!$A28)=0),COUNT(J$4:J27)+1,"")</f>
        <v>4</v>
      </c>
      <c r="K28" s="10">
        <f>MOVIMIENTOS!$A28</f>
        <v>46217</v>
      </c>
      <c r="L28" t="str">
        <f>IF($A28="","",SUMPRODUCT(MAX((MOVIMIENTOS!$A$5:$A$400=$A28)*ROW(MOVIMIENTOS!$A$5:$A$400))))</f>
        <v/>
      </c>
    </row>
    <row r="29" spans="1:12" x14ac:dyDescent="0.2">
      <c r="A29" s="11" t="str">
        <f t="shared" si="0"/>
        <v/>
      </c>
      <c r="B29" s="12" t="str">
        <f>IF($A29="","",SUMPRODUCT((MOVIMIENTOS!$B$5:$B$400="SALDO INICIAL")*(MOVIMIENTOS!$C$5:$C$400="A")*(MOVIMIENTOS!$D$5:$D$400="jabas")*(ROW(MOVIMIENTOS!$B$5:$B$400)&lt;=$L29)*MOVIMIENTOS!$E$5:$E$400)+SUMPRODUCT((MOVIMIENTOS!$B$5:$B$400="PROCESO")*(MOVIMIENTOS!$C$5:$C$400="A")*(MOVIMIENTOS!$D$5:$D$400="jabas")*(ROW(MOVIMIENTOS!$B$5:$B$400)&lt;=$L29)*MOVIMIENTOS!$E$5:$E$400)-SUMPRODUCT((MOVIMIENTOS!$B$5:$B$400="ENVÍO A SUPESA")*(MOVIMIENTOS!$C$5:$C$400="A")*(MOVIMIENTOS!$D$5:$D$400="jabas")*(ROW(MOVIMIENTOS!$B$5:$B$400)&lt;=$L29)*MOVIMIENTOS!$E$5:$E$400)+SUMPRODUCT((MOVIMIENTOS!$B$5:$B$400="DEVOLUCIÓN")*(MOVIMIENTOS!$C$5:$C$400="A")*(MOVIMIENTOS!$D$5:$D$400="jabas")*(ROW(MOVIMIENTOS!$B$5:$B$400)&lt;=$L29)*MOVIMIENTOS!$E$5:$E$400)-SUMPRODUCT((MOVIMIENTOS!$B$5:$B$400="TRASIEGO")*(MOVIMIENTOS!$C$5:$C$400="A")*(MOVIMIENTOS!$D$5:$D$400="jabas")*(ROW(MOVIMIENTOS!$B$5:$B$400)&lt;=$L29)*MOVIMIENTOS!$E$5:$E$400)-SUMPRODUCT((MOVIMIENTOS!$B$5:$B$400="REGALO")*(MOVIMIENTOS!$C$5:$C$400="A")*(MOVIMIENTOS!$D$5:$D$400="jabas")*(ROW(MOVIMIENTOS!$B$5:$B$400)&lt;=$L29)*MOVIMIENTOS!$E$5:$E$400)-SUMPRODUCT((MOVIMIENTOS!$B$5:$B$400="VENTA")*(MOVIMIENTOS!$C$5:$C$400="A")*(MOVIMIENTOS!$D$5:$D$400="jabas")*(ROW(MOVIMIENTOS!$B$5:$B$400)&lt;=$L29)*MOVIMIENTOS!$E$5:$E$400)+SUMPRODUCT((MOVIMIENTOS!$B$5:$B$400="AJUSTE")*(MOVIMIENTOS!$C$5:$C$400="A")*(MOVIMIENTOS!$D$5:$D$400="jabas")*(ROW(MOVIMIENTOS!$B$5:$B$400)&lt;=$L29)*MOVIMIENTOS!$E$5:$E$400))</f>
        <v/>
      </c>
      <c r="C29" s="12" t="str">
        <f>IF($A29="","",SUMPRODUCT((MOVIMIENTOS!$B$5:$B$400="SALDO INICIAL")*(MOVIMIENTOS!$C$5:$C$400="P")*(MOVIMIENTOS!$D$5:$D$400="jabas")*(ROW(MOVIMIENTOS!$B$5:$B$400)&lt;=$L29)*MOVIMIENTOS!$E$5:$E$400)+SUMPRODUCT((MOVIMIENTOS!$B$5:$B$400="PROCESO")*(MOVIMIENTOS!$C$5:$C$400="P")*(MOVIMIENTOS!$D$5:$D$400="jabas")*(ROW(MOVIMIENTOS!$B$5:$B$400)&lt;=$L29)*MOVIMIENTOS!$E$5:$E$400)-SUMPRODUCT((MOVIMIENTOS!$B$5:$B$400="ENVÍO A SUPESA")*(MOVIMIENTOS!$C$5:$C$400="P")*(MOVIMIENTOS!$D$5:$D$400="jabas")*(ROW(MOVIMIENTOS!$B$5:$B$400)&lt;=$L29)*MOVIMIENTOS!$E$5:$E$400)+SUMPRODUCT((MOVIMIENTOS!$B$5:$B$400="DEVOLUCIÓN")*(MOVIMIENTOS!$C$5:$C$400="P")*(MOVIMIENTOS!$D$5:$D$400="jabas")*(ROW(MOVIMIENTOS!$B$5:$B$400)&lt;=$L29)*MOVIMIENTOS!$E$5:$E$400)-SUMPRODUCT((MOVIMIENTOS!$B$5:$B$400="TRASIEGO")*(MOVIMIENTOS!$C$5:$C$400="P")*(MOVIMIENTOS!$D$5:$D$400="jabas")*(ROW(MOVIMIENTOS!$B$5:$B$400)&lt;=$L29)*MOVIMIENTOS!$E$5:$E$400)-SUMPRODUCT((MOVIMIENTOS!$B$5:$B$400="REGALO")*(MOVIMIENTOS!$C$5:$C$400="P")*(MOVIMIENTOS!$D$5:$D$400="jabas")*(ROW(MOVIMIENTOS!$B$5:$B$400)&lt;=$L29)*MOVIMIENTOS!$E$5:$E$400)-SUMPRODUCT((MOVIMIENTOS!$B$5:$B$400="VENTA")*(MOVIMIENTOS!$C$5:$C$400="P")*(MOVIMIENTOS!$D$5:$D$400="jabas")*(ROW(MOVIMIENTOS!$B$5:$B$400)&lt;=$L29)*MOVIMIENTOS!$E$5:$E$400)+SUMPRODUCT((MOVIMIENTOS!$B$5:$B$400="AJUSTE")*(MOVIMIENTOS!$C$5:$C$400="P")*(MOVIMIENTOS!$D$5:$D$400="jabas")*(ROW(MOVIMIENTOS!$B$5:$B$400)&lt;=$L29)*MOVIMIENTOS!$E$5:$E$400))</f>
        <v/>
      </c>
      <c r="D29" s="12" t="str">
        <f>IF($A29="","",SUMPRODUCT((MOVIMIENTOS!$B$5:$B$400="SALDO INICIAL")*(MOVIMIENTOS!$C$5:$C$400="C")*(MOVIMIENTOS!$D$5:$D$400="jabas")*(ROW(MOVIMIENTOS!$B$5:$B$400)&lt;=$L29)*MOVIMIENTOS!$E$5:$E$400)+SUMPRODUCT((MOVIMIENTOS!$B$5:$B$400="PROCESO")*(MOVIMIENTOS!$C$5:$C$400="C")*(MOVIMIENTOS!$D$5:$D$400="jabas")*(ROW(MOVIMIENTOS!$B$5:$B$400)&lt;=$L29)*MOVIMIENTOS!$E$5:$E$400)-SUMPRODUCT((MOVIMIENTOS!$B$5:$B$400="ENVÍO A SUPESA")*(MOVIMIENTOS!$C$5:$C$400="C")*(MOVIMIENTOS!$D$5:$D$400="jabas")*(ROW(MOVIMIENTOS!$B$5:$B$400)&lt;=$L29)*MOVIMIENTOS!$E$5:$E$400)+SUMPRODUCT((MOVIMIENTOS!$B$5:$B$400="DEVOLUCIÓN")*(MOVIMIENTOS!$C$5:$C$400="C")*(MOVIMIENTOS!$D$5:$D$400="jabas")*(ROW(MOVIMIENTOS!$B$5:$B$400)&lt;=$L29)*MOVIMIENTOS!$E$5:$E$400)-SUMPRODUCT((MOVIMIENTOS!$B$5:$B$400="TRASIEGO")*(MOVIMIENTOS!$C$5:$C$400="C")*(MOVIMIENTOS!$D$5:$D$400="jabas")*(ROW(MOVIMIENTOS!$B$5:$B$400)&lt;=$L29)*MOVIMIENTOS!$E$5:$E$400)-SUMPRODUCT((MOVIMIENTOS!$B$5:$B$400="REGALO")*(MOVIMIENTOS!$C$5:$C$400="C")*(MOVIMIENTOS!$D$5:$D$400="jabas")*(ROW(MOVIMIENTOS!$B$5:$B$400)&lt;=$L29)*MOVIMIENTOS!$E$5:$E$400)-SUMPRODUCT((MOVIMIENTOS!$B$5:$B$400="VENTA")*(MOVIMIENTOS!$C$5:$C$400="C")*(MOVIMIENTOS!$D$5:$D$400="jabas")*(ROW(MOVIMIENTOS!$B$5:$B$400)&lt;=$L29)*MOVIMIENTOS!$E$5:$E$400)+SUMPRODUCT((MOVIMIENTOS!$B$5:$B$400="AJUSTE")*(MOVIMIENTOS!$C$5:$C$400="C")*(MOVIMIENTOS!$D$5:$D$400="jabas")*(ROW(MOVIMIENTOS!$B$5:$B$400)&lt;=$L29)*MOVIMIENTOS!$E$5:$E$400))</f>
        <v/>
      </c>
      <c r="E29" s="12" t="str">
        <f>IF($A29="","",SUMPRODUCT((MOVIMIENTOS!$B$5:$B$400="SALDO INICIAL")*(MOVIMIENTOS!$C$5:$C$400="M")*(MOVIMIENTOS!$D$5:$D$400="jabas")*(ROW(MOVIMIENTOS!$B$5:$B$400)&lt;=$L29)*MOVIMIENTOS!$E$5:$E$400)+SUMPRODUCT((MOVIMIENTOS!$B$5:$B$400="PROCESO")*(MOVIMIENTOS!$C$5:$C$400="M")*(MOVIMIENTOS!$D$5:$D$400="jabas")*(ROW(MOVIMIENTOS!$B$5:$B$400)&lt;=$L29)*MOVIMIENTOS!$E$5:$E$400)-SUMPRODUCT((MOVIMIENTOS!$B$5:$B$400="ENVÍO A SUPESA")*(MOVIMIENTOS!$C$5:$C$400="M")*(MOVIMIENTOS!$D$5:$D$400="jabas")*(ROW(MOVIMIENTOS!$B$5:$B$400)&lt;=$L29)*MOVIMIENTOS!$E$5:$E$400)+SUMPRODUCT((MOVIMIENTOS!$B$5:$B$400="DEVOLUCIÓN")*(MOVIMIENTOS!$C$5:$C$400="M")*(MOVIMIENTOS!$D$5:$D$400="jabas")*(ROW(MOVIMIENTOS!$B$5:$B$400)&lt;=$L29)*MOVIMIENTOS!$E$5:$E$400)-SUMPRODUCT((MOVIMIENTOS!$B$5:$B$400="TRASIEGO")*(MOVIMIENTOS!$C$5:$C$400="M")*(MOVIMIENTOS!$D$5:$D$400="jabas")*(ROW(MOVIMIENTOS!$B$5:$B$400)&lt;=$L29)*MOVIMIENTOS!$E$5:$E$400)-SUMPRODUCT((MOVIMIENTOS!$B$5:$B$400="REGALO")*(MOVIMIENTOS!$C$5:$C$400="M")*(MOVIMIENTOS!$D$5:$D$400="jabas")*(ROW(MOVIMIENTOS!$B$5:$B$400)&lt;=$L29)*MOVIMIENTOS!$E$5:$E$400)-SUMPRODUCT((MOVIMIENTOS!$B$5:$B$400="VENTA")*(MOVIMIENTOS!$C$5:$C$400="M")*(MOVIMIENTOS!$D$5:$D$400="jabas")*(ROW(MOVIMIENTOS!$B$5:$B$400)&lt;=$L29)*MOVIMIENTOS!$E$5:$E$400)+SUMPRODUCT((MOVIMIENTOS!$B$5:$B$400="AJUSTE")*(MOVIMIENTOS!$C$5:$C$400="M")*(MOVIMIENTOS!$D$5:$D$400="jabas")*(ROW(MOVIMIENTOS!$B$5:$B$400)&lt;=$L29)*MOVIMIENTOS!$E$5:$E$400))</f>
        <v/>
      </c>
      <c r="F29" s="12" t="str">
        <f>IF($A29="","",SUMPRODUCT((MOVIMIENTOS!$B$5:$B$400="SALDO INICIAL")*(MOVIMIENTOS!$C$5:$C$400="Chancho")*(MOVIMIENTOS!$D$5:$D$400="sacos")*(ROW(MOVIMIENTOS!$B$5:$B$400)&lt;=$L29)*MOVIMIENTOS!$E$5:$E$400)+SUMPRODUCT((MOVIMIENTOS!$B$5:$B$400="PROCESO")*(MOVIMIENTOS!$C$5:$C$400="Chancho")*(MOVIMIENTOS!$D$5:$D$400="sacos")*(ROW(MOVIMIENTOS!$B$5:$B$400)&lt;=$L29)*MOVIMIENTOS!$E$5:$E$400)-SUMPRODUCT((MOVIMIENTOS!$B$5:$B$400="VENTA CHANCHO")*(MOVIMIENTOS!$C$5:$C$400="Chancho")*(MOVIMIENTOS!$D$5:$D$400="sacos")*(ROW(MOVIMIENTOS!$B$5:$B$400)&lt;=$L29)*MOVIMIENTOS!$E$5:$E$400)-SUMPRODUCT((MOVIMIENTOS!$B$5:$B$400="REGALO")*(MOVIMIENTOS!$C$5:$C$400="Chancho")*(MOVIMIENTOS!$D$5:$D$400="sacos")*(ROW(MOVIMIENTOS!$B$5:$B$400)&lt;=$L29)*MOVIMIENTOS!$E$5:$E$400)-SUMPRODUCT((MOVIMIENTOS!$B$5:$B$400="VENTA")*(MOVIMIENTOS!$C$5:$C$400="Chancho")*(MOVIMIENTOS!$D$5:$D$400="sacos")*(ROW(MOVIMIENTOS!$B$5:$B$400)&lt;=$L29)*MOVIMIENTOS!$E$5:$E$400)+SUMPRODUCT((MOVIMIENTOS!$B$5:$B$400="AJUSTE")*(MOVIMIENTOS!$C$5:$C$400="Chancho")*(MOVIMIENTOS!$D$5:$D$400="sacos")*(ROW(MOVIMIENTOS!$B$5:$B$400)&lt;=$L29)*MOVIMIENTOS!$E$5:$E$400))</f>
        <v/>
      </c>
      <c r="G29" s="12" t="str">
        <f t="shared" si="1"/>
        <v/>
      </c>
      <c r="H29" s="12" t="str">
        <f>IF($A29="","",SUMPRODUCT((((MOVIMIENTOS!$B$5:$B$400="SALDO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29)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29)*MOVIMIENTOS!$I$5:$I$400))</f>
        <v/>
      </c>
      <c r="J29" t="str">
        <f>IF(AND(MOVIMIENTOS!$A29&lt;&gt;"",COUNTIF(MOVIMIENTOS!$A$5:$A28,MOVIMIENTOS!$A29)=0),COUNT(J$4:J28)+1,"")</f>
        <v/>
      </c>
      <c r="K29" s="10">
        <f>MOVIMIENTOS!$A29</f>
        <v>46217</v>
      </c>
      <c r="L29" t="str">
        <f>IF($A29="","",SUMPRODUCT(MAX((MOVIMIENTOS!$A$5:$A$400=$A29)*ROW(MOVIMIENTOS!$A$5:$A$400))))</f>
        <v/>
      </c>
    </row>
    <row r="30" spans="1:12" x14ac:dyDescent="0.2">
      <c r="A30" s="11" t="str">
        <f t="shared" si="0"/>
        <v/>
      </c>
      <c r="B30" s="12" t="str">
        <f>IF($A30="","",SUMPRODUCT((MOVIMIENTOS!$B$5:$B$400="SALDO INICIAL")*(MOVIMIENTOS!$C$5:$C$400="A")*(MOVIMIENTOS!$D$5:$D$400="jabas")*(ROW(MOVIMIENTOS!$B$5:$B$400)&lt;=$L30)*MOVIMIENTOS!$E$5:$E$400)+SUMPRODUCT((MOVIMIENTOS!$B$5:$B$400="PROCESO")*(MOVIMIENTOS!$C$5:$C$400="A")*(MOVIMIENTOS!$D$5:$D$400="jabas")*(ROW(MOVIMIENTOS!$B$5:$B$400)&lt;=$L30)*MOVIMIENTOS!$E$5:$E$400)-SUMPRODUCT((MOVIMIENTOS!$B$5:$B$400="ENVÍO A SUPESA")*(MOVIMIENTOS!$C$5:$C$400="A")*(MOVIMIENTOS!$D$5:$D$400="jabas")*(ROW(MOVIMIENTOS!$B$5:$B$400)&lt;=$L30)*MOVIMIENTOS!$E$5:$E$400)+SUMPRODUCT((MOVIMIENTOS!$B$5:$B$400="DEVOLUCIÓN")*(MOVIMIENTOS!$C$5:$C$400="A")*(MOVIMIENTOS!$D$5:$D$400="jabas")*(ROW(MOVIMIENTOS!$B$5:$B$400)&lt;=$L30)*MOVIMIENTOS!$E$5:$E$400)-SUMPRODUCT((MOVIMIENTOS!$B$5:$B$400="TRASIEGO")*(MOVIMIENTOS!$C$5:$C$400="A")*(MOVIMIENTOS!$D$5:$D$400="jabas")*(ROW(MOVIMIENTOS!$B$5:$B$400)&lt;=$L30)*MOVIMIENTOS!$E$5:$E$400)-SUMPRODUCT((MOVIMIENTOS!$B$5:$B$400="REGALO")*(MOVIMIENTOS!$C$5:$C$400="A")*(MOVIMIENTOS!$D$5:$D$400="jabas")*(ROW(MOVIMIENTOS!$B$5:$B$400)&lt;=$L30)*MOVIMIENTOS!$E$5:$E$400)-SUMPRODUCT((MOVIMIENTOS!$B$5:$B$400="VENTA")*(MOVIMIENTOS!$C$5:$C$400="A")*(MOVIMIENTOS!$D$5:$D$400="jabas")*(ROW(MOVIMIENTOS!$B$5:$B$400)&lt;=$L30)*MOVIMIENTOS!$E$5:$E$400)+SUMPRODUCT((MOVIMIENTOS!$B$5:$B$400="AJUSTE")*(MOVIMIENTOS!$C$5:$C$400="A")*(MOVIMIENTOS!$D$5:$D$400="jabas")*(ROW(MOVIMIENTOS!$B$5:$B$400)&lt;=$L30)*MOVIMIENTOS!$E$5:$E$400))</f>
        <v/>
      </c>
      <c r="C30" s="12" t="str">
        <f>IF($A30="","",SUMPRODUCT((MOVIMIENTOS!$B$5:$B$400="SALDO INICIAL")*(MOVIMIENTOS!$C$5:$C$400="P")*(MOVIMIENTOS!$D$5:$D$400="jabas")*(ROW(MOVIMIENTOS!$B$5:$B$400)&lt;=$L30)*MOVIMIENTOS!$E$5:$E$400)+SUMPRODUCT((MOVIMIENTOS!$B$5:$B$400="PROCESO")*(MOVIMIENTOS!$C$5:$C$400="P")*(MOVIMIENTOS!$D$5:$D$400="jabas")*(ROW(MOVIMIENTOS!$B$5:$B$400)&lt;=$L30)*MOVIMIENTOS!$E$5:$E$400)-SUMPRODUCT((MOVIMIENTOS!$B$5:$B$400="ENVÍO A SUPESA")*(MOVIMIENTOS!$C$5:$C$400="P")*(MOVIMIENTOS!$D$5:$D$400="jabas")*(ROW(MOVIMIENTOS!$B$5:$B$400)&lt;=$L30)*MOVIMIENTOS!$E$5:$E$400)+SUMPRODUCT((MOVIMIENTOS!$B$5:$B$400="DEVOLUCIÓN")*(MOVIMIENTOS!$C$5:$C$400="P")*(MOVIMIENTOS!$D$5:$D$400="jabas")*(ROW(MOVIMIENTOS!$B$5:$B$400)&lt;=$L30)*MOVIMIENTOS!$E$5:$E$400)-SUMPRODUCT((MOVIMIENTOS!$B$5:$B$400="TRASIEGO")*(MOVIMIENTOS!$C$5:$C$400="P")*(MOVIMIENTOS!$D$5:$D$400="jabas")*(ROW(MOVIMIENTOS!$B$5:$B$400)&lt;=$L30)*MOVIMIENTOS!$E$5:$E$400)-SUMPRODUCT((MOVIMIENTOS!$B$5:$B$400="REGALO")*(MOVIMIENTOS!$C$5:$C$400="P")*(MOVIMIENTOS!$D$5:$D$400="jabas")*(ROW(MOVIMIENTOS!$B$5:$B$400)&lt;=$L30)*MOVIMIENTOS!$E$5:$E$400)-SUMPRODUCT((MOVIMIENTOS!$B$5:$B$400="VENTA")*(MOVIMIENTOS!$C$5:$C$400="P")*(MOVIMIENTOS!$D$5:$D$400="jabas")*(ROW(MOVIMIENTOS!$B$5:$B$400)&lt;=$L30)*MOVIMIENTOS!$E$5:$E$400)+SUMPRODUCT((MOVIMIENTOS!$B$5:$B$400="AJUSTE")*(MOVIMIENTOS!$C$5:$C$400="P")*(MOVIMIENTOS!$D$5:$D$400="jabas")*(ROW(MOVIMIENTOS!$B$5:$B$400)&lt;=$L30)*MOVIMIENTOS!$E$5:$E$400))</f>
        <v/>
      </c>
      <c r="D30" s="12" t="str">
        <f>IF($A30="","",SUMPRODUCT((MOVIMIENTOS!$B$5:$B$400="SALDO INICIAL")*(MOVIMIENTOS!$C$5:$C$400="C")*(MOVIMIENTOS!$D$5:$D$400="jabas")*(ROW(MOVIMIENTOS!$B$5:$B$400)&lt;=$L30)*MOVIMIENTOS!$E$5:$E$400)+SUMPRODUCT((MOVIMIENTOS!$B$5:$B$400="PROCESO")*(MOVIMIENTOS!$C$5:$C$400="C")*(MOVIMIENTOS!$D$5:$D$400="jabas")*(ROW(MOVIMIENTOS!$B$5:$B$400)&lt;=$L30)*MOVIMIENTOS!$E$5:$E$400)-SUMPRODUCT((MOVIMIENTOS!$B$5:$B$400="ENVÍO A SUPESA")*(MOVIMIENTOS!$C$5:$C$400="C")*(MOVIMIENTOS!$D$5:$D$400="jabas")*(ROW(MOVIMIENTOS!$B$5:$B$400)&lt;=$L30)*MOVIMIENTOS!$E$5:$E$400)+SUMPRODUCT((MOVIMIENTOS!$B$5:$B$400="DEVOLUCIÓN")*(MOVIMIENTOS!$C$5:$C$400="C")*(MOVIMIENTOS!$D$5:$D$400="jabas")*(ROW(MOVIMIENTOS!$B$5:$B$400)&lt;=$L30)*MOVIMIENTOS!$E$5:$E$400)-SUMPRODUCT((MOVIMIENTOS!$B$5:$B$400="TRASIEGO")*(MOVIMIENTOS!$C$5:$C$400="C")*(MOVIMIENTOS!$D$5:$D$400="jabas")*(ROW(MOVIMIENTOS!$B$5:$B$400)&lt;=$L30)*MOVIMIENTOS!$E$5:$E$400)-SUMPRODUCT((MOVIMIENTOS!$B$5:$B$400="REGALO")*(MOVIMIENTOS!$C$5:$C$400="C")*(MOVIMIENTOS!$D$5:$D$400="jabas")*(ROW(MOVIMIENTOS!$B$5:$B$400)&lt;=$L30)*MOVIMIENTOS!$E$5:$E$400)-SUMPRODUCT((MOVIMIENTOS!$B$5:$B$400="VENTA")*(MOVIMIENTOS!$C$5:$C$400="C")*(MOVIMIENTOS!$D$5:$D$400="jabas")*(ROW(MOVIMIENTOS!$B$5:$B$400)&lt;=$L30)*MOVIMIENTOS!$E$5:$E$400)+SUMPRODUCT((MOVIMIENTOS!$B$5:$B$400="AJUSTE")*(MOVIMIENTOS!$C$5:$C$400="C")*(MOVIMIENTOS!$D$5:$D$400="jabas")*(ROW(MOVIMIENTOS!$B$5:$B$400)&lt;=$L30)*MOVIMIENTOS!$E$5:$E$400))</f>
        <v/>
      </c>
      <c r="E30" s="12" t="str">
        <f>IF($A30="","",SUMPRODUCT((MOVIMIENTOS!$B$5:$B$400="SALDO INICIAL")*(MOVIMIENTOS!$C$5:$C$400="M")*(MOVIMIENTOS!$D$5:$D$400="jabas")*(ROW(MOVIMIENTOS!$B$5:$B$400)&lt;=$L30)*MOVIMIENTOS!$E$5:$E$400)+SUMPRODUCT((MOVIMIENTOS!$B$5:$B$400="PROCESO")*(MOVIMIENTOS!$C$5:$C$400="M")*(MOVIMIENTOS!$D$5:$D$400="jabas")*(ROW(MOVIMIENTOS!$B$5:$B$400)&lt;=$L30)*MOVIMIENTOS!$E$5:$E$400)-SUMPRODUCT((MOVIMIENTOS!$B$5:$B$400="ENVÍO A SUPESA")*(MOVIMIENTOS!$C$5:$C$400="M")*(MOVIMIENTOS!$D$5:$D$400="jabas")*(ROW(MOVIMIENTOS!$B$5:$B$400)&lt;=$L30)*MOVIMIENTOS!$E$5:$E$400)+SUMPRODUCT((MOVIMIENTOS!$B$5:$B$400="DEVOLUCIÓN")*(MOVIMIENTOS!$C$5:$C$400="M")*(MOVIMIENTOS!$D$5:$D$400="jabas")*(ROW(MOVIMIENTOS!$B$5:$B$400)&lt;=$L30)*MOVIMIENTOS!$E$5:$E$400)-SUMPRODUCT((MOVIMIENTOS!$B$5:$B$400="TRASIEGO")*(MOVIMIENTOS!$C$5:$C$400="M")*(MOVIMIENTOS!$D$5:$D$400="jabas")*(ROW(MOVIMIENTOS!$B$5:$B$400)&lt;=$L30)*MOVIMIENTOS!$E$5:$E$400)-SUMPRODUCT((MOVIMIENTOS!$B$5:$B$400="REGALO")*(MOVIMIENTOS!$C$5:$C$400="M")*(MOVIMIENTOS!$D$5:$D$400="jabas")*(ROW(MOVIMIENTOS!$B$5:$B$400)&lt;=$L30)*MOVIMIENTOS!$E$5:$E$400)-SUMPRODUCT((MOVIMIENTOS!$B$5:$B$400="VENTA")*(MOVIMIENTOS!$C$5:$C$400="M")*(MOVIMIENTOS!$D$5:$D$400="jabas")*(ROW(MOVIMIENTOS!$B$5:$B$400)&lt;=$L30)*MOVIMIENTOS!$E$5:$E$400)+SUMPRODUCT((MOVIMIENTOS!$B$5:$B$400="AJUSTE")*(MOVIMIENTOS!$C$5:$C$400="M")*(MOVIMIENTOS!$D$5:$D$400="jabas")*(ROW(MOVIMIENTOS!$B$5:$B$400)&lt;=$L30)*MOVIMIENTOS!$E$5:$E$400))</f>
        <v/>
      </c>
      <c r="F30" s="12" t="str">
        <f>IF($A30="","",SUMPRODUCT((MOVIMIENTOS!$B$5:$B$400="SALDO INICIAL")*(MOVIMIENTOS!$C$5:$C$400="Chancho")*(MOVIMIENTOS!$D$5:$D$400="sacos")*(ROW(MOVIMIENTOS!$B$5:$B$400)&lt;=$L30)*MOVIMIENTOS!$E$5:$E$400)+SUMPRODUCT((MOVIMIENTOS!$B$5:$B$400="PROCESO")*(MOVIMIENTOS!$C$5:$C$400="Chancho")*(MOVIMIENTOS!$D$5:$D$400="sacos")*(ROW(MOVIMIENTOS!$B$5:$B$400)&lt;=$L30)*MOVIMIENTOS!$E$5:$E$400)-SUMPRODUCT((MOVIMIENTOS!$B$5:$B$400="VENTA CHANCHO")*(MOVIMIENTOS!$C$5:$C$400="Chancho")*(MOVIMIENTOS!$D$5:$D$400="sacos")*(ROW(MOVIMIENTOS!$B$5:$B$400)&lt;=$L30)*MOVIMIENTOS!$E$5:$E$400)-SUMPRODUCT((MOVIMIENTOS!$B$5:$B$400="REGALO")*(MOVIMIENTOS!$C$5:$C$400="Chancho")*(MOVIMIENTOS!$D$5:$D$400="sacos")*(ROW(MOVIMIENTOS!$B$5:$B$400)&lt;=$L30)*MOVIMIENTOS!$E$5:$E$400)-SUMPRODUCT((MOVIMIENTOS!$B$5:$B$400="VENTA")*(MOVIMIENTOS!$C$5:$C$400="Chancho")*(MOVIMIENTOS!$D$5:$D$400="sacos")*(ROW(MOVIMIENTOS!$B$5:$B$400)&lt;=$L30)*MOVIMIENTOS!$E$5:$E$400)+SUMPRODUCT((MOVIMIENTOS!$B$5:$B$400="AJUSTE")*(MOVIMIENTOS!$C$5:$C$400="Chancho")*(MOVIMIENTOS!$D$5:$D$400="sacos")*(ROW(MOVIMIENTOS!$B$5:$B$400)&lt;=$L30)*MOVIMIENTOS!$E$5:$E$400))</f>
        <v/>
      </c>
      <c r="G30" s="12" t="str">
        <f t="shared" si="1"/>
        <v/>
      </c>
      <c r="H30" s="12" t="str">
        <f>IF($A30="","",SUMPRODUCT((((MOVIMIENTOS!$B$5:$B$400="SALDO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30)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30)*MOVIMIENTOS!$I$5:$I$400))</f>
        <v/>
      </c>
      <c r="J30" t="str">
        <f>IF(AND(MOVIMIENTOS!$A30&lt;&gt;"",COUNTIF(MOVIMIENTOS!$A$5:$A29,MOVIMIENTOS!$A30)=0),COUNT(J$4:J29)+1,"")</f>
        <v/>
      </c>
      <c r="K30" s="10">
        <f>MOVIMIENTOS!$A30</f>
        <v>46217</v>
      </c>
      <c r="L30" t="str">
        <f>IF($A30="","",SUMPRODUCT(MAX((MOVIMIENTOS!$A$5:$A$400=$A30)*ROW(MOVIMIENTOS!$A$5:$A$400))))</f>
        <v/>
      </c>
    </row>
    <row r="31" spans="1:12" x14ac:dyDescent="0.2">
      <c r="A31" s="11" t="str">
        <f t="shared" si="0"/>
        <v/>
      </c>
      <c r="B31" s="12" t="str">
        <f>IF($A31="","",SUMPRODUCT((MOVIMIENTOS!$B$5:$B$400="SALDO INICIAL")*(MOVIMIENTOS!$C$5:$C$400="A")*(MOVIMIENTOS!$D$5:$D$400="jabas")*(ROW(MOVIMIENTOS!$B$5:$B$400)&lt;=$L31)*MOVIMIENTOS!$E$5:$E$400)+SUMPRODUCT((MOVIMIENTOS!$B$5:$B$400="PROCESO")*(MOVIMIENTOS!$C$5:$C$400="A")*(MOVIMIENTOS!$D$5:$D$400="jabas")*(ROW(MOVIMIENTOS!$B$5:$B$400)&lt;=$L31)*MOVIMIENTOS!$E$5:$E$400)-SUMPRODUCT((MOVIMIENTOS!$B$5:$B$400="ENVÍO A SUPESA")*(MOVIMIENTOS!$C$5:$C$400="A")*(MOVIMIENTOS!$D$5:$D$400="jabas")*(ROW(MOVIMIENTOS!$B$5:$B$400)&lt;=$L31)*MOVIMIENTOS!$E$5:$E$400)+SUMPRODUCT((MOVIMIENTOS!$B$5:$B$400="DEVOLUCIÓN")*(MOVIMIENTOS!$C$5:$C$400="A")*(MOVIMIENTOS!$D$5:$D$400="jabas")*(ROW(MOVIMIENTOS!$B$5:$B$400)&lt;=$L31)*MOVIMIENTOS!$E$5:$E$400)-SUMPRODUCT((MOVIMIENTOS!$B$5:$B$400="TRASIEGO")*(MOVIMIENTOS!$C$5:$C$400="A")*(MOVIMIENTOS!$D$5:$D$400="jabas")*(ROW(MOVIMIENTOS!$B$5:$B$400)&lt;=$L31)*MOVIMIENTOS!$E$5:$E$400)-SUMPRODUCT((MOVIMIENTOS!$B$5:$B$400="REGALO")*(MOVIMIENTOS!$C$5:$C$400="A")*(MOVIMIENTOS!$D$5:$D$400="jabas")*(ROW(MOVIMIENTOS!$B$5:$B$400)&lt;=$L31)*MOVIMIENTOS!$E$5:$E$400)-SUMPRODUCT((MOVIMIENTOS!$B$5:$B$400="VENTA")*(MOVIMIENTOS!$C$5:$C$400="A")*(MOVIMIENTOS!$D$5:$D$400="jabas")*(ROW(MOVIMIENTOS!$B$5:$B$400)&lt;=$L31)*MOVIMIENTOS!$E$5:$E$400)+SUMPRODUCT((MOVIMIENTOS!$B$5:$B$400="AJUSTE")*(MOVIMIENTOS!$C$5:$C$400="A")*(MOVIMIENTOS!$D$5:$D$400="jabas")*(ROW(MOVIMIENTOS!$B$5:$B$400)&lt;=$L31)*MOVIMIENTOS!$E$5:$E$400))</f>
        <v/>
      </c>
      <c r="C31" s="12" t="str">
        <f>IF($A31="","",SUMPRODUCT((MOVIMIENTOS!$B$5:$B$400="SALDO INICIAL")*(MOVIMIENTOS!$C$5:$C$400="P")*(MOVIMIENTOS!$D$5:$D$400="jabas")*(ROW(MOVIMIENTOS!$B$5:$B$400)&lt;=$L31)*MOVIMIENTOS!$E$5:$E$400)+SUMPRODUCT((MOVIMIENTOS!$B$5:$B$400="PROCESO")*(MOVIMIENTOS!$C$5:$C$400="P")*(MOVIMIENTOS!$D$5:$D$400="jabas")*(ROW(MOVIMIENTOS!$B$5:$B$400)&lt;=$L31)*MOVIMIENTOS!$E$5:$E$400)-SUMPRODUCT((MOVIMIENTOS!$B$5:$B$400="ENVÍO A SUPESA")*(MOVIMIENTOS!$C$5:$C$400="P")*(MOVIMIENTOS!$D$5:$D$400="jabas")*(ROW(MOVIMIENTOS!$B$5:$B$400)&lt;=$L31)*MOVIMIENTOS!$E$5:$E$400)+SUMPRODUCT((MOVIMIENTOS!$B$5:$B$400="DEVOLUCIÓN")*(MOVIMIENTOS!$C$5:$C$400="P")*(MOVIMIENTOS!$D$5:$D$400="jabas")*(ROW(MOVIMIENTOS!$B$5:$B$400)&lt;=$L31)*MOVIMIENTOS!$E$5:$E$400)-SUMPRODUCT((MOVIMIENTOS!$B$5:$B$400="TRASIEGO")*(MOVIMIENTOS!$C$5:$C$400="P")*(MOVIMIENTOS!$D$5:$D$400="jabas")*(ROW(MOVIMIENTOS!$B$5:$B$400)&lt;=$L31)*MOVIMIENTOS!$E$5:$E$400)-SUMPRODUCT((MOVIMIENTOS!$B$5:$B$400="REGALO")*(MOVIMIENTOS!$C$5:$C$400="P")*(MOVIMIENTOS!$D$5:$D$400="jabas")*(ROW(MOVIMIENTOS!$B$5:$B$400)&lt;=$L31)*MOVIMIENTOS!$E$5:$E$400)-SUMPRODUCT((MOVIMIENTOS!$B$5:$B$400="VENTA")*(MOVIMIENTOS!$C$5:$C$400="P")*(MOVIMIENTOS!$D$5:$D$400="jabas")*(ROW(MOVIMIENTOS!$B$5:$B$400)&lt;=$L31)*MOVIMIENTOS!$E$5:$E$400)+SUMPRODUCT((MOVIMIENTOS!$B$5:$B$400="AJUSTE")*(MOVIMIENTOS!$C$5:$C$400="P")*(MOVIMIENTOS!$D$5:$D$400="jabas")*(ROW(MOVIMIENTOS!$B$5:$B$400)&lt;=$L31)*MOVIMIENTOS!$E$5:$E$400))</f>
        <v/>
      </c>
      <c r="D31" s="12" t="str">
        <f>IF($A31="","",SUMPRODUCT((MOVIMIENTOS!$B$5:$B$400="SALDO INICIAL")*(MOVIMIENTOS!$C$5:$C$400="C")*(MOVIMIENTOS!$D$5:$D$400="jabas")*(ROW(MOVIMIENTOS!$B$5:$B$400)&lt;=$L31)*MOVIMIENTOS!$E$5:$E$400)+SUMPRODUCT((MOVIMIENTOS!$B$5:$B$400="PROCESO")*(MOVIMIENTOS!$C$5:$C$400="C")*(MOVIMIENTOS!$D$5:$D$400="jabas")*(ROW(MOVIMIENTOS!$B$5:$B$400)&lt;=$L31)*MOVIMIENTOS!$E$5:$E$400)-SUMPRODUCT((MOVIMIENTOS!$B$5:$B$400="ENVÍO A SUPESA")*(MOVIMIENTOS!$C$5:$C$400="C")*(MOVIMIENTOS!$D$5:$D$400="jabas")*(ROW(MOVIMIENTOS!$B$5:$B$400)&lt;=$L31)*MOVIMIENTOS!$E$5:$E$400)+SUMPRODUCT((MOVIMIENTOS!$B$5:$B$400="DEVOLUCIÓN")*(MOVIMIENTOS!$C$5:$C$400="C")*(MOVIMIENTOS!$D$5:$D$400="jabas")*(ROW(MOVIMIENTOS!$B$5:$B$400)&lt;=$L31)*MOVIMIENTOS!$E$5:$E$400)-SUMPRODUCT((MOVIMIENTOS!$B$5:$B$400="TRASIEGO")*(MOVIMIENTOS!$C$5:$C$400="C")*(MOVIMIENTOS!$D$5:$D$400="jabas")*(ROW(MOVIMIENTOS!$B$5:$B$400)&lt;=$L31)*MOVIMIENTOS!$E$5:$E$400)-SUMPRODUCT((MOVIMIENTOS!$B$5:$B$400="REGALO")*(MOVIMIENTOS!$C$5:$C$400="C")*(MOVIMIENTOS!$D$5:$D$400="jabas")*(ROW(MOVIMIENTOS!$B$5:$B$400)&lt;=$L31)*MOVIMIENTOS!$E$5:$E$400)-SUMPRODUCT((MOVIMIENTOS!$B$5:$B$400="VENTA")*(MOVIMIENTOS!$C$5:$C$400="C")*(MOVIMIENTOS!$D$5:$D$400="jabas")*(ROW(MOVIMIENTOS!$B$5:$B$400)&lt;=$L31)*MOVIMIENTOS!$E$5:$E$400)+SUMPRODUCT((MOVIMIENTOS!$B$5:$B$400="AJUSTE")*(MOVIMIENTOS!$C$5:$C$400="C")*(MOVIMIENTOS!$D$5:$D$400="jabas")*(ROW(MOVIMIENTOS!$B$5:$B$400)&lt;=$L31)*MOVIMIENTOS!$E$5:$E$400))</f>
        <v/>
      </c>
      <c r="E31" s="12" t="str">
        <f>IF($A31="","",SUMPRODUCT((MOVIMIENTOS!$B$5:$B$400="SALDO INICIAL")*(MOVIMIENTOS!$C$5:$C$400="M")*(MOVIMIENTOS!$D$5:$D$400="jabas")*(ROW(MOVIMIENTOS!$B$5:$B$400)&lt;=$L31)*MOVIMIENTOS!$E$5:$E$400)+SUMPRODUCT((MOVIMIENTOS!$B$5:$B$400="PROCESO")*(MOVIMIENTOS!$C$5:$C$400="M")*(MOVIMIENTOS!$D$5:$D$400="jabas")*(ROW(MOVIMIENTOS!$B$5:$B$400)&lt;=$L31)*MOVIMIENTOS!$E$5:$E$400)-SUMPRODUCT((MOVIMIENTOS!$B$5:$B$400="ENVÍO A SUPESA")*(MOVIMIENTOS!$C$5:$C$400="M")*(MOVIMIENTOS!$D$5:$D$400="jabas")*(ROW(MOVIMIENTOS!$B$5:$B$400)&lt;=$L31)*MOVIMIENTOS!$E$5:$E$400)+SUMPRODUCT((MOVIMIENTOS!$B$5:$B$400="DEVOLUCIÓN")*(MOVIMIENTOS!$C$5:$C$400="M")*(MOVIMIENTOS!$D$5:$D$400="jabas")*(ROW(MOVIMIENTOS!$B$5:$B$400)&lt;=$L31)*MOVIMIENTOS!$E$5:$E$400)-SUMPRODUCT((MOVIMIENTOS!$B$5:$B$400="TRASIEGO")*(MOVIMIENTOS!$C$5:$C$400="M")*(MOVIMIENTOS!$D$5:$D$400="jabas")*(ROW(MOVIMIENTOS!$B$5:$B$400)&lt;=$L31)*MOVIMIENTOS!$E$5:$E$400)-SUMPRODUCT((MOVIMIENTOS!$B$5:$B$400="REGALO")*(MOVIMIENTOS!$C$5:$C$400="M")*(MOVIMIENTOS!$D$5:$D$400="jabas")*(ROW(MOVIMIENTOS!$B$5:$B$400)&lt;=$L31)*MOVIMIENTOS!$E$5:$E$400)-SUMPRODUCT((MOVIMIENTOS!$B$5:$B$400="VENTA")*(MOVIMIENTOS!$C$5:$C$400="M")*(MOVIMIENTOS!$D$5:$D$400="jabas")*(ROW(MOVIMIENTOS!$B$5:$B$400)&lt;=$L31)*MOVIMIENTOS!$E$5:$E$400)+SUMPRODUCT((MOVIMIENTOS!$B$5:$B$400="AJUSTE")*(MOVIMIENTOS!$C$5:$C$400="M")*(MOVIMIENTOS!$D$5:$D$400="jabas")*(ROW(MOVIMIENTOS!$B$5:$B$400)&lt;=$L31)*MOVIMIENTOS!$E$5:$E$400))</f>
        <v/>
      </c>
      <c r="F31" s="12" t="str">
        <f>IF($A31="","",SUMPRODUCT((MOVIMIENTOS!$B$5:$B$400="SALDO INICIAL")*(MOVIMIENTOS!$C$5:$C$400="Chancho")*(MOVIMIENTOS!$D$5:$D$400="sacos")*(ROW(MOVIMIENTOS!$B$5:$B$400)&lt;=$L31)*MOVIMIENTOS!$E$5:$E$400)+SUMPRODUCT((MOVIMIENTOS!$B$5:$B$400="PROCESO")*(MOVIMIENTOS!$C$5:$C$400="Chancho")*(MOVIMIENTOS!$D$5:$D$400="sacos")*(ROW(MOVIMIENTOS!$B$5:$B$400)&lt;=$L31)*MOVIMIENTOS!$E$5:$E$400)-SUMPRODUCT((MOVIMIENTOS!$B$5:$B$400="VENTA CHANCHO")*(MOVIMIENTOS!$C$5:$C$400="Chancho")*(MOVIMIENTOS!$D$5:$D$400="sacos")*(ROW(MOVIMIENTOS!$B$5:$B$400)&lt;=$L31)*MOVIMIENTOS!$E$5:$E$400)-SUMPRODUCT((MOVIMIENTOS!$B$5:$B$400="REGALO")*(MOVIMIENTOS!$C$5:$C$400="Chancho")*(MOVIMIENTOS!$D$5:$D$400="sacos")*(ROW(MOVIMIENTOS!$B$5:$B$400)&lt;=$L31)*MOVIMIENTOS!$E$5:$E$400)-SUMPRODUCT((MOVIMIENTOS!$B$5:$B$400="VENTA")*(MOVIMIENTOS!$C$5:$C$400="Chancho")*(MOVIMIENTOS!$D$5:$D$400="sacos")*(ROW(MOVIMIENTOS!$B$5:$B$400)&lt;=$L31)*MOVIMIENTOS!$E$5:$E$400)+SUMPRODUCT((MOVIMIENTOS!$B$5:$B$400="AJUSTE")*(MOVIMIENTOS!$C$5:$C$400="Chancho")*(MOVIMIENTOS!$D$5:$D$400="sacos")*(ROW(MOVIMIENTOS!$B$5:$B$400)&lt;=$L31)*MOVIMIENTOS!$E$5:$E$400))</f>
        <v/>
      </c>
      <c r="G31" s="12" t="str">
        <f t="shared" si="1"/>
        <v/>
      </c>
      <c r="H31" s="12" t="str">
        <f>IF($A31="","",SUMPRODUCT((((MOVIMIENTOS!$B$5:$B$400="SALDO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31)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31)*MOVIMIENTOS!$I$5:$I$400))</f>
        <v/>
      </c>
      <c r="J31" t="str">
        <f>IF(AND(MOVIMIENTOS!$A31&lt;&gt;"",COUNTIF(MOVIMIENTOS!$A$5:$A30,MOVIMIENTOS!$A31)=0),COUNT(J$4:J30)+1,"")</f>
        <v/>
      </c>
      <c r="K31" s="10">
        <f>MOVIMIENTOS!$A31</f>
        <v>46217</v>
      </c>
      <c r="L31" t="str">
        <f>IF($A31="","",SUMPRODUCT(MAX((MOVIMIENTOS!$A$5:$A$400=$A31)*ROW(MOVIMIENTOS!$A$5:$A$400))))</f>
        <v/>
      </c>
    </row>
    <row r="32" spans="1:12" x14ac:dyDescent="0.2">
      <c r="A32" s="11" t="str">
        <f t="shared" si="0"/>
        <v/>
      </c>
      <c r="B32" s="12" t="str">
        <f>IF($A32="","",SUMPRODUCT((MOVIMIENTOS!$B$5:$B$400="SALDO INICIAL")*(MOVIMIENTOS!$C$5:$C$400="A")*(MOVIMIENTOS!$D$5:$D$400="jabas")*(ROW(MOVIMIENTOS!$B$5:$B$400)&lt;=$L32)*MOVIMIENTOS!$E$5:$E$400)+SUMPRODUCT((MOVIMIENTOS!$B$5:$B$400="PROCESO")*(MOVIMIENTOS!$C$5:$C$400="A")*(MOVIMIENTOS!$D$5:$D$400="jabas")*(ROW(MOVIMIENTOS!$B$5:$B$400)&lt;=$L32)*MOVIMIENTOS!$E$5:$E$400)-SUMPRODUCT((MOVIMIENTOS!$B$5:$B$400="ENVÍO A SUPESA")*(MOVIMIENTOS!$C$5:$C$400="A")*(MOVIMIENTOS!$D$5:$D$400="jabas")*(ROW(MOVIMIENTOS!$B$5:$B$400)&lt;=$L32)*MOVIMIENTOS!$E$5:$E$400)+SUMPRODUCT((MOVIMIENTOS!$B$5:$B$400="DEVOLUCIÓN")*(MOVIMIENTOS!$C$5:$C$400="A")*(MOVIMIENTOS!$D$5:$D$400="jabas")*(ROW(MOVIMIENTOS!$B$5:$B$400)&lt;=$L32)*MOVIMIENTOS!$E$5:$E$400)-SUMPRODUCT((MOVIMIENTOS!$B$5:$B$400="TRASIEGO")*(MOVIMIENTOS!$C$5:$C$400="A")*(MOVIMIENTOS!$D$5:$D$400="jabas")*(ROW(MOVIMIENTOS!$B$5:$B$400)&lt;=$L32)*MOVIMIENTOS!$E$5:$E$400)-SUMPRODUCT((MOVIMIENTOS!$B$5:$B$400="REGALO")*(MOVIMIENTOS!$C$5:$C$400="A")*(MOVIMIENTOS!$D$5:$D$400="jabas")*(ROW(MOVIMIENTOS!$B$5:$B$400)&lt;=$L32)*MOVIMIENTOS!$E$5:$E$400)-SUMPRODUCT((MOVIMIENTOS!$B$5:$B$400="VENTA")*(MOVIMIENTOS!$C$5:$C$400="A")*(MOVIMIENTOS!$D$5:$D$400="jabas")*(ROW(MOVIMIENTOS!$B$5:$B$400)&lt;=$L32)*MOVIMIENTOS!$E$5:$E$400)+SUMPRODUCT((MOVIMIENTOS!$B$5:$B$400="AJUSTE")*(MOVIMIENTOS!$C$5:$C$400="A")*(MOVIMIENTOS!$D$5:$D$400="jabas")*(ROW(MOVIMIENTOS!$B$5:$B$400)&lt;=$L32)*MOVIMIENTOS!$E$5:$E$400))</f>
        <v/>
      </c>
      <c r="C32" s="12" t="str">
        <f>IF($A32="","",SUMPRODUCT((MOVIMIENTOS!$B$5:$B$400="SALDO INICIAL")*(MOVIMIENTOS!$C$5:$C$400="P")*(MOVIMIENTOS!$D$5:$D$400="jabas")*(ROW(MOVIMIENTOS!$B$5:$B$400)&lt;=$L32)*MOVIMIENTOS!$E$5:$E$400)+SUMPRODUCT((MOVIMIENTOS!$B$5:$B$400="PROCESO")*(MOVIMIENTOS!$C$5:$C$400="P")*(MOVIMIENTOS!$D$5:$D$400="jabas")*(ROW(MOVIMIENTOS!$B$5:$B$400)&lt;=$L32)*MOVIMIENTOS!$E$5:$E$400)-SUMPRODUCT((MOVIMIENTOS!$B$5:$B$400="ENVÍO A SUPESA")*(MOVIMIENTOS!$C$5:$C$400="P")*(MOVIMIENTOS!$D$5:$D$400="jabas")*(ROW(MOVIMIENTOS!$B$5:$B$400)&lt;=$L32)*MOVIMIENTOS!$E$5:$E$400)+SUMPRODUCT((MOVIMIENTOS!$B$5:$B$400="DEVOLUCIÓN")*(MOVIMIENTOS!$C$5:$C$400="P")*(MOVIMIENTOS!$D$5:$D$400="jabas")*(ROW(MOVIMIENTOS!$B$5:$B$400)&lt;=$L32)*MOVIMIENTOS!$E$5:$E$400)-SUMPRODUCT((MOVIMIENTOS!$B$5:$B$400="TRASIEGO")*(MOVIMIENTOS!$C$5:$C$400="P")*(MOVIMIENTOS!$D$5:$D$400="jabas")*(ROW(MOVIMIENTOS!$B$5:$B$400)&lt;=$L32)*MOVIMIENTOS!$E$5:$E$400)-SUMPRODUCT((MOVIMIENTOS!$B$5:$B$400="REGALO")*(MOVIMIENTOS!$C$5:$C$400="P")*(MOVIMIENTOS!$D$5:$D$400="jabas")*(ROW(MOVIMIENTOS!$B$5:$B$400)&lt;=$L32)*MOVIMIENTOS!$E$5:$E$400)-SUMPRODUCT((MOVIMIENTOS!$B$5:$B$400="VENTA")*(MOVIMIENTOS!$C$5:$C$400="P")*(MOVIMIENTOS!$D$5:$D$400="jabas")*(ROW(MOVIMIENTOS!$B$5:$B$400)&lt;=$L32)*MOVIMIENTOS!$E$5:$E$400)+SUMPRODUCT((MOVIMIENTOS!$B$5:$B$400="AJUSTE")*(MOVIMIENTOS!$C$5:$C$400="P")*(MOVIMIENTOS!$D$5:$D$400="jabas")*(ROW(MOVIMIENTOS!$B$5:$B$400)&lt;=$L32)*MOVIMIENTOS!$E$5:$E$400))</f>
        <v/>
      </c>
      <c r="D32" s="12" t="str">
        <f>IF($A32="","",SUMPRODUCT((MOVIMIENTOS!$B$5:$B$400="SALDO INICIAL")*(MOVIMIENTOS!$C$5:$C$400="C")*(MOVIMIENTOS!$D$5:$D$400="jabas")*(ROW(MOVIMIENTOS!$B$5:$B$400)&lt;=$L32)*MOVIMIENTOS!$E$5:$E$400)+SUMPRODUCT((MOVIMIENTOS!$B$5:$B$400="PROCESO")*(MOVIMIENTOS!$C$5:$C$400="C")*(MOVIMIENTOS!$D$5:$D$400="jabas")*(ROW(MOVIMIENTOS!$B$5:$B$400)&lt;=$L32)*MOVIMIENTOS!$E$5:$E$400)-SUMPRODUCT((MOVIMIENTOS!$B$5:$B$400="ENVÍO A SUPESA")*(MOVIMIENTOS!$C$5:$C$400="C")*(MOVIMIENTOS!$D$5:$D$400="jabas")*(ROW(MOVIMIENTOS!$B$5:$B$400)&lt;=$L32)*MOVIMIENTOS!$E$5:$E$400)+SUMPRODUCT((MOVIMIENTOS!$B$5:$B$400="DEVOLUCIÓN")*(MOVIMIENTOS!$C$5:$C$400="C")*(MOVIMIENTOS!$D$5:$D$400="jabas")*(ROW(MOVIMIENTOS!$B$5:$B$400)&lt;=$L32)*MOVIMIENTOS!$E$5:$E$400)-SUMPRODUCT((MOVIMIENTOS!$B$5:$B$400="TRASIEGO")*(MOVIMIENTOS!$C$5:$C$400="C")*(MOVIMIENTOS!$D$5:$D$400="jabas")*(ROW(MOVIMIENTOS!$B$5:$B$400)&lt;=$L32)*MOVIMIENTOS!$E$5:$E$400)-SUMPRODUCT((MOVIMIENTOS!$B$5:$B$400="REGALO")*(MOVIMIENTOS!$C$5:$C$400="C")*(MOVIMIENTOS!$D$5:$D$400="jabas")*(ROW(MOVIMIENTOS!$B$5:$B$400)&lt;=$L32)*MOVIMIENTOS!$E$5:$E$400)-SUMPRODUCT((MOVIMIENTOS!$B$5:$B$400="VENTA")*(MOVIMIENTOS!$C$5:$C$400="C")*(MOVIMIENTOS!$D$5:$D$400="jabas")*(ROW(MOVIMIENTOS!$B$5:$B$400)&lt;=$L32)*MOVIMIENTOS!$E$5:$E$400)+SUMPRODUCT((MOVIMIENTOS!$B$5:$B$400="AJUSTE")*(MOVIMIENTOS!$C$5:$C$400="C")*(MOVIMIENTOS!$D$5:$D$400="jabas")*(ROW(MOVIMIENTOS!$B$5:$B$400)&lt;=$L32)*MOVIMIENTOS!$E$5:$E$400))</f>
        <v/>
      </c>
      <c r="E32" s="12" t="str">
        <f>IF($A32="","",SUMPRODUCT((MOVIMIENTOS!$B$5:$B$400="SALDO INICIAL")*(MOVIMIENTOS!$C$5:$C$400="M")*(MOVIMIENTOS!$D$5:$D$400="jabas")*(ROW(MOVIMIENTOS!$B$5:$B$400)&lt;=$L32)*MOVIMIENTOS!$E$5:$E$400)+SUMPRODUCT((MOVIMIENTOS!$B$5:$B$400="PROCESO")*(MOVIMIENTOS!$C$5:$C$400="M")*(MOVIMIENTOS!$D$5:$D$400="jabas")*(ROW(MOVIMIENTOS!$B$5:$B$400)&lt;=$L32)*MOVIMIENTOS!$E$5:$E$400)-SUMPRODUCT((MOVIMIENTOS!$B$5:$B$400="ENVÍO A SUPESA")*(MOVIMIENTOS!$C$5:$C$400="M")*(MOVIMIENTOS!$D$5:$D$400="jabas")*(ROW(MOVIMIENTOS!$B$5:$B$400)&lt;=$L32)*MOVIMIENTOS!$E$5:$E$400)+SUMPRODUCT((MOVIMIENTOS!$B$5:$B$400="DEVOLUCIÓN")*(MOVIMIENTOS!$C$5:$C$400="M")*(MOVIMIENTOS!$D$5:$D$400="jabas")*(ROW(MOVIMIENTOS!$B$5:$B$400)&lt;=$L32)*MOVIMIENTOS!$E$5:$E$400)-SUMPRODUCT((MOVIMIENTOS!$B$5:$B$400="TRASIEGO")*(MOVIMIENTOS!$C$5:$C$400="M")*(MOVIMIENTOS!$D$5:$D$400="jabas")*(ROW(MOVIMIENTOS!$B$5:$B$400)&lt;=$L32)*MOVIMIENTOS!$E$5:$E$400)-SUMPRODUCT((MOVIMIENTOS!$B$5:$B$400="REGALO")*(MOVIMIENTOS!$C$5:$C$400="M")*(MOVIMIENTOS!$D$5:$D$400="jabas")*(ROW(MOVIMIENTOS!$B$5:$B$400)&lt;=$L32)*MOVIMIENTOS!$E$5:$E$400)-SUMPRODUCT((MOVIMIENTOS!$B$5:$B$400="VENTA")*(MOVIMIENTOS!$C$5:$C$400="M")*(MOVIMIENTOS!$D$5:$D$400="jabas")*(ROW(MOVIMIENTOS!$B$5:$B$400)&lt;=$L32)*MOVIMIENTOS!$E$5:$E$400)+SUMPRODUCT((MOVIMIENTOS!$B$5:$B$400="AJUSTE")*(MOVIMIENTOS!$C$5:$C$400="M")*(MOVIMIENTOS!$D$5:$D$400="jabas")*(ROW(MOVIMIENTOS!$B$5:$B$400)&lt;=$L32)*MOVIMIENTOS!$E$5:$E$400))</f>
        <v/>
      </c>
      <c r="F32" s="12" t="str">
        <f>IF($A32="","",SUMPRODUCT((MOVIMIENTOS!$B$5:$B$400="SALDO INICIAL")*(MOVIMIENTOS!$C$5:$C$400="Chancho")*(MOVIMIENTOS!$D$5:$D$400="sacos")*(ROW(MOVIMIENTOS!$B$5:$B$400)&lt;=$L32)*MOVIMIENTOS!$E$5:$E$400)+SUMPRODUCT((MOVIMIENTOS!$B$5:$B$400="PROCESO")*(MOVIMIENTOS!$C$5:$C$400="Chancho")*(MOVIMIENTOS!$D$5:$D$400="sacos")*(ROW(MOVIMIENTOS!$B$5:$B$400)&lt;=$L32)*MOVIMIENTOS!$E$5:$E$400)-SUMPRODUCT((MOVIMIENTOS!$B$5:$B$400="VENTA CHANCHO")*(MOVIMIENTOS!$C$5:$C$400="Chancho")*(MOVIMIENTOS!$D$5:$D$400="sacos")*(ROW(MOVIMIENTOS!$B$5:$B$400)&lt;=$L32)*MOVIMIENTOS!$E$5:$E$400)-SUMPRODUCT((MOVIMIENTOS!$B$5:$B$400="REGALO")*(MOVIMIENTOS!$C$5:$C$400="Chancho")*(MOVIMIENTOS!$D$5:$D$400="sacos")*(ROW(MOVIMIENTOS!$B$5:$B$400)&lt;=$L32)*MOVIMIENTOS!$E$5:$E$400)-SUMPRODUCT((MOVIMIENTOS!$B$5:$B$400="VENTA")*(MOVIMIENTOS!$C$5:$C$400="Chancho")*(MOVIMIENTOS!$D$5:$D$400="sacos")*(ROW(MOVIMIENTOS!$B$5:$B$400)&lt;=$L32)*MOVIMIENTOS!$E$5:$E$400)+SUMPRODUCT((MOVIMIENTOS!$B$5:$B$400="AJUSTE")*(MOVIMIENTOS!$C$5:$C$400="Chancho")*(MOVIMIENTOS!$D$5:$D$400="sacos")*(ROW(MOVIMIENTOS!$B$5:$B$400)&lt;=$L32)*MOVIMIENTOS!$E$5:$E$400))</f>
        <v/>
      </c>
      <c r="G32" s="12" t="str">
        <f t="shared" si="1"/>
        <v/>
      </c>
      <c r="H32" s="12" t="str">
        <f>IF($A32="","",SUMPRODUCT((((MOVIMIENTOS!$B$5:$B$400="SALDO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32)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32)*MOVIMIENTOS!$I$5:$I$400))</f>
        <v/>
      </c>
      <c r="J32" t="str">
        <f>IF(AND(MOVIMIENTOS!$A32&lt;&gt;"",COUNTIF(MOVIMIENTOS!$A$5:$A31,MOVIMIENTOS!$A32)=0),COUNT(J$4:J31)+1,"")</f>
        <v/>
      </c>
      <c r="K32" s="10">
        <f>MOVIMIENTOS!$A32</f>
        <v>46217</v>
      </c>
      <c r="L32" t="str">
        <f>IF($A32="","",SUMPRODUCT(MAX((MOVIMIENTOS!$A$5:$A$400=$A32)*ROW(MOVIMIENTOS!$A$5:$A$400))))</f>
        <v/>
      </c>
    </row>
    <row r="33" spans="1:12" x14ac:dyDescent="0.2">
      <c r="A33" s="11" t="str">
        <f t="shared" si="0"/>
        <v/>
      </c>
      <c r="B33" s="12" t="str">
        <f>IF($A33="","",SUMPRODUCT((MOVIMIENTOS!$B$5:$B$400="SALDO INICIAL")*(MOVIMIENTOS!$C$5:$C$400="A")*(MOVIMIENTOS!$D$5:$D$400="jabas")*(ROW(MOVIMIENTOS!$B$5:$B$400)&lt;=$L33)*MOVIMIENTOS!$E$5:$E$400)+SUMPRODUCT((MOVIMIENTOS!$B$5:$B$400="PROCESO")*(MOVIMIENTOS!$C$5:$C$400="A")*(MOVIMIENTOS!$D$5:$D$400="jabas")*(ROW(MOVIMIENTOS!$B$5:$B$400)&lt;=$L33)*MOVIMIENTOS!$E$5:$E$400)-SUMPRODUCT((MOVIMIENTOS!$B$5:$B$400="ENVÍO A SUPESA")*(MOVIMIENTOS!$C$5:$C$400="A")*(MOVIMIENTOS!$D$5:$D$400="jabas")*(ROW(MOVIMIENTOS!$B$5:$B$400)&lt;=$L33)*MOVIMIENTOS!$E$5:$E$400)+SUMPRODUCT((MOVIMIENTOS!$B$5:$B$400="DEVOLUCIÓN")*(MOVIMIENTOS!$C$5:$C$400="A")*(MOVIMIENTOS!$D$5:$D$400="jabas")*(ROW(MOVIMIENTOS!$B$5:$B$400)&lt;=$L33)*MOVIMIENTOS!$E$5:$E$400)-SUMPRODUCT((MOVIMIENTOS!$B$5:$B$400="TRASIEGO")*(MOVIMIENTOS!$C$5:$C$400="A")*(MOVIMIENTOS!$D$5:$D$400="jabas")*(ROW(MOVIMIENTOS!$B$5:$B$400)&lt;=$L33)*MOVIMIENTOS!$E$5:$E$400)-SUMPRODUCT((MOVIMIENTOS!$B$5:$B$400="REGALO")*(MOVIMIENTOS!$C$5:$C$400="A")*(MOVIMIENTOS!$D$5:$D$400="jabas")*(ROW(MOVIMIENTOS!$B$5:$B$400)&lt;=$L33)*MOVIMIENTOS!$E$5:$E$400)-SUMPRODUCT((MOVIMIENTOS!$B$5:$B$400="VENTA")*(MOVIMIENTOS!$C$5:$C$400="A")*(MOVIMIENTOS!$D$5:$D$400="jabas")*(ROW(MOVIMIENTOS!$B$5:$B$400)&lt;=$L33)*MOVIMIENTOS!$E$5:$E$400)+SUMPRODUCT((MOVIMIENTOS!$B$5:$B$400="AJUSTE")*(MOVIMIENTOS!$C$5:$C$400="A")*(MOVIMIENTOS!$D$5:$D$400="jabas")*(ROW(MOVIMIENTOS!$B$5:$B$400)&lt;=$L33)*MOVIMIENTOS!$E$5:$E$400))</f>
        <v/>
      </c>
      <c r="C33" s="12" t="str">
        <f>IF($A33="","",SUMPRODUCT((MOVIMIENTOS!$B$5:$B$400="SALDO INICIAL")*(MOVIMIENTOS!$C$5:$C$400="P")*(MOVIMIENTOS!$D$5:$D$400="jabas")*(ROW(MOVIMIENTOS!$B$5:$B$400)&lt;=$L33)*MOVIMIENTOS!$E$5:$E$400)+SUMPRODUCT((MOVIMIENTOS!$B$5:$B$400="PROCESO")*(MOVIMIENTOS!$C$5:$C$400="P")*(MOVIMIENTOS!$D$5:$D$400="jabas")*(ROW(MOVIMIENTOS!$B$5:$B$400)&lt;=$L33)*MOVIMIENTOS!$E$5:$E$400)-SUMPRODUCT((MOVIMIENTOS!$B$5:$B$400="ENVÍO A SUPESA")*(MOVIMIENTOS!$C$5:$C$400="P")*(MOVIMIENTOS!$D$5:$D$400="jabas")*(ROW(MOVIMIENTOS!$B$5:$B$400)&lt;=$L33)*MOVIMIENTOS!$E$5:$E$400)+SUMPRODUCT((MOVIMIENTOS!$B$5:$B$400="DEVOLUCIÓN")*(MOVIMIENTOS!$C$5:$C$400="P")*(MOVIMIENTOS!$D$5:$D$400="jabas")*(ROW(MOVIMIENTOS!$B$5:$B$400)&lt;=$L33)*MOVIMIENTOS!$E$5:$E$400)-SUMPRODUCT((MOVIMIENTOS!$B$5:$B$400="TRASIEGO")*(MOVIMIENTOS!$C$5:$C$400="P")*(MOVIMIENTOS!$D$5:$D$400="jabas")*(ROW(MOVIMIENTOS!$B$5:$B$400)&lt;=$L33)*MOVIMIENTOS!$E$5:$E$400)-SUMPRODUCT((MOVIMIENTOS!$B$5:$B$400="REGALO")*(MOVIMIENTOS!$C$5:$C$400="P")*(MOVIMIENTOS!$D$5:$D$400="jabas")*(ROW(MOVIMIENTOS!$B$5:$B$400)&lt;=$L33)*MOVIMIENTOS!$E$5:$E$400)-SUMPRODUCT((MOVIMIENTOS!$B$5:$B$400="VENTA")*(MOVIMIENTOS!$C$5:$C$400="P")*(MOVIMIENTOS!$D$5:$D$400="jabas")*(ROW(MOVIMIENTOS!$B$5:$B$400)&lt;=$L33)*MOVIMIENTOS!$E$5:$E$400)+SUMPRODUCT((MOVIMIENTOS!$B$5:$B$400="AJUSTE")*(MOVIMIENTOS!$C$5:$C$400="P")*(MOVIMIENTOS!$D$5:$D$400="jabas")*(ROW(MOVIMIENTOS!$B$5:$B$400)&lt;=$L33)*MOVIMIENTOS!$E$5:$E$400))</f>
        <v/>
      </c>
      <c r="D33" s="12" t="str">
        <f>IF($A33="","",SUMPRODUCT((MOVIMIENTOS!$B$5:$B$400="SALDO INICIAL")*(MOVIMIENTOS!$C$5:$C$400="C")*(MOVIMIENTOS!$D$5:$D$400="jabas")*(ROW(MOVIMIENTOS!$B$5:$B$400)&lt;=$L33)*MOVIMIENTOS!$E$5:$E$400)+SUMPRODUCT((MOVIMIENTOS!$B$5:$B$400="PROCESO")*(MOVIMIENTOS!$C$5:$C$400="C")*(MOVIMIENTOS!$D$5:$D$400="jabas")*(ROW(MOVIMIENTOS!$B$5:$B$400)&lt;=$L33)*MOVIMIENTOS!$E$5:$E$400)-SUMPRODUCT((MOVIMIENTOS!$B$5:$B$400="ENVÍO A SUPESA")*(MOVIMIENTOS!$C$5:$C$400="C")*(MOVIMIENTOS!$D$5:$D$400="jabas")*(ROW(MOVIMIENTOS!$B$5:$B$400)&lt;=$L33)*MOVIMIENTOS!$E$5:$E$400)+SUMPRODUCT((MOVIMIENTOS!$B$5:$B$400="DEVOLUCIÓN")*(MOVIMIENTOS!$C$5:$C$400="C")*(MOVIMIENTOS!$D$5:$D$400="jabas")*(ROW(MOVIMIENTOS!$B$5:$B$400)&lt;=$L33)*MOVIMIENTOS!$E$5:$E$400)-SUMPRODUCT((MOVIMIENTOS!$B$5:$B$400="TRASIEGO")*(MOVIMIENTOS!$C$5:$C$400="C")*(MOVIMIENTOS!$D$5:$D$400="jabas")*(ROW(MOVIMIENTOS!$B$5:$B$400)&lt;=$L33)*MOVIMIENTOS!$E$5:$E$400)-SUMPRODUCT((MOVIMIENTOS!$B$5:$B$400="REGALO")*(MOVIMIENTOS!$C$5:$C$400="C")*(MOVIMIENTOS!$D$5:$D$400="jabas")*(ROW(MOVIMIENTOS!$B$5:$B$400)&lt;=$L33)*MOVIMIENTOS!$E$5:$E$400)-SUMPRODUCT((MOVIMIENTOS!$B$5:$B$400="VENTA")*(MOVIMIENTOS!$C$5:$C$400="C")*(MOVIMIENTOS!$D$5:$D$400="jabas")*(ROW(MOVIMIENTOS!$B$5:$B$400)&lt;=$L33)*MOVIMIENTOS!$E$5:$E$400)+SUMPRODUCT((MOVIMIENTOS!$B$5:$B$400="AJUSTE")*(MOVIMIENTOS!$C$5:$C$400="C")*(MOVIMIENTOS!$D$5:$D$400="jabas")*(ROW(MOVIMIENTOS!$B$5:$B$400)&lt;=$L33)*MOVIMIENTOS!$E$5:$E$400))</f>
        <v/>
      </c>
      <c r="E33" s="12" t="str">
        <f>IF($A33="","",SUMPRODUCT((MOVIMIENTOS!$B$5:$B$400="SALDO INICIAL")*(MOVIMIENTOS!$C$5:$C$400="M")*(MOVIMIENTOS!$D$5:$D$400="jabas")*(ROW(MOVIMIENTOS!$B$5:$B$400)&lt;=$L33)*MOVIMIENTOS!$E$5:$E$400)+SUMPRODUCT((MOVIMIENTOS!$B$5:$B$400="PROCESO")*(MOVIMIENTOS!$C$5:$C$400="M")*(MOVIMIENTOS!$D$5:$D$400="jabas")*(ROW(MOVIMIENTOS!$B$5:$B$400)&lt;=$L33)*MOVIMIENTOS!$E$5:$E$400)-SUMPRODUCT((MOVIMIENTOS!$B$5:$B$400="ENVÍO A SUPESA")*(MOVIMIENTOS!$C$5:$C$400="M")*(MOVIMIENTOS!$D$5:$D$400="jabas")*(ROW(MOVIMIENTOS!$B$5:$B$400)&lt;=$L33)*MOVIMIENTOS!$E$5:$E$400)+SUMPRODUCT((MOVIMIENTOS!$B$5:$B$400="DEVOLUCIÓN")*(MOVIMIENTOS!$C$5:$C$400="M")*(MOVIMIENTOS!$D$5:$D$400="jabas")*(ROW(MOVIMIENTOS!$B$5:$B$400)&lt;=$L33)*MOVIMIENTOS!$E$5:$E$400)-SUMPRODUCT((MOVIMIENTOS!$B$5:$B$400="TRASIEGO")*(MOVIMIENTOS!$C$5:$C$400="M")*(MOVIMIENTOS!$D$5:$D$400="jabas")*(ROW(MOVIMIENTOS!$B$5:$B$400)&lt;=$L33)*MOVIMIENTOS!$E$5:$E$400)-SUMPRODUCT((MOVIMIENTOS!$B$5:$B$400="REGALO")*(MOVIMIENTOS!$C$5:$C$400="M")*(MOVIMIENTOS!$D$5:$D$400="jabas")*(ROW(MOVIMIENTOS!$B$5:$B$400)&lt;=$L33)*MOVIMIENTOS!$E$5:$E$400)-SUMPRODUCT((MOVIMIENTOS!$B$5:$B$400="VENTA")*(MOVIMIENTOS!$C$5:$C$400="M")*(MOVIMIENTOS!$D$5:$D$400="jabas")*(ROW(MOVIMIENTOS!$B$5:$B$400)&lt;=$L33)*MOVIMIENTOS!$E$5:$E$400)+SUMPRODUCT((MOVIMIENTOS!$B$5:$B$400="AJUSTE")*(MOVIMIENTOS!$C$5:$C$400="M")*(MOVIMIENTOS!$D$5:$D$400="jabas")*(ROW(MOVIMIENTOS!$B$5:$B$400)&lt;=$L33)*MOVIMIENTOS!$E$5:$E$400))</f>
        <v/>
      </c>
      <c r="F33" s="12" t="str">
        <f>IF($A33="","",SUMPRODUCT((MOVIMIENTOS!$B$5:$B$400="SALDO INICIAL")*(MOVIMIENTOS!$C$5:$C$400="Chancho")*(MOVIMIENTOS!$D$5:$D$400="sacos")*(ROW(MOVIMIENTOS!$B$5:$B$400)&lt;=$L33)*MOVIMIENTOS!$E$5:$E$400)+SUMPRODUCT((MOVIMIENTOS!$B$5:$B$400="PROCESO")*(MOVIMIENTOS!$C$5:$C$400="Chancho")*(MOVIMIENTOS!$D$5:$D$400="sacos")*(ROW(MOVIMIENTOS!$B$5:$B$400)&lt;=$L33)*MOVIMIENTOS!$E$5:$E$400)-SUMPRODUCT((MOVIMIENTOS!$B$5:$B$400="VENTA CHANCHO")*(MOVIMIENTOS!$C$5:$C$400="Chancho")*(MOVIMIENTOS!$D$5:$D$400="sacos")*(ROW(MOVIMIENTOS!$B$5:$B$400)&lt;=$L33)*MOVIMIENTOS!$E$5:$E$400)-SUMPRODUCT((MOVIMIENTOS!$B$5:$B$400="REGALO")*(MOVIMIENTOS!$C$5:$C$400="Chancho")*(MOVIMIENTOS!$D$5:$D$400="sacos")*(ROW(MOVIMIENTOS!$B$5:$B$400)&lt;=$L33)*MOVIMIENTOS!$E$5:$E$400)-SUMPRODUCT((MOVIMIENTOS!$B$5:$B$400="VENTA")*(MOVIMIENTOS!$C$5:$C$400="Chancho")*(MOVIMIENTOS!$D$5:$D$400="sacos")*(ROW(MOVIMIENTOS!$B$5:$B$400)&lt;=$L33)*MOVIMIENTOS!$E$5:$E$400)+SUMPRODUCT((MOVIMIENTOS!$B$5:$B$400="AJUSTE")*(MOVIMIENTOS!$C$5:$C$400="Chancho")*(MOVIMIENTOS!$D$5:$D$400="sacos")*(ROW(MOVIMIENTOS!$B$5:$B$400)&lt;=$L33)*MOVIMIENTOS!$E$5:$E$400))</f>
        <v/>
      </c>
      <c r="G33" s="12" t="str">
        <f t="shared" si="1"/>
        <v/>
      </c>
      <c r="H33" s="12" t="str">
        <f>IF($A33="","",SUMPRODUCT((((MOVIMIENTOS!$B$5:$B$400="SALDO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33)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33)*MOVIMIENTOS!$I$5:$I$400))</f>
        <v/>
      </c>
      <c r="J33" t="str">
        <f>IF(AND(MOVIMIENTOS!$A33&lt;&gt;"",COUNTIF(MOVIMIENTOS!$A$5:$A32,MOVIMIENTOS!$A33)=0),COUNT(J$4:J32)+1,"")</f>
        <v/>
      </c>
      <c r="K33" s="10">
        <f>MOVIMIENTOS!$A33</f>
        <v>46217</v>
      </c>
      <c r="L33" t="str">
        <f>IF($A33="","",SUMPRODUCT(MAX((MOVIMIENTOS!$A$5:$A$400=$A33)*ROW(MOVIMIENTOS!$A$5:$A$400))))</f>
        <v/>
      </c>
    </row>
    <row r="34" spans="1:12" x14ac:dyDescent="0.2">
      <c r="A34" s="11" t="str">
        <f t="shared" si="0"/>
        <v/>
      </c>
      <c r="B34" s="12" t="str">
        <f>IF($A34="","",SUMPRODUCT((MOVIMIENTOS!$B$5:$B$400="SALDO INICIAL")*(MOVIMIENTOS!$C$5:$C$400="A")*(MOVIMIENTOS!$D$5:$D$400="jabas")*(ROW(MOVIMIENTOS!$B$5:$B$400)&lt;=$L34)*MOVIMIENTOS!$E$5:$E$400)+SUMPRODUCT((MOVIMIENTOS!$B$5:$B$400="PROCESO")*(MOVIMIENTOS!$C$5:$C$400="A")*(MOVIMIENTOS!$D$5:$D$400="jabas")*(ROW(MOVIMIENTOS!$B$5:$B$400)&lt;=$L34)*MOVIMIENTOS!$E$5:$E$400)-SUMPRODUCT((MOVIMIENTOS!$B$5:$B$400="ENVÍO A SUPESA")*(MOVIMIENTOS!$C$5:$C$400="A")*(MOVIMIENTOS!$D$5:$D$400="jabas")*(ROW(MOVIMIENTOS!$B$5:$B$400)&lt;=$L34)*MOVIMIENTOS!$E$5:$E$400)+SUMPRODUCT((MOVIMIENTOS!$B$5:$B$400="DEVOLUCIÓN")*(MOVIMIENTOS!$C$5:$C$400="A")*(MOVIMIENTOS!$D$5:$D$400="jabas")*(ROW(MOVIMIENTOS!$B$5:$B$400)&lt;=$L34)*MOVIMIENTOS!$E$5:$E$400)-SUMPRODUCT((MOVIMIENTOS!$B$5:$B$400="TRASIEGO")*(MOVIMIENTOS!$C$5:$C$400="A")*(MOVIMIENTOS!$D$5:$D$400="jabas")*(ROW(MOVIMIENTOS!$B$5:$B$400)&lt;=$L34)*MOVIMIENTOS!$E$5:$E$400)-SUMPRODUCT((MOVIMIENTOS!$B$5:$B$400="REGALO")*(MOVIMIENTOS!$C$5:$C$400="A")*(MOVIMIENTOS!$D$5:$D$400="jabas")*(ROW(MOVIMIENTOS!$B$5:$B$400)&lt;=$L34)*MOVIMIENTOS!$E$5:$E$400)-SUMPRODUCT((MOVIMIENTOS!$B$5:$B$400="VENTA")*(MOVIMIENTOS!$C$5:$C$400="A")*(MOVIMIENTOS!$D$5:$D$400="jabas")*(ROW(MOVIMIENTOS!$B$5:$B$400)&lt;=$L34)*MOVIMIENTOS!$E$5:$E$400)+SUMPRODUCT((MOVIMIENTOS!$B$5:$B$400="AJUSTE")*(MOVIMIENTOS!$C$5:$C$400="A")*(MOVIMIENTOS!$D$5:$D$400="jabas")*(ROW(MOVIMIENTOS!$B$5:$B$400)&lt;=$L34)*MOVIMIENTOS!$E$5:$E$400))</f>
        <v/>
      </c>
      <c r="C34" s="12" t="str">
        <f>IF($A34="","",SUMPRODUCT((MOVIMIENTOS!$B$5:$B$400="SALDO INICIAL")*(MOVIMIENTOS!$C$5:$C$400="P")*(MOVIMIENTOS!$D$5:$D$400="jabas")*(ROW(MOVIMIENTOS!$B$5:$B$400)&lt;=$L34)*MOVIMIENTOS!$E$5:$E$400)+SUMPRODUCT((MOVIMIENTOS!$B$5:$B$400="PROCESO")*(MOVIMIENTOS!$C$5:$C$400="P")*(MOVIMIENTOS!$D$5:$D$400="jabas")*(ROW(MOVIMIENTOS!$B$5:$B$400)&lt;=$L34)*MOVIMIENTOS!$E$5:$E$400)-SUMPRODUCT((MOVIMIENTOS!$B$5:$B$400="ENVÍO A SUPESA")*(MOVIMIENTOS!$C$5:$C$400="P")*(MOVIMIENTOS!$D$5:$D$400="jabas")*(ROW(MOVIMIENTOS!$B$5:$B$400)&lt;=$L34)*MOVIMIENTOS!$E$5:$E$400)+SUMPRODUCT((MOVIMIENTOS!$B$5:$B$400="DEVOLUCIÓN")*(MOVIMIENTOS!$C$5:$C$400="P")*(MOVIMIENTOS!$D$5:$D$400="jabas")*(ROW(MOVIMIENTOS!$B$5:$B$400)&lt;=$L34)*MOVIMIENTOS!$E$5:$E$400)-SUMPRODUCT((MOVIMIENTOS!$B$5:$B$400="TRASIEGO")*(MOVIMIENTOS!$C$5:$C$400="P")*(MOVIMIENTOS!$D$5:$D$400="jabas")*(ROW(MOVIMIENTOS!$B$5:$B$400)&lt;=$L34)*MOVIMIENTOS!$E$5:$E$400)-SUMPRODUCT((MOVIMIENTOS!$B$5:$B$400="REGALO")*(MOVIMIENTOS!$C$5:$C$400="P")*(MOVIMIENTOS!$D$5:$D$400="jabas")*(ROW(MOVIMIENTOS!$B$5:$B$400)&lt;=$L34)*MOVIMIENTOS!$E$5:$E$400)-SUMPRODUCT((MOVIMIENTOS!$B$5:$B$400="VENTA")*(MOVIMIENTOS!$C$5:$C$400="P")*(MOVIMIENTOS!$D$5:$D$400="jabas")*(ROW(MOVIMIENTOS!$B$5:$B$400)&lt;=$L34)*MOVIMIENTOS!$E$5:$E$400)+SUMPRODUCT((MOVIMIENTOS!$B$5:$B$400="AJUSTE")*(MOVIMIENTOS!$C$5:$C$400="P")*(MOVIMIENTOS!$D$5:$D$400="jabas")*(ROW(MOVIMIENTOS!$B$5:$B$400)&lt;=$L34)*MOVIMIENTOS!$E$5:$E$400))</f>
        <v/>
      </c>
      <c r="D34" s="12" t="str">
        <f>IF($A34="","",SUMPRODUCT((MOVIMIENTOS!$B$5:$B$400="SALDO INICIAL")*(MOVIMIENTOS!$C$5:$C$400="C")*(MOVIMIENTOS!$D$5:$D$400="jabas")*(ROW(MOVIMIENTOS!$B$5:$B$400)&lt;=$L34)*MOVIMIENTOS!$E$5:$E$400)+SUMPRODUCT((MOVIMIENTOS!$B$5:$B$400="PROCESO")*(MOVIMIENTOS!$C$5:$C$400="C")*(MOVIMIENTOS!$D$5:$D$400="jabas")*(ROW(MOVIMIENTOS!$B$5:$B$400)&lt;=$L34)*MOVIMIENTOS!$E$5:$E$400)-SUMPRODUCT((MOVIMIENTOS!$B$5:$B$400="ENVÍO A SUPESA")*(MOVIMIENTOS!$C$5:$C$400="C")*(MOVIMIENTOS!$D$5:$D$400="jabas")*(ROW(MOVIMIENTOS!$B$5:$B$400)&lt;=$L34)*MOVIMIENTOS!$E$5:$E$400)+SUMPRODUCT((MOVIMIENTOS!$B$5:$B$400="DEVOLUCIÓN")*(MOVIMIENTOS!$C$5:$C$400="C")*(MOVIMIENTOS!$D$5:$D$400="jabas")*(ROW(MOVIMIENTOS!$B$5:$B$400)&lt;=$L34)*MOVIMIENTOS!$E$5:$E$400)-SUMPRODUCT((MOVIMIENTOS!$B$5:$B$400="TRASIEGO")*(MOVIMIENTOS!$C$5:$C$400="C")*(MOVIMIENTOS!$D$5:$D$400="jabas")*(ROW(MOVIMIENTOS!$B$5:$B$400)&lt;=$L34)*MOVIMIENTOS!$E$5:$E$400)-SUMPRODUCT((MOVIMIENTOS!$B$5:$B$400="REGALO")*(MOVIMIENTOS!$C$5:$C$400="C")*(MOVIMIENTOS!$D$5:$D$400="jabas")*(ROW(MOVIMIENTOS!$B$5:$B$400)&lt;=$L34)*MOVIMIENTOS!$E$5:$E$400)-SUMPRODUCT((MOVIMIENTOS!$B$5:$B$400="VENTA")*(MOVIMIENTOS!$C$5:$C$400="C")*(MOVIMIENTOS!$D$5:$D$400="jabas")*(ROW(MOVIMIENTOS!$B$5:$B$400)&lt;=$L34)*MOVIMIENTOS!$E$5:$E$400)+SUMPRODUCT((MOVIMIENTOS!$B$5:$B$400="AJUSTE")*(MOVIMIENTOS!$C$5:$C$400="C")*(MOVIMIENTOS!$D$5:$D$400="jabas")*(ROW(MOVIMIENTOS!$B$5:$B$400)&lt;=$L34)*MOVIMIENTOS!$E$5:$E$400))</f>
        <v/>
      </c>
      <c r="E34" s="12" t="str">
        <f>IF($A34="","",SUMPRODUCT((MOVIMIENTOS!$B$5:$B$400="SALDO INICIAL")*(MOVIMIENTOS!$C$5:$C$400="M")*(MOVIMIENTOS!$D$5:$D$400="jabas")*(ROW(MOVIMIENTOS!$B$5:$B$400)&lt;=$L34)*MOVIMIENTOS!$E$5:$E$400)+SUMPRODUCT((MOVIMIENTOS!$B$5:$B$400="PROCESO")*(MOVIMIENTOS!$C$5:$C$400="M")*(MOVIMIENTOS!$D$5:$D$400="jabas")*(ROW(MOVIMIENTOS!$B$5:$B$400)&lt;=$L34)*MOVIMIENTOS!$E$5:$E$400)-SUMPRODUCT((MOVIMIENTOS!$B$5:$B$400="ENVÍO A SUPESA")*(MOVIMIENTOS!$C$5:$C$400="M")*(MOVIMIENTOS!$D$5:$D$400="jabas")*(ROW(MOVIMIENTOS!$B$5:$B$400)&lt;=$L34)*MOVIMIENTOS!$E$5:$E$400)+SUMPRODUCT((MOVIMIENTOS!$B$5:$B$400="DEVOLUCIÓN")*(MOVIMIENTOS!$C$5:$C$400="M")*(MOVIMIENTOS!$D$5:$D$400="jabas")*(ROW(MOVIMIENTOS!$B$5:$B$400)&lt;=$L34)*MOVIMIENTOS!$E$5:$E$400)-SUMPRODUCT((MOVIMIENTOS!$B$5:$B$400="TRASIEGO")*(MOVIMIENTOS!$C$5:$C$400="M")*(MOVIMIENTOS!$D$5:$D$400="jabas")*(ROW(MOVIMIENTOS!$B$5:$B$400)&lt;=$L34)*MOVIMIENTOS!$E$5:$E$400)-SUMPRODUCT((MOVIMIENTOS!$B$5:$B$400="REGALO")*(MOVIMIENTOS!$C$5:$C$400="M")*(MOVIMIENTOS!$D$5:$D$400="jabas")*(ROW(MOVIMIENTOS!$B$5:$B$400)&lt;=$L34)*MOVIMIENTOS!$E$5:$E$400)-SUMPRODUCT((MOVIMIENTOS!$B$5:$B$400="VENTA")*(MOVIMIENTOS!$C$5:$C$400="M")*(MOVIMIENTOS!$D$5:$D$400="jabas")*(ROW(MOVIMIENTOS!$B$5:$B$400)&lt;=$L34)*MOVIMIENTOS!$E$5:$E$400)+SUMPRODUCT((MOVIMIENTOS!$B$5:$B$400="AJUSTE")*(MOVIMIENTOS!$C$5:$C$400="M")*(MOVIMIENTOS!$D$5:$D$400="jabas")*(ROW(MOVIMIENTOS!$B$5:$B$400)&lt;=$L34)*MOVIMIENTOS!$E$5:$E$400))</f>
        <v/>
      </c>
      <c r="F34" s="12" t="str">
        <f>IF($A34="","",SUMPRODUCT((MOVIMIENTOS!$B$5:$B$400="SALDO INICIAL")*(MOVIMIENTOS!$C$5:$C$400="Chancho")*(MOVIMIENTOS!$D$5:$D$400="sacos")*(ROW(MOVIMIENTOS!$B$5:$B$400)&lt;=$L34)*MOVIMIENTOS!$E$5:$E$400)+SUMPRODUCT((MOVIMIENTOS!$B$5:$B$400="PROCESO")*(MOVIMIENTOS!$C$5:$C$400="Chancho")*(MOVIMIENTOS!$D$5:$D$400="sacos")*(ROW(MOVIMIENTOS!$B$5:$B$400)&lt;=$L34)*MOVIMIENTOS!$E$5:$E$400)-SUMPRODUCT((MOVIMIENTOS!$B$5:$B$400="VENTA CHANCHO")*(MOVIMIENTOS!$C$5:$C$400="Chancho")*(MOVIMIENTOS!$D$5:$D$400="sacos")*(ROW(MOVIMIENTOS!$B$5:$B$400)&lt;=$L34)*MOVIMIENTOS!$E$5:$E$400)-SUMPRODUCT((MOVIMIENTOS!$B$5:$B$400="REGALO")*(MOVIMIENTOS!$C$5:$C$400="Chancho")*(MOVIMIENTOS!$D$5:$D$400="sacos")*(ROW(MOVIMIENTOS!$B$5:$B$400)&lt;=$L34)*MOVIMIENTOS!$E$5:$E$400)-SUMPRODUCT((MOVIMIENTOS!$B$5:$B$400="VENTA")*(MOVIMIENTOS!$C$5:$C$400="Chancho")*(MOVIMIENTOS!$D$5:$D$400="sacos")*(ROW(MOVIMIENTOS!$B$5:$B$400)&lt;=$L34)*MOVIMIENTOS!$E$5:$E$400)+SUMPRODUCT((MOVIMIENTOS!$B$5:$B$400="AJUSTE")*(MOVIMIENTOS!$C$5:$C$400="Chancho")*(MOVIMIENTOS!$D$5:$D$400="sacos")*(ROW(MOVIMIENTOS!$B$5:$B$400)&lt;=$L34)*MOVIMIENTOS!$E$5:$E$400))</f>
        <v/>
      </c>
      <c r="G34" s="12" t="str">
        <f t="shared" si="1"/>
        <v/>
      </c>
      <c r="H34" s="12" t="str">
        <f>IF($A34="","",SUMPRODUCT((((MOVIMIENTOS!$B$5:$B$400="SALDO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34)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34)*MOVIMIENTOS!$I$5:$I$400))</f>
        <v/>
      </c>
      <c r="J34" t="str">
        <f>IF(AND(MOVIMIENTOS!$A34&lt;&gt;"",COUNTIF(MOVIMIENTOS!$A$5:$A33,MOVIMIENTOS!$A34)=0),COUNT(J$4:J33)+1,"")</f>
        <v/>
      </c>
      <c r="K34" s="10">
        <f>MOVIMIENTOS!$A34</f>
        <v>46217</v>
      </c>
      <c r="L34" t="str">
        <f>IF($A34="","",SUMPRODUCT(MAX((MOVIMIENTOS!$A$5:$A$400=$A34)*ROW(MOVIMIENTOS!$A$5:$A$400))))</f>
        <v/>
      </c>
    </row>
    <row r="35" spans="1:12" x14ac:dyDescent="0.2">
      <c r="A35" s="11" t="str">
        <f t="shared" si="0"/>
        <v/>
      </c>
      <c r="B35" s="12" t="str">
        <f>IF($A35="","",SUMPRODUCT((MOVIMIENTOS!$B$5:$B$400="SALDO INICIAL")*(MOVIMIENTOS!$C$5:$C$400="A")*(MOVIMIENTOS!$D$5:$D$400="jabas")*(ROW(MOVIMIENTOS!$B$5:$B$400)&lt;=$L35)*MOVIMIENTOS!$E$5:$E$400)+SUMPRODUCT((MOVIMIENTOS!$B$5:$B$400="PROCESO")*(MOVIMIENTOS!$C$5:$C$400="A")*(MOVIMIENTOS!$D$5:$D$400="jabas")*(ROW(MOVIMIENTOS!$B$5:$B$400)&lt;=$L35)*MOVIMIENTOS!$E$5:$E$400)-SUMPRODUCT((MOVIMIENTOS!$B$5:$B$400="ENVÍO A SUPESA")*(MOVIMIENTOS!$C$5:$C$400="A")*(MOVIMIENTOS!$D$5:$D$400="jabas")*(ROW(MOVIMIENTOS!$B$5:$B$400)&lt;=$L35)*MOVIMIENTOS!$E$5:$E$400)+SUMPRODUCT((MOVIMIENTOS!$B$5:$B$400="DEVOLUCIÓN")*(MOVIMIENTOS!$C$5:$C$400="A")*(MOVIMIENTOS!$D$5:$D$400="jabas")*(ROW(MOVIMIENTOS!$B$5:$B$400)&lt;=$L35)*MOVIMIENTOS!$E$5:$E$400)-SUMPRODUCT((MOVIMIENTOS!$B$5:$B$400="TRASIEGO")*(MOVIMIENTOS!$C$5:$C$400="A")*(MOVIMIENTOS!$D$5:$D$400="jabas")*(ROW(MOVIMIENTOS!$B$5:$B$400)&lt;=$L35)*MOVIMIENTOS!$E$5:$E$400)-SUMPRODUCT((MOVIMIENTOS!$B$5:$B$400="REGALO")*(MOVIMIENTOS!$C$5:$C$400="A")*(MOVIMIENTOS!$D$5:$D$400="jabas")*(ROW(MOVIMIENTOS!$B$5:$B$400)&lt;=$L35)*MOVIMIENTOS!$E$5:$E$400)-SUMPRODUCT((MOVIMIENTOS!$B$5:$B$400="VENTA")*(MOVIMIENTOS!$C$5:$C$400="A")*(MOVIMIENTOS!$D$5:$D$400="jabas")*(ROW(MOVIMIENTOS!$B$5:$B$400)&lt;=$L35)*MOVIMIENTOS!$E$5:$E$400)+SUMPRODUCT((MOVIMIENTOS!$B$5:$B$400="AJUSTE")*(MOVIMIENTOS!$C$5:$C$400="A")*(MOVIMIENTOS!$D$5:$D$400="jabas")*(ROW(MOVIMIENTOS!$B$5:$B$400)&lt;=$L35)*MOVIMIENTOS!$E$5:$E$400))</f>
        <v/>
      </c>
      <c r="C35" s="12" t="str">
        <f>IF($A35="","",SUMPRODUCT((MOVIMIENTOS!$B$5:$B$400="SALDO INICIAL")*(MOVIMIENTOS!$C$5:$C$400="P")*(MOVIMIENTOS!$D$5:$D$400="jabas")*(ROW(MOVIMIENTOS!$B$5:$B$400)&lt;=$L35)*MOVIMIENTOS!$E$5:$E$400)+SUMPRODUCT((MOVIMIENTOS!$B$5:$B$400="PROCESO")*(MOVIMIENTOS!$C$5:$C$400="P")*(MOVIMIENTOS!$D$5:$D$400="jabas")*(ROW(MOVIMIENTOS!$B$5:$B$400)&lt;=$L35)*MOVIMIENTOS!$E$5:$E$400)-SUMPRODUCT((MOVIMIENTOS!$B$5:$B$400="ENVÍO A SUPESA")*(MOVIMIENTOS!$C$5:$C$400="P")*(MOVIMIENTOS!$D$5:$D$400="jabas")*(ROW(MOVIMIENTOS!$B$5:$B$400)&lt;=$L35)*MOVIMIENTOS!$E$5:$E$400)+SUMPRODUCT((MOVIMIENTOS!$B$5:$B$400="DEVOLUCIÓN")*(MOVIMIENTOS!$C$5:$C$400="P")*(MOVIMIENTOS!$D$5:$D$400="jabas")*(ROW(MOVIMIENTOS!$B$5:$B$400)&lt;=$L35)*MOVIMIENTOS!$E$5:$E$400)-SUMPRODUCT((MOVIMIENTOS!$B$5:$B$400="TRASIEGO")*(MOVIMIENTOS!$C$5:$C$400="P")*(MOVIMIENTOS!$D$5:$D$400="jabas")*(ROW(MOVIMIENTOS!$B$5:$B$400)&lt;=$L35)*MOVIMIENTOS!$E$5:$E$400)-SUMPRODUCT((MOVIMIENTOS!$B$5:$B$400="REGALO")*(MOVIMIENTOS!$C$5:$C$400="P")*(MOVIMIENTOS!$D$5:$D$400="jabas")*(ROW(MOVIMIENTOS!$B$5:$B$400)&lt;=$L35)*MOVIMIENTOS!$E$5:$E$400)-SUMPRODUCT((MOVIMIENTOS!$B$5:$B$400="VENTA")*(MOVIMIENTOS!$C$5:$C$400="P")*(MOVIMIENTOS!$D$5:$D$400="jabas")*(ROW(MOVIMIENTOS!$B$5:$B$400)&lt;=$L35)*MOVIMIENTOS!$E$5:$E$400)+SUMPRODUCT((MOVIMIENTOS!$B$5:$B$400="AJUSTE")*(MOVIMIENTOS!$C$5:$C$400="P")*(MOVIMIENTOS!$D$5:$D$400="jabas")*(ROW(MOVIMIENTOS!$B$5:$B$400)&lt;=$L35)*MOVIMIENTOS!$E$5:$E$400))</f>
        <v/>
      </c>
      <c r="D35" s="12" t="str">
        <f>IF($A35="","",SUMPRODUCT((MOVIMIENTOS!$B$5:$B$400="SALDO INICIAL")*(MOVIMIENTOS!$C$5:$C$400="C")*(MOVIMIENTOS!$D$5:$D$400="jabas")*(ROW(MOVIMIENTOS!$B$5:$B$400)&lt;=$L35)*MOVIMIENTOS!$E$5:$E$400)+SUMPRODUCT((MOVIMIENTOS!$B$5:$B$400="PROCESO")*(MOVIMIENTOS!$C$5:$C$400="C")*(MOVIMIENTOS!$D$5:$D$400="jabas")*(ROW(MOVIMIENTOS!$B$5:$B$400)&lt;=$L35)*MOVIMIENTOS!$E$5:$E$400)-SUMPRODUCT((MOVIMIENTOS!$B$5:$B$400="ENVÍO A SUPESA")*(MOVIMIENTOS!$C$5:$C$400="C")*(MOVIMIENTOS!$D$5:$D$400="jabas")*(ROW(MOVIMIENTOS!$B$5:$B$400)&lt;=$L35)*MOVIMIENTOS!$E$5:$E$400)+SUMPRODUCT((MOVIMIENTOS!$B$5:$B$400="DEVOLUCIÓN")*(MOVIMIENTOS!$C$5:$C$400="C")*(MOVIMIENTOS!$D$5:$D$400="jabas")*(ROW(MOVIMIENTOS!$B$5:$B$400)&lt;=$L35)*MOVIMIENTOS!$E$5:$E$400)-SUMPRODUCT((MOVIMIENTOS!$B$5:$B$400="TRASIEGO")*(MOVIMIENTOS!$C$5:$C$400="C")*(MOVIMIENTOS!$D$5:$D$400="jabas")*(ROW(MOVIMIENTOS!$B$5:$B$400)&lt;=$L35)*MOVIMIENTOS!$E$5:$E$400)-SUMPRODUCT((MOVIMIENTOS!$B$5:$B$400="REGALO")*(MOVIMIENTOS!$C$5:$C$400="C")*(MOVIMIENTOS!$D$5:$D$400="jabas")*(ROW(MOVIMIENTOS!$B$5:$B$400)&lt;=$L35)*MOVIMIENTOS!$E$5:$E$400)-SUMPRODUCT((MOVIMIENTOS!$B$5:$B$400="VENTA")*(MOVIMIENTOS!$C$5:$C$400="C")*(MOVIMIENTOS!$D$5:$D$400="jabas")*(ROW(MOVIMIENTOS!$B$5:$B$400)&lt;=$L35)*MOVIMIENTOS!$E$5:$E$400)+SUMPRODUCT((MOVIMIENTOS!$B$5:$B$400="AJUSTE")*(MOVIMIENTOS!$C$5:$C$400="C")*(MOVIMIENTOS!$D$5:$D$400="jabas")*(ROW(MOVIMIENTOS!$B$5:$B$400)&lt;=$L35)*MOVIMIENTOS!$E$5:$E$400))</f>
        <v/>
      </c>
      <c r="E35" s="12" t="str">
        <f>IF($A35="","",SUMPRODUCT((MOVIMIENTOS!$B$5:$B$400="SALDO INICIAL")*(MOVIMIENTOS!$C$5:$C$400="M")*(MOVIMIENTOS!$D$5:$D$400="jabas")*(ROW(MOVIMIENTOS!$B$5:$B$400)&lt;=$L35)*MOVIMIENTOS!$E$5:$E$400)+SUMPRODUCT((MOVIMIENTOS!$B$5:$B$400="PROCESO")*(MOVIMIENTOS!$C$5:$C$400="M")*(MOVIMIENTOS!$D$5:$D$400="jabas")*(ROW(MOVIMIENTOS!$B$5:$B$400)&lt;=$L35)*MOVIMIENTOS!$E$5:$E$400)-SUMPRODUCT((MOVIMIENTOS!$B$5:$B$400="ENVÍO A SUPESA")*(MOVIMIENTOS!$C$5:$C$400="M")*(MOVIMIENTOS!$D$5:$D$400="jabas")*(ROW(MOVIMIENTOS!$B$5:$B$400)&lt;=$L35)*MOVIMIENTOS!$E$5:$E$400)+SUMPRODUCT((MOVIMIENTOS!$B$5:$B$400="DEVOLUCIÓN")*(MOVIMIENTOS!$C$5:$C$400="M")*(MOVIMIENTOS!$D$5:$D$400="jabas")*(ROW(MOVIMIENTOS!$B$5:$B$400)&lt;=$L35)*MOVIMIENTOS!$E$5:$E$400)-SUMPRODUCT((MOVIMIENTOS!$B$5:$B$400="TRASIEGO")*(MOVIMIENTOS!$C$5:$C$400="M")*(MOVIMIENTOS!$D$5:$D$400="jabas")*(ROW(MOVIMIENTOS!$B$5:$B$400)&lt;=$L35)*MOVIMIENTOS!$E$5:$E$400)-SUMPRODUCT((MOVIMIENTOS!$B$5:$B$400="REGALO")*(MOVIMIENTOS!$C$5:$C$400="M")*(MOVIMIENTOS!$D$5:$D$400="jabas")*(ROW(MOVIMIENTOS!$B$5:$B$400)&lt;=$L35)*MOVIMIENTOS!$E$5:$E$400)-SUMPRODUCT((MOVIMIENTOS!$B$5:$B$400="VENTA")*(MOVIMIENTOS!$C$5:$C$400="M")*(MOVIMIENTOS!$D$5:$D$400="jabas")*(ROW(MOVIMIENTOS!$B$5:$B$400)&lt;=$L35)*MOVIMIENTOS!$E$5:$E$400)+SUMPRODUCT((MOVIMIENTOS!$B$5:$B$400="AJUSTE")*(MOVIMIENTOS!$C$5:$C$400="M")*(MOVIMIENTOS!$D$5:$D$400="jabas")*(ROW(MOVIMIENTOS!$B$5:$B$400)&lt;=$L35)*MOVIMIENTOS!$E$5:$E$400))</f>
        <v/>
      </c>
      <c r="F35" s="12" t="str">
        <f>IF($A35="","",SUMPRODUCT((MOVIMIENTOS!$B$5:$B$400="SALDO INICIAL")*(MOVIMIENTOS!$C$5:$C$400="Chancho")*(MOVIMIENTOS!$D$5:$D$400="sacos")*(ROW(MOVIMIENTOS!$B$5:$B$400)&lt;=$L35)*MOVIMIENTOS!$E$5:$E$400)+SUMPRODUCT((MOVIMIENTOS!$B$5:$B$400="PROCESO")*(MOVIMIENTOS!$C$5:$C$400="Chancho")*(MOVIMIENTOS!$D$5:$D$400="sacos")*(ROW(MOVIMIENTOS!$B$5:$B$400)&lt;=$L35)*MOVIMIENTOS!$E$5:$E$400)-SUMPRODUCT((MOVIMIENTOS!$B$5:$B$400="VENTA CHANCHO")*(MOVIMIENTOS!$C$5:$C$400="Chancho")*(MOVIMIENTOS!$D$5:$D$400="sacos")*(ROW(MOVIMIENTOS!$B$5:$B$400)&lt;=$L35)*MOVIMIENTOS!$E$5:$E$400)-SUMPRODUCT((MOVIMIENTOS!$B$5:$B$400="REGALO")*(MOVIMIENTOS!$C$5:$C$400="Chancho")*(MOVIMIENTOS!$D$5:$D$400="sacos")*(ROW(MOVIMIENTOS!$B$5:$B$400)&lt;=$L35)*MOVIMIENTOS!$E$5:$E$400)-SUMPRODUCT((MOVIMIENTOS!$B$5:$B$400="VENTA")*(MOVIMIENTOS!$C$5:$C$400="Chancho")*(MOVIMIENTOS!$D$5:$D$400="sacos")*(ROW(MOVIMIENTOS!$B$5:$B$400)&lt;=$L35)*MOVIMIENTOS!$E$5:$E$400)+SUMPRODUCT((MOVIMIENTOS!$B$5:$B$400="AJUSTE")*(MOVIMIENTOS!$C$5:$C$400="Chancho")*(MOVIMIENTOS!$D$5:$D$400="sacos")*(ROW(MOVIMIENTOS!$B$5:$B$400)&lt;=$L35)*MOVIMIENTOS!$E$5:$E$400))</f>
        <v/>
      </c>
      <c r="G35" s="12" t="str">
        <f t="shared" si="1"/>
        <v/>
      </c>
      <c r="H35" s="12" t="str">
        <f>IF($A35="","",SUMPRODUCT((((MOVIMIENTOS!$B$5:$B$400="SALDO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35)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35)*MOVIMIENTOS!$I$5:$I$400))</f>
        <v/>
      </c>
      <c r="J35" t="str">
        <f>IF(AND(MOVIMIENTOS!$A35&lt;&gt;"",COUNTIF(MOVIMIENTOS!$A$5:$A34,MOVIMIENTOS!$A35)=0),COUNT(J$4:J34)+1,"")</f>
        <v/>
      </c>
      <c r="K35" s="10">
        <f>MOVIMIENTOS!$A35</f>
        <v>46217</v>
      </c>
      <c r="L35" t="str">
        <f>IF($A35="","",SUMPRODUCT(MAX((MOVIMIENTOS!$A$5:$A$400=$A35)*ROW(MOVIMIENTOS!$A$5:$A$400))))</f>
        <v/>
      </c>
    </row>
    <row r="36" spans="1:12" x14ac:dyDescent="0.2">
      <c r="A36" s="11" t="str">
        <f t="shared" si="0"/>
        <v/>
      </c>
      <c r="B36" s="12" t="str">
        <f>IF($A36="","",SUMPRODUCT((MOVIMIENTOS!$B$5:$B$400="SALDO INICIAL")*(MOVIMIENTOS!$C$5:$C$400="A")*(MOVIMIENTOS!$D$5:$D$400="jabas")*(ROW(MOVIMIENTOS!$B$5:$B$400)&lt;=$L36)*MOVIMIENTOS!$E$5:$E$400)+SUMPRODUCT((MOVIMIENTOS!$B$5:$B$400="PROCESO")*(MOVIMIENTOS!$C$5:$C$400="A")*(MOVIMIENTOS!$D$5:$D$400="jabas")*(ROW(MOVIMIENTOS!$B$5:$B$400)&lt;=$L36)*MOVIMIENTOS!$E$5:$E$400)-SUMPRODUCT((MOVIMIENTOS!$B$5:$B$400="ENVÍO A SUPESA")*(MOVIMIENTOS!$C$5:$C$400="A")*(MOVIMIENTOS!$D$5:$D$400="jabas")*(ROW(MOVIMIENTOS!$B$5:$B$400)&lt;=$L36)*MOVIMIENTOS!$E$5:$E$400)+SUMPRODUCT((MOVIMIENTOS!$B$5:$B$400="DEVOLUCIÓN")*(MOVIMIENTOS!$C$5:$C$400="A")*(MOVIMIENTOS!$D$5:$D$400="jabas")*(ROW(MOVIMIENTOS!$B$5:$B$400)&lt;=$L36)*MOVIMIENTOS!$E$5:$E$400)-SUMPRODUCT((MOVIMIENTOS!$B$5:$B$400="TRASIEGO")*(MOVIMIENTOS!$C$5:$C$400="A")*(MOVIMIENTOS!$D$5:$D$400="jabas")*(ROW(MOVIMIENTOS!$B$5:$B$400)&lt;=$L36)*MOVIMIENTOS!$E$5:$E$400)-SUMPRODUCT((MOVIMIENTOS!$B$5:$B$400="REGALO")*(MOVIMIENTOS!$C$5:$C$400="A")*(MOVIMIENTOS!$D$5:$D$400="jabas")*(ROW(MOVIMIENTOS!$B$5:$B$400)&lt;=$L36)*MOVIMIENTOS!$E$5:$E$400)-SUMPRODUCT((MOVIMIENTOS!$B$5:$B$400="VENTA")*(MOVIMIENTOS!$C$5:$C$400="A")*(MOVIMIENTOS!$D$5:$D$400="jabas")*(ROW(MOVIMIENTOS!$B$5:$B$400)&lt;=$L36)*MOVIMIENTOS!$E$5:$E$400)+SUMPRODUCT((MOVIMIENTOS!$B$5:$B$400="AJUSTE")*(MOVIMIENTOS!$C$5:$C$400="A")*(MOVIMIENTOS!$D$5:$D$400="jabas")*(ROW(MOVIMIENTOS!$B$5:$B$400)&lt;=$L36)*MOVIMIENTOS!$E$5:$E$400))</f>
        <v/>
      </c>
      <c r="C36" s="12" t="str">
        <f>IF($A36="","",SUMPRODUCT((MOVIMIENTOS!$B$5:$B$400="SALDO INICIAL")*(MOVIMIENTOS!$C$5:$C$400="P")*(MOVIMIENTOS!$D$5:$D$400="jabas")*(ROW(MOVIMIENTOS!$B$5:$B$400)&lt;=$L36)*MOVIMIENTOS!$E$5:$E$400)+SUMPRODUCT((MOVIMIENTOS!$B$5:$B$400="PROCESO")*(MOVIMIENTOS!$C$5:$C$400="P")*(MOVIMIENTOS!$D$5:$D$400="jabas")*(ROW(MOVIMIENTOS!$B$5:$B$400)&lt;=$L36)*MOVIMIENTOS!$E$5:$E$400)-SUMPRODUCT((MOVIMIENTOS!$B$5:$B$400="ENVÍO A SUPESA")*(MOVIMIENTOS!$C$5:$C$400="P")*(MOVIMIENTOS!$D$5:$D$400="jabas")*(ROW(MOVIMIENTOS!$B$5:$B$400)&lt;=$L36)*MOVIMIENTOS!$E$5:$E$400)+SUMPRODUCT((MOVIMIENTOS!$B$5:$B$400="DEVOLUCIÓN")*(MOVIMIENTOS!$C$5:$C$400="P")*(MOVIMIENTOS!$D$5:$D$400="jabas")*(ROW(MOVIMIENTOS!$B$5:$B$400)&lt;=$L36)*MOVIMIENTOS!$E$5:$E$400)-SUMPRODUCT((MOVIMIENTOS!$B$5:$B$400="TRASIEGO")*(MOVIMIENTOS!$C$5:$C$400="P")*(MOVIMIENTOS!$D$5:$D$400="jabas")*(ROW(MOVIMIENTOS!$B$5:$B$400)&lt;=$L36)*MOVIMIENTOS!$E$5:$E$400)-SUMPRODUCT((MOVIMIENTOS!$B$5:$B$400="REGALO")*(MOVIMIENTOS!$C$5:$C$400="P")*(MOVIMIENTOS!$D$5:$D$400="jabas")*(ROW(MOVIMIENTOS!$B$5:$B$400)&lt;=$L36)*MOVIMIENTOS!$E$5:$E$400)-SUMPRODUCT((MOVIMIENTOS!$B$5:$B$400="VENTA")*(MOVIMIENTOS!$C$5:$C$400="P")*(MOVIMIENTOS!$D$5:$D$400="jabas")*(ROW(MOVIMIENTOS!$B$5:$B$400)&lt;=$L36)*MOVIMIENTOS!$E$5:$E$400)+SUMPRODUCT((MOVIMIENTOS!$B$5:$B$400="AJUSTE")*(MOVIMIENTOS!$C$5:$C$400="P")*(MOVIMIENTOS!$D$5:$D$400="jabas")*(ROW(MOVIMIENTOS!$B$5:$B$400)&lt;=$L36)*MOVIMIENTOS!$E$5:$E$400))</f>
        <v/>
      </c>
      <c r="D36" s="12" t="str">
        <f>IF($A36="","",SUMPRODUCT((MOVIMIENTOS!$B$5:$B$400="SALDO INICIAL")*(MOVIMIENTOS!$C$5:$C$400="C")*(MOVIMIENTOS!$D$5:$D$400="jabas")*(ROW(MOVIMIENTOS!$B$5:$B$400)&lt;=$L36)*MOVIMIENTOS!$E$5:$E$400)+SUMPRODUCT((MOVIMIENTOS!$B$5:$B$400="PROCESO")*(MOVIMIENTOS!$C$5:$C$400="C")*(MOVIMIENTOS!$D$5:$D$400="jabas")*(ROW(MOVIMIENTOS!$B$5:$B$400)&lt;=$L36)*MOVIMIENTOS!$E$5:$E$400)-SUMPRODUCT((MOVIMIENTOS!$B$5:$B$400="ENVÍO A SUPESA")*(MOVIMIENTOS!$C$5:$C$400="C")*(MOVIMIENTOS!$D$5:$D$400="jabas")*(ROW(MOVIMIENTOS!$B$5:$B$400)&lt;=$L36)*MOVIMIENTOS!$E$5:$E$400)+SUMPRODUCT((MOVIMIENTOS!$B$5:$B$400="DEVOLUCIÓN")*(MOVIMIENTOS!$C$5:$C$400="C")*(MOVIMIENTOS!$D$5:$D$400="jabas")*(ROW(MOVIMIENTOS!$B$5:$B$400)&lt;=$L36)*MOVIMIENTOS!$E$5:$E$400)-SUMPRODUCT((MOVIMIENTOS!$B$5:$B$400="TRASIEGO")*(MOVIMIENTOS!$C$5:$C$400="C")*(MOVIMIENTOS!$D$5:$D$400="jabas")*(ROW(MOVIMIENTOS!$B$5:$B$400)&lt;=$L36)*MOVIMIENTOS!$E$5:$E$400)-SUMPRODUCT((MOVIMIENTOS!$B$5:$B$400="REGALO")*(MOVIMIENTOS!$C$5:$C$400="C")*(MOVIMIENTOS!$D$5:$D$400="jabas")*(ROW(MOVIMIENTOS!$B$5:$B$400)&lt;=$L36)*MOVIMIENTOS!$E$5:$E$400)-SUMPRODUCT((MOVIMIENTOS!$B$5:$B$400="VENTA")*(MOVIMIENTOS!$C$5:$C$400="C")*(MOVIMIENTOS!$D$5:$D$400="jabas")*(ROW(MOVIMIENTOS!$B$5:$B$400)&lt;=$L36)*MOVIMIENTOS!$E$5:$E$400)+SUMPRODUCT((MOVIMIENTOS!$B$5:$B$400="AJUSTE")*(MOVIMIENTOS!$C$5:$C$400="C")*(MOVIMIENTOS!$D$5:$D$400="jabas")*(ROW(MOVIMIENTOS!$B$5:$B$400)&lt;=$L36)*MOVIMIENTOS!$E$5:$E$400))</f>
        <v/>
      </c>
      <c r="E36" s="12" t="str">
        <f>IF($A36="","",SUMPRODUCT((MOVIMIENTOS!$B$5:$B$400="SALDO INICIAL")*(MOVIMIENTOS!$C$5:$C$400="M")*(MOVIMIENTOS!$D$5:$D$400="jabas")*(ROW(MOVIMIENTOS!$B$5:$B$400)&lt;=$L36)*MOVIMIENTOS!$E$5:$E$400)+SUMPRODUCT((MOVIMIENTOS!$B$5:$B$400="PROCESO")*(MOVIMIENTOS!$C$5:$C$400="M")*(MOVIMIENTOS!$D$5:$D$400="jabas")*(ROW(MOVIMIENTOS!$B$5:$B$400)&lt;=$L36)*MOVIMIENTOS!$E$5:$E$400)-SUMPRODUCT((MOVIMIENTOS!$B$5:$B$400="ENVÍO A SUPESA")*(MOVIMIENTOS!$C$5:$C$400="M")*(MOVIMIENTOS!$D$5:$D$400="jabas")*(ROW(MOVIMIENTOS!$B$5:$B$400)&lt;=$L36)*MOVIMIENTOS!$E$5:$E$400)+SUMPRODUCT((MOVIMIENTOS!$B$5:$B$400="DEVOLUCIÓN")*(MOVIMIENTOS!$C$5:$C$400="M")*(MOVIMIENTOS!$D$5:$D$400="jabas")*(ROW(MOVIMIENTOS!$B$5:$B$400)&lt;=$L36)*MOVIMIENTOS!$E$5:$E$400)-SUMPRODUCT((MOVIMIENTOS!$B$5:$B$400="TRASIEGO")*(MOVIMIENTOS!$C$5:$C$400="M")*(MOVIMIENTOS!$D$5:$D$400="jabas")*(ROW(MOVIMIENTOS!$B$5:$B$400)&lt;=$L36)*MOVIMIENTOS!$E$5:$E$400)-SUMPRODUCT((MOVIMIENTOS!$B$5:$B$400="REGALO")*(MOVIMIENTOS!$C$5:$C$400="M")*(MOVIMIENTOS!$D$5:$D$400="jabas")*(ROW(MOVIMIENTOS!$B$5:$B$400)&lt;=$L36)*MOVIMIENTOS!$E$5:$E$400)-SUMPRODUCT((MOVIMIENTOS!$B$5:$B$400="VENTA")*(MOVIMIENTOS!$C$5:$C$400="M")*(MOVIMIENTOS!$D$5:$D$400="jabas")*(ROW(MOVIMIENTOS!$B$5:$B$400)&lt;=$L36)*MOVIMIENTOS!$E$5:$E$400)+SUMPRODUCT((MOVIMIENTOS!$B$5:$B$400="AJUSTE")*(MOVIMIENTOS!$C$5:$C$400="M")*(MOVIMIENTOS!$D$5:$D$400="jabas")*(ROW(MOVIMIENTOS!$B$5:$B$400)&lt;=$L36)*MOVIMIENTOS!$E$5:$E$400))</f>
        <v/>
      </c>
      <c r="F36" s="12" t="str">
        <f>IF($A36="","",SUMPRODUCT((MOVIMIENTOS!$B$5:$B$400="SALDO INICIAL")*(MOVIMIENTOS!$C$5:$C$400="Chancho")*(MOVIMIENTOS!$D$5:$D$400="sacos")*(ROW(MOVIMIENTOS!$B$5:$B$400)&lt;=$L36)*MOVIMIENTOS!$E$5:$E$400)+SUMPRODUCT((MOVIMIENTOS!$B$5:$B$400="PROCESO")*(MOVIMIENTOS!$C$5:$C$400="Chancho")*(MOVIMIENTOS!$D$5:$D$400="sacos")*(ROW(MOVIMIENTOS!$B$5:$B$400)&lt;=$L36)*MOVIMIENTOS!$E$5:$E$400)-SUMPRODUCT((MOVIMIENTOS!$B$5:$B$400="VENTA CHANCHO")*(MOVIMIENTOS!$C$5:$C$400="Chancho")*(MOVIMIENTOS!$D$5:$D$400="sacos")*(ROW(MOVIMIENTOS!$B$5:$B$400)&lt;=$L36)*MOVIMIENTOS!$E$5:$E$400)-SUMPRODUCT((MOVIMIENTOS!$B$5:$B$400="REGALO")*(MOVIMIENTOS!$C$5:$C$400="Chancho")*(MOVIMIENTOS!$D$5:$D$400="sacos")*(ROW(MOVIMIENTOS!$B$5:$B$400)&lt;=$L36)*MOVIMIENTOS!$E$5:$E$400)-SUMPRODUCT((MOVIMIENTOS!$B$5:$B$400="VENTA")*(MOVIMIENTOS!$C$5:$C$400="Chancho")*(MOVIMIENTOS!$D$5:$D$400="sacos")*(ROW(MOVIMIENTOS!$B$5:$B$400)&lt;=$L36)*MOVIMIENTOS!$E$5:$E$400)+SUMPRODUCT((MOVIMIENTOS!$B$5:$B$400="AJUSTE")*(MOVIMIENTOS!$C$5:$C$400="Chancho")*(MOVIMIENTOS!$D$5:$D$400="sacos")*(ROW(MOVIMIENTOS!$B$5:$B$400)&lt;=$L36)*MOVIMIENTOS!$E$5:$E$400))</f>
        <v/>
      </c>
      <c r="G36" s="12" t="str">
        <f t="shared" si="1"/>
        <v/>
      </c>
      <c r="H36" s="12" t="str">
        <f>IF($A36="","",SUMPRODUCT((((MOVIMIENTOS!$B$5:$B$400="SALDO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36)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36)*MOVIMIENTOS!$I$5:$I$400))</f>
        <v/>
      </c>
      <c r="J36" t="str">
        <f>IF(AND(MOVIMIENTOS!$A36&lt;&gt;"",COUNTIF(MOVIMIENTOS!$A$5:$A35,MOVIMIENTOS!$A36)=0),COUNT(J$4:J35)+1,"")</f>
        <v/>
      </c>
      <c r="K36" s="10">
        <f>MOVIMIENTOS!$A36</f>
        <v>46217</v>
      </c>
      <c r="L36" t="str">
        <f>IF($A36="","",SUMPRODUCT(MAX((MOVIMIENTOS!$A$5:$A$400=$A36)*ROW(MOVIMIENTOS!$A$5:$A$400))))</f>
        <v/>
      </c>
    </row>
    <row r="37" spans="1:12" x14ac:dyDescent="0.2">
      <c r="A37" s="11" t="str">
        <f t="shared" ref="A37:A64" si="2">IFERROR(INDEX(K$5:K$400,MATCH(ROW()-4,J$5:J$400,0)),"")</f>
        <v/>
      </c>
      <c r="B37" s="12" t="str">
        <f>IF($A37="","",SUMPRODUCT((MOVIMIENTOS!$B$5:$B$400="SALDO INICIAL")*(MOVIMIENTOS!$C$5:$C$400="A")*(MOVIMIENTOS!$D$5:$D$400="jabas")*(ROW(MOVIMIENTOS!$B$5:$B$400)&lt;=$L37)*MOVIMIENTOS!$E$5:$E$400)+SUMPRODUCT((MOVIMIENTOS!$B$5:$B$400="PROCESO")*(MOVIMIENTOS!$C$5:$C$400="A")*(MOVIMIENTOS!$D$5:$D$400="jabas")*(ROW(MOVIMIENTOS!$B$5:$B$400)&lt;=$L37)*MOVIMIENTOS!$E$5:$E$400)-SUMPRODUCT((MOVIMIENTOS!$B$5:$B$400="ENVÍO A SUPESA")*(MOVIMIENTOS!$C$5:$C$400="A")*(MOVIMIENTOS!$D$5:$D$400="jabas")*(ROW(MOVIMIENTOS!$B$5:$B$400)&lt;=$L37)*MOVIMIENTOS!$E$5:$E$400)+SUMPRODUCT((MOVIMIENTOS!$B$5:$B$400="DEVOLUCIÓN")*(MOVIMIENTOS!$C$5:$C$400="A")*(MOVIMIENTOS!$D$5:$D$400="jabas")*(ROW(MOVIMIENTOS!$B$5:$B$400)&lt;=$L37)*MOVIMIENTOS!$E$5:$E$400)-SUMPRODUCT((MOVIMIENTOS!$B$5:$B$400="TRASIEGO")*(MOVIMIENTOS!$C$5:$C$400="A")*(MOVIMIENTOS!$D$5:$D$400="jabas")*(ROW(MOVIMIENTOS!$B$5:$B$400)&lt;=$L37)*MOVIMIENTOS!$E$5:$E$400)-SUMPRODUCT((MOVIMIENTOS!$B$5:$B$400="REGALO")*(MOVIMIENTOS!$C$5:$C$400="A")*(MOVIMIENTOS!$D$5:$D$400="jabas")*(ROW(MOVIMIENTOS!$B$5:$B$400)&lt;=$L37)*MOVIMIENTOS!$E$5:$E$400)-SUMPRODUCT((MOVIMIENTOS!$B$5:$B$400="VENTA")*(MOVIMIENTOS!$C$5:$C$400="A")*(MOVIMIENTOS!$D$5:$D$400="jabas")*(ROW(MOVIMIENTOS!$B$5:$B$400)&lt;=$L37)*MOVIMIENTOS!$E$5:$E$400)+SUMPRODUCT((MOVIMIENTOS!$B$5:$B$400="AJUSTE")*(MOVIMIENTOS!$C$5:$C$400="A")*(MOVIMIENTOS!$D$5:$D$400="jabas")*(ROW(MOVIMIENTOS!$B$5:$B$400)&lt;=$L37)*MOVIMIENTOS!$E$5:$E$400))</f>
        <v/>
      </c>
      <c r="C37" s="12" t="str">
        <f>IF($A37="","",SUMPRODUCT((MOVIMIENTOS!$B$5:$B$400="SALDO INICIAL")*(MOVIMIENTOS!$C$5:$C$400="P")*(MOVIMIENTOS!$D$5:$D$400="jabas")*(ROW(MOVIMIENTOS!$B$5:$B$400)&lt;=$L37)*MOVIMIENTOS!$E$5:$E$400)+SUMPRODUCT((MOVIMIENTOS!$B$5:$B$400="PROCESO")*(MOVIMIENTOS!$C$5:$C$400="P")*(MOVIMIENTOS!$D$5:$D$400="jabas")*(ROW(MOVIMIENTOS!$B$5:$B$400)&lt;=$L37)*MOVIMIENTOS!$E$5:$E$400)-SUMPRODUCT((MOVIMIENTOS!$B$5:$B$400="ENVÍO A SUPESA")*(MOVIMIENTOS!$C$5:$C$400="P")*(MOVIMIENTOS!$D$5:$D$400="jabas")*(ROW(MOVIMIENTOS!$B$5:$B$400)&lt;=$L37)*MOVIMIENTOS!$E$5:$E$400)+SUMPRODUCT((MOVIMIENTOS!$B$5:$B$400="DEVOLUCIÓN")*(MOVIMIENTOS!$C$5:$C$400="P")*(MOVIMIENTOS!$D$5:$D$400="jabas")*(ROW(MOVIMIENTOS!$B$5:$B$400)&lt;=$L37)*MOVIMIENTOS!$E$5:$E$400)-SUMPRODUCT((MOVIMIENTOS!$B$5:$B$400="TRASIEGO")*(MOVIMIENTOS!$C$5:$C$400="P")*(MOVIMIENTOS!$D$5:$D$400="jabas")*(ROW(MOVIMIENTOS!$B$5:$B$400)&lt;=$L37)*MOVIMIENTOS!$E$5:$E$400)-SUMPRODUCT((MOVIMIENTOS!$B$5:$B$400="REGALO")*(MOVIMIENTOS!$C$5:$C$400="P")*(MOVIMIENTOS!$D$5:$D$400="jabas")*(ROW(MOVIMIENTOS!$B$5:$B$400)&lt;=$L37)*MOVIMIENTOS!$E$5:$E$400)-SUMPRODUCT((MOVIMIENTOS!$B$5:$B$400="VENTA")*(MOVIMIENTOS!$C$5:$C$400="P")*(MOVIMIENTOS!$D$5:$D$400="jabas")*(ROW(MOVIMIENTOS!$B$5:$B$400)&lt;=$L37)*MOVIMIENTOS!$E$5:$E$400)+SUMPRODUCT((MOVIMIENTOS!$B$5:$B$400="AJUSTE")*(MOVIMIENTOS!$C$5:$C$400="P")*(MOVIMIENTOS!$D$5:$D$400="jabas")*(ROW(MOVIMIENTOS!$B$5:$B$400)&lt;=$L37)*MOVIMIENTOS!$E$5:$E$400))</f>
        <v/>
      </c>
      <c r="D37" s="12" t="str">
        <f>IF($A37="","",SUMPRODUCT((MOVIMIENTOS!$B$5:$B$400="SALDO INICIAL")*(MOVIMIENTOS!$C$5:$C$400="C")*(MOVIMIENTOS!$D$5:$D$400="jabas")*(ROW(MOVIMIENTOS!$B$5:$B$400)&lt;=$L37)*MOVIMIENTOS!$E$5:$E$400)+SUMPRODUCT((MOVIMIENTOS!$B$5:$B$400="PROCESO")*(MOVIMIENTOS!$C$5:$C$400="C")*(MOVIMIENTOS!$D$5:$D$400="jabas")*(ROW(MOVIMIENTOS!$B$5:$B$400)&lt;=$L37)*MOVIMIENTOS!$E$5:$E$400)-SUMPRODUCT((MOVIMIENTOS!$B$5:$B$400="ENVÍO A SUPESA")*(MOVIMIENTOS!$C$5:$C$400="C")*(MOVIMIENTOS!$D$5:$D$400="jabas")*(ROW(MOVIMIENTOS!$B$5:$B$400)&lt;=$L37)*MOVIMIENTOS!$E$5:$E$400)+SUMPRODUCT((MOVIMIENTOS!$B$5:$B$400="DEVOLUCIÓN")*(MOVIMIENTOS!$C$5:$C$400="C")*(MOVIMIENTOS!$D$5:$D$400="jabas")*(ROW(MOVIMIENTOS!$B$5:$B$400)&lt;=$L37)*MOVIMIENTOS!$E$5:$E$400)-SUMPRODUCT((MOVIMIENTOS!$B$5:$B$400="TRASIEGO")*(MOVIMIENTOS!$C$5:$C$400="C")*(MOVIMIENTOS!$D$5:$D$400="jabas")*(ROW(MOVIMIENTOS!$B$5:$B$400)&lt;=$L37)*MOVIMIENTOS!$E$5:$E$400)-SUMPRODUCT((MOVIMIENTOS!$B$5:$B$400="REGALO")*(MOVIMIENTOS!$C$5:$C$400="C")*(MOVIMIENTOS!$D$5:$D$400="jabas")*(ROW(MOVIMIENTOS!$B$5:$B$400)&lt;=$L37)*MOVIMIENTOS!$E$5:$E$400)-SUMPRODUCT((MOVIMIENTOS!$B$5:$B$400="VENTA")*(MOVIMIENTOS!$C$5:$C$400="C")*(MOVIMIENTOS!$D$5:$D$400="jabas")*(ROW(MOVIMIENTOS!$B$5:$B$400)&lt;=$L37)*MOVIMIENTOS!$E$5:$E$400)+SUMPRODUCT((MOVIMIENTOS!$B$5:$B$400="AJUSTE")*(MOVIMIENTOS!$C$5:$C$400="C")*(MOVIMIENTOS!$D$5:$D$400="jabas")*(ROW(MOVIMIENTOS!$B$5:$B$400)&lt;=$L37)*MOVIMIENTOS!$E$5:$E$400))</f>
        <v/>
      </c>
      <c r="E37" s="12" t="str">
        <f>IF($A37="","",SUMPRODUCT((MOVIMIENTOS!$B$5:$B$400="SALDO INICIAL")*(MOVIMIENTOS!$C$5:$C$400="M")*(MOVIMIENTOS!$D$5:$D$400="jabas")*(ROW(MOVIMIENTOS!$B$5:$B$400)&lt;=$L37)*MOVIMIENTOS!$E$5:$E$400)+SUMPRODUCT((MOVIMIENTOS!$B$5:$B$400="PROCESO")*(MOVIMIENTOS!$C$5:$C$400="M")*(MOVIMIENTOS!$D$5:$D$400="jabas")*(ROW(MOVIMIENTOS!$B$5:$B$400)&lt;=$L37)*MOVIMIENTOS!$E$5:$E$400)-SUMPRODUCT((MOVIMIENTOS!$B$5:$B$400="ENVÍO A SUPESA")*(MOVIMIENTOS!$C$5:$C$400="M")*(MOVIMIENTOS!$D$5:$D$400="jabas")*(ROW(MOVIMIENTOS!$B$5:$B$400)&lt;=$L37)*MOVIMIENTOS!$E$5:$E$400)+SUMPRODUCT((MOVIMIENTOS!$B$5:$B$400="DEVOLUCIÓN")*(MOVIMIENTOS!$C$5:$C$400="M")*(MOVIMIENTOS!$D$5:$D$400="jabas")*(ROW(MOVIMIENTOS!$B$5:$B$400)&lt;=$L37)*MOVIMIENTOS!$E$5:$E$400)-SUMPRODUCT((MOVIMIENTOS!$B$5:$B$400="TRASIEGO")*(MOVIMIENTOS!$C$5:$C$400="M")*(MOVIMIENTOS!$D$5:$D$400="jabas")*(ROW(MOVIMIENTOS!$B$5:$B$400)&lt;=$L37)*MOVIMIENTOS!$E$5:$E$400)-SUMPRODUCT((MOVIMIENTOS!$B$5:$B$400="REGALO")*(MOVIMIENTOS!$C$5:$C$400="M")*(MOVIMIENTOS!$D$5:$D$400="jabas")*(ROW(MOVIMIENTOS!$B$5:$B$400)&lt;=$L37)*MOVIMIENTOS!$E$5:$E$400)-SUMPRODUCT((MOVIMIENTOS!$B$5:$B$400="VENTA")*(MOVIMIENTOS!$C$5:$C$400="M")*(MOVIMIENTOS!$D$5:$D$400="jabas")*(ROW(MOVIMIENTOS!$B$5:$B$400)&lt;=$L37)*MOVIMIENTOS!$E$5:$E$400)+SUMPRODUCT((MOVIMIENTOS!$B$5:$B$400="AJUSTE")*(MOVIMIENTOS!$C$5:$C$400="M")*(MOVIMIENTOS!$D$5:$D$400="jabas")*(ROW(MOVIMIENTOS!$B$5:$B$400)&lt;=$L37)*MOVIMIENTOS!$E$5:$E$400))</f>
        <v/>
      </c>
      <c r="F37" s="12" t="str">
        <f>IF($A37="","",SUMPRODUCT((MOVIMIENTOS!$B$5:$B$400="SALDO INICIAL")*(MOVIMIENTOS!$C$5:$C$400="Chancho")*(MOVIMIENTOS!$D$5:$D$400="sacos")*(ROW(MOVIMIENTOS!$B$5:$B$400)&lt;=$L37)*MOVIMIENTOS!$E$5:$E$400)+SUMPRODUCT((MOVIMIENTOS!$B$5:$B$400="PROCESO")*(MOVIMIENTOS!$C$5:$C$400="Chancho")*(MOVIMIENTOS!$D$5:$D$400="sacos")*(ROW(MOVIMIENTOS!$B$5:$B$400)&lt;=$L37)*MOVIMIENTOS!$E$5:$E$400)-SUMPRODUCT((MOVIMIENTOS!$B$5:$B$400="VENTA CHANCHO")*(MOVIMIENTOS!$C$5:$C$400="Chancho")*(MOVIMIENTOS!$D$5:$D$400="sacos")*(ROW(MOVIMIENTOS!$B$5:$B$400)&lt;=$L37)*MOVIMIENTOS!$E$5:$E$400)-SUMPRODUCT((MOVIMIENTOS!$B$5:$B$400="REGALO")*(MOVIMIENTOS!$C$5:$C$400="Chancho")*(MOVIMIENTOS!$D$5:$D$400="sacos")*(ROW(MOVIMIENTOS!$B$5:$B$400)&lt;=$L37)*MOVIMIENTOS!$E$5:$E$400)-SUMPRODUCT((MOVIMIENTOS!$B$5:$B$400="VENTA")*(MOVIMIENTOS!$C$5:$C$400="Chancho")*(MOVIMIENTOS!$D$5:$D$400="sacos")*(ROW(MOVIMIENTOS!$B$5:$B$400)&lt;=$L37)*MOVIMIENTOS!$E$5:$E$400)+SUMPRODUCT((MOVIMIENTOS!$B$5:$B$400="AJUSTE")*(MOVIMIENTOS!$C$5:$C$400="Chancho")*(MOVIMIENTOS!$D$5:$D$400="sacos")*(ROW(MOVIMIENTOS!$B$5:$B$400)&lt;=$L37)*MOVIMIENTOS!$E$5:$E$400))</f>
        <v/>
      </c>
      <c r="G37" s="12" t="str">
        <f t="shared" ref="G37:G64" si="3">IF($A37="","",SUM(B37:E37))</f>
        <v/>
      </c>
      <c r="H37" s="12" t="str">
        <f>IF($A37="","",SUMPRODUCT((((MOVIMIENTOS!$B$5:$B$400="SALDO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37)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37)*MOVIMIENTOS!$I$5:$I$400))</f>
        <v/>
      </c>
      <c r="J37" t="str">
        <f>IF(AND(MOVIMIENTOS!$A37&lt;&gt;"",COUNTIF(MOVIMIENTOS!$A$5:$A36,MOVIMIENTOS!$A37)=0),COUNT(J$4:J36)+1,"")</f>
        <v/>
      </c>
      <c r="K37" s="10">
        <f>MOVIMIENTOS!$A37</f>
        <v>46217</v>
      </c>
      <c r="L37" t="str">
        <f>IF($A37="","",SUMPRODUCT(MAX((MOVIMIENTOS!$A$5:$A$400=$A37)*ROW(MOVIMIENTOS!$A$5:$A$400))))</f>
        <v/>
      </c>
    </row>
    <row r="38" spans="1:12" x14ac:dyDescent="0.2">
      <c r="A38" s="11" t="str">
        <f t="shared" si="2"/>
        <v/>
      </c>
      <c r="B38" s="12" t="str">
        <f>IF($A38="","",SUMPRODUCT((MOVIMIENTOS!$B$5:$B$400="SALDO INICIAL")*(MOVIMIENTOS!$C$5:$C$400="A")*(MOVIMIENTOS!$D$5:$D$400="jabas")*(ROW(MOVIMIENTOS!$B$5:$B$400)&lt;=$L38)*MOVIMIENTOS!$E$5:$E$400)+SUMPRODUCT((MOVIMIENTOS!$B$5:$B$400="PROCESO")*(MOVIMIENTOS!$C$5:$C$400="A")*(MOVIMIENTOS!$D$5:$D$400="jabas")*(ROW(MOVIMIENTOS!$B$5:$B$400)&lt;=$L38)*MOVIMIENTOS!$E$5:$E$400)-SUMPRODUCT((MOVIMIENTOS!$B$5:$B$400="ENVÍO A SUPESA")*(MOVIMIENTOS!$C$5:$C$400="A")*(MOVIMIENTOS!$D$5:$D$400="jabas")*(ROW(MOVIMIENTOS!$B$5:$B$400)&lt;=$L38)*MOVIMIENTOS!$E$5:$E$400)+SUMPRODUCT((MOVIMIENTOS!$B$5:$B$400="DEVOLUCIÓN")*(MOVIMIENTOS!$C$5:$C$400="A")*(MOVIMIENTOS!$D$5:$D$400="jabas")*(ROW(MOVIMIENTOS!$B$5:$B$400)&lt;=$L38)*MOVIMIENTOS!$E$5:$E$400)-SUMPRODUCT((MOVIMIENTOS!$B$5:$B$400="TRASIEGO")*(MOVIMIENTOS!$C$5:$C$400="A")*(MOVIMIENTOS!$D$5:$D$400="jabas")*(ROW(MOVIMIENTOS!$B$5:$B$400)&lt;=$L38)*MOVIMIENTOS!$E$5:$E$400)-SUMPRODUCT((MOVIMIENTOS!$B$5:$B$400="REGALO")*(MOVIMIENTOS!$C$5:$C$400="A")*(MOVIMIENTOS!$D$5:$D$400="jabas")*(ROW(MOVIMIENTOS!$B$5:$B$400)&lt;=$L38)*MOVIMIENTOS!$E$5:$E$400)-SUMPRODUCT((MOVIMIENTOS!$B$5:$B$400="VENTA")*(MOVIMIENTOS!$C$5:$C$400="A")*(MOVIMIENTOS!$D$5:$D$400="jabas")*(ROW(MOVIMIENTOS!$B$5:$B$400)&lt;=$L38)*MOVIMIENTOS!$E$5:$E$400)+SUMPRODUCT((MOVIMIENTOS!$B$5:$B$400="AJUSTE")*(MOVIMIENTOS!$C$5:$C$400="A")*(MOVIMIENTOS!$D$5:$D$400="jabas")*(ROW(MOVIMIENTOS!$B$5:$B$400)&lt;=$L38)*MOVIMIENTOS!$E$5:$E$400))</f>
        <v/>
      </c>
      <c r="C38" s="12" t="str">
        <f>IF($A38="","",SUMPRODUCT((MOVIMIENTOS!$B$5:$B$400="SALDO INICIAL")*(MOVIMIENTOS!$C$5:$C$400="P")*(MOVIMIENTOS!$D$5:$D$400="jabas")*(ROW(MOVIMIENTOS!$B$5:$B$400)&lt;=$L38)*MOVIMIENTOS!$E$5:$E$400)+SUMPRODUCT((MOVIMIENTOS!$B$5:$B$400="PROCESO")*(MOVIMIENTOS!$C$5:$C$400="P")*(MOVIMIENTOS!$D$5:$D$400="jabas")*(ROW(MOVIMIENTOS!$B$5:$B$400)&lt;=$L38)*MOVIMIENTOS!$E$5:$E$400)-SUMPRODUCT((MOVIMIENTOS!$B$5:$B$400="ENVÍO A SUPESA")*(MOVIMIENTOS!$C$5:$C$400="P")*(MOVIMIENTOS!$D$5:$D$400="jabas")*(ROW(MOVIMIENTOS!$B$5:$B$400)&lt;=$L38)*MOVIMIENTOS!$E$5:$E$400)+SUMPRODUCT((MOVIMIENTOS!$B$5:$B$400="DEVOLUCIÓN")*(MOVIMIENTOS!$C$5:$C$400="P")*(MOVIMIENTOS!$D$5:$D$400="jabas")*(ROW(MOVIMIENTOS!$B$5:$B$400)&lt;=$L38)*MOVIMIENTOS!$E$5:$E$400)-SUMPRODUCT((MOVIMIENTOS!$B$5:$B$400="TRASIEGO")*(MOVIMIENTOS!$C$5:$C$400="P")*(MOVIMIENTOS!$D$5:$D$400="jabas")*(ROW(MOVIMIENTOS!$B$5:$B$400)&lt;=$L38)*MOVIMIENTOS!$E$5:$E$400)-SUMPRODUCT((MOVIMIENTOS!$B$5:$B$400="REGALO")*(MOVIMIENTOS!$C$5:$C$400="P")*(MOVIMIENTOS!$D$5:$D$400="jabas")*(ROW(MOVIMIENTOS!$B$5:$B$400)&lt;=$L38)*MOVIMIENTOS!$E$5:$E$400)-SUMPRODUCT((MOVIMIENTOS!$B$5:$B$400="VENTA")*(MOVIMIENTOS!$C$5:$C$400="P")*(MOVIMIENTOS!$D$5:$D$400="jabas")*(ROW(MOVIMIENTOS!$B$5:$B$400)&lt;=$L38)*MOVIMIENTOS!$E$5:$E$400)+SUMPRODUCT((MOVIMIENTOS!$B$5:$B$400="AJUSTE")*(MOVIMIENTOS!$C$5:$C$400="P")*(MOVIMIENTOS!$D$5:$D$400="jabas")*(ROW(MOVIMIENTOS!$B$5:$B$400)&lt;=$L38)*MOVIMIENTOS!$E$5:$E$400))</f>
        <v/>
      </c>
      <c r="D38" s="12" t="str">
        <f>IF($A38="","",SUMPRODUCT((MOVIMIENTOS!$B$5:$B$400="SALDO INICIAL")*(MOVIMIENTOS!$C$5:$C$400="C")*(MOVIMIENTOS!$D$5:$D$400="jabas")*(ROW(MOVIMIENTOS!$B$5:$B$400)&lt;=$L38)*MOVIMIENTOS!$E$5:$E$400)+SUMPRODUCT((MOVIMIENTOS!$B$5:$B$400="PROCESO")*(MOVIMIENTOS!$C$5:$C$400="C")*(MOVIMIENTOS!$D$5:$D$400="jabas")*(ROW(MOVIMIENTOS!$B$5:$B$400)&lt;=$L38)*MOVIMIENTOS!$E$5:$E$400)-SUMPRODUCT((MOVIMIENTOS!$B$5:$B$400="ENVÍO A SUPESA")*(MOVIMIENTOS!$C$5:$C$400="C")*(MOVIMIENTOS!$D$5:$D$400="jabas")*(ROW(MOVIMIENTOS!$B$5:$B$400)&lt;=$L38)*MOVIMIENTOS!$E$5:$E$400)+SUMPRODUCT((MOVIMIENTOS!$B$5:$B$400="DEVOLUCIÓN")*(MOVIMIENTOS!$C$5:$C$400="C")*(MOVIMIENTOS!$D$5:$D$400="jabas")*(ROW(MOVIMIENTOS!$B$5:$B$400)&lt;=$L38)*MOVIMIENTOS!$E$5:$E$400)-SUMPRODUCT((MOVIMIENTOS!$B$5:$B$400="TRASIEGO")*(MOVIMIENTOS!$C$5:$C$400="C")*(MOVIMIENTOS!$D$5:$D$400="jabas")*(ROW(MOVIMIENTOS!$B$5:$B$400)&lt;=$L38)*MOVIMIENTOS!$E$5:$E$400)-SUMPRODUCT((MOVIMIENTOS!$B$5:$B$400="REGALO")*(MOVIMIENTOS!$C$5:$C$400="C")*(MOVIMIENTOS!$D$5:$D$400="jabas")*(ROW(MOVIMIENTOS!$B$5:$B$400)&lt;=$L38)*MOVIMIENTOS!$E$5:$E$400)-SUMPRODUCT((MOVIMIENTOS!$B$5:$B$400="VENTA")*(MOVIMIENTOS!$C$5:$C$400="C")*(MOVIMIENTOS!$D$5:$D$400="jabas")*(ROW(MOVIMIENTOS!$B$5:$B$400)&lt;=$L38)*MOVIMIENTOS!$E$5:$E$400)+SUMPRODUCT((MOVIMIENTOS!$B$5:$B$400="AJUSTE")*(MOVIMIENTOS!$C$5:$C$400="C")*(MOVIMIENTOS!$D$5:$D$400="jabas")*(ROW(MOVIMIENTOS!$B$5:$B$400)&lt;=$L38)*MOVIMIENTOS!$E$5:$E$400))</f>
        <v/>
      </c>
      <c r="E38" s="12" t="str">
        <f>IF($A38="","",SUMPRODUCT((MOVIMIENTOS!$B$5:$B$400="SALDO INICIAL")*(MOVIMIENTOS!$C$5:$C$400="M")*(MOVIMIENTOS!$D$5:$D$400="jabas")*(ROW(MOVIMIENTOS!$B$5:$B$400)&lt;=$L38)*MOVIMIENTOS!$E$5:$E$400)+SUMPRODUCT((MOVIMIENTOS!$B$5:$B$400="PROCESO")*(MOVIMIENTOS!$C$5:$C$400="M")*(MOVIMIENTOS!$D$5:$D$400="jabas")*(ROW(MOVIMIENTOS!$B$5:$B$400)&lt;=$L38)*MOVIMIENTOS!$E$5:$E$400)-SUMPRODUCT((MOVIMIENTOS!$B$5:$B$400="ENVÍO A SUPESA")*(MOVIMIENTOS!$C$5:$C$400="M")*(MOVIMIENTOS!$D$5:$D$400="jabas")*(ROW(MOVIMIENTOS!$B$5:$B$400)&lt;=$L38)*MOVIMIENTOS!$E$5:$E$400)+SUMPRODUCT((MOVIMIENTOS!$B$5:$B$400="DEVOLUCIÓN")*(MOVIMIENTOS!$C$5:$C$400="M")*(MOVIMIENTOS!$D$5:$D$400="jabas")*(ROW(MOVIMIENTOS!$B$5:$B$400)&lt;=$L38)*MOVIMIENTOS!$E$5:$E$400)-SUMPRODUCT((MOVIMIENTOS!$B$5:$B$400="TRASIEGO")*(MOVIMIENTOS!$C$5:$C$400="M")*(MOVIMIENTOS!$D$5:$D$400="jabas")*(ROW(MOVIMIENTOS!$B$5:$B$400)&lt;=$L38)*MOVIMIENTOS!$E$5:$E$400)-SUMPRODUCT((MOVIMIENTOS!$B$5:$B$400="REGALO")*(MOVIMIENTOS!$C$5:$C$400="M")*(MOVIMIENTOS!$D$5:$D$400="jabas")*(ROW(MOVIMIENTOS!$B$5:$B$400)&lt;=$L38)*MOVIMIENTOS!$E$5:$E$400)-SUMPRODUCT((MOVIMIENTOS!$B$5:$B$400="VENTA")*(MOVIMIENTOS!$C$5:$C$400="M")*(MOVIMIENTOS!$D$5:$D$400="jabas")*(ROW(MOVIMIENTOS!$B$5:$B$400)&lt;=$L38)*MOVIMIENTOS!$E$5:$E$400)+SUMPRODUCT((MOVIMIENTOS!$B$5:$B$400="AJUSTE")*(MOVIMIENTOS!$C$5:$C$400="M")*(MOVIMIENTOS!$D$5:$D$400="jabas")*(ROW(MOVIMIENTOS!$B$5:$B$400)&lt;=$L38)*MOVIMIENTOS!$E$5:$E$400))</f>
        <v/>
      </c>
      <c r="F38" s="12" t="str">
        <f>IF($A38="","",SUMPRODUCT((MOVIMIENTOS!$B$5:$B$400="SALDO INICIAL")*(MOVIMIENTOS!$C$5:$C$400="Chancho")*(MOVIMIENTOS!$D$5:$D$400="sacos")*(ROW(MOVIMIENTOS!$B$5:$B$400)&lt;=$L38)*MOVIMIENTOS!$E$5:$E$400)+SUMPRODUCT((MOVIMIENTOS!$B$5:$B$400="PROCESO")*(MOVIMIENTOS!$C$5:$C$400="Chancho")*(MOVIMIENTOS!$D$5:$D$400="sacos")*(ROW(MOVIMIENTOS!$B$5:$B$400)&lt;=$L38)*MOVIMIENTOS!$E$5:$E$400)-SUMPRODUCT((MOVIMIENTOS!$B$5:$B$400="VENTA CHANCHO")*(MOVIMIENTOS!$C$5:$C$400="Chancho")*(MOVIMIENTOS!$D$5:$D$400="sacos")*(ROW(MOVIMIENTOS!$B$5:$B$400)&lt;=$L38)*MOVIMIENTOS!$E$5:$E$400)-SUMPRODUCT((MOVIMIENTOS!$B$5:$B$400="REGALO")*(MOVIMIENTOS!$C$5:$C$400="Chancho")*(MOVIMIENTOS!$D$5:$D$400="sacos")*(ROW(MOVIMIENTOS!$B$5:$B$400)&lt;=$L38)*MOVIMIENTOS!$E$5:$E$400)-SUMPRODUCT((MOVIMIENTOS!$B$5:$B$400="VENTA")*(MOVIMIENTOS!$C$5:$C$400="Chancho")*(MOVIMIENTOS!$D$5:$D$400="sacos")*(ROW(MOVIMIENTOS!$B$5:$B$400)&lt;=$L38)*MOVIMIENTOS!$E$5:$E$400)+SUMPRODUCT((MOVIMIENTOS!$B$5:$B$400="AJUSTE")*(MOVIMIENTOS!$C$5:$C$400="Chancho")*(MOVIMIENTOS!$D$5:$D$400="sacos")*(ROW(MOVIMIENTOS!$B$5:$B$400)&lt;=$L38)*MOVIMIENTOS!$E$5:$E$400))</f>
        <v/>
      </c>
      <c r="G38" s="12" t="str">
        <f t="shared" si="3"/>
        <v/>
      </c>
      <c r="H38" s="12" t="str">
        <f>IF($A38="","",SUMPRODUCT((((MOVIMIENTOS!$B$5:$B$400="SALDO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38)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38)*MOVIMIENTOS!$I$5:$I$400))</f>
        <v/>
      </c>
      <c r="J38">
        <f>IF(AND(MOVIMIENTOS!$A38&lt;&gt;"",COUNTIF(MOVIMIENTOS!$A$5:$A37,MOVIMIENTOS!$A38)=0),COUNT(J$4:J37)+1,"")</f>
        <v>5</v>
      </c>
      <c r="K38" s="10">
        <f>MOVIMIENTOS!$A38</f>
        <v>46218</v>
      </c>
      <c r="L38" t="str">
        <f>IF($A38="","",SUMPRODUCT(MAX((MOVIMIENTOS!$A$5:$A$400=$A38)*ROW(MOVIMIENTOS!$A$5:$A$400))))</f>
        <v/>
      </c>
    </row>
    <row r="39" spans="1:12" x14ac:dyDescent="0.2">
      <c r="A39" s="11" t="str">
        <f t="shared" si="2"/>
        <v/>
      </c>
      <c r="B39" s="12" t="str">
        <f>IF($A39="","",SUMPRODUCT((MOVIMIENTOS!$B$5:$B$400="SALDO INICIAL")*(MOVIMIENTOS!$C$5:$C$400="A")*(MOVIMIENTOS!$D$5:$D$400="jabas")*(ROW(MOVIMIENTOS!$B$5:$B$400)&lt;=$L39)*MOVIMIENTOS!$E$5:$E$400)+SUMPRODUCT((MOVIMIENTOS!$B$5:$B$400="PROCESO")*(MOVIMIENTOS!$C$5:$C$400="A")*(MOVIMIENTOS!$D$5:$D$400="jabas")*(ROW(MOVIMIENTOS!$B$5:$B$400)&lt;=$L39)*MOVIMIENTOS!$E$5:$E$400)-SUMPRODUCT((MOVIMIENTOS!$B$5:$B$400="ENVÍO A SUPESA")*(MOVIMIENTOS!$C$5:$C$400="A")*(MOVIMIENTOS!$D$5:$D$400="jabas")*(ROW(MOVIMIENTOS!$B$5:$B$400)&lt;=$L39)*MOVIMIENTOS!$E$5:$E$400)+SUMPRODUCT((MOVIMIENTOS!$B$5:$B$400="DEVOLUCIÓN")*(MOVIMIENTOS!$C$5:$C$400="A")*(MOVIMIENTOS!$D$5:$D$400="jabas")*(ROW(MOVIMIENTOS!$B$5:$B$400)&lt;=$L39)*MOVIMIENTOS!$E$5:$E$400)-SUMPRODUCT((MOVIMIENTOS!$B$5:$B$400="TRASIEGO")*(MOVIMIENTOS!$C$5:$C$400="A")*(MOVIMIENTOS!$D$5:$D$400="jabas")*(ROW(MOVIMIENTOS!$B$5:$B$400)&lt;=$L39)*MOVIMIENTOS!$E$5:$E$400)-SUMPRODUCT((MOVIMIENTOS!$B$5:$B$400="REGALO")*(MOVIMIENTOS!$C$5:$C$400="A")*(MOVIMIENTOS!$D$5:$D$400="jabas")*(ROW(MOVIMIENTOS!$B$5:$B$400)&lt;=$L39)*MOVIMIENTOS!$E$5:$E$400)-SUMPRODUCT((MOVIMIENTOS!$B$5:$B$400="VENTA")*(MOVIMIENTOS!$C$5:$C$400="A")*(MOVIMIENTOS!$D$5:$D$400="jabas")*(ROW(MOVIMIENTOS!$B$5:$B$400)&lt;=$L39)*MOVIMIENTOS!$E$5:$E$400)+SUMPRODUCT((MOVIMIENTOS!$B$5:$B$400="AJUSTE")*(MOVIMIENTOS!$C$5:$C$400="A")*(MOVIMIENTOS!$D$5:$D$400="jabas")*(ROW(MOVIMIENTOS!$B$5:$B$400)&lt;=$L39)*MOVIMIENTOS!$E$5:$E$400))</f>
        <v/>
      </c>
      <c r="C39" s="12" t="str">
        <f>IF($A39="","",SUMPRODUCT((MOVIMIENTOS!$B$5:$B$400="SALDO INICIAL")*(MOVIMIENTOS!$C$5:$C$400="P")*(MOVIMIENTOS!$D$5:$D$400="jabas")*(ROW(MOVIMIENTOS!$B$5:$B$400)&lt;=$L39)*MOVIMIENTOS!$E$5:$E$400)+SUMPRODUCT((MOVIMIENTOS!$B$5:$B$400="PROCESO")*(MOVIMIENTOS!$C$5:$C$400="P")*(MOVIMIENTOS!$D$5:$D$400="jabas")*(ROW(MOVIMIENTOS!$B$5:$B$400)&lt;=$L39)*MOVIMIENTOS!$E$5:$E$400)-SUMPRODUCT((MOVIMIENTOS!$B$5:$B$400="ENVÍO A SUPESA")*(MOVIMIENTOS!$C$5:$C$400="P")*(MOVIMIENTOS!$D$5:$D$400="jabas")*(ROW(MOVIMIENTOS!$B$5:$B$400)&lt;=$L39)*MOVIMIENTOS!$E$5:$E$400)+SUMPRODUCT((MOVIMIENTOS!$B$5:$B$400="DEVOLUCIÓN")*(MOVIMIENTOS!$C$5:$C$400="P")*(MOVIMIENTOS!$D$5:$D$400="jabas")*(ROW(MOVIMIENTOS!$B$5:$B$400)&lt;=$L39)*MOVIMIENTOS!$E$5:$E$400)-SUMPRODUCT((MOVIMIENTOS!$B$5:$B$400="TRASIEGO")*(MOVIMIENTOS!$C$5:$C$400="P")*(MOVIMIENTOS!$D$5:$D$400="jabas")*(ROW(MOVIMIENTOS!$B$5:$B$400)&lt;=$L39)*MOVIMIENTOS!$E$5:$E$400)-SUMPRODUCT((MOVIMIENTOS!$B$5:$B$400="REGALO")*(MOVIMIENTOS!$C$5:$C$400="P")*(MOVIMIENTOS!$D$5:$D$400="jabas")*(ROW(MOVIMIENTOS!$B$5:$B$400)&lt;=$L39)*MOVIMIENTOS!$E$5:$E$400)-SUMPRODUCT((MOVIMIENTOS!$B$5:$B$400="VENTA")*(MOVIMIENTOS!$C$5:$C$400="P")*(MOVIMIENTOS!$D$5:$D$400="jabas")*(ROW(MOVIMIENTOS!$B$5:$B$400)&lt;=$L39)*MOVIMIENTOS!$E$5:$E$400)+SUMPRODUCT((MOVIMIENTOS!$B$5:$B$400="AJUSTE")*(MOVIMIENTOS!$C$5:$C$400="P")*(MOVIMIENTOS!$D$5:$D$400="jabas")*(ROW(MOVIMIENTOS!$B$5:$B$400)&lt;=$L39)*MOVIMIENTOS!$E$5:$E$400))</f>
        <v/>
      </c>
      <c r="D39" s="12" t="str">
        <f>IF($A39="","",SUMPRODUCT((MOVIMIENTOS!$B$5:$B$400="SALDO INICIAL")*(MOVIMIENTOS!$C$5:$C$400="C")*(MOVIMIENTOS!$D$5:$D$400="jabas")*(ROW(MOVIMIENTOS!$B$5:$B$400)&lt;=$L39)*MOVIMIENTOS!$E$5:$E$400)+SUMPRODUCT((MOVIMIENTOS!$B$5:$B$400="PROCESO")*(MOVIMIENTOS!$C$5:$C$400="C")*(MOVIMIENTOS!$D$5:$D$400="jabas")*(ROW(MOVIMIENTOS!$B$5:$B$400)&lt;=$L39)*MOVIMIENTOS!$E$5:$E$400)-SUMPRODUCT((MOVIMIENTOS!$B$5:$B$400="ENVÍO A SUPESA")*(MOVIMIENTOS!$C$5:$C$400="C")*(MOVIMIENTOS!$D$5:$D$400="jabas")*(ROW(MOVIMIENTOS!$B$5:$B$400)&lt;=$L39)*MOVIMIENTOS!$E$5:$E$400)+SUMPRODUCT((MOVIMIENTOS!$B$5:$B$400="DEVOLUCIÓN")*(MOVIMIENTOS!$C$5:$C$400="C")*(MOVIMIENTOS!$D$5:$D$400="jabas")*(ROW(MOVIMIENTOS!$B$5:$B$400)&lt;=$L39)*MOVIMIENTOS!$E$5:$E$400)-SUMPRODUCT((MOVIMIENTOS!$B$5:$B$400="TRASIEGO")*(MOVIMIENTOS!$C$5:$C$400="C")*(MOVIMIENTOS!$D$5:$D$400="jabas")*(ROW(MOVIMIENTOS!$B$5:$B$400)&lt;=$L39)*MOVIMIENTOS!$E$5:$E$400)-SUMPRODUCT((MOVIMIENTOS!$B$5:$B$400="REGALO")*(MOVIMIENTOS!$C$5:$C$400="C")*(MOVIMIENTOS!$D$5:$D$400="jabas")*(ROW(MOVIMIENTOS!$B$5:$B$400)&lt;=$L39)*MOVIMIENTOS!$E$5:$E$400)-SUMPRODUCT((MOVIMIENTOS!$B$5:$B$400="VENTA")*(MOVIMIENTOS!$C$5:$C$400="C")*(MOVIMIENTOS!$D$5:$D$400="jabas")*(ROW(MOVIMIENTOS!$B$5:$B$400)&lt;=$L39)*MOVIMIENTOS!$E$5:$E$400)+SUMPRODUCT((MOVIMIENTOS!$B$5:$B$400="AJUSTE")*(MOVIMIENTOS!$C$5:$C$400="C")*(MOVIMIENTOS!$D$5:$D$400="jabas")*(ROW(MOVIMIENTOS!$B$5:$B$400)&lt;=$L39)*MOVIMIENTOS!$E$5:$E$400))</f>
        <v/>
      </c>
      <c r="E39" s="12" t="str">
        <f>IF($A39="","",SUMPRODUCT((MOVIMIENTOS!$B$5:$B$400="SALDO INICIAL")*(MOVIMIENTOS!$C$5:$C$400="M")*(MOVIMIENTOS!$D$5:$D$400="jabas")*(ROW(MOVIMIENTOS!$B$5:$B$400)&lt;=$L39)*MOVIMIENTOS!$E$5:$E$400)+SUMPRODUCT((MOVIMIENTOS!$B$5:$B$400="PROCESO")*(MOVIMIENTOS!$C$5:$C$400="M")*(MOVIMIENTOS!$D$5:$D$400="jabas")*(ROW(MOVIMIENTOS!$B$5:$B$400)&lt;=$L39)*MOVIMIENTOS!$E$5:$E$400)-SUMPRODUCT((MOVIMIENTOS!$B$5:$B$400="ENVÍO A SUPESA")*(MOVIMIENTOS!$C$5:$C$400="M")*(MOVIMIENTOS!$D$5:$D$400="jabas")*(ROW(MOVIMIENTOS!$B$5:$B$400)&lt;=$L39)*MOVIMIENTOS!$E$5:$E$400)+SUMPRODUCT((MOVIMIENTOS!$B$5:$B$400="DEVOLUCIÓN")*(MOVIMIENTOS!$C$5:$C$400="M")*(MOVIMIENTOS!$D$5:$D$400="jabas")*(ROW(MOVIMIENTOS!$B$5:$B$400)&lt;=$L39)*MOVIMIENTOS!$E$5:$E$400)-SUMPRODUCT((MOVIMIENTOS!$B$5:$B$400="TRASIEGO")*(MOVIMIENTOS!$C$5:$C$400="M")*(MOVIMIENTOS!$D$5:$D$400="jabas")*(ROW(MOVIMIENTOS!$B$5:$B$400)&lt;=$L39)*MOVIMIENTOS!$E$5:$E$400)-SUMPRODUCT((MOVIMIENTOS!$B$5:$B$400="REGALO")*(MOVIMIENTOS!$C$5:$C$400="M")*(MOVIMIENTOS!$D$5:$D$400="jabas")*(ROW(MOVIMIENTOS!$B$5:$B$400)&lt;=$L39)*MOVIMIENTOS!$E$5:$E$400)-SUMPRODUCT((MOVIMIENTOS!$B$5:$B$400="VENTA")*(MOVIMIENTOS!$C$5:$C$400="M")*(MOVIMIENTOS!$D$5:$D$400="jabas")*(ROW(MOVIMIENTOS!$B$5:$B$400)&lt;=$L39)*MOVIMIENTOS!$E$5:$E$400)+SUMPRODUCT((MOVIMIENTOS!$B$5:$B$400="AJUSTE")*(MOVIMIENTOS!$C$5:$C$400="M")*(MOVIMIENTOS!$D$5:$D$400="jabas")*(ROW(MOVIMIENTOS!$B$5:$B$400)&lt;=$L39)*MOVIMIENTOS!$E$5:$E$400))</f>
        <v/>
      </c>
      <c r="F39" s="12" t="str">
        <f>IF($A39="","",SUMPRODUCT((MOVIMIENTOS!$B$5:$B$400="SALDO INICIAL")*(MOVIMIENTOS!$C$5:$C$400="Chancho")*(MOVIMIENTOS!$D$5:$D$400="sacos")*(ROW(MOVIMIENTOS!$B$5:$B$400)&lt;=$L39)*MOVIMIENTOS!$E$5:$E$400)+SUMPRODUCT((MOVIMIENTOS!$B$5:$B$400="PROCESO")*(MOVIMIENTOS!$C$5:$C$400="Chancho")*(MOVIMIENTOS!$D$5:$D$400="sacos")*(ROW(MOVIMIENTOS!$B$5:$B$400)&lt;=$L39)*MOVIMIENTOS!$E$5:$E$400)-SUMPRODUCT((MOVIMIENTOS!$B$5:$B$400="VENTA CHANCHO")*(MOVIMIENTOS!$C$5:$C$400="Chancho")*(MOVIMIENTOS!$D$5:$D$400="sacos")*(ROW(MOVIMIENTOS!$B$5:$B$400)&lt;=$L39)*MOVIMIENTOS!$E$5:$E$400)-SUMPRODUCT((MOVIMIENTOS!$B$5:$B$400="REGALO")*(MOVIMIENTOS!$C$5:$C$400="Chancho")*(MOVIMIENTOS!$D$5:$D$400="sacos")*(ROW(MOVIMIENTOS!$B$5:$B$400)&lt;=$L39)*MOVIMIENTOS!$E$5:$E$400)-SUMPRODUCT((MOVIMIENTOS!$B$5:$B$400="VENTA")*(MOVIMIENTOS!$C$5:$C$400="Chancho")*(MOVIMIENTOS!$D$5:$D$400="sacos")*(ROW(MOVIMIENTOS!$B$5:$B$400)&lt;=$L39)*MOVIMIENTOS!$E$5:$E$400)+SUMPRODUCT((MOVIMIENTOS!$B$5:$B$400="AJUSTE")*(MOVIMIENTOS!$C$5:$C$400="Chancho")*(MOVIMIENTOS!$D$5:$D$400="sacos")*(ROW(MOVIMIENTOS!$B$5:$B$400)&lt;=$L39)*MOVIMIENTOS!$E$5:$E$400))</f>
        <v/>
      </c>
      <c r="G39" s="12" t="str">
        <f t="shared" si="3"/>
        <v/>
      </c>
      <c r="H39" s="12" t="str">
        <f>IF($A39="","",SUMPRODUCT((((MOVIMIENTOS!$B$5:$B$400="SALDO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39)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39)*MOVIMIENTOS!$I$5:$I$400))</f>
        <v/>
      </c>
      <c r="J39" t="str">
        <f>IF(AND(MOVIMIENTOS!$A39&lt;&gt;"",COUNTIF(MOVIMIENTOS!$A$5:$A38,MOVIMIENTOS!$A39)=0),COUNT(J$4:J38)+1,"")</f>
        <v/>
      </c>
      <c r="K39" s="10">
        <f>MOVIMIENTOS!$A39</f>
        <v>46218</v>
      </c>
      <c r="L39" t="str">
        <f>IF($A39="","",SUMPRODUCT(MAX((MOVIMIENTOS!$A$5:$A$400=$A39)*ROW(MOVIMIENTOS!$A$5:$A$400))))</f>
        <v/>
      </c>
    </row>
    <row r="40" spans="1:12" x14ac:dyDescent="0.2">
      <c r="A40" s="11" t="str">
        <f t="shared" si="2"/>
        <v/>
      </c>
      <c r="B40" s="12" t="str">
        <f>IF($A40="","",SUMPRODUCT((MOVIMIENTOS!$B$5:$B$400="SALDO INICIAL")*(MOVIMIENTOS!$C$5:$C$400="A")*(MOVIMIENTOS!$D$5:$D$400="jabas")*(ROW(MOVIMIENTOS!$B$5:$B$400)&lt;=$L40)*MOVIMIENTOS!$E$5:$E$400)+SUMPRODUCT((MOVIMIENTOS!$B$5:$B$400="PROCESO")*(MOVIMIENTOS!$C$5:$C$400="A")*(MOVIMIENTOS!$D$5:$D$400="jabas")*(ROW(MOVIMIENTOS!$B$5:$B$400)&lt;=$L40)*MOVIMIENTOS!$E$5:$E$400)-SUMPRODUCT((MOVIMIENTOS!$B$5:$B$400="ENVÍO A SUPESA")*(MOVIMIENTOS!$C$5:$C$400="A")*(MOVIMIENTOS!$D$5:$D$400="jabas")*(ROW(MOVIMIENTOS!$B$5:$B$400)&lt;=$L40)*MOVIMIENTOS!$E$5:$E$400)+SUMPRODUCT((MOVIMIENTOS!$B$5:$B$400="DEVOLUCIÓN")*(MOVIMIENTOS!$C$5:$C$400="A")*(MOVIMIENTOS!$D$5:$D$400="jabas")*(ROW(MOVIMIENTOS!$B$5:$B$400)&lt;=$L40)*MOVIMIENTOS!$E$5:$E$400)-SUMPRODUCT((MOVIMIENTOS!$B$5:$B$400="TRASIEGO")*(MOVIMIENTOS!$C$5:$C$400="A")*(MOVIMIENTOS!$D$5:$D$400="jabas")*(ROW(MOVIMIENTOS!$B$5:$B$400)&lt;=$L40)*MOVIMIENTOS!$E$5:$E$400)-SUMPRODUCT((MOVIMIENTOS!$B$5:$B$400="REGALO")*(MOVIMIENTOS!$C$5:$C$400="A")*(MOVIMIENTOS!$D$5:$D$400="jabas")*(ROW(MOVIMIENTOS!$B$5:$B$400)&lt;=$L40)*MOVIMIENTOS!$E$5:$E$400)-SUMPRODUCT((MOVIMIENTOS!$B$5:$B$400="VENTA")*(MOVIMIENTOS!$C$5:$C$400="A")*(MOVIMIENTOS!$D$5:$D$400="jabas")*(ROW(MOVIMIENTOS!$B$5:$B$400)&lt;=$L40)*MOVIMIENTOS!$E$5:$E$400)+SUMPRODUCT((MOVIMIENTOS!$B$5:$B$400="AJUSTE")*(MOVIMIENTOS!$C$5:$C$400="A")*(MOVIMIENTOS!$D$5:$D$400="jabas")*(ROW(MOVIMIENTOS!$B$5:$B$400)&lt;=$L40)*MOVIMIENTOS!$E$5:$E$400))</f>
        <v/>
      </c>
      <c r="C40" s="12" t="str">
        <f>IF($A40="","",SUMPRODUCT((MOVIMIENTOS!$B$5:$B$400="SALDO INICIAL")*(MOVIMIENTOS!$C$5:$C$400="P")*(MOVIMIENTOS!$D$5:$D$400="jabas")*(ROW(MOVIMIENTOS!$B$5:$B$400)&lt;=$L40)*MOVIMIENTOS!$E$5:$E$400)+SUMPRODUCT((MOVIMIENTOS!$B$5:$B$400="PROCESO")*(MOVIMIENTOS!$C$5:$C$400="P")*(MOVIMIENTOS!$D$5:$D$400="jabas")*(ROW(MOVIMIENTOS!$B$5:$B$400)&lt;=$L40)*MOVIMIENTOS!$E$5:$E$400)-SUMPRODUCT((MOVIMIENTOS!$B$5:$B$400="ENVÍO A SUPESA")*(MOVIMIENTOS!$C$5:$C$400="P")*(MOVIMIENTOS!$D$5:$D$400="jabas")*(ROW(MOVIMIENTOS!$B$5:$B$400)&lt;=$L40)*MOVIMIENTOS!$E$5:$E$400)+SUMPRODUCT((MOVIMIENTOS!$B$5:$B$400="DEVOLUCIÓN")*(MOVIMIENTOS!$C$5:$C$400="P")*(MOVIMIENTOS!$D$5:$D$400="jabas")*(ROW(MOVIMIENTOS!$B$5:$B$400)&lt;=$L40)*MOVIMIENTOS!$E$5:$E$400)-SUMPRODUCT((MOVIMIENTOS!$B$5:$B$400="TRASIEGO")*(MOVIMIENTOS!$C$5:$C$400="P")*(MOVIMIENTOS!$D$5:$D$400="jabas")*(ROW(MOVIMIENTOS!$B$5:$B$400)&lt;=$L40)*MOVIMIENTOS!$E$5:$E$400)-SUMPRODUCT((MOVIMIENTOS!$B$5:$B$400="REGALO")*(MOVIMIENTOS!$C$5:$C$400="P")*(MOVIMIENTOS!$D$5:$D$400="jabas")*(ROW(MOVIMIENTOS!$B$5:$B$400)&lt;=$L40)*MOVIMIENTOS!$E$5:$E$400)-SUMPRODUCT((MOVIMIENTOS!$B$5:$B$400="VENTA")*(MOVIMIENTOS!$C$5:$C$400="P")*(MOVIMIENTOS!$D$5:$D$400="jabas")*(ROW(MOVIMIENTOS!$B$5:$B$400)&lt;=$L40)*MOVIMIENTOS!$E$5:$E$400)+SUMPRODUCT((MOVIMIENTOS!$B$5:$B$400="AJUSTE")*(MOVIMIENTOS!$C$5:$C$400="P")*(MOVIMIENTOS!$D$5:$D$400="jabas")*(ROW(MOVIMIENTOS!$B$5:$B$400)&lt;=$L40)*MOVIMIENTOS!$E$5:$E$400))</f>
        <v/>
      </c>
      <c r="D40" s="12" t="str">
        <f>IF($A40="","",SUMPRODUCT((MOVIMIENTOS!$B$5:$B$400="SALDO INICIAL")*(MOVIMIENTOS!$C$5:$C$400="C")*(MOVIMIENTOS!$D$5:$D$400="jabas")*(ROW(MOVIMIENTOS!$B$5:$B$400)&lt;=$L40)*MOVIMIENTOS!$E$5:$E$400)+SUMPRODUCT((MOVIMIENTOS!$B$5:$B$400="PROCESO")*(MOVIMIENTOS!$C$5:$C$400="C")*(MOVIMIENTOS!$D$5:$D$400="jabas")*(ROW(MOVIMIENTOS!$B$5:$B$400)&lt;=$L40)*MOVIMIENTOS!$E$5:$E$400)-SUMPRODUCT((MOVIMIENTOS!$B$5:$B$400="ENVÍO A SUPESA")*(MOVIMIENTOS!$C$5:$C$400="C")*(MOVIMIENTOS!$D$5:$D$400="jabas")*(ROW(MOVIMIENTOS!$B$5:$B$400)&lt;=$L40)*MOVIMIENTOS!$E$5:$E$400)+SUMPRODUCT((MOVIMIENTOS!$B$5:$B$400="DEVOLUCIÓN")*(MOVIMIENTOS!$C$5:$C$400="C")*(MOVIMIENTOS!$D$5:$D$400="jabas")*(ROW(MOVIMIENTOS!$B$5:$B$400)&lt;=$L40)*MOVIMIENTOS!$E$5:$E$400)-SUMPRODUCT((MOVIMIENTOS!$B$5:$B$400="TRASIEGO")*(MOVIMIENTOS!$C$5:$C$400="C")*(MOVIMIENTOS!$D$5:$D$400="jabas")*(ROW(MOVIMIENTOS!$B$5:$B$400)&lt;=$L40)*MOVIMIENTOS!$E$5:$E$400)-SUMPRODUCT((MOVIMIENTOS!$B$5:$B$400="REGALO")*(MOVIMIENTOS!$C$5:$C$400="C")*(MOVIMIENTOS!$D$5:$D$400="jabas")*(ROW(MOVIMIENTOS!$B$5:$B$400)&lt;=$L40)*MOVIMIENTOS!$E$5:$E$400)-SUMPRODUCT((MOVIMIENTOS!$B$5:$B$400="VENTA")*(MOVIMIENTOS!$C$5:$C$400="C")*(MOVIMIENTOS!$D$5:$D$400="jabas")*(ROW(MOVIMIENTOS!$B$5:$B$400)&lt;=$L40)*MOVIMIENTOS!$E$5:$E$400)+SUMPRODUCT((MOVIMIENTOS!$B$5:$B$400="AJUSTE")*(MOVIMIENTOS!$C$5:$C$400="C")*(MOVIMIENTOS!$D$5:$D$400="jabas")*(ROW(MOVIMIENTOS!$B$5:$B$400)&lt;=$L40)*MOVIMIENTOS!$E$5:$E$400))</f>
        <v/>
      </c>
      <c r="E40" s="12" t="str">
        <f>IF($A40="","",SUMPRODUCT((MOVIMIENTOS!$B$5:$B$400="SALDO INICIAL")*(MOVIMIENTOS!$C$5:$C$400="M")*(MOVIMIENTOS!$D$5:$D$400="jabas")*(ROW(MOVIMIENTOS!$B$5:$B$400)&lt;=$L40)*MOVIMIENTOS!$E$5:$E$400)+SUMPRODUCT((MOVIMIENTOS!$B$5:$B$400="PROCESO")*(MOVIMIENTOS!$C$5:$C$400="M")*(MOVIMIENTOS!$D$5:$D$400="jabas")*(ROW(MOVIMIENTOS!$B$5:$B$400)&lt;=$L40)*MOVIMIENTOS!$E$5:$E$400)-SUMPRODUCT((MOVIMIENTOS!$B$5:$B$400="ENVÍO A SUPESA")*(MOVIMIENTOS!$C$5:$C$400="M")*(MOVIMIENTOS!$D$5:$D$400="jabas")*(ROW(MOVIMIENTOS!$B$5:$B$400)&lt;=$L40)*MOVIMIENTOS!$E$5:$E$400)+SUMPRODUCT((MOVIMIENTOS!$B$5:$B$400="DEVOLUCIÓN")*(MOVIMIENTOS!$C$5:$C$400="M")*(MOVIMIENTOS!$D$5:$D$400="jabas")*(ROW(MOVIMIENTOS!$B$5:$B$400)&lt;=$L40)*MOVIMIENTOS!$E$5:$E$400)-SUMPRODUCT((MOVIMIENTOS!$B$5:$B$400="TRASIEGO")*(MOVIMIENTOS!$C$5:$C$400="M")*(MOVIMIENTOS!$D$5:$D$400="jabas")*(ROW(MOVIMIENTOS!$B$5:$B$400)&lt;=$L40)*MOVIMIENTOS!$E$5:$E$400)-SUMPRODUCT((MOVIMIENTOS!$B$5:$B$400="REGALO")*(MOVIMIENTOS!$C$5:$C$400="M")*(MOVIMIENTOS!$D$5:$D$400="jabas")*(ROW(MOVIMIENTOS!$B$5:$B$400)&lt;=$L40)*MOVIMIENTOS!$E$5:$E$400)-SUMPRODUCT((MOVIMIENTOS!$B$5:$B$400="VENTA")*(MOVIMIENTOS!$C$5:$C$400="M")*(MOVIMIENTOS!$D$5:$D$400="jabas")*(ROW(MOVIMIENTOS!$B$5:$B$400)&lt;=$L40)*MOVIMIENTOS!$E$5:$E$400)+SUMPRODUCT((MOVIMIENTOS!$B$5:$B$400="AJUSTE")*(MOVIMIENTOS!$C$5:$C$400="M")*(MOVIMIENTOS!$D$5:$D$400="jabas")*(ROW(MOVIMIENTOS!$B$5:$B$400)&lt;=$L40)*MOVIMIENTOS!$E$5:$E$400))</f>
        <v/>
      </c>
      <c r="F40" s="12" t="str">
        <f>IF($A40="","",SUMPRODUCT((MOVIMIENTOS!$B$5:$B$400="SALDO INICIAL")*(MOVIMIENTOS!$C$5:$C$400="Chancho")*(MOVIMIENTOS!$D$5:$D$400="sacos")*(ROW(MOVIMIENTOS!$B$5:$B$400)&lt;=$L40)*MOVIMIENTOS!$E$5:$E$400)+SUMPRODUCT((MOVIMIENTOS!$B$5:$B$400="PROCESO")*(MOVIMIENTOS!$C$5:$C$400="Chancho")*(MOVIMIENTOS!$D$5:$D$400="sacos")*(ROW(MOVIMIENTOS!$B$5:$B$400)&lt;=$L40)*MOVIMIENTOS!$E$5:$E$400)-SUMPRODUCT((MOVIMIENTOS!$B$5:$B$400="VENTA CHANCHO")*(MOVIMIENTOS!$C$5:$C$400="Chancho")*(MOVIMIENTOS!$D$5:$D$400="sacos")*(ROW(MOVIMIENTOS!$B$5:$B$400)&lt;=$L40)*MOVIMIENTOS!$E$5:$E$400)-SUMPRODUCT((MOVIMIENTOS!$B$5:$B$400="REGALO")*(MOVIMIENTOS!$C$5:$C$400="Chancho")*(MOVIMIENTOS!$D$5:$D$400="sacos")*(ROW(MOVIMIENTOS!$B$5:$B$400)&lt;=$L40)*MOVIMIENTOS!$E$5:$E$400)-SUMPRODUCT((MOVIMIENTOS!$B$5:$B$400="VENTA")*(MOVIMIENTOS!$C$5:$C$400="Chancho")*(MOVIMIENTOS!$D$5:$D$400="sacos")*(ROW(MOVIMIENTOS!$B$5:$B$400)&lt;=$L40)*MOVIMIENTOS!$E$5:$E$400)+SUMPRODUCT((MOVIMIENTOS!$B$5:$B$400="AJUSTE")*(MOVIMIENTOS!$C$5:$C$400="Chancho")*(MOVIMIENTOS!$D$5:$D$400="sacos")*(ROW(MOVIMIENTOS!$B$5:$B$400)&lt;=$L40)*MOVIMIENTOS!$E$5:$E$400))</f>
        <v/>
      </c>
      <c r="G40" s="12" t="str">
        <f t="shared" si="3"/>
        <v/>
      </c>
      <c r="H40" s="12" t="str">
        <f>IF($A40="","",SUMPRODUCT((((MOVIMIENTOS!$B$5:$B$400="SALDO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40)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40)*MOVIMIENTOS!$I$5:$I$400))</f>
        <v/>
      </c>
      <c r="J40" t="str">
        <f>IF(AND(MOVIMIENTOS!$A40&lt;&gt;"",COUNTIF(MOVIMIENTOS!$A$5:$A39,MOVIMIENTOS!$A40)=0),COUNT(J$4:J39)+1,"")</f>
        <v/>
      </c>
      <c r="K40" s="10">
        <f>MOVIMIENTOS!$A40</f>
        <v>46218</v>
      </c>
      <c r="L40" t="str">
        <f>IF($A40="","",SUMPRODUCT(MAX((MOVIMIENTOS!$A$5:$A$400=$A40)*ROW(MOVIMIENTOS!$A$5:$A$400))))</f>
        <v/>
      </c>
    </row>
    <row r="41" spans="1:12" x14ac:dyDescent="0.2">
      <c r="A41" s="11" t="str">
        <f t="shared" si="2"/>
        <v/>
      </c>
      <c r="B41" s="12" t="str">
        <f>IF($A41="","",SUMPRODUCT((MOVIMIENTOS!$B$5:$B$400="SALDO INICIAL")*(MOVIMIENTOS!$C$5:$C$400="A")*(MOVIMIENTOS!$D$5:$D$400="jabas")*(ROW(MOVIMIENTOS!$B$5:$B$400)&lt;=$L41)*MOVIMIENTOS!$E$5:$E$400)+SUMPRODUCT((MOVIMIENTOS!$B$5:$B$400="PROCESO")*(MOVIMIENTOS!$C$5:$C$400="A")*(MOVIMIENTOS!$D$5:$D$400="jabas")*(ROW(MOVIMIENTOS!$B$5:$B$400)&lt;=$L41)*MOVIMIENTOS!$E$5:$E$400)-SUMPRODUCT((MOVIMIENTOS!$B$5:$B$400="ENVÍO A SUPESA")*(MOVIMIENTOS!$C$5:$C$400="A")*(MOVIMIENTOS!$D$5:$D$400="jabas")*(ROW(MOVIMIENTOS!$B$5:$B$400)&lt;=$L41)*MOVIMIENTOS!$E$5:$E$400)+SUMPRODUCT((MOVIMIENTOS!$B$5:$B$400="DEVOLUCIÓN")*(MOVIMIENTOS!$C$5:$C$400="A")*(MOVIMIENTOS!$D$5:$D$400="jabas")*(ROW(MOVIMIENTOS!$B$5:$B$400)&lt;=$L41)*MOVIMIENTOS!$E$5:$E$400)-SUMPRODUCT((MOVIMIENTOS!$B$5:$B$400="TRASIEGO")*(MOVIMIENTOS!$C$5:$C$400="A")*(MOVIMIENTOS!$D$5:$D$400="jabas")*(ROW(MOVIMIENTOS!$B$5:$B$400)&lt;=$L41)*MOVIMIENTOS!$E$5:$E$400)-SUMPRODUCT((MOVIMIENTOS!$B$5:$B$400="REGALO")*(MOVIMIENTOS!$C$5:$C$400="A")*(MOVIMIENTOS!$D$5:$D$400="jabas")*(ROW(MOVIMIENTOS!$B$5:$B$400)&lt;=$L41)*MOVIMIENTOS!$E$5:$E$400)-SUMPRODUCT((MOVIMIENTOS!$B$5:$B$400="VENTA")*(MOVIMIENTOS!$C$5:$C$400="A")*(MOVIMIENTOS!$D$5:$D$400="jabas")*(ROW(MOVIMIENTOS!$B$5:$B$400)&lt;=$L41)*MOVIMIENTOS!$E$5:$E$400)+SUMPRODUCT((MOVIMIENTOS!$B$5:$B$400="AJUSTE")*(MOVIMIENTOS!$C$5:$C$400="A")*(MOVIMIENTOS!$D$5:$D$400="jabas")*(ROW(MOVIMIENTOS!$B$5:$B$400)&lt;=$L41)*MOVIMIENTOS!$E$5:$E$400))</f>
        <v/>
      </c>
      <c r="C41" s="12" t="str">
        <f>IF($A41="","",SUMPRODUCT((MOVIMIENTOS!$B$5:$B$400="SALDO INICIAL")*(MOVIMIENTOS!$C$5:$C$400="P")*(MOVIMIENTOS!$D$5:$D$400="jabas")*(ROW(MOVIMIENTOS!$B$5:$B$400)&lt;=$L41)*MOVIMIENTOS!$E$5:$E$400)+SUMPRODUCT((MOVIMIENTOS!$B$5:$B$400="PROCESO")*(MOVIMIENTOS!$C$5:$C$400="P")*(MOVIMIENTOS!$D$5:$D$400="jabas")*(ROW(MOVIMIENTOS!$B$5:$B$400)&lt;=$L41)*MOVIMIENTOS!$E$5:$E$400)-SUMPRODUCT((MOVIMIENTOS!$B$5:$B$400="ENVÍO A SUPESA")*(MOVIMIENTOS!$C$5:$C$400="P")*(MOVIMIENTOS!$D$5:$D$400="jabas")*(ROW(MOVIMIENTOS!$B$5:$B$400)&lt;=$L41)*MOVIMIENTOS!$E$5:$E$400)+SUMPRODUCT((MOVIMIENTOS!$B$5:$B$400="DEVOLUCIÓN")*(MOVIMIENTOS!$C$5:$C$400="P")*(MOVIMIENTOS!$D$5:$D$400="jabas")*(ROW(MOVIMIENTOS!$B$5:$B$400)&lt;=$L41)*MOVIMIENTOS!$E$5:$E$400)-SUMPRODUCT((MOVIMIENTOS!$B$5:$B$400="TRASIEGO")*(MOVIMIENTOS!$C$5:$C$400="P")*(MOVIMIENTOS!$D$5:$D$400="jabas")*(ROW(MOVIMIENTOS!$B$5:$B$400)&lt;=$L41)*MOVIMIENTOS!$E$5:$E$400)-SUMPRODUCT((MOVIMIENTOS!$B$5:$B$400="REGALO")*(MOVIMIENTOS!$C$5:$C$400="P")*(MOVIMIENTOS!$D$5:$D$400="jabas")*(ROW(MOVIMIENTOS!$B$5:$B$400)&lt;=$L41)*MOVIMIENTOS!$E$5:$E$400)-SUMPRODUCT((MOVIMIENTOS!$B$5:$B$400="VENTA")*(MOVIMIENTOS!$C$5:$C$400="P")*(MOVIMIENTOS!$D$5:$D$400="jabas")*(ROW(MOVIMIENTOS!$B$5:$B$400)&lt;=$L41)*MOVIMIENTOS!$E$5:$E$400)+SUMPRODUCT((MOVIMIENTOS!$B$5:$B$400="AJUSTE")*(MOVIMIENTOS!$C$5:$C$400="P")*(MOVIMIENTOS!$D$5:$D$400="jabas")*(ROW(MOVIMIENTOS!$B$5:$B$400)&lt;=$L41)*MOVIMIENTOS!$E$5:$E$400))</f>
        <v/>
      </c>
      <c r="D41" s="12" t="str">
        <f>IF($A41="","",SUMPRODUCT((MOVIMIENTOS!$B$5:$B$400="SALDO INICIAL")*(MOVIMIENTOS!$C$5:$C$400="C")*(MOVIMIENTOS!$D$5:$D$400="jabas")*(ROW(MOVIMIENTOS!$B$5:$B$400)&lt;=$L41)*MOVIMIENTOS!$E$5:$E$400)+SUMPRODUCT((MOVIMIENTOS!$B$5:$B$400="PROCESO")*(MOVIMIENTOS!$C$5:$C$400="C")*(MOVIMIENTOS!$D$5:$D$400="jabas")*(ROW(MOVIMIENTOS!$B$5:$B$400)&lt;=$L41)*MOVIMIENTOS!$E$5:$E$400)-SUMPRODUCT((MOVIMIENTOS!$B$5:$B$400="ENVÍO A SUPESA")*(MOVIMIENTOS!$C$5:$C$400="C")*(MOVIMIENTOS!$D$5:$D$400="jabas")*(ROW(MOVIMIENTOS!$B$5:$B$400)&lt;=$L41)*MOVIMIENTOS!$E$5:$E$400)+SUMPRODUCT((MOVIMIENTOS!$B$5:$B$400="DEVOLUCIÓN")*(MOVIMIENTOS!$C$5:$C$400="C")*(MOVIMIENTOS!$D$5:$D$400="jabas")*(ROW(MOVIMIENTOS!$B$5:$B$400)&lt;=$L41)*MOVIMIENTOS!$E$5:$E$400)-SUMPRODUCT((MOVIMIENTOS!$B$5:$B$400="TRASIEGO")*(MOVIMIENTOS!$C$5:$C$400="C")*(MOVIMIENTOS!$D$5:$D$400="jabas")*(ROW(MOVIMIENTOS!$B$5:$B$400)&lt;=$L41)*MOVIMIENTOS!$E$5:$E$400)-SUMPRODUCT((MOVIMIENTOS!$B$5:$B$400="REGALO")*(MOVIMIENTOS!$C$5:$C$400="C")*(MOVIMIENTOS!$D$5:$D$400="jabas")*(ROW(MOVIMIENTOS!$B$5:$B$400)&lt;=$L41)*MOVIMIENTOS!$E$5:$E$400)-SUMPRODUCT((MOVIMIENTOS!$B$5:$B$400="VENTA")*(MOVIMIENTOS!$C$5:$C$400="C")*(MOVIMIENTOS!$D$5:$D$400="jabas")*(ROW(MOVIMIENTOS!$B$5:$B$400)&lt;=$L41)*MOVIMIENTOS!$E$5:$E$400)+SUMPRODUCT((MOVIMIENTOS!$B$5:$B$400="AJUSTE")*(MOVIMIENTOS!$C$5:$C$400="C")*(MOVIMIENTOS!$D$5:$D$400="jabas")*(ROW(MOVIMIENTOS!$B$5:$B$400)&lt;=$L41)*MOVIMIENTOS!$E$5:$E$400))</f>
        <v/>
      </c>
      <c r="E41" s="12" t="str">
        <f>IF($A41="","",SUMPRODUCT((MOVIMIENTOS!$B$5:$B$400="SALDO INICIAL")*(MOVIMIENTOS!$C$5:$C$400="M")*(MOVIMIENTOS!$D$5:$D$400="jabas")*(ROW(MOVIMIENTOS!$B$5:$B$400)&lt;=$L41)*MOVIMIENTOS!$E$5:$E$400)+SUMPRODUCT((MOVIMIENTOS!$B$5:$B$400="PROCESO")*(MOVIMIENTOS!$C$5:$C$400="M")*(MOVIMIENTOS!$D$5:$D$400="jabas")*(ROW(MOVIMIENTOS!$B$5:$B$400)&lt;=$L41)*MOVIMIENTOS!$E$5:$E$400)-SUMPRODUCT((MOVIMIENTOS!$B$5:$B$400="ENVÍO A SUPESA")*(MOVIMIENTOS!$C$5:$C$400="M")*(MOVIMIENTOS!$D$5:$D$400="jabas")*(ROW(MOVIMIENTOS!$B$5:$B$400)&lt;=$L41)*MOVIMIENTOS!$E$5:$E$400)+SUMPRODUCT((MOVIMIENTOS!$B$5:$B$400="DEVOLUCIÓN")*(MOVIMIENTOS!$C$5:$C$400="M")*(MOVIMIENTOS!$D$5:$D$400="jabas")*(ROW(MOVIMIENTOS!$B$5:$B$400)&lt;=$L41)*MOVIMIENTOS!$E$5:$E$400)-SUMPRODUCT((MOVIMIENTOS!$B$5:$B$400="TRASIEGO")*(MOVIMIENTOS!$C$5:$C$400="M")*(MOVIMIENTOS!$D$5:$D$400="jabas")*(ROW(MOVIMIENTOS!$B$5:$B$400)&lt;=$L41)*MOVIMIENTOS!$E$5:$E$400)-SUMPRODUCT((MOVIMIENTOS!$B$5:$B$400="REGALO")*(MOVIMIENTOS!$C$5:$C$400="M")*(MOVIMIENTOS!$D$5:$D$400="jabas")*(ROW(MOVIMIENTOS!$B$5:$B$400)&lt;=$L41)*MOVIMIENTOS!$E$5:$E$400)-SUMPRODUCT((MOVIMIENTOS!$B$5:$B$400="VENTA")*(MOVIMIENTOS!$C$5:$C$400="M")*(MOVIMIENTOS!$D$5:$D$400="jabas")*(ROW(MOVIMIENTOS!$B$5:$B$400)&lt;=$L41)*MOVIMIENTOS!$E$5:$E$400)+SUMPRODUCT((MOVIMIENTOS!$B$5:$B$400="AJUSTE")*(MOVIMIENTOS!$C$5:$C$400="M")*(MOVIMIENTOS!$D$5:$D$400="jabas")*(ROW(MOVIMIENTOS!$B$5:$B$400)&lt;=$L41)*MOVIMIENTOS!$E$5:$E$400))</f>
        <v/>
      </c>
      <c r="F41" s="12" t="str">
        <f>IF($A41="","",SUMPRODUCT((MOVIMIENTOS!$B$5:$B$400="SALDO INICIAL")*(MOVIMIENTOS!$C$5:$C$400="Chancho")*(MOVIMIENTOS!$D$5:$D$400="sacos")*(ROW(MOVIMIENTOS!$B$5:$B$400)&lt;=$L41)*MOVIMIENTOS!$E$5:$E$400)+SUMPRODUCT((MOVIMIENTOS!$B$5:$B$400="PROCESO")*(MOVIMIENTOS!$C$5:$C$400="Chancho")*(MOVIMIENTOS!$D$5:$D$400="sacos")*(ROW(MOVIMIENTOS!$B$5:$B$400)&lt;=$L41)*MOVIMIENTOS!$E$5:$E$400)-SUMPRODUCT((MOVIMIENTOS!$B$5:$B$400="VENTA CHANCHO")*(MOVIMIENTOS!$C$5:$C$400="Chancho")*(MOVIMIENTOS!$D$5:$D$400="sacos")*(ROW(MOVIMIENTOS!$B$5:$B$400)&lt;=$L41)*MOVIMIENTOS!$E$5:$E$400)-SUMPRODUCT((MOVIMIENTOS!$B$5:$B$400="REGALO")*(MOVIMIENTOS!$C$5:$C$400="Chancho")*(MOVIMIENTOS!$D$5:$D$400="sacos")*(ROW(MOVIMIENTOS!$B$5:$B$400)&lt;=$L41)*MOVIMIENTOS!$E$5:$E$400)-SUMPRODUCT((MOVIMIENTOS!$B$5:$B$400="VENTA")*(MOVIMIENTOS!$C$5:$C$400="Chancho")*(MOVIMIENTOS!$D$5:$D$400="sacos")*(ROW(MOVIMIENTOS!$B$5:$B$400)&lt;=$L41)*MOVIMIENTOS!$E$5:$E$400)+SUMPRODUCT((MOVIMIENTOS!$B$5:$B$400="AJUSTE")*(MOVIMIENTOS!$C$5:$C$400="Chancho")*(MOVIMIENTOS!$D$5:$D$400="sacos")*(ROW(MOVIMIENTOS!$B$5:$B$400)&lt;=$L41)*MOVIMIENTOS!$E$5:$E$400))</f>
        <v/>
      </c>
      <c r="G41" s="12" t="str">
        <f t="shared" si="3"/>
        <v/>
      </c>
      <c r="H41" s="12" t="str">
        <f>IF($A41="","",SUMPRODUCT((((MOVIMIENTOS!$B$5:$B$400="SALDO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41)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41)*MOVIMIENTOS!$I$5:$I$400))</f>
        <v/>
      </c>
      <c r="J41" t="str">
        <f>IF(AND(MOVIMIENTOS!$A41&lt;&gt;"",COUNTIF(MOVIMIENTOS!$A$5:$A40,MOVIMIENTOS!$A41)=0),COUNT(J$4:J40)+1,"")</f>
        <v/>
      </c>
      <c r="K41" s="10">
        <f>MOVIMIENTOS!$A41</f>
        <v>46218</v>
      </c>
      <c r="L41" t="str">
        <f>IF($A41="","",SUMPRODUCT(MAX((MOVIMIENTOS!$A$5:$A$400=$A41)*ROW(MOVIMIENTOS!$A$5:$A$400))))</f>
        <v/>
      </c>
    </row>
    <row r="42" spans="1:12" x14ac:dyDescent="0.2">
      <c r="A42" s="11" t="str">
        <f t="shared" si="2"/>
        <v/>
      </c>
      <c r="B42" s="12" t="str">
        <f>IF($A42="","",SUMPRODUCT((MOVIMIENTOS!$B$5:$B$400="SALDO INICIAL")*(MOVIMIENTOS!$C$5:$C$400="A")*(MOVIMIENTOS!$D$5:$D$400="jabas")*(ROW(MOVIMIENTOS!$B$5:$B$400)&lt;=$L42)*MOVIMIENTOS!$E$5:$E$400)+SUMPRODUCT((MOVIMIENTOS!$B$5:$B$400="PROCESO")*(MOVIMIENTOS!$C$5:$C$400="A")*(MOVIMIENTOS!$D$5:$D$400="jabas")*(ROW(MOVIMIENTOS!$B$5:$B$400)&lt;=$L42)*MOVIMIENTOS!$E$5:$E$400)-SUMPRODUCT((MOVIMIENTOS!$B$5:$B$400="ENVÍO A SUPESA")*(MOVIMIENTOS!$C$5:$C$400="A")*(MOVIMIENTOS!$D$5:$D$400="jabas")*(ROW(MOVIMIENTOS!$B$5:$B$400)&lt;=$L42)*MOVIMIENTOS!$E$5:$E$400)+SUMPRODUCT((MOVIMIENTOS!$B$5:$B$400="DEVOLUCIÓN")*(MOVIMIENTOS!$C$5:$C$400="A")*(MOVIMIENTOS!$D$5:$D$400="jabas")*(ROW(MOVIMIENTOS!$B$5:$B$400)&lt;=$L42)*MOVIMIENTOS!$E$5:$E$400)-SUMPRODUCT((MOVIMIENTOS!$B$5:$B$400="TRASIEGO")*(MOVIMIENTOS!$C$5:$C$400="A")*(MOVIMIENTOS!$D$5:$D$400="jabas")*(ROW(MOVIMIENTOS!$B$5:$B$400)&lt;=$L42)*MOVIMIENTOS!$E$5:$E$400)-SUMPRODUCT((MOVIMIENTOS!$B$5:$B$400="REGALO")*(MOVIMIENTOS!$C$5:$C$400="A")*(MOVIMIENTOS!$D$5:$D$400="jabas")*(ROW(MOVIMIENTOS!$B$5:$B$400)&lt;=$L42)*MOVIMIENTOS!$E$5:$E$400)-SUMPRODUCT((MOVIMIENTOS!$B$5:$B$400="VENTA")*(MOVIMIENTOS!$C$5:$C$400="A")*(MOVIMIENTOS!$D$5:$D$400="jabas")*(ROW(MOVIMIENTOS!$B$5:$B$400)&lt;=$L42)*MOVIMIENTOS!$E$5:$E$400)+SUMPRODUCT((MOVIMIENTOS!$B$5:$B$400="AJUSTE")*(MOVIMIENTOS!$C$5:$C$400="A")*(MOVIMIENTOS!$D$5:$D$400="jabas")*(ROW(MOVIMIENTOS!$B$5:$B$400)&lt;=$L42)*MOVIMIENTOS!$E$5:$E$400))</f>
        <v/>
      </c>
      <c r="C42" s="12" t="str">
        <f>IF($A42="","",SUMPRODUCT((MOVIMIENTOS!$B$5:$B$400="SALDO INICIAL")*(MOVIMIENTOS!$C$5:$C$400="P")*(MOVIMIENTOS!$D$5:$D$400="jabas")*(ROW(MOVIMIENTOS!$B$5:$B$400)&lt;=$L42)*MOVIMIENTOS!$E$5:$E$400)+SUMPRODUCT((MOVIMIENTOS!$B$5:$B$400="PROCESO")*(MOVIMIENTOS!$C$5:$C$400="P")*(MOVIMIENTOS!$D$5:$D$400="jabas")*(ROW(MOVIMIENTOS!$B$5:$B$400)&lt;=$L42)*MOVIMIENTOS!$E$5:$E$400)-SUMPRODUCT((MOVIMIENTOS!$B$5:$B$400="ENVÍO A SUPESA")*(MOVIMIENTOS!$C$5:$C$400="P")*(MOVIMIENTOS!$D$5:$D$400="jabas")*(ROW(MOVIMIENTOS!$B$5:$B$400)&lt;=$L42)*MOVIMIENTOS!$E$5:$E$400)+SUMPRODUCT((MOVIMIENTOS!$B$5:$B$400="DEVOLUCIÓN")*(MOVIMIENTOS!$C$5:$C$400="P")*(MOVIMIENTOS!$D$5:$D$400="jabas")*(ROW(MOVIMIENTOS!$B$5:$B$400)&lt;=$L42)*MOVIMIENTOS!$E$5:$E$400)-SUMPRODUCT((MOVIMIENTOS!$B$5:$B$400="TRASIEGO")*(MOVIMIENTOS!$C$5:$C$400="P")*(MOVIMIENTOS!$D$5:$D$400="jabas")*(ROW(MOVIMIENTOS!$B$5:$B$400)&lt;=$L42)*MOVIMIENTOS!$E$5:$E$400)-SUMPRODUCT((MOVIMIENTOS!$B$5:$B$400="REGALO")*(MOVIMIENTOS!$C$5:$C$400="P")*(MOVIMIENTOS!$D$5:$D$400="jabas")*(ROW(MOVIMIENTOS!$B$5:$B$400)&lt;=$L42)*MOVIMIENTOS!$E$5:$E$400)-SUMPRODUCT((MOVIMIENTOS!$B$5:$B$400="VENTA")*(MOVIMIENTOS!$C$5:$C$400="P")*(MOVIMIENTOS!$D$5:$D$400="jabas")*(ROW(MOVIMIENTOS!$B$5:$B$400)&lt;=$L42)*MOVIMIENTOS!$E$5:$E$400)+SUMPRODUCT((MOVIMIENTOS!$B$5:$B$400="AJUSTE")*(MOVIMIENTOS!$C$5:$C$400="P")*(MOVIMIENTOS!$D$5:$D$400="jabas")*(ROW(MOVIMIENTOS!$B$5:$B$400)&lt;=$L42)*MOVIMIENTOS!$E$5:$E$400))</f>
        <v/>
      </c>
      <c r="D42" s="12" t="str">
        <f>IF($A42="","",SUMPRODUCT((MOVIMIENTOS!$B$5:$B$400="SALDO INICIAL")*(MOVIMIENTOS!$C$5:$C$400="C")*(MOVIMIENTOS!$D$5:$D$400="jabas")*(ROW(MOVIMIENTOS!$B$5:$B$400)&lt;=$L42)*MOVIMIENTOS!$E$5:$E$400)+SUMPRODUCT((MOVIMIENTOS!$B$5:$B$400="PROCESO")*(MOVIMIENTOS!$C$5:$C$400="C")*(MOVIMIENTOS!$D$5:$D$400="jabas")*(ROW(MOVIMIENTOS!$B$5:$B$400)&lt;=$L42)*MOVIMIENTOS!$E$5:$E$400)-SUMPRODUCT((MOVIMIENTOS!$B$5:$B$400="ENVÍO A SUPESA")*(MOVIMIENTOS!$C$5:$C$400="C")*(MOVIMIENTOS!$D$5:$D$400="jabas")*(ROW(MOVIMIENTOS!$B$5:$B$400)&lt;=$L42)*MOVIMIENTOS!$E$5:$E$400)+SUMPRODUCT((MOVIMIENTOS!$B$5:$B$400="DEVOLUCIÓN")*(MOVIMIENTOS!$C$5:$C$400="C")*(MOVIMIENTOS!$D$5:$D$400="jabas")*(ROW(MOVIMIENTOS!$B$5:$B$400)&lt;=$L42)*MOVIMIENTOS!$E$5:$E$400)-SUMPRODUCT((MOVIMIENTOS!$B$5:$B$400="TRASIEGO")*(MOVIMIENTOS!$C$5:$C$400="C")*(MOVIMIENTOS!$D$5:$D$400="jabas")*(ROW(MOVIMIENTOS!$B$5:$B$400)&lt;=$L42)*MOVIMIENTOS!$E$5:$E$400)-SUMPRODUCT((MOVIMIENTOS!$B$5:$B$400="REGALO")*(MOVIMIENTOS!$C$5:$C$400="C")*(MOVIMIENTOS!$D$5:$D$400="jabas")*(ROW(MOVIMIENTOS!$B$5:$B$400)&lt;=$L42)*MOVIMIENTOS!$E$5:$E$400)-SUMPRODUCT((MOVIMIENTOS!$B$5:$B$400="VENTA")*(MOVIMIENTOS!$C$5:$C$400="C")*(MOVIMIENTOS!$D$5:$D$400="jabas")*(ROW(MOVIMIENTOS!$B$5:$B$400)&lt;=$L42)*MOVIMIENTOS!$E$5:$E$400)+SUMPRODUCT((MOVIMIENTOS!$B$5:$B$400="AJUSTE")*(MOVIMIENTOS!$C$5:$C$400="C")*(MOVIMIENTOS!$D$5:$D$400="jabas")*(ROW(MOVIMIENTOS!$B$5:$B$400)&lt;=$L42)*MOVIMIENTOS!$E$5:$E$400))</f>
        <v/>
      </c>
      <c r="E42" s="12" t="str">
        <f>IF($A42="","",SUMPRODUCT((MOVIMIENTOS!$B$5:$B$400="SALDO INICIAL")*(MOVIMIENTOS!$C$5:$C$400="M")*(MOVIMIENTOS!$D$5:$D$400="jabas")*(ROW(MOVIMIENTOS!$B$5:$B$400)&lt;=$L42)*MOVIMIENTOS!$E$5:$E$400)+SUMPRODUCT((MOVIMIENTOS!$B$5:$B$400="PROCESO")*(MOVIMIENTOS!$C$5:$C$400="M")*(MOVIMIENTOS!$D$5:$D$400="jabas")*(ROW(MOVIMIENTOS!$B$5:$B$400)&lt;=$L42)*MOVIMIENTOS!$E$5:$E$400)-SUMPRODUCT((MOVIMIENTOS!$B$5:$B$400="ENVÍO A SUPESA")*(MOVIMIENTOS!$C$5:$C$400="M")*(MOVIMIENTOS!$D$5:$D$400="jabas")*(ROW(MOVIMIENTOS!$B$5:$B$400)&lt;=$L42)*MOVIMIENTOS!$E$5:$E$400)+SUMPRODUCT((MOVIMIENTOS!$B$5:$B$400="DEVOLUCIÓN")*(MOVIMIENTOS!$C$5:$C$400="M")*(MOVIMIENTOS!$D$5:$D$400="jabas")*(ROW(MOVIMIENTOS!$B$5:$B$400)&lt;=$L42)*MOVIMIENTOS!$E$5:$E$400)-SUMPRODUCT((MOVIMIENTOS!$B$5:$B$400="TRASIEGO")*(MOVIMIENTOS!$C$5:$C$400="M")*(MOVIMIENTOS!$D$5:$D$400="jabas")*(ROW(MOVIMIENTOS!$B$5:$B$400)&lt;=$L42)*MOVIMIENTOS!$E$5:$E$400)-SUMPRODUCT((MOVIMIENTOS!$B$5:$B$400="REGALO")*(MOVIMIENTOS!$C$5:$C$400="M")*(MOVIMIENTOS!$D$5:$D$400="jabas")*(ROW(MOVIMIENTOS!$B$5:$B$400)&lt;=$L42)*MOVIMIENTOS!$E$5:$E$400)-SUMPRODUCT((MOVIMIENTOS!$B$5:$B$400="VENTA")*(MOVIMIENTOS!$C$5:$C$400="M")*(MOVIMIENTOS!$D$5:$D$400="jabas")*(ROW(MOVIMIENTOS!$B$5:$B$400)&lt;=$L42)*MOVIMIENTOS!$E$5:$E$400)+SUMPRODUCT((MOVIMIENTOS!$B$5:$B$400="AJUSTE")*(MOVIMIENTOS!$C$5:$C$400="M")*(MOVIMIENTOS!$D$5:$D$400="jabas")*(ROW(MOVIMIENTOS!$B$5:$B$400)&lt;=$L42)*MOVIMIENTOS!$E$5:$E$400))</f>
        <v/>
      </c>
      <c r="F42" s="12" t="str">
        <f>IF($A42="","",SUMPRODUCT((MOVIMIENTOS!$B$5:$B$400="SALDO INICIAL")*(MOVIMIENTOS!$C$5:$C$400="Chancho")*(MOVIMIENTOS!$D$5:$D$400="sacos")*(ROW(MOVIMIENTOS!$B$5:$B$400)&lt;=$L42)*MOVIMIENTOS!$E$5:$E$400)+SUMPRODUCT((MOVIMIENTOS!$B$5:$B$400="PROCESO")*(MOVIMIENTOS!$C$5:$C$400="Chancho")*(MOVIMIENTOS!$D$5:$D$400="sacos")*(ROW(MOVIMIENTOS!$B$5:$B$400)&lt;=$L42)*MOVIMIENTOS!$E$5:$E$400)-SUMPRODUCT((MOVIMIENTOS!$B$5:$B$400="VENTA CHANCHO")*(MOVIMIENTOS!$C$5:$C$400="Chancho")*(MOVIMIENTOS!$D$5:$D$400="sacos")*(ROW(MOVIMIENTOS!$B$5:$B$400)&lt;=$L42)*MOVIMIENTOS!$E$5:$E$400)-SUMPRODUCT((MOVIMIENTOS!$B$5:$B$400="REGALO")*(MOVIMIENTOS!$C$5:$C$400="Chancho")*(MOVIMIENTOS!$D$5:$D$400="sacos")*(ROW(MOVIMIENTOS!$B$5:$B$400)&lt;=$L42)*MOVIMIENTOS!$E$5:$E$400)-SUMPRODUCT((MOVIMIENTOS!$B$5:$B$400="VENTA")*(MOVIMIENTOS!$C$5:$C$400="Chancho")*(MOVIMIENTOS!$D$5:$D$400="sacos")*(ROW(MOVIMIENTOS!$B$5:$B$400)&lt;=$L42)*MOVIMIENTOS!$E$5:$E$400)+SUMPRODUCT((MOVIMIENTOS!$B$5:$B$400="AJUSTE")*(MOVIMIENTOS!$C$5:$C$400="Chancho")*(MOVIMIENTOS!$D$5:$D$400="sacos")*(ROW(MOVIMIENTOS!$B$5:$B$400)&lt;=$L42)*MOVIMIENTOS!$E$5:$E$400))</f>
        <v/>
      </c>
      <c r="G42" s="12" t="str">
        <f t="shared" si="3"/>
        <v/>
      </c>
      <c r="H42" s="12" t="str">
        <f>IF($A42="","",SUMPRODUCT((((MOVIMIENTOS!$B$5:$B$400="SALDO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42)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42)*MOVIMIENTOS!$I$5:$I$400))</f>
        <v/>
      </c>
      <c r="J42" t="str">
        <f>IF(AND(MOVIMIENTOS!$A42&lt;&gt;"",COUNTIF(MOVIMIENTOS!$A$5:$A41,MOVIMIENTOS!$A42)=0),COUNT(J$4:J41)+1,"")</f>
        <v/>
      </c>
      <c r="K42" s="10">
        <f>MOVIMIENTOS!$A42</f>
        <v>46218</v>
      </c>
      <c r="L42" t="str">
        <f>IF($A42="","",SUMPRODUCT(MAX((MOVIMIENTOS!$A$5:$A$400=$A42)*ROW(MOVIMIENTOS!$A$5:$A$400))))</f>
        <v/>
      </c>
    </row>
    <row r="43" spans="1:12" x14ac:dyDescent="0.2">
      <c r="A43" s="11" t="str">
        <f t="shared" si="2"/>
        <v/>
      </c>
      <c r="B43" s="12" t="str">
        <f>IF($A43="","",SUMPRODUCT((MOVIMIENTOS!$B$5:$B$400="SALDO INICIAL")*(MOVIMIENTOS!$C$5:$C$400="A")*(MOVIMIENTOS!$D$5:$D$400="jabas")*(ROW(MOVIMIENTOS!$B$5:$B$400)&lt;=$L43)*MOVIMIENTOS!$E$5:$E$400)+SUMPRODUCT((MOVIMIENTOS!$B$5:$B$400="PROCESO")*(MOVIMIENTOS!$C$5:$C$400="A")*(MOVIMIENTOS!$D$5:$D$400="jabas")*(ROW(MOVIMIENTOS!$B$5:$B$400)&lt;=$L43)*MOVIMIENTOS!$E$5:$E$400)-SUMPRODUCT((MOVIMIENTOS!$B$5:$B$400="ENVÍO A SUPESA")*(MOVIMIENTOS!$C$5:$C$400="A")*(MOVIMIENTOS!$D$5:$D$400="jabas")*(ROW(MOVIMIENTOS!$B$5:$B$400)&lt;=$L43)*MOVIMIENTOS!$E$5:$E$400)+SUMPRODUCT((MOVIMIENTOS!$B$5:$B$400="DEVOLUCIÓN")*(MOVIMIENTOS!$C$5:$C$400="A")*(MOVIMIENTOS!$D$5:$D$400="jabas")*(ROW(MOVIMIENTOS!$B$5:$B$400)&lt;=$L43)*MOVIMIENTOS!$E$5:$E$400)-SUMPRODUCT((MOVIMIENTOS!$B$5:$B$400="TRASIEGO")*(MOVIMIENTOS!$C$5:$C$400="A")*(MOVIMIENTOS!$D$5:$D$400="jabas")*(ROW(MOVIMIENTOS!$B$5:$B$400)&lt;=$L43)*MOVIMIENTOS!$E$5:$E$400)-SUMPRODUCT((MOVIMIENTOS!$B$5:$B$400="REGALO")*(MOVIMIENTOS!$C$5:$C$400="A")*(MOVIMIENTOS!$D$5:$D$400="jabas")*(ROW(MOVIMIENTOS!$B$5:$B$400)&lt;=$L43)*MOVIMIENTOS!$E$5:$E$400)-SUMPRODUCT((MOVIMIENTOS!$B$5:$B$400="VENTA")*(MOVIMIENTOS!$C$5:$C$400="A")*(MOVIMIENTOS!$D$5:$D$400="jabas")*(ROW(MOVIMIENTOS!$B$5:$B$400)&lt;=$L43)*MOVIMIENTOS!$E$5:$E$400)+SUMPRODUCT((MOVIMIENTOS!$B$5:$B$400="AJUSTE")*(MOVIMIENTOS!$C$5:$C$400="A")*(MOVIMIENTOS!$D$5:$D$400="jabas")*(ROW(MOVIMIENTOS!$B$5:$B$400)&lt;=$L43)*MOVIMIENTOS!$E$5:$E$400))</f>
        <v/>
      </c>
      <c r="C43" s="12" t="str">
        <f>IF($A43="","",SUMPRODUCT((MOVIMIENTOS!$B$5:$B$400="SALDO INICIAL")*(MOVIMIENTOS!$C$5:$C$400="P")*(MOVIMIENTOS!$D$5:$D$400="jabas")*(ROW(MOVIMIENTOS!$B$5:$B$400)&lt;=$L43)*MOVIMIENTOS!$E$5:$E$400)+SUMPRODUCT((MOVIMIENTOS!$B$5:$B$400="PROCESO")*(MOVIMIENTOS!$C$5:$C$400="P")*(MOVIMIENTOS!$D$5:$D$400="jabas")*(ROW(MOVIMIENTOS!$B$5:$B$400)&lt;=$L43)*MOVIMIENTOS!$E$5:$E$400)-SUMPRODUCT((MOVIMIENTOS!$B$5:$B$400="ENVÍO A SUPESA")*(MOVIMIENTOS!$C$5:$C$400="P")*(MOVIMIENTOS!$D$5:$D$400="jabas")*(ROW(MOVIMIENTOS!$B$5:$B$400)&lt;=$L43)*MOVIMIENTOS!$E$5:$E$400)+SUMPRODUCT((MOVIMIENTOS!$B$5:$B$400="DEVOLUCIÓN")*(MOVIMIENTOS!$C$5:$C$400="P")*(MOVIMIENTOS!$D$5:$D$400="jabas")*(ROW(MOVIMIENTOS!$B$5:$B$400)&lt;=$L43)*MOVIMIENTOS!$E$5:$E$400)-SUMPRODUCT((MOVIMIENTOS!$B$5:$B$400="TRASIEGO")*(MOVIMIENTOS!$C$5:$C$400="P")*(MOVIMIENTOS!$D$5:$D$400="jabas")*(ROW(MOVIMIENTOS!$B$5:$B$400)&lt;=$L43)*MOVIMIENTOS!$E$5:$E$400)-SUMPRODUCT((MOVIMIENTOS!$B$5:$B$400="REGALO")*(MOVIMIENTOS!$C$5:$C$400="P")*(MOVIMIENTOS!$D$5:$D$400="jabas")*(ROW(MOVIMIENTOS!$B$5:$B$400)&lt;=$L43)*MOVIMIENTOS!$E$5:$E$400)-SUMPRODUCT((MOVIMIENTOS!$B$5:$B$400="VENTA")*(MOVIMIENTOS!$C$5:$C$400="P")*(MOVIMIENTOS!$D$5:$D$400="jabas")*(ROW(MOVIMIENTOS!$B$5:$B$400)&lt;=$L43)*MOVIMIENTOS!$E$5:$E$400)+SUMPRODUCT((MOVIMIENTOS!$B$5:$B$400="AJUSTE")*(MOVIMIENTOS!$C$5:$C$400="P")*(MOVIMIENTOS!$D$5:$D$400="jabas")*(ROW(MOVIMIENTOS!$B$5:$B$400)&lt;=$L43)*MOVIMIENTOS!$E$5:$E$400))</f>
        <v/>
      </c>
      <c r="D43" s="12" t="str">
        <f>IF($A43="","",SUMPRODUCT((MOVIMIENTOS!$B$5:$B$400="SALDO INICIAL")*(MOVIMIENTOS!$C$5:$C$400="C")*(MOVIMIENTOS!$D$5:$D$400="jabas")*(ROW(MOVIMIENTOS!$B$5:$B$400)&lt;=$L43)*MOVIMIENTOS!$E$5:$E$400)+SUMPRODUCT((MOVIMIENTOS!$B$5:$B$400="PROCESO")*(MOVIMIENTOS!$C$5:$C$400="C")*(MOVIMIENTOS!$D$5:$D$400="jabas")*(ROW(MOVIMIENTOS!$B$5:$B$400)&lt;=$L43)*MOVIMIENTOS!$E$5:$E$400)-SUMPRODUCT((MOVIMIENTOS!$B$5:$B$400="ENVÍO A SUPESA")*(MOVIMIENTOS!$C$5:$C$400="C")*(MOVIMIENTOS!$D$5:$D$400="jabas")*(ROW(MOVIMIENTOS!$B$5:$B$400)&lt;=$L43)*MOVIMIENTOS!$E$5:$E$400)+SUMPRODUCT((MOVIMIENTOS!$B$5:$B$400="DEVOLUCIÓN")*(MOVIMIENTOS!$C$5:$C$400="C")*(MOVIMIENTOS!$D$5:$D$400="jabas")*(ROW(MOVIMIENTOS!$B$5:$B$400)&lt;=$L43)*MOVIMIENTOS!$E$5:$E$400)-SUMPRODUCT((MOVIMIENTOS!$B$5:$B$400="TRASIEGO")*(MOVIMIENTOS!$C$5:$C$400="C")*(MOVIMIENTOS!$D$5:$D$400="jabas")*(ROW(MOVIMIENTOS!$B$5:$B$400)&lt;=$L43)*MOVIMIENTOS!$E$5:$E$400)-SUMPRODUCT((MOVIMIENTOS!$B$5:$B$400="REGALO")*(MOVIMIENTOS!$C$5:$C$400="C")*(MOVIMIENTOS!$D$5:$D$400="jabas")*(ROW(MOVIMIENTOS!$B$5:$B$400)&lt;=$L43)*MOVIMIENTOS!$E$5:$E$400)-SUMPRODUCT((MOVIMIENTOS!$B$5:$B$400="VENTA")*(MOVIMIENTOS!$C$5:$C$400="C")*(MOVIMIENTOS!$D$5:$D$400="jabas")*(ROW(MOVIMIENTOS!$B$5:$B$400)&lt;=$L43)*MOVIMIENTOS!$E$5:$E$400)+SUMPRODUCT((MOVIMIENTOS!$B$5:$B$400="AJUSTE")*(MOVIMIENTOS!$C$5:$C$400="C")*(MOVIMIENTOS!$D$5:$D$400="jabas")*(ROW(MOVIMIENTOS!$B$5:$B$400)&lt;=$L43)*MOVIMIENTOS!$E$5:$E$400))</f>
        <v/>
      </c>
      <c r="E43" s="12" t="str">
        <f>IF($A43="","",SUMPRODUCT((MOVIMIENTOS!$B$5:$B$400="SALDO INICIAL")*(MOVIMIENTOS!$C$5:$C$400="M")*(MOVIMIENTOS!$D$5:$D$400="jabas")*(ROW(MOVIMIENTOS!$B$5:$B$400)&lt;=$L43)*MOVIMIENTOS!$E$5:$E$400)+SUMPRODUCT((MOVIMIENTOS!$B$5:$B$400="PROCESO")*(MOVIMIENTOS!$C$5:$C$400="M")*(MOVIMIENTOS!$D$5:$D$400="jabas")*(ROW(MOVIMIENTOS!$B$5:$B$400)&lt;=$L43)*MOVIMIENTOS!$E$5:$E$400)-SUMPRODUCT((MOVIMIENTOS!$B$5:$B$400="ENVÍO A SUPESA")*(MOVIMIENTOS!$C$5:$C$400="M")*(MOVIMIENTOS!$D$5:$D$400="jabas")*(ROW(MOVIMIENTOS!$B$5:$B$400)&lt;=$L43)*MOVIMIENTOS!$E$5:$E$400)+SUMPRODUCT((MOVIMIENTOS!$B$5:$B$400="DEVOLUCIÓN")*(MOVIMIENTOS!$C$5:$C$400="M")*(MOVIMIENTOS!$D$5:$D$400="jabas")*(ROW(MOVIMIENTOS!$B$5:$B$400)&lt;=$L43)*MOVIMIENTOS!$E$5:$E$400)-SUMPRODUCT((MOVIMIENTOS!$B$5:$B$400="TRASIEGO")*(MOVIMIENTOS!$C$5:$C$400="M")*(MOVIMIENTOS!$D$5:$D$400="jabas")*(ROW(MOVIMIENTOS!$B$5:$B$400)&lt;=$L43)*MOVIMIENTOS!$E$5:$E$400)-SUMPRODUCT((MOVIMIENTOS!$B$5:$B$400="REGALO")*(MOVIMIENTOS!$C$5:$C$400="M")*(MOVIMIENTOS!$D$5:$D$400="jabas")*(ROW(MOVIMIENTOS!$B$5:$B$400)&lt;=$L43)*MOVIMIENTOS!$E$5:$E$400)-SUMPRODUCT((MOVIMIENTOS!$B$5:$B$400="VENTA")*(MOVIMIENTOS!$C$5:$C$400="M")*(MOVIMIENTOS!$D$5:$D$400="jabas")*(ROW(MOVIMIENTOS!$B$5:$B$400)&lt;=$L43)*MOVIMIENTOS!$E$5:$E$400)+SUMPRODUCT((MOVIMIENTOS!$B$5:$B$400="AJUSTE")*(MOVIMIENTOS!$C$5:$C$400="M")*(MOVIMIENTOS!$D$5:$D$400="jabas")*(ROW(MOVIMIENTOS!$B$5:$B$400)&lt;=$L43)*MOVIMIENTOS!$E$5:$E$400))</f>
        <v/>
      </c>
      <c r="F43" s="12" t="str">
        <f>IF($A43="","",SUMPRODUCT((MOVIMIENTOS!$B$5:$B$400="SALDO INICIAL")*(MOVIMIENTOS!$C$5:$C$400="Chancho")*(MOVIMIENTOS!$D$5:$D$400="sacos")*(ROW(MOVIMIENTOS!$B$5:$B$400)&lt;=$L43)*MOVIMIENTOS!$E$5:$E$400)+SUMPRODUCT((MOVIMIENTOS!$B$5:$B$400="PROCESO")*(MOVIMIENTOS!$C$5:$C$400="Chancho")*(MOVIMIENTOS!$D$5:$D$400="sacos")*(ROW(MOVIMIENTOS!$B$5:$B$400)&lt;=$L43)*MOVIMIENTOS!$E$5:$E$400)-SUMPRODUCT((MOVIMIENTOS!$B$5:$B$400="VENTA CHANCHO")*(MOVIMIENTOS!$C$5:$C$400="Chancho")*(MOVIMIENTOS!$D$5:$D$400="sacos")*(ROW(MOVIMIENTOS!$B$5:$B$400)&lt;=$L43)*MOVIMIENTOS!$E$5:$E$400)-SUMPRODUCT((MOVIMIENTOS!$B$5:$B$400="REGALO")*(MOVIMIENTOS!$C$5:$C$400="Chancho")*(MOVIMIENTOS!$D$5:$D$400="sacos")*(ROW(MOVIMIENTOS!$B$5:$B$400)&lt;=$L43)*MOVIMIENTOS!$E$5:$E$400)-SUMPRODUCT((MOVIMIENTOS!$B$5:$B$400="VENTA")*(MOVIMIENTOS!$C$5:$C$400="Chancho")*(MOVIMIENTOS!$D$5:$D$400="sacos")*(ROW(MOVIMIENTOS!$B$5:$B$400)&lt;=$L43)*MOVIMIENTOS!$E$5:$E$400)+SUMPRODUCT((MOVIMIENTOS!$B$5:$B$400="AJUSTE")*(MOVIMIENTOS!$C$5:$C$400="Chancho")*(MOVIMIENTOS!$D$5:$D$400="sacos")*(ROW(MOVIMIENTOS!$B$5:$B$400)&lt;=$L43)*MOVIMIENTOS!$E$5:$E$400))</f>
        <v/>
      </c>
      <c r="G43" s="12" t="str">
        <f t="shared" si="3"/>
        <v/>
      </c>
      <c r="H43" s="12" t="str">
        <f>IF($A43="","",SUMPRODUCT((((MOVIMIENTOS!$B$5:$B$400="SALDO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43)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43)*MOVIMIENTOS!$I$5:$I$400))</f>
        <v/>
      </c>
      <c r="J43" t="str">
        <f>IF(AND(MOVIMIENTOS!$A43&lt;&gt;"",COUNTIF(MOVIMIENTOS!$A$5:$A42,MOVIMIENTOS!$A43)=0),COUNT(J$4:J42)+1,"")</f>
        <v/>
      </c>
      <c r="K43" s="10">
        <f>MOVIMIENTOS!$A43</f>
        <v>46218</v>
      </c>
      <c r="L43" t="str">
        <f>IF($A43="","",SUMPRODUCT(MAX((MOVIMIENTOS!$A$5:$A$400=$A43)*ROW(MOVIMIENTOS!$A$5:$A$400))))</f>
        <v/>
      </c>
    </row>
    <row r="44" spans="1:12" x14ac:dyDescent="0.2">
      <c r="A44" s="11" t="str">
        <f t="shared" si="2"/>
        <v/>
      </c>
      <c r="B44" s="12" t="str">
        <f>IF($A44="","",SUMPRODUCT((MOVIMIENTOS!$B$5:$B$400="SALDO INICIAL")*(MOVIMIENTOS!$C$5:$C$400="A")*(MOVIMIENTOS!$D$5:$D$400="jabas")*(ROW(MOVIMIENTOS!$B$5:$B$400)&lt;=$L44)*MOVIMIENTOS!$E$5:$E$400)+SUMPRODUCT((MOVIMIENTOS!$B$5:$B$400="PROCESO")*(MOVIMIENTOS!$C$5:$C$400="A")*(MOVIMIENTOS!$D$5:$D$400="jabas")*(ROW(MOVIMIENTOS!$B$5:$B$400)&lt;=$L44)*MOVIMIENTOS!$E$5:$E$400)-SUMPRODUCT((MOVIMIENTOS!$B$5:$B$400="ENVÍO A SUPESA")*(MOVIMIENTOS!$C$5:$C$400="A")*(MOVIMIENTOS!$D$5:$D$400="jabas")*(ROW(MOVIMIENTOS!$B$5:$B$400)&lt;=$L44)*MOVIMIENTOS!$E$5:$E$400)+SUMPRODUCT((MOVIMIENTOS!$B$5:$B$400="DEVOLUCIÓN")*(MOVIMIENTOS!$C$5:$C$400="A")*(MOVIMIENTOS!$D$5:$D$400="jabas")*(ROW(MOVIMIENTOS!$B$5:$B$400)&lt;=$L44)*MOVIMIENTOS!$E$5:$E$400)-SUMPRODUCT((MOVIMIENTOS!$B$5:$B$400="TRASIEGO")*(MOVIMIENTOS!$C$5:$C$400="A")*(MOVIMIENTOS!$D$5:$D$400="jabas")*(ROW(MOVIMIENTOS!$B$5:$B$400)&lt;=$L44)*MOVIMIENTOS!$E$5:$E$400)-SUMPRODUCT((MOVIMIENTOS!$B$5:$B$400="REGALO")*(MOVIMIENTOS!$C$5:$C$400="A")*(MOVIMIENTOS!$D$5:$D$400="jabas")*(ROW(MOVIMIENTOS!$B$5:$B$400)&lt;=$L44)*MOVIMIENTOS!$E$5:$E$400)-SUMPRODUCT((MOVIMIENTOS!$B$5:$B$400="VENTA")*(MOVIMIENTOS!$C$5:$C$400="A")*(MOVIMIENTOS!$D$5:$D$400="jabas")*(ROW(MOVIMIENTOS!$B$5:$B$400)&lt;=$L44)*MOVIMIENTOS!$E$5:$E$400)+SUMPRODUCT((MOVIMIENTOS!$B$5:$B$400="AJUSTE")*(MOVIMIENTOS!$C$5:$C$400="A")*(MOVIMIENTOS!$D$5:$D$400="jabas")*(ROW(MOVIMIENTOS!$B$5:$B$400)&lt;=$L44)*MOVIMIENTOS!$E$5:$E$400))</f>
        <v/>
      </c>
      <c r="C44" s="12" t="str">
        <f>IF($A44="","",SUMPRODUCT((MOVIMIENTOS!$B$5:$B$400="SALDO INICIAL")*(MOVIMIENTOS!$C$5:$C$400="P")*(MOVIMIENTOS!$D$5:$D$400="jabas")*(ROW(MOVIMIENTOS!$B$5:$B$400)&lt;=$L44)*MOVIMIENTOS!$E$5:$E$400)+SUMPRODUCT((MOVIMIENTOS!$B$5:$B$400="PROCESO")*(MOVIMIENTOS!$C$5:$C$400="P")*(MOVIMIENTOS!$D$5:$D$400="jabas")*(ROW(MOVIMIENTOS!$B$5:$B$400)&lt;=$L44)*MOVIMIENTOS!$E$5:$E$400)-SUMPRODUCT((MOVIMIENTOS!$B$5:$B$400="ENVÍO A SUPESA")*(MOVIMIENTOS!$C$5:$C$400="P")*(MOVIMIENTOS!$D$5:$D$400="jabas")*(ROW(MOVIMIENTOS!$B$5:$B$400)&lt;=$L44)*MOVIMIENTOS!$E$5:$E$400)+SUMPRODUCT((MOVIMIENTOS!$B$5:$B$400="DEVOLUCIÓN")*(MOVIMIENTOS!$C$5:$C$400="P")*(MOVIMIENTOS!$D$5:$D$400="jabas")*(ROW(MOVIMIENTOS!$B$5:$B$400)&lt;=$L44)*MOVIMIENTOS!$E$5:$E$400)-SUMPRODUCT((MOVIMIENTOS!$B$5:$B$400="TRASIEGO")*(MOVIMIENTOS!$C$5:$C$400="P")*(MOVIMIENTOS!$D$5:$D$400="jabas")*(ROW(MOVIMIENTOS!$B$5:$B$400)&lt;=$L44)*MOVIMIENTOS!$E$5:$E$400)-SUMPRODUCT((MOVIMIENTOS!$B$5:$B$400="REGALO")*(MOVIMIENTOS!$C$5:$C$400="P")*(MOVIMIENTOS!$D$5:$D$400="jabas")*(ROW(MOVIMIENTOS!$B$5:$B$400)&lt;=$L44)*MOVIMIENTOS!$E$5:$E$400)-SUMPRODUCT((MOVIMIENTOS!$B$5:$B$400="VENTA")*(MOVIMIENTOS!$C$5:$C$400="P")*(MOVIMIENTOS!$D$5:$D$400="jabas")*(ROW(MOVIMIENTOS!$B$5:$B$400)&lt;=$L44)*MOVIMIENTOS!$E$5:$E$400)+SUMPRODUCT((MOVIMIENTOS!$B$5:$B$400="AJUSTE")*(MOVIMIENTOS!$C$5:$C$400="P")*(MOVIMIENTOS!$D$5:$D$400="jabas")*(ROW(MOVIMIENTOS!$B$5:$B$400)&lt;=$L44)*MOVIMIENTOS!$E$5:$E$400))</f>
        <v/>
      </c>
      <c r="D44" s="12" t="str">
        <f>IF($A44="","",SUMPRODUCT((MOVIMIENTOS!$B$5:$B$400="SALDO INICIAL")*(MOVIMIENTOS!$C$5:$C$400="C")*(MOVIMIENTOS!$D$5:$D$400="jabas")*(ROW(MOVIMIENTOS!$B$5:$B$400)&lt;=$L44)*MOVIMIENTOS!$E$5:$E$400)+SUMPRODUCT((MOVIMIENTOS!$B$5:$B$400="PROCESO")*(MOVIMIENTOS!$C$5:$C$400="C")*(MOVIMIENTOS!$D$5:$D$400="jabas")*(ROW(MOVIMIENTOS!$B$5:$B$400)&lt;=$L44)*MOVIMIENTOS!$E$5:$E$400)-SUMPRODUCT((MOVIMIENTOS!$B$5:$B$400="ENVÍO A SUPESA")*(MOVIMIENTOS!$C$5:$C$400="C")*(MOVIMIENTOS!$D$5:$D$400="jabas")*(ROW(MOVIMIENTOS!$B$5:$B$400)&lt;=$L44)*MOVIMIENTOS!$E$5:$E$400)+SUMPRODUCT((MOVIMIENTOS!$B$5:$B$400="DEVOLUCIÓN")*(MOVIMIENTOS!$C$5:$C$400="C")*(MOVIMIENTOS!$D$5:$D$400="jabas")*(ROW(MOVIMIENTOS!$B$5:$B$400)&lt;=$L44)*MOVIMIENTOS!$E$5:$E$400)-SUMPRODUCT((MOVIMIENTOS!$B$5:$B$400="TRASIEGO")*(MOVIMIENTOS!$C$5:$C$400="C")*(MOVIMIENTOS!$D$5:$D$400="jabas")*(ROW(MOVIMIENTOS!$B$5:$B$400)&lt;=$L44)*MOVIMIENTOS!$E$5:$E$400)-SUMPRODUCT((MOVIMIENTOS!$B$5:$B$400="REGALO")*(MOVIMIENTOS!$C$5:$C$400="C")*(MOVIMIENTOS!$D$5:$D$400="jabas")*(ROW(MOVIMIENTOS!$B$5:$B$400)&lt;=$L44)*MOVIMIENTOS!$E$5:$E$400)-SUMPRODUCT((MOVIMIENTOS!$B$5:$B$400="VENTA")*(MOVIMIENTOS!$C$5:$C$400="C")*(MOVIMIENTOS!$D$5:$D$400="jabas")*(ROW(MOVIMIENTOS!$B$5:$B$400)&lt;=$L44)*MOVIMIENTOS!$E$5:$E$400)+SUMPRODUCT((MOVIMIENTOS!$B$5:$B$400="AJUSTE")*(MOVIMIENTOS!$C$5:$C$400="C")*(MOVIMIENTOS!$D$5:$D$400="jabas")*(ROW(MOVIMIENTOS!$B$5:$B$400)&lt;=$L44)*MOVIMIENTOS!$E$5:$E$400))</f>
        <v/>
      </c>
      <c r="E44" s="12" t="str">
        <f>IF($A44="","",SUMPRODUCT((MOVIMIENTOS!$B$5:$B$400="SALDO INICIAL")*(MOVIMIENTOS!$C$5:$C$400="M")*(MOVIMIENTOS!$D$5:$D$400="jabas")*(ROW(MOVIMIENTOS!$B$5:$B$400)&lt;=$L44)*MOVIMIENTOS!$E$5:$E$400)+SUMPRODUCT((MOVIMIENTOS!$B$5:$B$400="PROCESO")*(MOVIMIENTOS!$C$5:$C$400="M")*(MOVIMIENTOS!$D$5:$D$400="jabas")*(ROW(MOVIMIENTOS!$B$5:$B$400)&lt;=$L44)*MOVIMIENTOS!$E$5:$E$400)-SUMPRODUCT((MOVIMIENTOS!$B$5:$B$400="ENVÍO A SUPESA")*(MOVIMIENTOS!$C$5:$C$400="M")*(MOVIMIENTOS!$D$5:$D$400="jabas")*(ROW(MOVIMIENTOS!$B$5:$B$400)&lt;=$L44)*MOVIMIENTOS!$E$5:$E$400)+SUMPRODUCT((MOVIMIENTOS!$B$5:$B$400="DEVOLUCIÓN")*(MOVIMIENTOS!$C$5:$C$400="M")*(MOVIMIENTOS!$D$5:$D$400="jabas")*(ROW(MOVIMIENTOS!$B$5:$B$400)&lt;=$L44)*MOVIMIENTOS!$E$5:$E$400)-SUMPRODUCT((MOVIMIENTOS!$B$5:$B$400="TRASIEGO")*(MOVIMIENTOS!$C$5:$C$400="M")*(MOVIMIENTOS!$D$5:$D$400="jabas")*(ROW(MOVIMIENTOS!$B$5:$B$400)&lt;=$L44)*MOVIMIENTOS!$E$5:$E$400)-SUMPRODUCT((MOVIMIENTOS!$B$5:$B$400="REGALO")*(MOVIMIENTOS!$C$5:$C$400="M")*(MOVIMIENTOS!$D$5:$D$400="jabas")*(ROW(MOVIMIENTOS!$B$5:$B$400)&lt;=$L44)*MOVIMIENTOS!$E$5:$E$400)-SUMPRODUCT((MOVIMIENTOS!$B$5:$B$400="VENTA")*(MOVIMIENTOS!$C$5:$C$400="M")*(MOVIMIENTOS!$D$5:$D$400="jabas")*(ROW(MOVIMIENTOS!$B$5:$B$400)&lt;=$L44)*MOVIMIENTOS!$E$5:$E$400)+SUMPRODUCT((MOVIMIENTOS!$B$5:$B$400="AJUSTE")*(MOVIMIENTOS!$C$5:$C$400="M")*(MOVIMIENTOS!$D$5:$D$400="jabas")*(ROW(MOVIMIENTOS!$B$5:$B$400)&lt;=$L44)*MOVIMIENTOS!$E$5:$E$400))</f>
        <v/>
      </c>
      <c r="F44" s="12" t="str">
        <f>IF($A44="","",SUMPRODUCT((MOVIMIENTOS!$B$5:$B$400="SALDO INICIAL")*(MOVIMIENTOS!$C$5:$C$400="Chancho")*(MOVIMIENTOS!$D$5:$D$400="sacos")*(ROW(MOVIMIENTOS!$B$5:$B$400)&lt;=$L44)*MOVIMIENTOS!$E$5:$E$400)+SUMPRODUCT((MOVIMIENTOS!$B$5:$B$400="PROCESO")*(MOVIMIENTOS!$C$5:$C$400="Chancho")*(MOVIMIENTOS!$D$5:$D$400="sacos")*(ROW(MOVIMIENTOS!$B$5:$B$400)&lt;=$L44)*MOVIMIENTOS!$E$5:$E$400)-SUMPRODUCT((MOVIMIENTOS!$B$5:$B$400="VENTA CHANCHO")*(MOVIMIENTOS!$C$5:$C$400="Chancho")*(MOVIMIENTOS!$D$5:$D$400="sacos")*(ROW(MOVIMIENTOS!$B$5:$B$400)&lt;=$L44)*MOVIMIENTOS!$E$5:$E$400)-SUMPRODUCT((MOVIMIENTOS!$B$5:$B$400="REGALO")*(MOVIMIENTOS!$C$5:$C$400="Chancho")*(MOVIMIENTOS!$D$5:$D$400="sacos")*(ROW(MOVIMIENTOS!$B$5:$B$400)&lt;=$L44)*MOVIMIENTOS!$E$5:$E$400)-SUMPRODUCT((MOVIMIENTOS!$B$5:$B$400="VENTA")*(MOVIMIENTOS!$C$5:$C$400="Chancho")*(MOVIMIENTOS!$D$5:$D$400="sacos")*(ROW(MOVIMIENTOS!$B$5:$B$400)&lt;=$L44)*MOVIMIENTOS!$E$5:$E$400)+SUMPRODUCT((MOVIMIENTOS!$B$5:$B$400="AJUSTE")*(MOVIMIENTOS!$C$5:$C$400="Chancho")*(MOVIMIENTOS!$D$5:$D$400="sacos")*(ROW(MOVIMIENTOS!$B$5:$B$400)&lt;=$L44)*MOVIMIENTOS!$E$5:$E$400))</f>
        <v/>
      </c>
      <c r="G44" s="12" t="str">
        <f t="shared" si="3"/>
        <v/>
      </c>
      <c r="H44" s="12" t="str">
        <f>IF($A44="","",SUMPRODUCT((((MOVIMIENTOS!$B$5:$B$400="SALDO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44)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44)*MOVIMIENTOS!$I$5:$I$400))</f>
        <v/>
      </c>
      <c r="J44" t="str">
        <f>IF(AND(MOVIMIENTOS!$A44&lt;&gt;"",COUNTIF(MOVIMIENTOS!$A$5:$A43,MOVIMIENTOS!$A44)=0),COUNT(J$4:J43)+1,"")</f>
        <v/>
      </c>
      <c r="K44" s="10">
        <f>MOVIMIENTOS!$A44</f>
        <v>46218</v>
      </c>
      <c r="L44" t="str">
        <f>IF($A44="","",SUMPRODUCT(MAX((MOVIMIENTOS!$A$5:$A$400=$A44)*ROW(MOVIMIENTOS!$A$5:$A$400))))</f>
        <v/>
      </c>
    </row>
    <row r="45" spans="1:12" x14ac:dyDescent="0.2">
      <c r="A45" s="11" t="str">
        <f t="shared" si="2"/>
        <v/>
      </c>
      <c r="B45" s="12" t="str">
        <f>IF($A45="","",SUMPRODUCT((MOVIMIENTOS!$B$5:$B$400="SALDO INICIAL")*(MOVIMIENTOS!$C$5:$C$400="A")*(MOVIMIENTOS!$D$5:$D$400="jabas")*(ROW(MOVIMIENTOS!$B$5:$B$400)&lt;=$L45)*MOVIMIENTOS!$E$5:$E$400)+SUMPRODUCT((MOVIMIENTOS!$B$5:$B$400="PROCESO")*(MOVIMIENTOS!$C$5:$C$400="A")*(MOVIMIENTOS!$D$5:$D$400="jabas")*(ROW(MOVIMIENTOS!$B$5:$B$400)&lt;=$L45)*MOVIMIENTOS!$E$5:$E$400)-SUMPRODUCT((MOVIMIENTOS!$B$5:$B$400="ENVÍO A SUPESA")*(MOVIMIENTOS!$C$5:$C$400="A")*(MOVIMIENTOS!$D$5:$D$400="jabas")*(ROW(MOVIMIENTOS!$B$5:$B$400)&lt;=$L45)*MOVIMIENTOS!$E$5:$E$400)+SUMPRODUCT((MOVIMIENTOS!$B$5:$B$400="DEVOLUCIÓN")*(MOVIMIENTOS!$C$5:$C$400="A")*(MOVIMIENTOS!$D$5:$D$400="jabas")*(ROW(MOVIMIENTOS!$B$5:$B$400)&lt;=$L45)*MOVIMIENTOS!$E$5:$E$400)-SUMPRODUCT((MOVIMIENTOS!$B$5:$B$400="TRASIEGO")*(MOVIMIENTOS!$C$5:$C$400="A")*(MOVIMIENTOS!$D$5:$D$400="jabas")*(ROW(MOVIMIENTOS!$B$5:$B$400)&lt;=$L45)*MOVIMIENTOS!$E$5:$E$400)-SUMPRODUCT((MOVIMIENTOS!$B$5:$B$400="REGALO")*(MOVIMIENTOS!$C$5:$C$400="A")*(MOVIMIENTOS!$D$5:$D$400="jabas")*(ROW(MOVIMIENTOS!$B$5:$B$400)&lt;=$L45)*MOVIMIENTOS!$E$5:$E$400)-SUMPRODUCT((MOVIMIENTOS!$B$5:$B$400="VENTA")*(MOVIMIENTOS!$C$5:$C$400="A")*(MOVIMIENTOS!$D$5:$D$400="jabas")*(ROW(MOVIMIENTOS!$B$5:$B$400)&lt;=$L45)*MOVIMIENTOS!$E$5:$E$400)+SUMPRODUCT((MOVIMIENTOS!$B$5:$B$400="AJUSTE")*(MOVIMIENTOS!$C$5:$C$400="A")*(MOVIMIENTOS!$D$5:$D$400="jabas")*(ROW(MOVIMIENTOS!$B$5:$B$400)&lt;=$L45)*MOVIMIENTOS!$E$5:$E$400))</f>
        <v/>
      </c>
      <c r="C45" s="12" t="str">
        <f>IF($A45="","",SUMPRODUCT((MOVIMIENTOS!$B$5:$B$400="SALDO INICIAL")*(MOVIMIENTOS!$C$5:$C$400="P")*(MOVIMIENTOS!$D$5:$D$400="jabas")*(ROW(MOVIMIENTOS!$B$5:$B$400)&lt;=$L45)*MOVIMIENTOS!$E$5:$E$400)+SUMPRODUCT((MOVIMIENTOS!$B$5:$B$400="PROCESO")*(MOVIMIENTOS!$C$5:$C$400="P")*(MOVIMIENTOS!$D$5:$D$400="jabas")*(ROW(MOVIMIENTOS!$B$5:$B$400)&lt;=$L45)*MOVIMIENTOS!$E$5:$E$400)-SUMPRODUCT((MOVIMIENTOS!$B$5:$B$400="ENVÍO A SUPESA")*(MOVIMIENTOS!$C$5:$C$400="P")*(MOVIMIENTOS!$D$5:$D$400="jabas")*(ROW(MOVIMIENTOS!$B$5:$B$400)&lt;=$L45)*MOVIMIENTOS!$E$5:$E$400)+SUMPRODUCT((MOVIMIENTOS!$B$5:$B$400="DEVOLUCIÓN")*(MOVIMIENTOS!$C$5:$C$400="P")*(MOVIMIENTOS!$D$5:$D$400="jabas")*(ROW(MOVIMIENTOS!$B$5:$B$400)&lt;=$L45)*MOVIMIENTOS!$E$5:$E$400)-SUMPRODUCT((MOVIMIENTOS!$B$5:$B$400="TRASIEGO")*(MOVIMIENTOS!$C$5:$C$400="P")*(MOVIMIENTOS!$D$5:$D$400="jabas")*(ROW(MOVIMIENTOS!$B$5:$B$400)&lt;=$L45)*MOVIMIENTOS!$E$5:$E$400)-SUMPRODUCT((MOVIMIENTOS!$B$5:$B$400="REGALO")*(MOVIMIENTOS!$C$5:$C$400="P")*(MOVIMIENTOS!$D$5:$D$400="jabas")*(ROW(MOVIMIENTOS!$B$5:$B$400)&lt;=$L45)*MOVIMIENTOS!$E$5:$E$400)-SUMPRODUCT((MOVIMIENTOS!$B$5:$B$400="VENTA")*(MOVIMIENTOS!$C$5:$C$400="P")*(MOVIMIENTOS!$D$5:$D$400="jabas")*(ROW(MOVIMIENTOS!$B$5:$B$400)&lt;=$L45)*MOVIMIENTOS!$E$5:$E$400)+SUMPRODUCT((MOVIMIENTOS!$B$5:$B$400="AJUSTE")*(MOVIMIENTOS!$C$5:$C$400="P")*(MOVIMIENTOS!$D$5:$D$400="jabas")*(ROW(MOVIMIENTOS!$B$5:$B$400)&lt;=$L45)*MOVIMIENTOS!$E$5:$E$400))</f>
        <v/>
      </c>
      <c r="D45" s="12" t="str">
        <f>IF($A45="","",SUMPRODUCT((MOVIMIENTOS!$B$5:$B$400="SALDO INICIAL")*(MOVIMIENTOS!$C$5:$C$400="C")*(MOVIMIENTOS!$D$5:$D$400="jabas")*(ROW(MOVIMIENTOS!$B$5:$B$400)&lt;=$L45)*MOVIMIENTOS!$E$5:$E$400)+SUMPRODUCT((MOVIMIENTOS!$B$5:$B$400="PROCESO")*(MOVIMIENTOS!$C$5:$C$400="C")*(MOVIMIENTOS!$D$5:$D$400="jabas")*(ROW(MOVIMIENTOS!$B$5:$B$400)&lt;=$L45)*MOVIMIENTOS!$E$5:$E$400)-SUMPRODUCT((MOVIMIENTOS!$B$5:$B$400="ENVÍO A SUPESA")*(MOVIMIENTOS!$C$5:$C$400="C")*(MOVIMIENTOS!$D$5:$D$400="jabas")*(ROW(MOVIMIENTOS!$B$5:$B$400)&lt;=$L45)*MOVIMIENTOS!$E$5:$E$400)+SUMPRODUCT((MOVIMIENTOS!$B$5:$B$400="DEVOLUCIÓN")*(MOVIMIENTOS!$C$5:$C$400="C")*(MOVIMIENTOS!$D$5:$D$400="jabas")*(ROW(MOVIMIENTOS!$B$5:$B$400)&lt;=$L45)*MOVIMIENTOS!$E$5:$E$400)-SUMPRODUCT((MOVIMIENTOS!$B$5:$B$400="TRASIEGO")*(MOVIMIENTOS!$C$5:$C$400="C")*(MOVIMIENTOS!$D$5:$D$400="jabas")*(ROW(MOVIMIENTOS!$B$5:$B$400)&lt;=$L45)*MOVIMIENTOS!$E$5:$E$400)-SUMPRODUCT((MOVIMIENTOS!$B$5:$B$400="REGALO")*(MOVIMIENTOS!$C$5:$C$400="C")*(MOVIMIENTOS!$D$5:$D$400="jabas")*(ROW(MOVIMIENTOS!$B$5:$B$400)&lt;=$L45)*MOVIMIENTOS!$E$5:$E$400)-SUMPRODUCT((MOVIMIENTOS!$B$5:$B$400="VENTA")*(MOVIMIENTOS!$C$5:$C$400="C")*(MOVIMIENTOS!$D$5:$D$400="jabas")*(ROW(MOVIMIENTOS!$B$5:$B$400)&lt;=$L45)*MOVIMIENTOS!$E$5:$E$400)+SUMPRODUCT((MOVIMIENTOS!$B$5:$B$400="AJUSTE")*(MOVIMIENTOS!$C$5:$C$400="C")*(MOVIMIENTOS!$D$5:$D$400="jabas")*(ROW(MOVIMIENTOS!$B$5:$B$400)&lt;=$L45)*MOVIMIENTOS!$E$5:$E$400))</f>
        <v/>
      </c>
      <c r="E45" s="12" t="str">
        <f>IF($A45="","",SUMPRODUCT((MOVIMIENTOS!$B$5:$B$400="SALDO INICIAL")*(MOVIMIENTOS!$C$5:$C$400="M")*(MOVIMIENTOS!$D$5:$D$400="jabas")*(ROW(MOVIMIENTOS!$B$5:$B$400)&lt;=$L45)*MOVIMIENTOS!$E$5:$E$400)+SUMPRODUCT((MOVIMIENTOS!$B$5:$B$400="PROCESO")*(MOVIMIENTOS!$C$5:$C$400="M")*(MOVIMIENTOS!$D$5:$D$400="jabas")*(ROW(MOVIMIENTOS!$B$5:$B$400)&lt;=$L45)*MOVIMIENTOS!$E$5:$E$400)-SUMPRODUCT((MOVIMIENTOS!$B$5:$B$400="ENVÍO A SUPESA")*(MOVIMIENTOS!$C$5:$C$400="M")*(MOVIMIENTOS!$D$5:$D$400="jabas")*(ROW(MOVIMIENTOS!$B$5:$B$400)&lt;=$L45)*MOVIMIENTOS!$E$5:$E$400)+SUMPRODUCT((MOVIMIENTOS!$B$5:$B$400="DEVOLUCIÓN")*(MOVIMIENTOS!$C$5:$C$400="M")*(MOVIMIENTOS!$D$5:$D$400="jabas")*(ROW(MOVIMIENTOS!$B$5:$B$400)&lt;=$L45)*MOVIMIENTOS!$E$5:$E$400)-SUMPRODUCT((MOVIMIENTOS!$B$5:$B$400="TRASIEGO")*(MOVIMIENTOS!$C$5:$C$400="M")*(MOVIMIENTOS!$D$5:$D$400="jabas")*(ROW(MOVIMIENTOS!$B$5:$B$400)&lt;=$L45)*MOVIMIENTOS!$E$5:$E$400)-SUMPRODUCT((MOVIMIENTOS!$B$5:$B$400="REGALO")*(MOVIMIENTOS!$C$5:$C$400="M")*(MOVIMIENTOS!$D$5:$D$400="jabas")*(ROW(MOVIMIENTOS!$B$5:$B$400)&lt;=$L45)*MOVIMIENTOS!$E$5:$E$400)-SUMPRODUCT((MOVIMIENTOS!$B$5:$B$400="VENTA")*(MOVIMIENTOS!$C$5:$C$400="M")*(MOVIMIENTOS!$D$5:$D$400="jabas")*(ROW(MOVIMIENTOS!$B$5:$B$400)&lt;=$L45)*MOVIMIENTOS!$E$5:$E$400)+SUMPRODUCT((MOVIMIENTOS!$B$5:$B$400="AJUSTE")*(MOVIMIENTOS!$C$5:$C$400="M")*(MOVIMIENTOS!$D$5:$D$400="jabas")*(ROW(MOVIMIENTOS!$B$5:$B$400)&lt;=$L45)*MOVIMIENTOS!$E$5:$E$400))</f>
        <v/>
      </c>
      <c r="F45" s="12" t="str">
        <f>IF($A45="","",SUMPRODUCT((MOVIMIENTOS!$B$5:$B$400="SALDO INICIAL")*(MOVIMIENTOS!$C$5:$C$400="Chancho")*(MOVIMIENTOS!$D$5:$D$400="sacos")*(ROW(MOVIMIENTOS!$B$5:$B$400)&lt;=$L45)*MOVIMIENTOS!$E$5:$E$400)+SUMPRODUCT((MOVIMIENTOS!$B$5:$B$400="PROCESO")*(MOVIMIENTOS!$C$5:$C$400="Chancho")*(MOVIMIENTOS!$D$5:$D$400="sacos")*(ROW(MOVIMIENTOS!$B$5:$B$400)&lt;=$L45)*MOVIMIENTOS!$E$5:$E$400)-SUMPRODUCT((MOVIMIENTOS!$B$5:$B$400="VENTA CHANCHO")*(MOVIMIENTOS!$C$5:$C$400="Chancho")*(MOVIMIENTOS!$D$5:$D$400="sacos")*(ROW(MOVIMIENTOS!$B$5:$B$400)&lt;=$L45)*MOVIMIENTOS!$E$5:$E$400)-SUMPRODUCT((MOVIMIENTOS!$B$5:$B$400="REGALO")*(MOVIMIENTOS!$C$5:$C$400="Chancho")*(MOVIMIENTOS!$D$5:$D$400="sacos")*(ROW(MOVIMIENTOS!$B$5:$B$400)&lt;=$L45)*MOVIMIENTOS!$E$5:$E$400)-SUMPRODUCT((MOVIMIENTOS!$B$5:$B$400="VENTA")*(MOVIMIENTOS!$C$5:$C$400="Chancho")*(MOVIMIENTOS!$D$5:$D$400="sacos")*(ROW(MOVIMIENTOS!$B$5:$B$400)&lt;=$L45)*MOVIMIENTOS!$E$5:$E$400)+SUMPRODUCT((MOVIMIENTOS!$B$5:$B$400="AJUSTE")*(MOVIMIENTOS!$C$5:$C$400="Chancho")*(MOVIMIENTOS!$D$5:$D$400="sacos")*(ROW(MOVIMIENTOS!$B$5:$B$400)&lt;=$L45)*MOVIMIENTOS!$E$5:$E$400))</f>
        <v/>
      </c>
      <c r="G45" s="12" t="str">
        <f t="shared" si="3"/>
        <v/>
      </c>
      <c r="H45" s="12" t="str">
        <f>IF($A45="","",SUMPRODUCT((((MOVIMIENTOS!$B$5:$B$400="SALDO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45)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45)*MOVIMIENTOS!$I$5:$I$400))</f>
        <v/>
      </c>
      <c r="J45" t="str">
        <f>IF(AND(MOVIMIENTOS!$A45&lt;&gt;"",COUNTIF(MOVIMIENTOS!$A$5:$A44,MOVIMIENTOS!$A45)=0),COUNT(J$4:J44)+1,"")</f>
        <v/>
      </c>
      <c r="K45" s="10">
        <f>MOVIMIENTOS!$A45</f>
        <v>46218</v>
      </c>
      <c r="L45" t="str">
        <f>IF($A45="","",SUMPRODUCT(MAX((MOVIMIENTOS!$A$5:$A$400=$A45)*ROW(MOVIMIENTOS!$A$5:$A$400))))</f>
        <v/>
      </c>
    </row>
    <row r="46" spans="1:12" x14ac:dyDescent="0.2">
      <c r="A46" s="11" t="str">
        <f t="shared" si="2"/>
        <v/>
      </c>
      <c r="B46" s="12" t="str">
        <f>IF($A46="","",SUMPRODUCT((MOVIMIENTOS!$B$5:$B$400="SALDO INICIAL")*(MOVIMIENTOS!$C$5:$C$400="A")*(MOVIMIENTOS!$D$5:$D$400="jabas")*(ROW(MOVIMIENTOS!$B$5:$B$400)&lt;=$L46)*MOVIMIENTOS!$E$5:$E$400)+SUMPRODUCT((MOVIMIENTOS!$B$5:$B$400="PROCESO")*(MOVIMIENTOS!$C$5:$C$400="A")*(MOVIMIENTOS!$D$5:$D$400="jabas")*(ROW(MOVIMIENTOS!$B$5:$B$400)&lt;=$L46)*MOVIMIENTOS!$E$5:$E$400)-SUMPRODUCT((MOVIMIENTOS!$B$5:$B$400="ENVÍO A SUPESA")*(MOVIMIENTOS!$C$5:$C$400="A")*(MOVIMIENTOS!$D$5:$D$400="jabas")*(ROW(MOVIMIENTOS!$B$5:$B$400)&lt;=$L46)*MOVIMIENTOS!$E$5:$E$400)+SUMPRODUCT((MOVIMIENTOS!$B$5:$B$400="DEVOLUCIÓN")*(MOVIMIENTOS!$C$5:$C$400="A")*(MOVIMIENTOS!$D$5:$D$400="jabas")*(ROW(MOVIMIENTOS!$B$5:$B$400)&lt;=$L46)*MOVIMIENTOS!$E$5:$E$400)-SUMPRODUCT((MOVIMIENTOS!$B$5:$B$400="TRASIEGO")*(MOVIMIENTOS!$C$5:$C$400="A")*(MOVIMIENTOS!$D$5:$D$400="jabas")*(ROW(MOVIMIENTOS!$B$5:$B$400)&lt;=$L46)*MOVIMIENTOS!$E$5:$E$400)-SUMPRODUCT((MOVIMIENTOS!$B$5:$B$400="REGALO")*(MOVIMIENTOS!$C$5:$C$400="A")*(MOVIMIENTOS!$D$5:$D$400="jabas")*(ROW(MOVIMIENTOS!$B$5:$B$400)&lt;=$L46)*MOVIMIENTOS!$E$5:$E$400)-SUMPRODUCT((MOVIMIENTOS!$B$5:$B$400="VENTA")*(MOVIMIENTOS!$C$5:$C$400="A")*(MOVIMIENTOS!$D$5:$D$400="jabas")*(ROW(MOVIMIENTOS!$B$5:$B$400)&lt;=$L46)*MOVIMIENTOS!$E$5:$E$400)+SUMPRODUCT((MOVIMIENTOS!$B$5:$B$400="AJUSTE")*(MOVIMIENTOS!$C$5:$C$400="A")*(MOVIMIENTOS!$D$5:$D$400="jabas")*(ROW(MOVIMIENTOS!$B$5:$B$400)&lt;=$L46)*MOVIMIENTOS!$E$5:$E$400))</f>
        <v/>
      </c>
      <c r="C46" s="12" t="str">
        <f>IF($A46="","",SUMPRODUCT((MOVIMIENTOS!$B$5:$B$400="SALDO INICIAL")*(MOVIMIENTOS!$C$5:$C$400="P")*(MOVIMIENTOS!$D$5:$D$400="jabas")*(ROW(MOVIMIENTOS!$B$5:$B$400)&lt;=$L46)*MOVIMIENTOS!$E$5:$E$400)+SUMPRODUCT((MOVIMIENTOS!$B$5:$B$400="PROCESO")*(MOVIMIENTOS!$C$5:$C$400="P")*(MOVIMIENTOS!$D$5:$D$400="jabas")*(ROW(MOVIMIENTOS!$B$5:$B$400)&lt;=$L46)*MOVIMIENTOS!$E$5:$E$400)-SUMPRODUCT((MOVIMIENTOS!$B$5:$B$400="ENVÍO A SUPESA")*(MOVIMIENTOS!$C$5:$C$400="P")*(MOVIMIENTOS!$D$5:$D$400="jabas")*(ROW(MOVIMIENTOS!$B$5:$B$400)&lt;=$L46)*MOVIMIENTOS!$E$5:$E$400)+SUMPRODUCT((MOVIMIENTOS!$B$5:$B$400="DEVOLUCIÓN")*(MOVIMIENTOS!$C$5:$C$400="P")*(MOVIMIENTOS!$D$5:$D$400="jabas")*(ROW(MOVIMIENTOS!$B$5:$B$400)&lt;=$L46)*MOVIMIENTOS!$E$5:$E$400)-SUMPRODUCT((MOVIMIENTOS!$B$5:$B$400="TRASIEGO")*(MOVIMIENTOS!$C$5:$C$400="P")*(MOVIMIENTOS!$D$5:$D$400="jabas")*(ROW(MOVIMIENTOS!$B$5:$B$400)&lt;=$L46)*MOVIMIENTOS!$E$5:$E$400)-SUMPRODUCT((MOVIMIENTOS!$B$5:$B$400="REGALO")*(MOVIMIENTOS!$C$5:$C$400="P")*(MOVIMIENTOS!$D$5:$D$400="jabas")*(ROW(MOVIMIENTOS!$B$5:$B$400)&lt;=$L46)*MOVIMIENTOS!$E$5:$E$400)-SUMPRODUCT((MOVIMIENTOS!$B$5:$B$400="VENTA")*(MOVIMIENTOS!$C$5:$C$400="P")*(MOVIMIENTOS!$D$5:$D$400="jabas")*(ROW(MOVIMIENTOS!$B$5:$B$400)&lt;=$L46)*MOVIMIENTOS!$E$5:$E$400)+SUMPRODUCT((MOVIMIENTOS!$B$5:$B$400="AJUSTE")*(MOVIMIENTOS!$C$5:$C$400="P")*(MOVIMIENTOS!$D$5:$D$400="jabas")*(ROW(MOVIMIENTOS!$B$5:$B$400)&lt;=$L46)*MOVIMIENTOS!$E$5:$E$400))</f>
        <v/>
      </c>
      <c r="D46" s="12" t="str">
        <f>IF($A46="","",SUMPRODUCT((MOVIMIENTOS!$B$5:$B$400="SALDO INICIAL")*(MOVIMIENTOS!$C$5:$C$400="C")*(MOVIMIENTOS!$D$5:$D$400="jabas")*(ROW(MOVIMIENTOS!$B$5:$B$400)&lt;=$L46)*MOVIMIENTOS!$E$5:$E$400)+SUMPRODUCT((MOVIMIENTOS!$B$5:$B$400="PROCESO")*(MOVIMIENTOS!$C$5:$C$400="C")*(MOVIMIENTOS!$D$5:$D$400="jabas")*(ROW(MOVIMIENTOS!$B$5:$B$400)&lt;=$L46)*MOVIMIENTOS!$E$5:$E$400)-SUMPRODUCT((MOVIMIENTOS!$B$5:$B$400="ENVÍO A SUPESA")*(MOVIMIENTOS!$C$5:$C$400="C")*(MOVIMIENTOS!$D$5:$D$400="jabas")*(ROW(MOVIMIENTOS!$B$5:$B$400)&lt;=$L46)*MOVIMIENTOS!$E$5:$E$400)+SUMPRODUCT((MOVIMIENTOS!$B$5:$B$400="DEVOLUCIÓN")*(MOVIMIENTOS!$C$5:$C$400="C")*(MOVIMIENTOS!$D$5:$D$400="jabas")*(ROW(MOVIMIENTOS!$B$5:$B$400)&lt;=$L46)*MOVIMIENTOS!$E$5:$E$400)-SUMPRODUCT((MOVIMIENTOS!$B$5:$B$400="TRASIEGO")*(MOVIMIENTOS!$C$5:$C$400="C")*(MOVIMIENTOS!$D$5:$D$400="jabas")*(ROW(MOVIMIENTOS!$B$5:$B$400)&lt;=$L46)*MOVIMIENTOS!$E$5:$E$400)-SUMPRODUCT((MOVIMIENTOS!$B$5:$B$400="REGALO")*(MOVIMIENTOS!$C$5:$C$400="C")*(MOVIMIENTOS!$D$5:$D$400="jabas")*(ROW(MOVIMIENTOS!$B$5:$B$400)&lt;=$L46)*MOVIMIENTOS!$E$5:$E$400)-SUMPRODUCT((MOVIMIENTOS!$B$5:$B$400="VENTA")*(MOVIMIENTOS!$C$5:$C$400="C")*(MOVIMIENTOS!$D$5:$D$400="jabas")*(ROW(MOVIMIENTOS!$B$5:$B$400)&lt;=$L46)*MOVIMIENTOS!$E$5:$E$400)+SUMPRODUCT((MOVIMIENTOS!$B$5:$B$400="AJUSTE")*(MOVIMIENTOS!$C$5:$C$400="C")*(MOVIMIENTOS!$D$5:$D$400="jabas")*(ROW(MOVIMIENTOS!$B$5:$B$400)&lt;=$L46)*MOVIMIENTOS!$E$5:$E$400))</f>
        <v/>
      </c>
      <c r="E46" s="12" t="str">
        <f>IF($A46="","",SUMPRODUCT((MOVIMIENTOS!$B$5:$B$400="SALDO INICIAL")*(MOVIMIENTOS!$C$5:$C$400="M")*(MOVIMIENTOS!$D$5:$D$400="jabas")*(ROW(MOVIMIENTOS!$B$5:$B$400)&lt;=$L46)*MOVIMIENTOS!$E$5:$E$400)+SUMPRODUCT((MOVIMIENTOS!$B$5:$B$400="PROCESO")*(MOVIMIENTOS!$C$5:$C$400="M")*(MOVIMIENTOS!$D$5:$D$400="jabas")*(ROW(MOVIMIENTOS!$B$5:$B$400)&lt;=$L46)*MOVIMIENTOS!$E$5:$E$400)-SUMPRODUCT((MOVIMIENTOS!$B$5:$B$400="ENVÍO A SUPESA")*(MOVIMIENTOS!$C$5:$C$400="M")*(MOVIMIENTOS!$D$5:$D$400="jabas")*(ROW(MOVIMIENTOS!$B$5:$B$400)&lt;=$L46)*MOVIMIENTOS!$E$5:$E$400)+SUMPRODUCT((MOVIMIENTOS!$B$5:$B$400="DEVOLUCIÓN")*(MOVIMIENTOS!$C$5:$C$400="M")*(MOVIMIENTOS!$D$5:$D$400="jabas")*(ROW(MOVIMIENTOS!$B$5:$B$400)&lt;=$L46)*MOVIMIENTOS!$E$5:$E$400)-SUMPRODUCT((MOVIMIENTOS!$B$5:$B$400="TRASIEGO")*(MOVIMIENTOS!$C$5:$C$400="M")*(MOVIMIENTOS!$D$5:$D$400="jabas")*(ROW(MOVIMIENTOS!$B$5:$B$400)&lt;=$L46)*MOVIMIENTOS!$E$5:$E$400)-SUMPRODUCT((MOVIMIENTOS!$B$5:$B$400="REGALO")*(MOVIMIENTOS!$C$5:$C$400="M")*(MOVIMIENTOS!$D$5:$D$400="jabas")*(ROW(MOVIMIENTOS!$B$5:$B$400)&lt;=$L46)*MOVIMIENTOS!$E$5:$E$400)-SUMPRODUCT((MOVIMIENTOS!$B$5:$B$400="VENTA")*(MOVIMIENTOS!$C$5:$C$400="M")*(MOVIMIENTOS!$D$5:$D$400="jabas")*(ROW(MOVIMIENTOS!$B$5:$B$400)&lt;=$L46)*MOVIMIENTOS!$E$5:$E$400)+SUMPRODUCT((MOVIMIENTOS!$B$5:$B$400="AJUSTE")*(MOVIMIENTOS!$C$5:$C$400="M")*(MOVIMIENTOS!$D$5:$D$400="jabas")*(ROW(MOVIMIENTOS!$B$5:$B$400)&lt;=$L46)*MOVIMIENTOS!$E$5:$E$400))</f>
        <v/>
      </c>
      <c r="F46" s="12" t="str">
        <f>IF($A46="","",SUMPRODUCT((MOVIMIENTOS!$B$5:$B$400="SALDO INICIAL")*(MOVIMIENTOS!$C$5:$C$400="Chancho")*(MOVIMIENTOS!$D$5:$D$400="sacos")*(ROW(MOVIMIENTOS!$B$5:$B$400)&lt;=$L46)*MOVIMIENTOS!$E$5:$E$400)+SUMPRODUCT((MOVIMIENTOS!$B$5:$B$400="PROCESO")*(MOVIMIENTOS!$C$5:$C$400="Chancho")*(MOVIMIENTOS!$D$5:$D$400="sacos")*(ROW(MOVIMIENTOS!$B$5:$B$400)&lt;=$L46)*MOVIMIENTOS!$E$5:$E$400)-SUMPRODUCT((MOVIMIENTOS!$B$5:$B$400="VENTA CHANCHO")*(MOVIMIENTOS!$C$5:$C$400="Chancho")*(MOVIMIENTOS!$D$5:$D$400="sacos")*(ROW(MOVIMIENTOS!$B$5:$B$400)&lt;=$L46)*MOVIMIENTOS!$E$5:$E$400)-SUMPRODUCT((MOVIMIENTOS!$B$5:$B$400="REGALO")*(MOVIMIENTOS!$C$5:$C$400="Chancho")*(MOVIMIENTOS!$D$5:$D$400="sacos")*(ROW(MOVIMIENTOS!$B$5:$B$400)&lt;=$L46)*MOVIMIENTOS!$E$5:$E$400)-SUMPRODUCT((MOVIMIENTOS!$B$5:$B$400="VENTA")*(MOVIMIENTOS!$C$5:$C$400="Chancho")*(MOVIMIENTOS!$D$5:$D$400="sacos")*(ROW(MOVIMIENTOS!$B$5:$B$400)&lt;=$L46)*MOVIMIENTOS!$E$5:$E$400)+SUMPRODUCT((MOVIMIENTOS!$B$5:$B$400="AJUSTE")*(MOVIMIENTOS!$C$5:$C$400="Chancho")*(MOVIMIENTOS!$D$5:$D$400="sacos")*(ROW(MOVIMIENTOS!$B$5:$B$400)&lt;=$L46)*MOVIMIENTOS!$E$5:$E$400))</f>
        <v/>
      </c>
      <c r="G46" s="12" t="str">
        <f t="shared" si="3"/>
        <v/>
      </c>
      <c r="H46" s="12" t="str">
        <f>IF($A46="","",SUMPRODUCT((((MOVIMIENTOS!$B$5:$B$400="SALDO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46)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46)*MOVIMIENTOS!$I$5:$I$400))</f>
        <v/>
      </c>
      <c r="J46" t="str">
        <f>IF(AND(MOVIMIENTOS!$A46&lt;&gt;"",COUNTIF(MOVIMIENTOS!$A$5:$A45,MOVIMIENTOS!$A46)=0),COUNT(J$4:J45)+1,"")</f>
        <v/>
      </c>
      <c r="K46" s="10">
        <f>MOVIMIENTOS!$A46</f>
        <v>46218</v>
      </c>
      <c r="L46" t="str">
        <f>IF($A46="","",SUMPRODUCT(MAX((MOVIMIENTOS!$A$5:$A$400=$A46)*ROW(MOVIMIENTOS!$A$5:$A$400))))</f>
        <v/>
      </c>
    </row>
    <row r="47" spans="1:12" x14ac:dyDescent="0.2">
      <c r="A47" s="11" t="str">
        <f t="shared" si="2"/>
        <v/>
      </c>
      <c r="B47" s="12" t="str">
        <f>IF($A47="","",SUMPRODUCT((MOVIMIENTOS!$B$5:$B$400="SALDO INICIAL")*(MOVIMIENTOS!$C$5:$C$400="A")*(MOVIMIENTOS!$D$5:$D$400="jabas")*(ROW(MOVIMIENTOS!$B$5:$B$400)&lt;=$L47)*MOVIMIENTOS!$E$5:$E$400)+SUMPRODUCT((MOVIMIENTOS!$B$5:$B$400="PROCESO")*(MOVIMIENTOS!$C$5:$C$400="A")*(MOVIMIENTOS!$D$5:$D$400="jabas")*(ROW(MOVIMIENTOS!$B$5:$B$400)&lt;=$L47)*MOVIMIENTOS!$E$5:$E$400)-SUMPRODUCT((MOVIMIENTOS!$B$5:$B$400="ENVÍO A SUPESA")*(MOVIMIENTOS!$C$5:$C$400="A")*(MOVIMIENTOS!$D$5:$D$400="jabas")*(ROW(MOVIMIENTOS!$B$5:$B$400)&lt;=$L47)*MOVIMIENTOS!$E$5:$E$400)+SUMPRODUCT((MOVIMIENTOS!$B$5:$B$400="DEVOLUCIÓN")*(MOVIMIENTOS!$C$5:$C$400="A")*(MOVIMIENTOS!$D$5:$D$400="jabas")*(ROW(MOVIMIENTOS!$B$5:$B$400)&lt;=$L47)*MOVIMIENTOS!$E$5:$E$400)-SUMPRODUCT((MOVIMIENTOS!$B$5:$B$400="TRASIEGO")*(MOVIMIENTOS!$C$5:$C$400="A")*(MOVIMIENTOS!$D$5:$D$400="jabas")*(ROW(MOVIMIENTOS!$B$5:$B$400)&lt;=$L47)*MOVIMIENTOS!$E$5:$E$400)-SUMPRODUCT((MOVIMIENTOS!$B$5:$B$400="REGALO")*(MOVIMIENTOS!$C$5:$C$400="A")*(MOVIMIENTOS!$D$5:$D$400="jabas")*(ROW(MOVIMIENTOS!$B$5:$B$400)&lt;=$L47)*MOVIMIENTOS!$E$5:$E$400)-SUMPRODUCT((MOVIMIENTOS!$B$5:$B$400="VENTA")*(MOVIMIENTOS!$C$5:$C$400="A")*(MOVIMIENTOS!$D$5:$D$400="jabas")*(ROW(MOVIMIENTOS!$B$5:$B$400)&lt;=$L47)*MOVIMIENTOS!$E$5:$E$400)+SUMPRODUCT((MOVIMIENTOS!$B$5:$B$400="AJUSTE")*(MOVIMIENTOS!$C$5:$C$400="A")*(MOVIMIENTOS!$D$5:$D$400="jabas")*(ROW(MOVIMIENTOS!$B$5:$B$400)&lt;=$L47)*MOVIMIENTOS!$E$5:$E$400))</f>
        <v/>
      </c>
      <c r="C47" s="12" t="str">
        <f>IF($A47="","",SUMPRODUCT((MOVIMIENTOS!$B$5:$B$400="SALDO INICIAL")*(MOVIMIENTOS!$C$5:$C$400="P")*(MOVIMIENTOS!$D$5:$D$400="jabas")*(ROW(MOVIMIENTOS!$B$5:$B$400)&lt;=$L47)*MOVIMIENTOS!$E$5:$E$400)+SUMPRODUCT((MOVIMIENTOS!$B$5:$B$400="PROCESO")*(MOVIMIENTOS!$C$5:$C$400="P")*(MOVIMIENTOS!$D$5:$D$400="jabas")*(ROW(MOVIMIENTOS!$B$5:$B$400)&lt;=$L47)*MOVIMIENTOS!$E$5:$E$400)-SUMPRODUCT((MOVIMIENTOS!$B$5:$B$400="ENVÍO A SUPESA")*(MOVIMIENTOS!$C$5:$C$400="P")*(MOVIMIENTOS!$D$5:$D$400="jabas")*(ROW(MOVIMIENTOS!$B$5:$B$400)&lt;=$L47)*MOVIMIENTOS!$E$5:$E$400)+SUMPRODUCT((MOVIMIENTOS!$B$5:$B$400="DEVOLUCIÓN")*(MOVIMIENTOS!$C$5:$C$400="P")*(MOVIMIENTOS!$D$5:$D$400="jabas")*(ROW(MOVIMIENTOS!$B$5:$B$400)&lt;=$L47)*MOVIMIENTOS!$E$5:$E$400)-SUMPRODUCT((MOVIMIENTOS!$B$5:$B$400="TRASIEGO")*(MOVIMIENTOS!$C$5:$C$400="P")*(MOVIMIENTOS!$D$5:$D$400="jabas")*(ROW(MOVIMIENTOS!$B$5:$B$400)&lt;=$L47)*MOVIMIENTOS!$E$5:$E$400)-SUMPRODUCT((MOVIMIENTOS!$B$5:$B$400="REGALO")*(MOVIMIENTOS!$C$5:$C$400="P")*(MOVIMIENTOS!$D$5:$D$400="jabas")*(ROW(MOVIMIENTOS!$B$5:$B$400)&lt;=$L47)*MOVIMIENTOS!$E$5:$E$400)-SUMPRODUCT((MOVIMIENTOS!$B$5:$B$400="VENTA")*(MOVIMIENTOS!$C$5:$C$400="P")*(MOVIMIENTOS!$D$5:$D$400="jabas")*(ROW(MOVIMIENTOS!$B$5:$B$400)&lt;=$L47)*MOVIMIENTOS!$E$5:$E$400)+SUMPRODUCT((MOVIMIENTOS!$B$5:$B$400="AJUSTE")*(MOVIMIENTOS!$C$5:$C$400="P")*(MOVIMIENTOS!$D$5:$D$400="jabas")*(ROW(MOVIMIENTOS!$B$5:$B$400)&lt;=$L47)*MOVIMIENTOS!$E$5:$E$400))</f>
        <v/>
      </c>
      <c r="D47" s="12" t="str">
        <f>IF($A47="","",SUMPRODUCT((MOVIMIENTOS!$B$5:$B$400="SALDO INICIAL")*(MOVIMIENTOS!$C$5:$C$400="C")*(MOVIMIENTOS!$D$5:$D$400="jabas")*(ROW(MOVIMIENTOS!$B$5:$B$400)&lt;=$L47)*MOVIMIENTOS!$E$5:$E$400)+SUMPRODUCT((MOVIMIENTOS!$B$5:$B$400="PROCESO")*(MOVIMIENTOS!$C$5:$C$400="C")*(MOVIMIENTOS!$D$5:$D$400="jabas")*(ROW(MOVIMIENTOS!$B$5:$B$400)&lt;=$L47)*MOVIMIENTOS!$E$5:$E$400)-SUMPRODUCT((MOVIMIENTOS!$B$5:$B$400="ENVÍO A SUPESA")*(MOVIMIENTOS!$C$5:$C$400="C")*(MOVIMIENTOS!$D$5:$D$400="jabas")*(ROW(MOVIMIENTOS!$B$5:$B$400)&lt;=$L47)*MOVIMIENTOS!$E$5:$E$400)+SUMPRODUCT((MOVIMIENTOS!$B$5:$B$400="DEVOLUCIÓN")*(MOVIMIENTOS!$C$5:$C$400="C")*(MOVIMIENTOS!$D$5:$D$400="jabas")*(ROW(MOVIMIENTOS!$B$5:$B$400)&lt;=$L47)*MOVIMIENTOS!$E$5:$E$400)-SUMPRODUCT((MOVIMIENTOS!$B$5:$B$400="TRASIEGO")*(MOVIMIENTOS!$C$5:$C$400="C")*(MOVIMIENTOS!$D$5:$D$400="jabas")*(ROW(MOVIMIENTOS!$B$5:$B$400)&lt;=$L47)*MOVIMIENTOS!$E$5:$E$400)-SUMPRODUCT((MOVIMIENTOS!$B$5:$B$400="REGALO")*(MOVIMIENTOS!$C$5:$C$400="C")*(MOVIMIENTOS!$D$5:$D$400="jabas")*(ROW(MOVIMIENTOS!$B$5:$B$400)&lt;=$L47)*MOVIMIENTOS!$E$5:$E$400)-SUMPRODUCT((MOVIMIENTOS!$B$5:$B$400="VENTA")*(MOVIMIENTOS!$C$5:$C$400="C")*(MOVIMIENTOS!$D$5:$D$400="jabas")*(ROW(MOVIMIENTOS!$B$5:$B$400)&lt;=$L47)*MOVIMIENTOS!$E$5:$E$400)+SUMPRODUCT((MOVIMIENTOS!$B$5:$B$400="AJUSTE")*(MOVIMIENTOS!$C$5:$C$400="C")*(MOVIMIENTOS!$D$5:$D$400="jabas")*(ROW(MOVIMIENTOS!$B$5:$B$400)&lt;=$L47)*MOVIMIENTOS!$E$5:$E$400))</f>
        <v/>
      </c>
      <c r="E47" s="12" t="str">
        <f>IF($A47="","",SUMPRODUCT((MOVIMIENTOS!$B$5:$B$400="SALDO INICIAL")*(MOVIMIENTOS!$C$5:$C$400="M")*(MOVIMIENTOS!$D$5:$D$400="jabas")*(ROW(MOVIMIENTOS!$B$5:$B$400)&lt;=$L47)*MOVIMIENTOS!$E$5:$E$400)+SUMPRODUCT((MOVIMIENTOS!$B$5:$B$400="PROCESO")*(MOVIMIENTOS!$C$5:$C$400="M")*(MOVIMIENTOS!$D$5:$D$400="jabas")*(ROW(MOVIMIENTOS!$B$5:$B$400)&lt;=$L47)*MOVIMIENTOS!$E$5:$E$400)-SUMPRODUCT((MOVIMIENTOS!$B$5:$B$400="ENVÍO A SUPESA")*(MOVIMIENTOS!$C$5:$C$400="M")*(MOVIMIENTOS!$D$5:$D$400="jabas")*(ROW(MOVIMIENTOS!$B$5:$B$400)&lt;=$L47)*MOVIMIENTOS!$E$5:$E$400)+SUMPRODUCT((MOVIMIENTOS!$B$5:$B$400="DEVOLUCIÓN")*(MOVIMIENTOS!$C$5:$C$400="M")*(MOVIMIENTOS!$D$5:$D$400="jabas")*(ROW(MOVIMIENTOS!$B$5:$B$400)&lt;=$L47)*MOVIMIENTOS!$E$5:$E$400)-SUMPRODUCT((MOVIMIENTOS!$B$5:$B$400="TRASIEGO")*(MOVIMIENTOS!$C$5:$C$400="M")*(MOVIMIENTOS!$D$5:$D$400="jabas")*(ROW(MOVIMIENTOS!$B$5:$B$400)&lt;=$L47)*MOVIMIENTOS!$E$5:$E$400)-SUMPRODUCT((MOVIMIENTOS!$B$5:$B$400="REGALO")*(MOVIMIENTOS!$C$5:$C$400="M")*(MOVIMIENTOS!$D$5:$D$400="jabas")*(ROW(MOVIMIENTOS!$B$5:$B$400)&lt;=$L47)*MOVIMIENTOS!$E$5:$E$400)-SUMPRODUCT((MOVIMIENTOS!$B$5:$B$400="VENTA")*(MOVIMIENTOS!$C$5:$C$400="M")*(MOVIMIENTOS!$D$5:$D$400="jabas")*(ROW(MOVIMIENTOS!$B$5:$B$400)&lt;=$L47)*MOVIMIENTOS!$E$5:$E$400)+SUMPRODUCT((MOVIMIENTOS!$B$5:$B$400="AJUSTE")*(MOVIMIENTOS!$C$5:$C$400="M")*(MOVIMIENTOS!$D$5:$D$400="jabas")*(ROW(MOVIMIENTOS!$B$5:$B$400)&lt;=$L47)*MOVIMIENTOS!$E$5:$E$400))</f>
        <v/>
      </c>
      <c r="F47" s="12" t="str">
        <f>IF($A47="","",SUMPRODUCT((MOVIMIENTOS!$B$5:$B$400="SALDO INICIAL")*(MOVIMIENTOS!$C$5:$C$400="Chancho")*(MOVIMIENTOS!$D$5:$D$400="sacos")*(ROW(MOVIMIENTOS!$B$5:$B$400)&lt;=$L47)*MOVIMIENTOS!$E$5:$E$400)+SUMPRODUCT((MOVIMIENTOS!$B$5:$B$400="PROCESO")*(MOVIMIENTOS!$C$5:$C$400="Chancho")*(MOVIMIENTOS!$D$5:$D$400="sacos")*(ROW(MOVIMIENTOS!$B$5:$B$400)&lt;=$L47)*MOVIMIENTOS!$E$5:$E$400)-SUMPRODUCT((MOVIMIENTOS!$B$5:$B$400="VENTA CHANCHO")*(MOVIMIENTOS!$C$5:$C$400="Chancho")*(MOVIMIENTOS!$D$5:$D$400="sacos")*(ROW(MOVIMIENTOS!$B$5:$B$400)&lt;=$L47)*MOVIMIENTOS!$E$5:$E$400)-SUMPRODUCT((MOVIMIENTOS!$B$5:$B$400="REGALO")*(MOVIMIENTOS!$C$5:$C$400="Chancho")*(MOVIMIENTOS!$D$5:$D$400="sacos")*(ROW(MOVIMIENTOS!$B$5:$B$400)&lt;=$L47)*MOVIMIENTOS!$E$5:$E$400)-SUMPRODUCT((MOVIMIENTOS!$B$5:$B$400="VENTA")*(MOVIMIENTOS!$C$5:$C$400="Chancho")*(MOVIMIENTOS!$D$5:$D$400="sacos")*(ROW(MOVIMIENTOS!$B$5:$B$400)&lt;=$L47)*MOVIMIENTOS!$E$5:$E$400)+SUMPRODUCT((MOVIMIENTOS!$B$5:$B$400="AJUSTE")*(MOVIMIENTOS!$C$5:$C$400="Chancho")*(MOVIMIENTOS!$D$5:$D$400="sacos")*(ROW(MOVIMIENTOS!$B$5:$B$400)&lt;=$L47)*MOVIMIENTOS!$E$5:$E$400))</f>
        <v/>
      </c>
      <c r="G47" s="12" t="str">
        <f t="shared" si="3"/>
        <v/>
      </c>
      <c r="H47" s="12" t="str">
        <f>IF($A47="","",SUMPRODUCT((((MOVIMIENTOS!$B$5:$B$400="SALDO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47)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47)*MOVIMIENTOS!$I$5:$I$400))</f>
        <v/>
      </c>
      <c r="J47" t="str">
        <f>IF(AND(MOVIMIENTOS!$A47&lt;&gt;"",COUNTIF(MOVIMIENTOS!$A$5:$A46,MOVIMIENTOS!$A47)=0),COUNT(J$4:J46)+1,"")</f>
        <v/>
      </c>
      <c r="K47" s="10">
        <f>MOVIMIENTOS!$A47</f>
        <v>46218</v>
      </c>
      <c r="L47" t="str">
        <f>IF($A47="","",SUMPRODUCT(MAX((MOVIMIENTOS!$A$5:$A$400=$A47)*ROW(MOVIMIENTOS!$A$5:$A$400))))</f>
        <v/>
      </c>
    </row>
    <row r="48" spans="1:12" x14ac:dyDescent="0.2">
      <c r="A48" s="11" t="str">
        <f t="shared" si="2"/>
        <v/>
      </c>
      <c r="B48" s="12" t="str">
        <f>IF($A48="","",SUMPRODUCT((MOVIMIENTOS!$B$5:$B$400="SALDO INICIAL")*(MOVIMIENTOS!$C$5:$C$400="A")*(MOVIMIENTOS!$D$5:$D$400="jabas")*(ROW(MOVIMIENTOS!$B$5:$B$400)&lt;=$L48)*MOVIMIENTOS!$E$5:$E$400)+SUMPRODUCT((MOVIMIENTOS!$B$5:$B$400="PROCESO")*(MOVIMIENTOS!$C$5:$C$400="A")*(MOVIMIENTOS!$D$5:$D$400="jabas")*(ROW(MOVIMIENTOS!$B$5:$B$400)&lt;=$L48)*MOVIMIENTOS!$E$5:$E$400)-SUMPRODUCT((MOVIMIENTOS!$B$5:$B$400="ENVÍO A SUPESA")*(MOVIMIENTOS!$C$5:$C$400="A")*(MOVIMIENTOS!$D$5:$D$400="jabas")*(ROW(MOVIMIENTOS!$B$5:$B$400)&lt;=$L48)*MOVIMIENTOS!$E$5:$E$400)+SUMPRODUCT((MOVIMIENTOS!$B$5:$B$400="DEVOLUCIÓN")*(MOVIMIENTOS!$C$5:$C$400="A")*(MOVIMIENTOS!$D$5:$D$400="jabas")*(ROW(MOVIMIENTOS!$B$5:$B$400)&lt;=$L48)*MOVIMIENTOS!$E$5:$E$400)-SUMPRODUCT((MOVIMIENTOS!$B$5:$B$400="TRASIEGO")*(MOVIMIENTOS!$C$5:$C$400="A")*(MOVIMIENTOS!$D$5:$D$400="jabas")*(ROW(MOVIMIENTOS!$B$5:$B$400)&lt;=$L48)*MOVIMIENTOS!$E$5:$E$400)-SUMPRODUCT((MOVIMIENTOS!$B$5:$B$400="REGALO")*(MOVIMIENTOS!$C$5:$C$400="A")*(MOVIMIENTOS!$D$5:$D$400="jabas")*(ROW(MOVIMIENTOS!$B$5:$B$400)&lt;=$L48)*MOVIMIENTOS!$E$5:$E$400)-SUMPRODUCT((MOVIMIENTOS!$B$5:$B$400="VENTA")*(MOVIMIENTOS!$C$5:$C$400="A")*(MOVIMIENTOS!$D$5:$D$400="jabas")*(ROW(MOVIMIENTOS!$B$5:$B$400)&lt;=$L48)*MOVIMIENTOS!$E$5:$E$400)+SUMPRODUCT((MOVIMIENTOS!$B$5:$B$400="AJUSTE")*(MOVIMIENTOS!$C$5:$C$400="A")*(MOVIMIENTOS!$D$5:$D$400="jabas")*(ROW(MOVIMIENTOS!$B$5:$B$400)&lt;=$L48)*MOVIMIENTOS!$E$5:$E$400))</f>
        <v/>
      </c>
      <c r="C48" s="12" t="str">
        <f>IF($A48="","",SUMPRODUCT((MOVIMIENTOS!$B$5:$B$400="SALDO INICIAL")*(MOVIMIENTOS!$C$5:$C$400="P")*(MOVIMIENTOS!$D$5:$D$400="jabas")*(ROW(MOVIMIENTOS!$B$5:$B$400)&lt;=$L48)*MOVIMIENTOS!$E$5:$E$400)+SUMPRODUCT((MOVIMIENTOS!$B$5:$B$400="PROCESO")*(MOVIMIENTOS!$C$5:$C$400="P")*(MOVIMIENTOS!$D$5:$D$400="jabas")*(ROW(MOVIMIENTOS!$B$5:$B$400)&lt;=$L48)*MOVIMIENTOS!$E$5:$E$400)-SUMPRODUCT((MOVIMIENTOS!$B$5:$B$400="ENVÍO A SUPESA")*(MOVIMIENTOS!$C$5:$C$400="P")*(MOVIMIENTOS!$D$5:$D$400="jabas")*(ROW(MOVIMIENTOS!$B$5:$B$400)&lt;=$L48)*MOVIMIENTOS!$E$5:$E$400)+SUMPRODUCT((MOVIMIENTOS!$B$5:$B$400="DEVOLUCIÓN")*(MOVIMIENTOS!$C$5:$C$400="P")*(MOVIMIENTOS!$D$5:$D$400="jabas")*(ROW(MOVIMIENTOS!$B$5:$B$400)&lt;=$L48)*MOVIMIENTOS!$E$5:$E$400)-SUMPRODUCT((MOVIMIENTOS!$B$5:$B$400="TRASIEGO")*(MOVIMIENTOS!$C$5:$C$400="P")*(MOVIMIENTOS!$D$5:$D$400="jabas")*(ROW(MOVIMIENTOS!$B$5:$B$400)&lt;=$L48)*MOVIMIENTOS!$E$5:$E$400)-SUMPRODUCT((MOVIMIENTOS!$B$5:$B$400="REGALO")*(MOVIMIENTOS!$C$5:$C$400="P")*(MOVIMIENTOS!$D$5:$D$400="jabas")*(ROW(MOVIMIENTOS!$B$5:$B$400)&lt;=$L48)*MOVIMIENTOS!$E$5:$E$400)-SUMPRODUCT((MOVIMIENTOS!$B$5:$B$400="VENTA")*(MOVIMIENTOS!$C$5:$C$400="P")*(MOVIMIENTOS!$D$5:$D$400="jabas")*(ROW(MOVIMIENTOS!$B$5:$B$400)&lt;=$L48)*MOVIMIENTOS!$E$5:$E$400)+SUMPRODUCT((MOVIMIENTOS!$B$5:$B$400="AJUSTE")*(MOVIMIENTOS!$C$5:$C$400="P")*(MOVIMIENTOS!$D$5:$D$400="jabas")*(ROW(MOVIMIENTOS!$B$5:$B$400)&lt;=$L48)*MOVIMIENTOS!$E$5:$E$400))</f>
        <v/>
      </c>
      <c r="D48" s="12" t="str">
        <f>IF($A48="","",SUMPRODUCT((MOVIMIENTOS!$B$5:$B$400="SALDO INICIAL")*(MOVIMIENTOS!$C$5:$C$400="C")*(MOVIMIENTOS!$D$5:$D$400="jabas")*(ROW(MOVIMIENTOS!$B$5:$B$400)&lt;=$L48)*MOVIMIENTOS!$E$5:$E$400)+SUMPRODUCT((MOVIMIENTOS!$B$5:$B$400="PROCESO")*(MOVIMIENTOS!$C$5:$C$400="C")*(MOVIMIENTOS!$D$5:$D$400="jabas")*(ROW(MOVIMIENTOS!$B$5:$B$400)&lt;=$L48)*MOVIMIENTOS!$E$5:$E$400)-SUMPRODUCT((MOVIMIENTOS!$B$5:$B$400="ENVÍO A SUPESA")*(MOVIMIENTOS!$C$5:$C$400="C")*(MOVIMIENTOS!$D$5:$D$400="jabas")*(ROW(MOVIMIENTOS!$B$5:$B$400)&lt;=$L48)*MOVIMIENTOS!$E$5:$E$400)+SUMPRODUCT((MOVIMIENTOS!$B$5:$B$400="DEVOLUCIÓN")*(MOVIMIENTOS!$C$5:$C$400="C")*(MOVIMIENTOS!$D$5:$D$400="jabas")*(ROW(MOVIMIENTOS!$B$5:$B$400)&lt;=$L48)*MOVIMIENTOS!$E$5:$E$400)-SUMPRODUCT((MOVIMIENTOS!$B$5:$B$400="TRASIEGO")*(MOVIMIENTOS!$C$5:$C$400="C")*(MOVIMIENTOS!$D$5:$D$400="jabas")*(ROW(MOVIMIENTOS!$B$5:$B$400)&lt;=$L48)*MOVIMIENTOS!$E$5:$E$400)-SUMPRODUCT((MOVIMIENTOS!$B$5:$B$400="REGALO")*(MOVIMIENTOS!$C$5:$C$400="C")*(MOVIMIENTOS!$D$5:$D$400="jabas")*(ROW(MOVIMIENTOS!$B$5:$B$400)&lt;=$L48)*MOVIMIENTOS!$E$5:$E$400)-SUMPRODUCT((MOVIMIENTOS!$B$5:$B$400="VENTA")*(MOVIMIENTOS!$C$5:$C$400="C")*(MOVIMIENTOS!$D$5:$D$400="jabas")*(ROW(MOVIMIENTOS!$B$5:$B$400)&lt;=$L48)*MOVIMIENTOS!$E$5:$E$400)+SUMPRODUCT((MOVIMIENTOS!$B$5:$B$400="AJUSTE")*(MOVIMIENTOS!$C$5:$C$400="C")*(MOVIMIENTOS!$D$5:$D$400="jabas")*(ROW(MOVIMIENTOS!$B$5:$B$400)&lt;=$L48)*MOVIMIENTOS!$E$5:$E$400))</f>
        <v/>
      </c>
      <c r="E48" s="12" t="str">
        <f>IF($A48="","",SUMPRODUCT((MOVIMIENTOS!$B$5:$B$400="SALDO INICIAL")*(MOVIMIENTOS!$C$5:$C$400="M")*(MOVIMIENTOS!$D$5:$D$400="jabas")*(ROW(MOVIMIENTOS!$B$5:$B$400)&lt;=$L48)*MOVIMIENTOS!$E$5:$E$400)+SUMPRODUCT((MOVIMIENTOS!$B$5:$B$400="PROCESO")*(MOVIMIENTOS!$C$5:$C$400="M")*(MOVIMIENTOS!$D$5:$D$400="jabas")*(ROW(MOVIMIENTOS!$B$5:$B$400)&lt;=$L48)*MOVIMIENTOS!$E$5:$E$400)-SUMPRODUCT((MOVIMIENTOS!$B$5:$B$400="ENVÍO A SUPESA")*(MOVIMIENTOS!$C$5:$C$400="M")*(MOVIMIENTOS!$D$5:$D$400="jabas")*(ROW(MOVIMIENTOS!$B$5:$B$400)&lt;=$L48)*MOVIMIENTOS!$E$5:$E$400)+SUMPRODUCT((MOVIMIENTOS!$B$5:$B$400="DEVOLUCIÓN")*(MOVIMIENTOS!$C$5:$C$400="M")*(MOVIMIENTOS!$D$5:$D$400="jabas")*(ROW(MOVIMIENTOS!$B$5:$B$400)&lt;=$L48)*MOVIMIENTOS!$E$5:$E$400)-SUMPRODUCT((MOVIMIENTOS!$B$5:$B$400="TRASIEGO")*(MOVIMIENTOS!$C$5:$C$400="M")*(MOVIMIENTOS!$D$5:$D$400="jabas")*(ROW(MOVIMIENTOS!$B$5:$B$400)&lt;=$L48)*MOVIMIENTOS!$E$5:$E$400)-SUMPRODUCT((MOVIMIENTOS!$B$5:$B$400="REGALO")*(MOVIMIENTOS!$C$5:$C$400="M")*(MOVIMIENTOS!$D$5:$D$400="jabas")*(ROW(MOVIMIENTOS!$B$5:$B$400)&lt;=$L48)*MOVIMIENTOS!$E$5:$E$400)-SUMPRODUCT((MOVIMIENTOS!$B$5:$B$400="VENTA")*(MOVIMIENTOS!$C$5:$C$400="M")*(MOVIMIENTOS!$D$5:$D$400="jabas")*(ROW(MOVIMIENTOS!$B$5:$B$400)&lt;=$L48)*MOVIMIENTOS!$E$5:$E$400)+SUMPRODUCT((MOVIMIENTOS!$B$5:$B$400="AJUSTE")*(MOVIMIENTOS!$C$5:$C$400="M")*(MOVIMIENTOS!$D$5:$D$400="jabas")*(ROW(MOVIMIENTOS!$B$5:$B$400)&lt;=$L48)*MOVIMIENTOS!$E$5:$E$400))</f>
        <v/>
      </c>
      <c r="F48" s="12" t="str">
        <f>IF($A48="","",SUMPRODUCT((MOVIMIENTOS!$B$5:$B$400="SALDO INICIAL")*(MOVIMIENTOS!$C$5:$C$400="Chancho")*(MOVIMIENTOS!$D$5:$D$400="sacos")*(ROW(MOVIMIENTOS!$B$5:$B$400)&lt;=$L48)*MOVIMIENTOS!$E$5:$E$400)+SUMPRODUCT((MOVIMIENTOS!$B$5:$B$400="PROCESO")*(MOVIMIENTOS!$C$5:$C$400="Chancho")*(MOVIMIENTOS!$D$5:$D$400="sacos")*(ROW(MOVIMIENTOS!$B$5:$B$400)&lt;=$L48)*MOVIMIENTOS!$E$5:$E$400)-SUMPRODUCT((MOVIMIENTOS!$B$5:$B$400="VENTA CHANCHO")*(MOVIMIENTOS!$C$5:$C$400="Chancho")*(MOVIMIENTOS!$D$5:$D$400="sacos")*(ROW(MOVIMIENTOS!$B$5:$B$400)&lt;=$L48)*MOVIMIENTOS!$E$5:$E$400)-SUMPRODUCT((MOVIMIENTOS!$B$5:$B$400="REGALO")*(MOVIMIENTOS!$C$5:$C$400="Chancho")*(MOVIMIENTOS!$D$5:$D$400="sacos")*(ROW(MOVIMIENTOS!$B$5:$B$400)&lt;=$L48)*MOVIMIENTOS!$E$5:$E$400)-SUMPRODUCT((MOVIMIENTOS!$B$5:$B$400="VENTA")*(MOVIMIENTOS!$C$5:$C$400="Chancho")*(MOVIMIENTOS!$D$5:$D$400="sacos")*(ROW(MOVIMIENTOS!$B$5:$B$400)&lt;=$L48)*MOVIMIENTOS!$E$5:$E$400)+SUMPRODUCT((MOVIMIENTOS!$B$5:$B$400="AJUSTE")*(MOVIMIENTOS!$C$5:$C$400="Chancho")*(MOVIMIENTOS!$D$5:$D$400="sacos")*(ROW(MOVIMIENTOS!$B$5:$B$400)&lt;=$L48)*MOVIMIENTOS!$E$5:$E$400))</f>
        <v/>
      </c>
      <c r="G48" s="12" t="str">
        <f t="shared" si="3"/>
        <v/>
      </c>
      <c r="H48" s="12" t="str">
        <f>IF($A48="","",SUMPRODUCT((((MOVIMIENTOS!$B$5:$B$400="SALDO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48)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48)*MOVIMIENTOS!$I$5:$I$400))</f>
        <v/>
      </c>
      <c r="J48" t="str">
        <f>IF(AND(MOVIMIENTOS!$A48&lt;&gt;"",COUNTIF(MOVIMIENTOS!$A$5:$A47,MOVIMIENTOS!$A48)=0),COUNT(J$4:J47)+1,"")</f>
        <v/>
      </c>
      <c r="K48" s="10">
        <f>MOVIMIENTOS!$A48</f>
        <v>46218</v>
      </c>
      <c r="L48" t="str">
        <f>IF($A48="","",SUMPRODUCT(MAX((MOVIMIENTOS!$A$5:$A$400=$A48)*ROW(MOVIMIENTOS!$A$5:$A$400))))</f>
        <v/>
      </c>
    </row>
    <row r="49" spans="1:12" x14ac:dyDescent="0.2">
      <c r="A49" s="11" t="str">
        <f t="shared" si="2"/>
        <v/>
      </c>
      <c r="B49" s="12" t="str">
        <f>IF($A49="","",SUMPRODUCT((MOVIMIENTOS!$B$5:$B$400="SALDO INICIAL")*(MOVIMIENTOS!$C$5:$C$400="A")*(MOVIMIENTOS!$D$5:$D$400="jabas")*(ROW(MOVIMIENTOS!$B$5:$B$400)&lt;=$L49)*MOVIMIENTOS!$E$5:$E$400)+SUMPRODUCT((MOVIMIENTOS!$B$5:$B$400="PROCESO")*(MOVIMIENTOS!$C$5:$C$400="A")*(MOVIMIENTOS!$D$5:$D$400="jabas")*(ROW(MOVIMIENTOS!$B$5:$B$400)&lt;=$L49)*MOVIMIENTOS!$E$5:$E$400)-SUMPRODUCT((MOVIMIENTOS!$B$5:$B$400="ENVÍO A SUPESA")*(MOVIMIENTOS!$C$5:$C$400="A")*(MOVIMIENTOS!$D$5:$D$400="jabas")*(ROW(MOVIMIENTOS!$B$5:$B$400)&lt;=$L49)*MOVIMIENTOS!$E$5:$E$400)+SUMPRODUCT((MOVIMIENTOS!$B$5:$B$400="DEVOLUCIÓN")*(MOVIMIENTOS!$C$5:$C$400="A")*(MOVIMIENTOS!$D$5:$D$400="jabas")*(ROW(MOVIMIENTOS!$B$5:$B$400)&lt;=$L49)*MOVIMIENTOS!$E$5:$E$400)-SUMPRODUCT((MOVIMIENTOS!$B$5:$B$400="TRASIEGO")*(MOVIMIENTOS!$C$5:$C$400="A")*(MOVIMIENTOS!$D$5:$D$400="jabas")*(ROW(MOVIMIENTOS!$B$5:$B$400)&lt;=$L49)*MOVIMIENTOS!$E$5:$E$400)-SUMPRODUCT((MOVIMIENTOS!$B$5:$B$400="REGALO")*(MOVIMIENTOS!$C$5:$C$400="A")*(MOVIMIENTOS!$D$5:$D$400="jabas")*(ROW(MOVIMIENTOS!$B$5:$B$400)&lt;=$L49)*MOVIMIENTOS!$E$5:$E$400)-SUMPRODUCT((MOVIMIENTOS!$B$5:$B$400="VENTA")*(MOVIMIENTOS!$C$5:$C$400="A")*(MOVIMIENTOS!$D$5:$D$400="jabas")*(ROW(MOVIMIENTOS!$B$5:$B$400)&lt;=$L49)*MOVIMIENTOS!$E$5:$E$400)+SUMPRODUCT((MOVIMIENTOS!$B$5:$B$400="AJUSTE")*(MOVIMIENTOS!$C$5:$C$400="A")*(MOVIMIENTOS!$D$5:$D$400="jabas")*(ROW(MOVIMIENTOS!$B$5:$B$400)&lt;=$L49)*MOVIMIENTOS!$E$5:$E$400))</f>
        <v/>
      </c>
      <c r="C49" s="12" t="str">
        <f>IF($A49="","",SUMPRODUCT((MOVIMIENTOS!$B$5:$B$400="SALDO INICIAL")*(MOVIMIENTOS!$C$5:$C$400="P")*(MOVIMIENTOS!$D$5:$D$400="jabas")*(ROW(MOVIMIENTOS!$B$5:$B$400)&lt;=$L49)*MOVIMIENTOS!$E$5:$E$400)+SUMPRODUCT((MOVIMIENTOS!$B$5:$B$400="PROCESO")*(MOVIMIENTOS!$C$5:$C$400="P")*(MOVIMIENTOS!$D$5:$D$400="jabas")*(ROW(MOVIMIENTOS!$B$5:$B$400)&lt;=$L49)*MOVIMIENTOS!$E$5:$E$400)-SUMPRODUCT((MOVIMIENTOS!$B$5:$B$400="ENVÍO A SUPESA")*(MOVIMIENTOS!$C$5:$C$400="P")*(MOVIMIENTOS!$D$5:$D$400="jabas")*(ROW(MOVIMIENTOS!$B$5:$B$400)&lt;=$L49)*MOVIMIENTOS!$E$5:$E$400)+SUMPRODUCT((MOVIMIENTOS!$B$5:$B$400="DEVOLUCIÓN")*(MOVIMIENTOS!$C$5:$C$400="P")*(MOVIMIENTOS!$D$5:$D$400="jabas")*(ROW(MOVIMIENTOS!$B$5:$B$400)&lt;=$L49)*MOVIMIENTOS!$E$5:$E$400)-SUMPRODUCT((MOVIMIENTOS!$B$5:$B$400="TRASIEGO")*(MOVIMIENTOS!$C$5:$C$400="P")*(MOVIMIENTOS!$D$5:$D$400="jabas")*(ROW(MOVIMIENTOS!$B$5:$B$400)&lt;=$L49)*MOVIMIENTOS!$E$5:$E$400)-SUMPRODUCT((MOVIMIENTOS!$B$5:$B$400="REGALO")*(MOVIMIENTOS!$C$5:$C$400="P")*(MOVIMIENTOS!$D$5:$D$400="jabas")*(ROW(MOVIMIENTOS!$B$5:$B$400)&lt;=$L49)*MOVIMIENTOS!$E$5:$E$400)-SUMPRODUCT((MOVIMIENTOS!$B$5:$B$400="VENTA")*(MOVIMIENTOS!$C$5:$C$400="P")*(MOVIMIENTOS!$D$5:$D$400="jabas")*(ROW(MOVIMIENTOS!$B$5:$B$400)&lt;=$L49)*MOVIMIENTOS!$E$5:$E$400)+SUMPRODUCT((MOVIMIENTOS!$B$5:$B$400="AJUSTE")*(MOVIMIENTOS!$C$5:$C$400="P")*(MOVIMIENTOS!$D$5:$D$400="jabas")*(ROW(MOVIMIENTOS!$B$5:$B$400)&lt;=$L49)*MOVIMIENTOS!$E$5:$E$400))</f>
        <v/>
      </c>
      <c r="D49" s="12" t="str">
        <f>IF($A49="","",SUMPRODUCT((MOVIMIENTOS!$B$5:$B$400="SALDO INICIAL")*(MOVIMIENTOS!$C$5:$C$400="C")*(MOVIMIENTOS!$D$5:$D$400="jabas")*(ROW(MOVIMIENTOS!$B$5:$B$400)&lt;=$L49)*MOVIMIENTOS!$E$5:$E$400)+SUMPRODUCT((MOVIMIENTOS!$B$5:$B$400="PROCESO")*(MOVIMIENTOS!$C$5:$C$400="C")*(MOVIMIENTOS!$D$5:$D$400="jabas")*(ROW(MOVIMIENTOS!$B$5:$B$400)&lt;=$L49)*MOVIMIENTOS!$E$5:$E$400)-SUMPRODUCT((MOVIMIENTOS!$B$5:$B$400="ENVÍO A SUPESA")*(MOVIMIENTOS!$C$5:$C$400="C")*(MOVIMIENTOS!$D$5:$D$400="jabas")*(ROW(MOVIMIENTOS!$B$5:$B$400)&lt;=$L49)*MOVIMIENTOS!$E$5:$E$400)+SUMPRODUCT((MOVIMIENTOS!$B$5:$B$400="DEVOLUCIÓN")*(MOVIMIENTOS!$C$5:$C$400="C")*(MOVIMIENTOS!$D$5:$D$400="jabas")*(ROW(MOVIMIENTOS!$B$5:$B$400)&lt;=$L49)*MOVIMIENTOS!$E$5:$E$400)-SUMPRODUCT((MOVIMIENTOS!$B$5:$B$400="TRASIEGO")*(MOVIMIENTOS!$C$5:$C$400="C")*(MOVIMIENTOS!$D$5:$D$400="jabas")*(ROW(MOVIMIENTOS!$B$5:$B$400)&lt;=$L49)*MOVIMIENTOS!$E$5:$E$400)-SUMPRODUCT((MOVIMIENTOS!$B$5:$B$400="REGALO")*(MOVIMIENTOS!$C$5:$C$400="C")*(MOVIMIENTOS!$D$5:$D$400="jabas")*(ROW(MOVIMIENTOS!$B$5:$B$400)&lt;=$L49)*MOVIMIENTOS!$E$5:$E$400)-SUMPRODUCT((MOVIMIENTOS!$B$5:$B$400="VENTA")*(MOVIMIENTOS!$C$5:$C$400="C")*(MOVIMIENTOS!$D$5:$D$400="jabas")*(ROW(MOVIMIENTOS!$B$5:$B$400)&lt;=$L49)*MOVIMIENTOS!$E$5:$E$400)+SUMPRODUCT((MOVIMIENTOS!$B$5:$B$400="AJUSTE")*(MOVIMIENTOS!$C$5:$C$400="C")*(MOVIMIENTOS!$D$5:$D$400="jabas")*(ROW(MOVIMIENTOS!$B$5:$B$400)&lt;=$L49)*MOVIMIENTOS!$E$5:$E$400))</f>
        <v/>
      </c>
      <c r="E49" s="12" t="str">
        <f>IF($A49="","",SUMPRODUCT((MOVIMIENTOS!$B$5:$B$400="SALDO INICIAL")*(MOVIMIENTOS!$C$5:$C$400="M")*(MOVIMIENTOS!$D$5:$D$400="jabas")*(ROW(MOVIMIENTOS!$B$5:$B$400)&lt;=$L49)*MOVIMIENTOS!$E$5:$E$400)+SUMPRODUCT((MOVIMIENTOS!$B$5:$B$400="PROCESO")*(MOVIMIENTOS!$C$5:$C$400="M")*(MOVIMIENTOS!$D$5:$D$400="jabas")*(ROW(MOVIMIENTOS!$B$5:$B$400)&lt;=$L49)*MOVIMIENTOS!$E$5:$E$400)-SUMPRODUCT((MOVIMIENTOS!$B$5:$B$400="ENVÍO A SUPESA")*(MOVIMIENTOS!$C$5:$C$400="M")*(MOVIMIENTOS!$D$5:$D$400="jabas")*(ROW(MOVIMIENTOS!$B$5:$B$400)&lt;=$L49)*MOVIMIENTOS!$E$5:$E$400)+SUMPRODUCT((MOVIMIENTOS!$B$5:$B$400="DEVOLUCIÓN")*(MOVIMIENTOS!$C$5:$C$400="M")*(MOVIMIENTOS!$D$5:$D$400="jabas")*(ROW(MOVIMIENTOS!$B$5:$B$400)&lt;=$L49)*MOVIMIENTOS!$E$5:$E$400)-SUMPRODUCT((MOVIMIENTOS!$B$5:$B$400="TRASIEGO")*(MOVIMIENTOS!$C$5:$C$400="M")*(MOVIMIENTOS!$D$5:$D$400="jabas")*(ROW(MOVIMIENTOS!$B$5:$B$400)&lt;=$L49)*MOVIMIENTOS!$E$5:$E$400)-SUMPRODUCT((MOVIMIENTOS!$B$5:$B$400="REGALO")*(MOVIMIENTOS!$C$5:$C$400="M")*(MOVIMIENTOS!$D$5:$D$400="jabas")*(ROW(MOVIMIENTOS!$B$5:$B$400)&lt;=$L49)*MOVIMIENTOS!$E$5:$E$400)-SUMPRODUCT((MOVIMIENTOS!$B$5:$B$400="VENTA")*(MOVIMIENTOS!$C$5:$C$400="M")*(MOVIMIENTOS!$D$5:$D$400="jabas")*(ROW(MOVIMIENTOS!$B$5:$B$400)&lt;=$L49)*MOVIMIENTOS!$E$5:$E$400)+SUMPRODUCT((MOVIMIENTOS!$B$5:$B$400="AJUSTE")*(MOVIMIENTOS!$C$5:$C$400="M")*(MOVIMIENTOS!$D$5:$D$400="jabas")*(ROW(MOVIMIENTOS!$B$5:$B$400)&lt;=$L49)*MOVIMIENTOS!$E$5:$E$400))</f>
        <v/>
      </c>
      <c r="F49" s="12" t="str">
        <f>IF($A49="","",SUMPRODUCT((MOVIMIENTOS!$B$5:$B$400="SALDO INICIAL")*(MOVIMIENTOS!$C$5:$C$400="Chancho")*(MOVIMIENTOS!$D$5:$D$400="sacos")*(ROW(MOVIMIENTOS!$B$5:$B$400)&lt;=$L49)*MOVIMIENTOS!$E$5:$E$400)+SUMPRODUCT((MOVIMIENTOS!$B$5:$B$400="PROCESO")*(MOVIMIENTOS!$C$5:$C$400="Chancho")*(MOVIMIENTOS!$D$5:$D$400="sacos")*(ROW(MOVIMIENTOS!$B$5:$B$400)&lt;=$L49)*MOVIMIENTOS!$E$5:$E$400)-SUMPRODUCT((MOVIMIENTOS!$B$5:$B$400="VENTA CHANCHO")*(MOVIMIENTOS!$C$5:$C$400="Chancho")*(MOVIMIENTOS!$D$5:$D$400="sacos")*(ROW(MOVIMIENTOS!$B$5:$B$400)&lt;=$L49)*MOVIMIENTOS!$E$5:$E$400)-SUMPRODUCT((MOVIMIENTOS!$B$5:$B$400="REGALO")*(MOVIMIENTOS!$C$5:$C$400="Chancho")*(MOVIMIENTOS!$D$5:$D$400="sacos")*(ROW(MOVIMIENTOS!$B$5:$B$400)&lt;=$L49)*MOVIMIENTOS!$E$5:$E$400)-SUMPRODUCT((MOVIMIENTOS!$B$5:$B$400="VENTA")*(MOVIMIENTOS!$C$5:$C$400="Chancho")*(MOVIMIENTOS!$D$5:$D$400="sacos")*(ROW(MOVIMIENTOS!$B$5:$B$400)&lt;=$L49)*MOVIMIENTOS!$E$5:$E$400)+SUMPRODUCT((MOVIMIENTOS!$B$5:$B$400="AJUSTE")*(MOVIMIENTOS!$C$5:$C$400="Chancho")*(MOVIMIENTOS!$D$5:$D$400="sacos")*(ROW(MOVIMIENTOS!$B$5:$B$400)&lt;=$L49)*MOVIMIENTOS!$E$5:$E$400))</f>
        <v/>
      </c>
      <c r="G49" s="12" t="str">
        <f t="shared" si="3"/>
        <v/>
      </c>
      <c r="H49" s="12" t="str">
        <f>IF($A49="","",SUMPRODUCT((((MOVIMIENTOS!$B$5:$B$400="SALDO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49)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49)*MOVIMIENTOS!$I$5:$I$400))</f>
        <v/>
      </c>
      <c r="J49">
        <f>IF(AND(MOVIMIENTOS!$A49&lt;&gt;"",COUNTIF(MOVIMIENTOS!$A$5:$A48,MOVIMIENTOS!$A49)=0),COUNT(J$4:J48)+1,"")</f>
        <v>6</v>
      </c>
      <c r="K49" s="10">
        <f>MOVIMIENTOS!$A49</f>
        <v>46219</v>
      </c>
      <c r="L49" t="str">
        <f>IF($A49="","",SUMPRODUCT(MAX((MOVIMIENTOS!$A$5:$A$400=$A49)*ROW(MOVIMIENTOS!$A$5:$A$400))))</f>
        <v/>
      </c>
    </row>
    <row r="50" spans="1:12" x14ac:dyDescent="0.2">
      <c r="A50" s="11" t="str">
        <f t="shared" si="2"/>
        <v/>
      </c>
      <c r="B50" s="12" t="str">
        <f>IF($A50="","",SUMPRODUCT((MOVIMIENTOS!$B$5:$B$400="SALDO INICIAL")*(MOVIMIENTOS!$C$5:$C$400="A")*(MOVIMIENTOS!$D$5:$D$400="jabas")*(ROW(MOVIMIENTOS!$B$5:$B$400)&lt;=$L50)*MOVIMIENTOS!$E$5:$E$400)+SUMPRODUCT((MOVIMIENTOS!$B$5:$B$400="PROCESO")*(MOVIMIENTOS!$C$5:$C$400="A")*(MOVIMIENTOS!$D$5:$D$400="jabas")*(ROW(MOVIMIENTOS!$B$5:$B$400)&lt;=$L50)*MOVIMIENTOS!$E$5:$E$400)-SUMPRODUCT((MOVIMIENTOS!$B$5:$B$400="ENVÍO A SUPESA")*(MOVIMIENTOS!$C$5:$C$400="A")*(MOVIMIENTOS!$D$5:$D$400="jabas")*(ROW(MOVIMIENTOS!$B$5:$B$400)&lt;=$L50)*MOVIMIENTOS!$E$5:$E$400)+SUMPRODUCT((MOVIMIENTOS!$B$5:$B$400="DEVOLUCIÓN")*(MOVIMIENTOS!$C$5:$C$400="A")*(MOVIMIENTOS!$D$5:$D$400="jabas")*(ROW(MOVIMIENTOS!$B$5:$B$400)&lt;=$L50)*MOVIMIENTOS!$E$5:$E$400)-SUMPRODUCT((MOVIMIENTOS!$B$5:$B$400="TRASIEGO")*(MOVIMIENTOS!$C$5:$C$400="A")*(MOVIMIENTOS!$D$5:$D$400="jabas")*(ROW(MOVIMIENTOS!$B$5:$B$400)&lt;=$L50)*MOVIMIENTOS!$E$5:$E$400)-SUMPRODUCT((MOVIMIENTOS!$B$5:$B$400="REGALO")*(MOVIMIENTOS!$C$5:$C$400="A")*(MOVIMIENTOS!$D$5:$D$400="jabas")*(ROW(MOVIMIENTOS!$B$5:$B$400)&lt;=$L50)*MOVIMIENTOS!$E$5:$E$400)-SUMPRODUCT((MOVIMIENTOS!$B$5:$B$400="VENTA")*(MOVIMIENTOS!$C$5:$C$400="A")*(MOVIMIENTOS!$D$5:$D$400="jabas")*(ROW(MOVIMIENTOS!$B$5:$B$400)&lt;=$L50)*MOVIMIENTOS!$E$5:$E$400)+SUMPRODUCT((MOVIMIENTOS!$B$5:$B$400="AJUSTE")*(MOVIMIENTOS!$C$5:$C$400="A")*(MOVIMIENTOS!$D$5:$D$400="jabas")*(ROW(MOVIMIENTOS!$B$5:$B$400)&lt;=$L50)*MOVIMIENTOS!$E$5:$E$400))</f>
        <v/>
      </c>
      <c r="C50" s="12" t="str">
        <f>IF($A50="","",SUMPRODUCT((MOVIMIENTOS!$B$5:$B$400="SALDO INICIAL")*(MOVIMIENTOS!$C$5:$C$400="P")*(MOVIMIENTOS!$D$5:$D$400="jabas")*(ROW(MOVIMIENTOS!$B$5:$B$400)&lt;=$L50)*MOVIMIENTOS!$E$5:$E$400)+SUMPRODUCT((MOVIMIENTOS!$B$5:$B$400="PROCESO")*(MOVIMIENTOS!$C$5:$C$400="P")*(MOVIMIENTOS!$D$5:$D$400="jabas")*(ROW(MOVIMIENTOS!$B$5:$B$400)&lt;=$L50)*MOVIMIENTOS!$E$5:$E$400)-SUMPRODUCT((MOVIMIENTOS!$B$5:$B$400="ENVÍO A SUPESA")*(MOVIMIENTOS!$C$5:$C$400="P")*(MOVIMIENTOS!$D$5:$D$400="jabas")*(ROW(MOVIMIENTOS!$B$5:$B$400)&lt;=$L50)*MOVIMIENTOS!$E$5:$E$400)+SUMPRODUCT((MOVIMIENTOS!$B$5:$B$400="DEVOLUCIÓN")*(MOVIMIENTOS!$C$5:$C$400="P")*(MOVIMIENTOS!$D$5:$D$400="jabas")*(ROW(MOVIMIENTOS!$B$5:$B$400)&lt;=$L50)*MOVIMIENTOS!$E$5:$E$400)-SUMPRODUCT((MOVIMIENTOS!$B$5:$B$400="TRASIEGO")*(MOVIMIENTOS!$C$5:$C$400="P")*(MOVIMIENTOS!$D$5:$D$400="jabas")*(ROW(MOVIMIENTOS!$B$5:$B$400)&lt;=$L50)*MOVIMIENTOS!$E$5:$E$400)-SUMPRODUCT((MOVIMIENTOS!$B$5:$B$400="REGALO")*(MOVIMIENTOS!$C$5:$C$400="P")*(MOVIMIENTOS!$D$5:$D$400="jabas")*(ROW(MOVIMIENTOS!$B$5:$B$400)&lt;=$L50)*MOVIMIENTOS!$E$5:$E$400)-SUMPRODUCT((MOVIMIENTOS!$B$5:$B$400="VENTA")*(MOVIMIENTOS!$C$5:$C$400="P")*(MOVIMIENTOS!$D$5:$D$400="jabas")*(ROW(MOVIMIENTOS!$B$5:$B$400)&lt;=$L50)*MOVIMIENTOS!$E$5:$E$400)+SUMPRODUCT((MOVIMIENTOS!$B$5:$B$400="AJUSTE")*(MOVIMIENTOS!$C$5:$C$400="P")*(MOVIMIENTOS!$D$5:$D$400="jabas")*(ROW(MOVIMIENTOS!$B$5:$B$400)&lt;=$L50)*MOVIMIENTOS!$E$5:$E$400))</f>
        <v/>
      </c>
      <c r="D50" s="12" t="str">
        <f>IF($A50="","",SUMPRODUCT((MOVIMIENTOS!$B$5:$B$400="SALDO INICIAL")*(MOVIMIENTOS!$C$5:$C$400="C")*(MOVIMIENTOS!$D$5:$D$400="jabas")*(ROW(MOVIMIENTOS!$B$5:$B$400)&lt;=$L50)*MOVIMIENTOS!$E$5:$E$400)+SUMPRODUCT((MOVIMIENTOS!$B$5:$B$400="PROCESO")*(MOVIMIENTOS!$C$5:$C$400="C")*(MOVIMIENTOS!$D$5:$D$400="jabas")*(ROW(MOVIMIENTOS!$B$5:$B$400)&lt;=$L50)*MOVIMIENTOS!$E$5:$E$400)-SUMPRODUCT((MOVIMIENTOS!$B$5:$B$400="ENVÍO A SUPESA")*(MOVIMIENTOS!$C$5:$C$400="C")*(MOVIMIENTOS!$D$5:$D$400="jabas")*(ROW(MOVIMIENTOS!$B$5:$B$400)&lt;=$L50)*MOVIMIENTOS!$E$5:$E$400)+SUMPRODUCT((MOVIMIENTOS!$B$5:$B$400="DEVOLUCIÓN")*(MOVIMIENTOS!$C$5:$C$400="C")*(MOVIMIENTOS!$D$5:$D$400="jabas")*(ROW(MOVIMIENTOS!$B$5:$B$400)&lt;=$L50)*MOVIMIENTOS!$E$5:$E$400)-SUMPRODUCT((MOVIMIENTOS!$B$5:$B$400="TRASIEGO")*(MOVIMIENTOS!$C$5:$C$400="C")*(MOVIMIENTOS!$D$5:$D$400="jabas")*(ROW(MOVIMIENTOS!$B$5:$B$400)&lt;=$L50)*MOVIMIENTOS!$E$5:$E$400)-SUMPRODUCT((MOVIMIENTOS!$B$5:$B$400="REGALO")*(MOVIMIENTOS!$C$5:$C$400="C")*(MOVIMIENTOS!$D$5:$D$400="jabas")*(ROW(MOVIMIENTOS!$B$5:$B$400)&lt;=$L50)*MOVIMIENTOS!$E$5:$E$400)-SUMPRODUCT((MOVIMIENTOS!$B$5:$B$400="VENTA")*(MOVIMIENTOS!$C$5:$C$400="C")*(MOVIMIENTOS!$D$5:$D$400="jabas")*(ROW(MOVIMIENTOS!$B$5:$B$400)&lt;=$L50)*MOVIMIENTOS!$E$5:$E$400)+SUMPRODUCT((MOVIMIENTOS!$B$5:$B$400="AJUSTE")*(MOVIMIENTOS!$C$5:$C$400="C")*(MOVIMIENTOS!$D$5:$D$400="jabas")*(ROW(MOVIMIENTOS!$B$5:$B$400)&lt;=$L50)*MOVIMIENTOS!$E$5:$E$400))</f>
        <v/>
      </c>
      <c r="E50" s="12" t="str">
        <f>IF($A50="","",SUMPRODUCT((MOVIMIENTOS!$B$5:$B$400="SALDO INICIAL")*(MOVIMIENTOS!$C$5:$C$400="M")*(MOVIMIENTOS!$D$5:$D$400="jabas")*(ROW(MOVIMIENTOS!$B$5:$B$400)&lt;=$L50)*MOVIMIENTOS!$E$5:$E$400)+SUMPRODUCT((MOVIMIENTOS!$B$5:$B$400="PROCESO")*(MOVIMIENTOS!$C$5:$C$400="M")*(MOVIMIENTOS!$D$5:$D$400="jabas")*(ROW(MOVIMIENTOS!$B$5:$B$400)&lt;=$L50)*MOVIMIENTOS!$E$5:$E$400)-SUMPRODUCT((MOVIMIENTOS!$B$5:$B$400="ENVÍO A SUPESA")*(MOVIMIENTOS!$C$5:$C$400="M")*(MOVIMIENTOS!$D$5:$D$400="jabas")*(ROW(MOVIMIENTOS!$B$5:$B$400)&lt;=$L50)*MOVIMIENTOS!$E$5:$E$400)+SUMPRODUCT((MOVIMIENTOS!$B$5:$B$400="DEVOLUCIÓN")*(MOVIMIENTOS!$C$5:$C$400="M")*(MOVIMIENTOS!$D$5:$D$400="jabas")*(ROW(MOVIMIENTOS!$B$5:$B$400)&lt;=$L50)*MOVIMIENTOS!$E$5:$E$400)-SUMPRODUCT((MOVIMIENTOS!$B$5:$B$400="TRASIEGO")*(MOVIMIENTOS!$C$5:$C$400="M")*(MOVIMIENTOS!$D$5:$D$400="jabas")*(ROW(MOVIMIENTOS!$B$5:$B$400)&lt;=$L50)*MOVIMIENTOS!$E$5:$E$400)-SUMPRODUCT((MOVIMIENTOS!$B$5:$B$400="REGALO")*(MOVIMIENTOS!$C$5:$C$400="M")*(MOVIMIENTOS!$D$5:$D$400="jabas")*(ROW(MOVIMIENTOS!$B$5:$B$400)&lt;=$L50)*MOVIMIENTOS!$E$5:$E$400)-SUMPRODUCT((MOVIMIENTOS!$B$5:$B$400="VENTA")*(MOVIMIENTOS!$C$5:$C$400="M")*(MOVIMIENTOS!$D$5:$D$400="jabas")*(ROW(MOVIMIENTOS!$B$5:$B$400)&lt;=$L50)*MOVIMIENTOS!$E$5:$E$400)+SUMPRODUCT((MOVIMIENTOS!$B$5:$B$400="AJUSTE")*(MOVIMIENTOS!$C$5:$C$400="M")*(MOVIMIENTOS!$D$5:$D$400="jabas")*(ROW(MOVIMIENTOS!$B$5:$B$400)&lt;=$L50)*MOVIMIENTOS!$E$5:$E$400))</f>
        <v/>
      </c>
      <c r="F50" s="12" t="str">
        <f>IF($A50="","",SUMPRODUCT((MOVIMIENTOS!$B$5:$B$400="SALDO INICIAL")*(MOVIMIENTOS!$C$5:$C$400="Chancho")*(MOVIMIENTOS!$D$5:$D$400="sacos")*(ROW(MOVIMIENTOS!$B$5:$B$400)&lt;=$L50)*MOVIMIENTOS!$E$5:$E$400)+SUMPRODUCT((MOVIMIENTOS!$B$5:$B$400="PROCESO")*(MOVIMIENTOS!$C$5:$C$400="Chancho")*(MOVIMIENTOS!$D$5:$D$400="sacos")*(ROW(MOVIMIENTOS!$B$5:$B$400)&lt;=$L50)*MOVIMIENTOS!$E$5:$E$400)-SUMPRODUCT((MOVIMIENTOS!$B$5:$B$400="VENTA CHANCHO")*(MOVIMIENTOS!$C$5:$C$400="Chancho")*(MOVIMIENTOS!$D$5:$D$400="sacos")*(ROW(MOVIMIENTOS!$B$5:$B$400)&lt;=$L50)*MOVIMIENTOS!$E$5:$E$400)-SUMPRODUCT((MOVIMIENTOS!$B$5:$B$400="REGALO")*(MOVIMIENTOS!$C$5:$C$400="Chancho")*(MOVIMIENTOS!$D$5:$D$400="sacos")*(ROW(MOVIMIENTOS!$B$5:$B$400)&lt;=$L50)*MOVIMIENTOS!$E$5:$E$400)-SUMPRODUCT((MOVIMIENTOS!$B$5:$B$400="VENTA")*(MOVIMIENTOS!$C$5:$C$400="Chancho")*(MOVIMIENTOS!$D$5:$D$400="sacos")*(ROW(MOVIMIENTOS!$B$5:$B$400)&lt;=$L50)*MOVIMIENTOS!$E$5:$E$400)+SUMPRODUCT((MOVIMIENTOS!$B$5:$B$400="AJUSTE")*(MOVIMIENTOS!$C$5:$C$400="Chancho")*(MOVIMIENTOS!$D$5:$D$400="sacos")*(ROW(MOVIMIENTOS!$B$5:$B$400)&lt;=$L50)*MOVIMIENTOS!$E$5:$E$400))</f>
        <v/>
      </c>
      <c r="G50" s="12" t="str">
        <f t="shared" si="3"/>
        <v/>
      </c>
      <c r="H50" s="12" t="str">
        <f>IF($A50="","",SUMPRODUCT((((MOVIMIENTOS!$B$5:$B$400="SALDO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50)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50)*MOVIMIENTOS!$I$5:$I$400))</f>
        <v/>
      </c>
      <c r="J50" t="str">
        <f>IF(AND(MOVIMIENTOS!$A50&lt;&gt;"",COUNTIF(MOVIMIENTOS!$A$5:$A49,MOVIMIENTOS!$A50)=0),COUNT(J$4:J49)+1,"")</f>
        <v/>
      </c>
      <c r="K50" s="10">
        <f>MOVIMIENTOS!$A50</f>
        <v>46219</v>
      </c>
      <c r="L50" t="str">
        <f>IF($A50="","",SUMPRODUCT(MAX((MOVIMIENTOS!$A$5:$A$400=$A50)*ROW(MOVIMIENTOS!$A$5:$A$400))))</f>
        <v/>
      </c>
    </row>
    <row r="51" spans="1:12" x14ac:dyDescent="0.2">
      <c r="A51" s="11" t="str">
        <f t="shared" si="2"/>
        <v/>
      </c>
      <c r="B51" s="12" t="str">
        <f>IF($A51="","",SUMPRODUCT((MOVIMIENTOS!$B$5:$B$400="SALDO INICIAL")*(MOVIMIENTOS!$C$5:$C$400="A")*(MOVIMIENTOS!$D$5:$D$400="jabas")*(ROW(MOVIMIENTOS!$B$5:$B$400)&lt;=$L51)*MOVIMIENTOS!$E$5:$E$400)+SUMPRODUCT((MOVIMIENTOS!$B$5:$B$400="PROCESO")*(MOVIMIENTOS!$C$5:$C$400="A")*(MOVIMIENTOS!$D$5:$D$400="jabas")*(ROW(MOVIMIENTOS!$B$5:$B$400)&lt;=$L51)*MOVIMIENTOS!$E$5:$E$400)-SUMPRODUCT((MOVIMIENTOS!$B$5:$B$400="ENVÍO A SUPESA")*(MOVIMIENTOS!$C$5:$C$400="A")*(MOVIMIENTOS!$D$5:$D$400="jabas")*(ROW(MOVIMIENTOS!$B$5:$B$400)&lt;=$L51)*MOVIMIENTOS!$E$5:$E$400)+SUMPRODUCT((MOVIMIENTOS!$B$5:$B$400="DEVOLUCIÓN")*(MOVIMIENTOS!$C$5:$C$400="A")*(MOVIMIENTOS!$D$5:$D$400="jabas")*(ROW(MOVIMIENTOS!$B$5:$B$400)&lt;=$L51)*MOVIMIENTOS!$E$5:$E$400)-SUMPRODUCT((MOVIMIENTOS!$B$5:$B$400="TRASIEGO")*(MOVIMIENTOS!$C$5:$C$400="A")*(MOVIMIENTOS!$D$5:$D$400="jabas")*(ROW(MOVIMIENTOS!$B$5:$B$400)&lt;=$L51)*MOVIMIENTOS!$E$5:$E$400)-SUMPRODUCT((MOVIMIENTOS!$B$5:$B$400="REGALO")*(MOVIMIENTOS!$C$5:$C$400="A")*(MOVIMIENTOS!$D$5:$D$400="jabas")*(ROW(MOVIMIENTOS!$B$5:$B$400)&lt;=$L51)*MOVIMIENTOS!$E$5:$E$400)-SUMPRODUCT((MOVIMIENTOS!$B$5:$B$400="VENTA")*(MOVIMIENTOS!$C$5:$C$400="A")*(MOVIMIENTOS!$D$5:$D$400="jabas")*(ROW(MOVIMIENTOS!$B$5:$B$400)&lt;=$L51)*MOVIMIENTOS!$E$5:$E$400)+SUMPRODUCT((MOVIMIENTOS!$B$5:$B$400="AJUSTE")*(MOVIMIENTOS!$C$5:$C$400="A")*(MOVIMIENTOS!$D$5:$D$400="jabas")*(ROW(MOVIMIENTOS!$B$5:$B$400)&lt;=$L51)*MOVIMIENTOS!$E$5:$E$400))</f>
        <v/>
      </c>
      <c r="C51" s="12" t="str">
        <f>IF($A51="","",SUMPRODUCT((MOVIMIENTOS!$B$5:$B$400="SALDO INICIAL")*(MOVIMIENTOS!$C$5:$C$400="P")*(MOVIMIENTOS!$D$5:$D$400="jabas")*(ROW(MOVIMIENTOS!$B$5:$B$400)&lt;=$L51)*MOVIMIENTOS!$E$5:$E$400)+SUMPRODUCT((MOVIMIENTOS!$B$5:$B$400="PROCESO")*(MOVIMIENTOS!$C$5:$C$400="P")*(MOVIMIENTOS!$D$5:$D$400="jabas")*(ROW(MOVIMIENTOS!$B$5:$B$400)&lt;=$L51)*MOVIMIENTOS!$E$5:$E$400)-SUMPRODUCT((MOVIMIENTOS!$B$5:$B$400="ENVÍO A SUPESA")*(MOVIMIENTOS!$C$5:$C$400="P")*(MOVIMIENTOS!$D$5:$D$400="jabas")*(ROW(MOVIMIENTOS!$B$5:$B$400)&lt;=$L51)*MOVIMIENTOS!$E$5:$E$400)+SUMPRODUCT((MOVIMIENTOS!$B$5:$B$400="DEVOLUCIÓN")*(MOVIMIENTOS!$C$5:$C$400="P")*(MOVIMIENTOS!$D$5:$D$400="jabas")*(ROW(MOVIMIENTOS!$B$5:$B$400)&lt;=$L51)*MOVIMIENTOS!$E$5:$E$400)-SUMPRODUCT((MOVIMIENTOS!$B$5:$B$400="TRASIEGO")*(MOVIMIENTOS!$C$5:$C$400="P")*(MOVIMIENTOS!$D$5:$D$400="jabas")*(ROW(MOVIMIENTOS!$B$5:$B$400)&lt;=$L51)*MOVIMIENTOS!$E$5:$E$400)-SUMPRODUCT((MOVIMIENTOS!$B$5:$B$400="REGALO")*(MOVIMIENTOS!$C$5:$C$400="P")*(MOVIMIENTOS!$D$5:$D$400="jabas")*(ROW(MOVIMIENTOS!$B$5:$B$400)&lt;=$L51)*MOVIMIENTOS!$E$5:$E$400)-SUMPRODUCT((MOVIMIENTOS!$B$5:$B$400="VENTA")*(MOVIMIENTOS!$C$5:$C$400="P")*(MOVIMIENTOS!$D$5:$D$400="jabas")*(ROW(MOVIMIENTOS!$B$5:$B$400)&lt;=$L51)*MOVIMIENTOS!$E$5:$E$400)+SUMPRODUCT((MOVIMIENTOS!$B$5:$B$400="AJUSTE")*(MOVIMIENTOS!$C$5:$C$400="P")*(MOVIMIENTOS!$D$5:$D$400="jabas")*(ROW(MOVIMIENTOS!$B$5:$B$400)&lt;=$L51)*MOVIMIENTOS!$E$5:$E$400))</f>
        <v/>
      </c>
      <c r="D51" s="12" t="str">
        <f>IF($A51="","",SUMPRODUCT((MOVIMIENTOS!$B$5:$B$400="SALDO INICIAL")*(MOVIMIENTOS!$C$5:$C$400="C")*(MOVIMIENTOS!$D$5:$D$400="jabas")*(ROW(MOVIMIENTOS!$B$5:$B$400)&lt;=$L51)*MOVIMIENTOS!$E$5:$E$400)+SUMPRODUCT((MOVIMIENTOS!$B$5:$B$400="PROCESO")*(MOVIMIENTOS!$C$5:$C$400="C")*(MOVIMIENTOS!$D$5:$D$400="jabas")*(ROW(MOVIMIENTOS!$B$5:$B$400)&lt;=$L51)*MOVIMIENTOS!$E$5:$E$400)-SUMPRODUCT((MOVIMIENTOS!$B$5:$B$400="ENVÍO A SUPESA")*(MOVIMIENTOS!$C$5:$C$400="C")*(MOVIMIENTOS!$D$5:$D$400="jabas")*(ROW(MOVIMIENTOS!$B$5:$B$400)&lt;=$L51)*MOVIMIENTOS!$E$5:$E$400)+SUMPRODUCT((MOVIMIENTOS!$B$5:$B$400="DEVOLUCIÓN")*(MOVIMIENTOS!$C$5:$C$400="C")*(MOVIMIENTOS!$D$5:$D$400="jabas")*(ROW(MOVIMIENTOS!$B$5:$B$400)&lt;=$L51)*MOVIMIENTOS!$E$5:$E$400)-SUMPRODUCT((MOVIMIENTOS!$B$5:$B$400="TRASIEGO")*(MOVIMIENTOS!$C$5:$C$400="C")*(MOVIMIENTOS!$D$5:$D$400="jabas")*(ROW(MOVIMIENTOS!$B$5:$B$400)&lt;=$L51)*MOVIMIENTOS!$E$5:$E$400)-SUMPRODUCT((MOVIMIENTOS!$B$5:$B$400="REGALO")*(MOVIMIENTOS!$C$5:$C$400="C")*(MOVIMIENTOS!$D$5:$D$400="jabas")*(ROW(MOVIMIENTOS!$B$5:$B$400)&lt;=$L51)*MOVIMIENTOS!$E$5:$E$400)-SUMPRODUCT((MOVIMIENTOS!$B$5:$B$400="VENTA")*(MOVIMIENTOS!$C$5:$C$400="C")*(MOVIMIENTOS!$D$5:$D$400="jabas")*(ROW(MOVIMIENTOS!$B$5:$B$400)&lt;=$L51)*MOVIMIENTOS!$E$5:$E$400)+SUMPRODUCT((MOVIMIENTOS!$B$5:$B$400="AJUSTE")*(MOVIMIENTOS!$C$5:$C$400="C")*(MOVIMIENTOS!$D$5:$D$400="jabas")*(ROW(MOVIMIENTOS!$B$5:$B$400)&lt;=$L51)*MOVIMIENTOS!$E$5:$E$400))</f>
        <v/>
      </c>
      <c r="E51" s="12" t="str">
        <f>IF($A51="","",SUMPRODUCT((MOVIMIENTOS!$B$5:$B$400="SALDO INICIAL")*(MOVIMIENTOS!$C$5:$C$400="M")*(MOVIMIENTOS!$D$5:$D$400="jabas")*(ROW(MOVIMIENTOS!$B$5:$B$400)&lt;=$L51)*MOVIMIENTOS!$E$5:$E$400)+SUMPRODUCT((MOVIMIENTOS!$B$5:$B$400="PROCESO")*(MOVIMIENTOS!$C$5:$C$400="M")*(MOVIMIENTOS!$D$5:$D$400="jabas")*(ROW(MOVIMIENTOS!$B$5:$B$400)&lt;=$L51)*MOVIMIENTOS!$E$5:$E$400)-SUMPRODUCT((MOVIMIENTOS!$B$5:$B$400="ENVÍO A SUPESA")*(MOVIMIENTOS!$C$5:$C$400="M")*(MOVIMIENTOS!$D$5:$D$400="jabas")*(ROW(MOVIMIENTOS!$B$5:$B$400)&lt;=$L51)*MOVIMIENTOS!$E$5:$E$400)+SUMPRODUCT((MOVIMIENTOS!$B$5:$B$400="DEVOLUCIÓN")*(MOVIMIENTOS!$C$5:$C$400="M")*(MOVIMIENTOS!$D$5:$D$400="jabas")*(ROW(MOVIMIENTOS!$B$5:$B$400)&lt;=$L51)*MOVIMIENTOS!$E$5:$E$400)-SUMPRODUCT((MOVIMIENTOS!$B$5:$B$400="TRASIEGO")*(MOVIMIENTOS!$C$5:$C$400="M")*(MOVIMIENTOS!$D$5:$D$400="jabas")*(ROW(MOVIMIENTOS!$B$5:$B$400)&lt;=$L51)*MOVIMIENTOS!$E$5:$E$400)-SUMPRODUCT((MOVIMIENTOS!$B$5:$B$400="REGALO")*(MOVIMIENTOS!$C$5:$C$400="M")*(MOVIMIENTOS!$D$5:$D$400="jabas")*(ROW(MOVIMIENTOS!$B$5:$B$400)&lt;=$L51)*MOVIMIENTOS!$E$5:$E$400)-SUMPRODUCT((MOVIMIENTOS!$B$5:$B$400="VENTA")*(MOVIMIENTOS!$C$5:$C$400="M")*(MOVIMIENTOS!$D$5:$D$400="jabas")*(ROW(MOVIMIENTOS!$B$5:$B$400)&lt;=$L51)*MOVIMIENTOS!$E$5:$E$400)+SUMPRODUCT((MOVIMIENTOS!$B$5:$B$400="AJUSTE")*(MOVIMIENTOS!$C$5:$C$400="M")*(MOVIMIENTOS!$D$5:$D$400="jabas")*(ROW(MOVIMIENTOS!$B$5:$B$400)&lt;=$L51)*MOVIMIENTOS!$E$5:$E$400))</f>
        <v/>
      </c>
      <c r="F51" s="12" t="str">
        <f>IF($A51="","",SUMPRODUCT((MOVIMIENTOS!$B$5:$B$400="SALDO INICIAL")*(MOVIMIENTOS!$C$5:$C$400="Chancho")*(MOVIMIENTOS!$D$5:$D$400="sacos")*(ROW(MOVIMIENTOS!$B$5:$B$400)&lt;=$L51)*MOVIMIENTOS!$E$5:$E$400)+SUMPRODUCT((MOVIMIENTOS!$B$5:$B$400="PROCESO")*(MOVIMIENTOS!$C$5:$C$400="Chancho")*(MOVIMIENTOS!$D$5:$D$400="sacos")*(ROW(MOVIMIENTOS!$B$5:$B$400)&lt;=$L51)*MOVIMIENTOS!$E$5:$E$400)-SUMPRODUCT((MOVIMIENTOS!$B$5:$B$400="VENTA CHANCHO")*(MOVIMIENTOS!$C$5:$C$400="Chancho")*(MOVIMIENTOS!$D$5:$D$400="sacos")*(ROW(MOVIMIENTOS!$B$5:$B$400)&lt;=$L51)*MOVIMIENTOS!$E$5:$E$400)-SUMPRODUCT((MOVIMIENTOS!$B$5:$B$400="REGALO")*(MOVIMIENTOS!$C$5:$C$400="Chancho")*(MOVIMIENTOS!$D$5:$D$400="sacos")*(ROW(MOVIMIENTOS!$B$5:$B$400)&lt;=$L51)*MOVIMIENTOS!$E$5:$E$400)-SUMPRODUCT((MOVIMIENTOS!$B$5:$B$400="VENTA")*(MOVIMIENTOS!$C$5:$C$400="Chancho")*(MOVIMIENTOS!$D$5:$D$400="sacos")*(ROW(MOVIMIENTOS!$B$5:$B$400)&lt;=$L51)*MOVIMIENTOS!$E$5:$E$400)+SUMPRODUCT((MOVIMIENTOS!$B$5:$B$400="AJUSTE")*(MOVIMIENTOS!$C$5:$C$400="Chancho")*(MOVIMIENTOS!$D$5:$D$400="sacos")*(ROW(MOVIMIENTOS!$B$5:$B$400)&lt;=$L51)*MOVIMIENTOS!$E$5:$E$400))</f>
        <v/>
      </c>
      <c r="G51" s="12" t="str">
        <f t="shared" si="3"/>
        <v/>
      </c>
      <c r="H51" s="12" t="str">
        <f>IF($A51="","",SUMPRODUCT((((MOVIMIENTOS!$B$5:$B$400="SALDO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51)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51)*MOVIMIENTOS!$I$5:$I$400))</f>
        <v/>
      </c>
      <c r="J51" t="str">
        <f>IF(AND(MOVIMIENTOS!$A51&lt;&gt;"",COUNTIF(MOVIMIENTOS!$A$5:$A50,MOVIMIENTOS!$A51)=0),COUNT(J$4:J50)+1,"")</f>
        <v/>
      </c>
      <c r="K51" s="10">
        <f>MOVIMIENTOS!$A51</f>
        <v>46219</v>
      </c>
      <c r="L51" t="str">
        <f>IF($A51="","",SUMPRODUCT(MAX((MOVIMIENTOS!$A$5:$A$400=$A51)*ROW(MOVIMIENTOS!$A$5:$A$400))))</f>
        <v/>
      </c>
    </row>
    <row r="52" spans="1:12" x14ac:dyDescent="0.2">
      <c r="A52" s="11" t="str">
        <f t="shared" si="2"/>
        <v/>
      </c>
      <c r="B52" s="12" t="str">
        <f>IF($A52="","",SUMPRODUCT((MOVIMIENTOS!$B$5:$B$400="SALDO INICIAL")*(MOVIMIENTOS!$C$5:$C$400="A")*(MOVIMIENTOS!$D$5:$D$400="jabas")*(ROW(MOVIMIENTOS!$B$5:$B$400)&lt;=$L52)*MOVIMIENTOS!$E$5:$E$400)+SUMPRODUCT((MOVIMIENTOS!$B$5:$B$400="PROCESO")*(MOVIMIENTOS!$C$5:$C$400="A")*(MOVIMIENTOS!$D$5:$D$400="jabas")*(ROW(MOVIMIENTOS!$B$5:$B$400)&lt;=$L52)*MOVIMIENTOS!$E$5:$E$400)-SUMPRODUCT((MOVIMIENTOS!$B$5:$B$400="ENVÍO A SUPESA")*(MOVIMIENTOS!$C$5:$C$400="A")*(MOVIMIENTOS!$D$5:$D$400="jabas")*(ROW(MOVIMIENTOS!$B$5:$B$400)&lt;=$L52)*MOVIMIENTOS!$E$5:$E$400)+SUMPRODUCT((MOVIMIENTOS!$B$5:$B$400="DEVOLUCIÓN")*(MOVIMIENTOS!$C$5:$C$400="A")*(MOVIMIENTOS!$D$5:$D$400="jabas")*(ROW(MOVIMIENTOS!$B$5:$B$400)&lt;=$L52)*MOVIMIENTOS!$E$5:$E$400)-SUMPRODUCT((MOVIMIENTOS!$B$5:$B$400="TRASIEGO")*(MOVIMIENTOS!$C$5:$C$400="A")*(MOVIMIENTOS!$D$5:$D$400="jabas")*(ROW(MOVIMIENTOS!$B$5:$B$400)&lt;=$L52)*MOVIMIENTOS!$E$5:$E$400)-SUMPRODUCT((MOVIMIENTOS!$B$5:$B$400="REGALO")*(MOVIMIENTOS!$C$5:$C$400="A")*(MOVIMIENTOS!$D$5:$D$400="jabas")*(ROW(MOVIMIENTOS!$B$5:$B$400)&lt;=$L52)*MOVIMIENTOS!$E$5:$E$400)-SUMPRODUCT((MOVIMIENTOS!$B$5:$B$400="VENTA")*(MOVIMIENTOS!$C$5:$C$400="A")*(MOVIMIENTOS!$D$5:$D$400="jabas")*(ROW(MOVIMIENTOS!$B$5:$B$400)&lt;=$L52)*MOVIMIENTOS!$E$5:$E$400)+SUMPRODUCT((MOVIMIENTOS!$B$5:$B$400="AJUSTE")*(MOVIMIENTOS!$C$5:$C$400="A")*(MOVIMIENTOS!$D$5:$D$400="jabas")*(ROW(MOVIMIENTOS!$B$5:$B$400)&lt;=$L52)*MOVIMIENTOS!$E$5:$E$400))</f>
        <v/>
      </c>
      <c r="C52" s="12" t="str">
        <f>IF($A52="","",SUMPRODUCT((MOVIMIENTOS!$B$5:$B$400="SALDO INICIAL")*(MOVIMIENTOS!$C$5:$C$400="P")*(MOVIMIENTOS!$D$5:$D$400="jabas")*(ROW(MOVIMIENTOS!$B$5:$B$400)&lt;=$L52)*MOVIMIENTOS!$E$5:$E$400)+SUMPRODUCT((MOVIMIENTOS!$B$5:$B$400="PROCESO")*(MOVIMIENTOS!$C$5:$C$400="P")*(MOVIMIENTOS!$D$5:$D$400="jabas")*(ROW(MOVIMIENTOS!$B$5:$B$400)&lt;=$L52)*MOVIMIENTOS!$E$5:$E$400)-SUMPRODUCT((MOVIMIENTOS!$B$5:$B$400="ENVÍO A SUPESA")*(MOVIMIENTOS!$C$5:$C$400="P")*(MOVIMIENTOS!$D$5:$D$400="jabas")*(ROW(MOVIMIENTOS!$B$5:$B$400)&lt;=$L52)*MOVIMIENTOS!$E$5:$E$400)+SUMPRODUCT((MOVIMIENTOS!$B$5:$B$400="DEVOLUCIÓN")*(MOVIMIENTOS!$C$5:$C$400="P")*(MOVIMIENTOS!$D$5:$D$400="jabas")*(ROW(MOVIMIENTOS!$B$5:$B$400)&lt;=$L52)*MOVIMIENTOS!$E$5:$E$400)-SUMPRODUCT((MOVIMIENTOS!$B$5:$B$400="TRASIEGO")*(MOVIMIENTOS!$C$5:$C$400="P")*(MOVIMIENTOS!$D$5:$D$400="jabas")*(ROW(MOVIMIENTOS!$B$5:$B$400)&lt;=$L52)*MOVIMIENTOS!$E$5:$E$400)-SUMPRODUCT((MOVIMIENTOS!$B$5:$B$400="REGALO")*(MOVIMIENTOS!$C$5:$C$400="P")*(MOVIMIENTOS!$D$5:$D$400="jabas")*(ROW(MOVIMIENTOS!$B$5:$B$400)&lt;=$L52)*MOVIMIENTOS!$E$5:$E$400)-SUMPRODUCT((MOVIMIENTOS!$B$5:$B$400="VENTA")*(MOVIMIENTOS!$C$5:$C$400="P")*(MOVIMIENTOS!$D$5:$D$400="jabas")*(ROW(MOVIMIENTOS!$B$5:$B$400)&lt;=$L52)*MOVIMIENTOS!$E$5:$E$400)+SUMPRODUCT((MOVIMIENTOS!$B$5:$B$400="AJUSTE")*(MOVIMIENTOS!$C$5:$C$400="P")*(MOVIMIENTOS!$D$5:$D$400="jabas")*(ROW(MOVIMIENTOS!$B$5:$B$400)&lt;=$L52)*MOVIMIENTOS!$E$5:$E$400))</f>
        <v/>
      </c>
      <c r="D52" s="12" t="str">
        <f>IF($A52="","",SUMPRODUCT((MOVIMIENTOS!$B$5:$B$400="SALDO INICIAL")*(MOVIMIENTOS!$C$5:$C$400="C")*(MOVIMIENTOS!$D$5:$D$400="jabas")*(ROW(MOVIMIENTOS!$B$5:$B$400)&lt;=$L52)*MOVIMIENTOS!$E$5:$E$400)+SUMPRODUCT((MOVIMIENTOS!$B$5:$B$400="PROCESO")*(MOVIMIENTOS!$C$5:$C$400="C")*(MOVIMIENTOS!$D$5:$D$400="jabas")*(ROW(MOVIMIENTOS!$B$5:$B$400)&lt;=$L52)*MOVIMIENTOS!$E$5:$E$400)-SUMPRODUCT((MOVIMIENTOS!$B$5:$B$400="ENVÍO A SUPESA")*(MOVIMIENTOS!$C$5:$C$400="C")*(MOVIMIENTOS!$D$5:$D$400="jabas")*(ROW(MOVIMIENTOS!$B$5:$B$400)&lt;=$L52)*MOVIMIENTOS!$E$5:$E$400)+SUMPRODUCT((MOVIMIENTOS!$B$5:$B$400="DEVOLUCIÓN")*(MOVIMIENTOS!$C$5:$C$400="C")*(MOVIMIENTOS!$D$5:$D$400="jabas")*(ROW(MOVIMIENTOS!$B$5:$B$400)&lt;=$L52)*MOVIMIENTOS!$E$5:$E$400)-SUMPRODUCT((MOVIMIENTOS!$B$5:$B$400="TRASIEGO")*(MOVIMIENTOS!$C$5:$C$400="C")*(MOVIMIENTOS!$D$5:$D$400="jabas")*(ROW(MOVIMIENTOS!$B$5:$B$400)&lt;=$L52)*MOVIMIENTOS!$E$5:$E$400)-SUMPRODUCT((MOVIMIENTOS!$B$5:$B$400="REGALO")*(MOVIMIENTOS!$C$5:$C$400="C")*(MOVIMIENTOS!$D$5:$D$400="jabas")*(ROW(MOVIMIENTOS!$B$5:$B$400)&lt;=$L52)*MOVIMIENTOS!$E$5:$E$400)-SUMPRODUCT((MOVIMIENTOS!$B$5:$B$400="VENTA")*(MOVIMIENTOS!$C$5:$C$400="C")*(MOVIMIENTOS!$D$5:$D$400="jabas")*(ROW(MOVIMIENTOS!$B$5:$B$400)&lt;=$L52)*MOVIMIENTOS!$E$5:$E$400)+SUMPRODUCT((MOVIMIENTOS!$B$5:$B$400="AJUSTE")*(MOVIMIENTOS!$C$5:$C$400="C")*(MOVIMIENTOS!$D$5:$D$400="jabas")*(ROW(MOVIMIENTOS!$B$5:$B$400)&lt;=$L52)*MOVIMIENTOS!$E$5:$E$400))</f>
        <v/>
      </c>
      <c r="E52" s="12" t="str">
        <f>IF($A52="","",SUMPRODUCT((MOVIMIENTOS!$B$5:$B$400="SALDO INICIAL")*(MOVIMIENTOS!$C$5:$C$400="M")*(MOVIMIENTOS!$D$5:$D$400="jabas")*(ROW(MOVIMIENTOS!$B$5:$B$400)&lt;=$L52)*MOVIMIENTOS!$E$5:$E$400)+SUMPRODUCT((MOVIMIENTOS!$B$5:$B$400="PROCESO")*(MOVIMIENTOS!$C$5:$C$400="M")*(MOVIMIENTOS!$D$5:$D$400="jabas")*(ROW(MOVIMIENTOS!$B$5:$B$400)&lt;=$L52)*MOVIMIENTOS!$E$5:$E$400)-SUMPRODUCT((MOVIMIENTOS!$B$5:$B$400="ENVÍO A SUPESA")*(MOVIMIENTOS!$C$5:$C$400="M")*(MOVIMIENTOS!$D$5:$D$400="jabas")*(ROW(MOVIMIENTOS!$B$5:$B$400)&lt;=$L52)*MOVIMIENTOS!$E$5:$E$400)+SUMPRODUCT((MOVIMIENTOS!$B$5:$B$400="DEVOLUCIÓN")*(MOVIMIENTOS!$C$5:$C$400="M")*(MOVIMIENTOS!$D$5:$D$400="jabas")*(ROW(MOVIMIENTOS!$B$5:$B$400)&lt;=$L52)*MOVIMIENTOS!$E$5:$E$400)-SUMPRODUCT((MOVIMIENTOS!$B$5:$B$400="TRASIEGO")*(MOVIMIENTOS!$C$5:$C$400="M")*(MOVIMIENTOS!$D$5:$D$400="jabas")*(ROW(MOVIMIENTOS!$B$5:$B$400)&lt;=$L52)*MOVIMIENTOS!$E$5:$E$400)-SUMPRODUCT((MOVIMIENTOS!$B$5:$B$400="REGALO")*(MOVIMIENTOS!$C$5:$C$400="M")*(MOVIMIENTOS!$D$5:$D$400="jabas")*(ROW(MOVIMIENTOS!$B$5:$B$400)&lt;=$L52)*MOVIMIENTOS!$E$5:$E$400)-SUMPRODUCT((MOVIMIENTOS!$B$5:$B$400="VENTA")*(MOVIMIENTOS!$C$5:$C$400="M")*(MOVIMIENTOS!$D$5:$D$400="jabas")*(ROW(MOVIMIENTOS!$B$5:$B$400)&lt;=$L52)*MOVIMIENTOS!$E$5:$E$400)+SUMPRODUCT((MOVIMIENTOS!$B$5:$B$400="AJUSTE")*(MOVIMIENTOS!$C$5:$C$400="M")*(MOVIMIENTOS!$D$5:$D$400="jabas")*(ROW(MOVIMIENTOS!$B$5:$B$400)&lt;=$L52)*MOVIMIENTOS!$E$5:$E$400))</f>
        <v/>
      </c>
      <c r="F52" s="12" t="str">
        <f>IF($A52="","",SUMPRODUCT((MOVIMIENTOS!$B$5:$B$400="SALDO INICIAL")*(MOVIMIENTOS!$C$5:$C$400="Chancho")*(MOVIMIENTOS!$D$5:$D$400="sacos")*(ROW(MOVIMIENTOS!$B$5:$B$400)&lt;=$L52)*MOVIMIENTOS!$E$5:$E$400)+SUMPRODUCT((MOVIMIENTOS!$B$5:$B$400="PROCESO")*(MOVIMIENTOS!$C$5:$C$400="Chancho")*(MOVIMIENTOS!$D$5:$D$400="sacos")*(ROW(MOVIMIENTOS!$B$5:$B$400)&lt;=$L52)*MOVIMIENTOS!$E$5:$E$400)-SUMPRODUCT((MOVIMIENTOS!$B$5:$B$400="VENTA CHANCHO")*(MOVIMIENTOS!$C$5:$C$400="Chancho")*(MOVIMIENTOS!$D$5:$D$400="sacos")*(ROW(MOVIMIENTOS!$B$5:$B$400)&lt;=$L52)*MOVIMIENTOS!$E$5:$E$400)-SUMPRODUCT((MOVIMIENTOS!$B$5:$B$400="REGALO")*(MOVIMIENTOS!$C$5:$C$400="Chancho")*(MOVIMIENTOS!$D$5:$D$400="sacos")*(ROW(MOVIMIENTOS!$B$5:$B$400)&lt;=$L52)*MOVIMIENTOS!$E$5:$E$400)-SUMPRODUCT((MOVIMIENTOS!$B$5:$B$400="VENTA")*(MOVIMIENTOS!$C$5:$C$400="Chancho")*(MOVIMIENTOS!$D$5:$D$400="sacos")*(ROW(MOVIMIENTOS!$B$5:$B$400)&lt;=$L52)*MOVIMIENTOS!$E$5:$E$400)+SUMPRODUCT((MOVIMIENTOS!$B$5:$B$400="AJUSTE")*(MOVIMIENTOS!$C$5:$C$400="Chancho")*(MOVIMIENTOS!$D$5:$D$400="sacos")*(ROW(MOVIMIENTOS!$B$5:$B$400)&lt;=$L52)*MOVIMIENTOS!$E$5:$E$400))</f>
        <v/>
      </c>
      <c r="G52" s="12" t="str">
        <f t="shared" si="3"/>
        <v/>
      </c>
      <c r="H52" s="12" t="str">
        <f>IF($A52="","",SUMPRODUCT((((MOVIMIENTOS!$B$5:$B$400="SALDO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52)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52)*MOVIMIENTOS!$I$5:$I$400))</f>
        <v/>
      </c>
      <c r="J52" t="str">
        <f>IF(AND(MOVIMIENTOS!$A52&lt;&gt;"",COUNTIF(MOVIMIENTOS!$A$5:$A51,MOVIMIENTOS!$A52)=0),COUNT(J$4:J51)+1,"")</f>
        <v/>
      </c>
      <c r="K52" s="10">
        <f>MOVIMIENTOS!$A52</f>
        <v>46219</v>
      </c>
      <c r="L52" t="str">
        <f>IF($A52="","",SUMPRODUCT(MAX((MOVIMIENTOS!$A$5:$A$400=$A52)*ROW(MOVIMIENTOS!$A$5:$A$400))))</f>
        <v/>
      </c>
    </row>
    <row r="53" spans="1:12" x14ac:dyDescent="0.2">
      <c r="A53" s="11" t="str">
        <f t="shared" si="2"/>
        <v/>
      </c>
      <c r="B53" s="12" t="str">
        <f>IF($A53="","",SUMPRODUCT((MOVIMIENTOS!$B$5:$B$400="SALDO INICIAL")*(MOVIMIENTOS!$C$5:$C$400="A")*(MOVIMIENTOS!$D$5:$D$400="jabas")*(ROW(MOVIMIENTOS!$B$5:$B$400)&lt;=$L53)*MOVIMIENTOS!$E$5:$E$400)+SUMPRODUCT((MOVIMIENTOS!$B$5:$B$400="PROCESO")*(MOVIMIENTOS!$C$5:$C$400="A")*(MOVIMIENTOS!$D$5:$D$400="jabas")*(ROW(MOVIMIENTOS!$B$5:$B$400)&lt;=$L53)*MOVIMIENTOS!$E$5:$E$400)-SUMPRODUCT((MOVIMIENTOS!$B$5:$B$400="ENVÍO A SUPESA")*(MOVIMIENTOS!$C$5:$C$400="A")*(MOVIMIENTOS!$D$5:$D$400="jabas")*(ROW(MOVIMIENTOS!$B$5:$B$400)&lt;=$L53)*MOVIMIENTOS!$E$5:$E$400)+SUMPRODUCT((MOVIMIENTOS!$B$5:$B$400="DEVOLUCIÓN")*(MOVIMIENTOS!$C$5:$C$400="A")*(MOVIMIENTOS!$D$5:$D$400="jabas")*(ROW(MOVIMIENTOS!$B$5:$B$400)&lt;=$L53)*MOVIMIENTOS!$E$5:$E$400)-SUMPRODUCT((MOVIMIENTOS!$B$5:$B$400="TRASIEGO")*(MOVIMIENTOS!$C$5:$C$400="A")*(MOVIMIENTOS!$D$5:$D$400="jabas")*(ROW(MOVIMIENTOS!$B$5:$B$400)&lt;=$L53)*MOVIMIENTOS!$E$5:$E$400)-SUMPRODUCT((MOVIMIENTOS!$B$5:$B$400="REGALO")*(MOVIMIENTOS!$C$5:$C$400="A")*(MOVIMIENTOS!$D$5:$D$400="jabas")*(ROW(MOVIMIENTOS!$B$5:$B$400)&lt;=$L53)*MOVIMIENTOS!$E$5:$E$400)-SUMPRODUCT((MOVIMIENTOS!$B$5:$B$400="VENTA")*(MOVIMIENTOS!$C$5:$C$400="A")*(MOVIMIENTOS!$D$5:$D$400="jabas")*(ROW(MOVIMIENTOS!$B$5:$B$400)&lt;=$L53)*MOVIMIENTOS!$E$5:$E$400)+SUMPRODUCT((MOVIMIENTOS!$B$5:$B$400="AJUSTE")*(MOVIMIENTOS!$C$5:$C$400="A")*(MOVIMIENTOS!$D$5:$D$400="jabas")*(ROW(MOVIMIENTOS!$B$5:$B$400)&lt;=$L53)*MOVIMIENTOS!$E$5:$E$400))</f>
        <v/>
      </c>
      <c r="C53" s="12" t="str">
        <f>IF($A53="","",SUMPRODUCT((MOVIMIENTOS!$B$5:$B$400="SALDO INICIAL")*(MOVIMIENTOS!$C$5:$C$400="P")*(MOVIMIENTOS!$D$5:$D$400="jabas")*(ROW(MOVIMIENTOS!$B$5:$B$400)&lt;=$L53)*MOVIMIENTOS!$E$5:$E$400)+SUMPRODUCT((MOVIMIENTOS!$B$5:$B$400="PROCESO")*(MOVIMIENTOS!$C$5:$C$400="P")*(MOVIMIENTOS!$D$5:$D$400="jabas")*(ROW(MOVIMIENTOS!$B$5:$B$400)&lt;=$L53)*MOVIMIENTOS!$E$5:$E$400)-SUMPRODUCT((MOVIMIENTOS!$B$5:$B$400="ENVÍO A SUPESA")*(MOVIMIENTOS!$C$5:$C$400="P")*(MOVIMIENTOS!$D$5:$D$400="jabas")*(ROW(MOVIMIENTOS!$B$5:$B$400)&lt;=$L53)*MOVIMIENTOS!$E$5:$E$400)+SUMPRODUCT((MOVIMIENTOS!$B$5:$B$400="DEVOLUCIÓN")*(MOVIMIENTOS!$C$5:$C$400="P")*(MOVIMIENTOS!$D$5:$D$400="jabas")*(ROW(MOVIMIENTOS!$B$5:$B$400)&lt;=$L53)*MOVIMIENTOS!$E$5:$E$400)-SUMPRODUCT((MOVIMIENTOS!$B$5:$B$400="TRASIEGO")*(MOVIMIENTOS!$C$5:$C$400="P")*(MOVIMIENTOS!$D$5:$D$400="jabas")*(ROW(MOVIMIENTOS!$B$5:$B$400)&lt;=$L53)*MOVIMIENTOS!$E$5:$E$400)-SUMPRODUCT((MOVIMIENTOS!$B$5:$B$400="REGALO")*(MOVIMIENTOS!$C$5:$C$400="P")*(MOVIMIENTOS!$D$5:$D$400="jabas")*(ROW(MOVIMIENTOS!$B$5:$B$400)&lt;=$L53)*MOVIMIENTOS!$E$5:$E$400)-SUMPRODUCT((MOVIMIENTOS!$B$5:$B$400="VENTA")*(MOVIMIENTOS!$C$5:$C$400="P")*(MOVIMIENTOS!$D$5:$D$400="jabas")*(ROW(MOVIMIENTOS!$B$5:$B$400)&lt;=$L53)*MOVIMIENTOS!$E$5:$E$400)+SUMPRODUCT((MOVIMIENTOS!$B$5:$B$400="AJUSTE")*(MOVIMIENTOS!$C$5:$C$400="P")*(MOVIMIENTOS!$D$5:$D$400="jabas")*(ROW(MOVIMIENTOS!$B$5:$B$400)&lt;=$L53)*MOVIMIENTOS!$E$5:$E$400))</f>
        <v/>
      </c>
      <c r="D53" s="12" t="str">
        <f>IF($A53="","",SUMPRODUCT((MOVIMIENTOS!$B$5:$B$400="SALDO INICIAL")*(MOVIMIENTOS!$C$5:$C$400="C")*(MOVIMIENTOS!$D$5:$D$400="jabas")*(ROW(MOVIMIENTOS!$B$5:$B$400)&lt;=$L53)*MOVIMIENTOS!$E$5:$E$400)+SUMPRODUCT((MOVIMIENTOS!$B$5:$B$400="PROCESO")*(MOVIMIENTOS!$C$5:$C$400="C")*(MOVIMIENTOS!$D$5:$D$400="jabas")*(ROW(MOVIMIENTOS!$B$5:$B$400)&lt;=$L53)*MOVIMIENTOS!$E$5:$E$400)-SUMPRODUCT((MOVIMIENTOS!$B$5:$B$400="ENVÍO A SUPESA")*(MOVIMIENTOS!$C$5:$C$400="C")*(MOVIMIENTOS!$D$5:$D$400="jabas")*(ROW(MOVIMIENTOS!$B$5:$B$400)&lt;=$L53)*MOVIMIENTOS!$E$5:$E$400)+SUMPRODUCT((MOVIMIENTOS!$B$5:$B$400="DEVOLUCIÓN")*(MOVIMIENTOS!$C$5:$C$400="C")*(MOVIMIENTOS!$D$5:$D$400="jabas")*(ROW(MOVIMIENTOS!$B$5:$B$400)&lt;=$L53)*MOVIMIENTOS!$E$5:$E$400)-SUMPRODUCT((MOVIMIENTOS!$B$5:$B$400="TRASIEGO")*(MOVIMIENTOS!$C$5:$C$400="C")*(MOVIMIENTOS!$D$5:$D$400="jabas")*(ROW(MOVIMIENTOS!$B$5:$B$400)&lt;=$L53)*MOVIMIENTOS!$E$5:$E$400)-SUMPRODUCT((MOVIMIENTOS!$B$5:$B$400="REGALO")*(MOVIMIENTOS!$C$5:$C$400="C")*(MOVIMIENTOS!$D$5:$D$400="jabas")*(ROW(MOVIMIENTOS!$B$5:$B$400)&lt;=$L53)*MOVIMIENTOS!$E$5:$E$400)-SUMPRODUCT((MOVIMIENTOS!$B$5:$B$400="VENTA")*(MOVIMIENTOS!$C$5:$C$400="C")*(MOVIMIENTOS!$D$5:$D$400="jabas")*(ROW(MOVIMIENTOS!$B$5:$B$400)&lt;=$L53)*MOVIMIENTOS!$E$5:$E$400)+SUMPRODUCT((MOVIMIENTOS!$B$5:$B$400="AJUSTE")*(MOVIMIENTOS!$C$5:$C$400="C")*(MOVIMIENTOS!$D$5:$D$400="jabas")*(ROW(MOVIMIENTOS!$B$5:$B$400)&lt;=$L53)*MOVIMIENTOS!$E$5:$E$400))</f>
        <v/>
      </c>
      <c r="E53" s="12" t="str">
        <f>IF($A53="","",SUMPRODUCT((MOVIMIENTOS!$B$5:$B$400="SALDO INICIAL")*(MOVIMIENTOS!$C$5:$C$400="M")*(MOVIMIENTOS!$D$5:$D$400="jabas")*(ROW(MOVIMIENTOS!$B$5:$B$400)&lt;=$L53)*MOVIMIENTOS!$E$5:$E$400)+SUMPRODUCT((MOVIMIENTOS!$B$5:$B$400="PROCESO")*(MOVIMIENTOS!$C$5:$C$400="M")*(MOVIMIENTOS!$D$5:$D$400="jabas")*(ROW(MOVIMIENTOS!$B$5:$B$400)&lt;=$L53)*MOVIMIENTOS!$E$5:$E$400)-SUMPRODUCT((MOVIMIENTOS!$B$5:$B$400="ENVÍO A SUPESA")*(MOVIMIENTOS!$C$5:$C$400="M")*(MOVIMIENTOS!$D$5:$D$400="jabas")*(ROW(MOVIMIENTOS!$B$5:$B$400)&lt;=$L53)*MOVIMIENTOS!$E$5:$E$400)+SUMPRODUCT((MOVIMIENTOS!$B$5:$B$400="DEVOLUCIÓN")*(MOVIMIENTOS!$C$5:$C$400="M")*(MOVIMIENTOS!$D$5:$D$400="jabas")*(ROW(MOVIMIENTOS!$B$5:$B$400)&lt;=$L53)*MOVIMIENTOS!$E$5:$E$400)-SUMPRODUCT((MOVIMIENTOS!$B$5:$B$400="TRASIEGO")*(MOVIMIENTOS!$C$5:$C$400="M")*(MOVIMIENTOS!$D$5:$D$400="jabas")*(ROW(MOVIMIENTOS!$B$5:$B$400)&lt;=$L53)*MOVIMIENTOS!$E$5:$E$400)-SUMPRODUCT((MOVIMIENTOS!$B$5:$B$400="REGALO")*(MOVIMIENTOS!$C$5:$C$400="M")*(MOVIMIENTOS!$D$5:$D$400="jabas")*(ROW(MOVIMIENTOS!$B$5:$B$400)&lt;=$L53)*MOVIMIENTOS!$E$5:$E$400)-SUMPRODUCT((MOVIMIENTOS!$B$5:$B$400="VENTA")*(MOVIMIENTOS!$C$5:$C$400="M")*(MOVIMIENTOS!$D$5:$D$400="jabas")*(ROW(MOVIMIENTOS!$B$5:$B$400)&lt;=$L53)*MOVIMIENTOS!$E$5:$E$400)+SUMPRODUCT((MOVIMIENTOS!$B$5:$B$400="AJUSTE")*(MOVIMIENTOS!$C$5:$C$400="M")*(MOVIMIENTOS!$D$5:$D$400="jabas")*(ROW(MOVIMIENTOS!$B$5:$B$400)&lt;=$L53)*MOVIMIENTOS!$E$5:$E$400))</f>
        <v/>
      </c>
      <c r="F53" s="12" t="str">
        <f>IF($A53="","",SUMPRODUCT((MOVIMIENTOS!$B$5:$B$400="SALDO INICIAL")*(MOVIMIENTOS!$C$5:$C$400="Chancho")*(MOVIMIENTOS!$D$5:$D$400="sacos")*(ROW(MOVIMIENTOS!$B$5:$B$400)&lt;=$L53)*MOVIMIENTOS!$E$5:$E$400)+SUMPRODUCT((MOVIMIENTOS!$B$5:$B$400="PROCESO")*(MOVIMIENTOS!$C$5:$C$400="Chancho")*(MOVIMIENTOS!$D$5:$D$400="sacos")*(ROW(MOVIMIENTOS!$B$5:$B$400)&lt;=$L53)*MOVIMIENTOS!$E$5:$E$400)-SUMPRODUCT((MOVIMIENTOS!$B$5:$B$400="VENTA CHANCHO")*(MOVIMIENTOS!$C$5:$C$400="Chancho")*(MOVIMIENTOS!$D$5:$D$400="sacos")*(ROW(MOVIMIENTOS!$B$5:$B$400)&lt;=$L53)*MOVIMIENTOS!$E$5:$E$400)-SUMPRODUCT((MOVIMIENTOS!$B$5:$B$400="REGALO")*(MOVIMIENTOS!$C$5:$C$400="Chancho")*(MOVIMIENTOS!$D$5:$D$400="sacos")*(ROW(MOVIMIENTOS!$B$5:$B$400)&lt;=$L53)*MOVIMIENTOS!$E$5:$E$400)-SUMPRODUCT((MOVIMIENTOS!$B$5:$B$400="VENTA")*(MOVIMIENTOS!$C$5:$C$400="Chancho")*(MOVIMIENTOS!$D$5:$D$400="sacos")*(ROW(MOVIMIENTOS!$B$5:$B$400)&lt;=$L53)*MOVIMIENTOS!$E$5:$E$400)+SUMPRODUCT((MOVIMIENTOS!$B$5:$B$400="AJUSTE")*(MOVIMIENTOS!$C$5:$C$400="Chancho")*(MOVIMIENTOS!$D$5:$D$400="sacos")*(ROW(MOVIMIENTOS!$B$5:$B$400)&lt;=$L53)*MOVIMIENTOS!$E$5:$E$400))</f>
        <v/>
      </c>
      <c r="G53" s="12" t="str">
        <f t="shared" si="3"/>
        <v/>
      </c>
      <c r="H53" s="12" t="str">
        <f>IF($A53="","",SUMPRODUCT((((MOVIMIENTOS!$B$5:$B$400="SALDO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53)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53)*MOVIMIENTOS!$I$5:$I$400))</f>
        <v/>
      </c>
      <c r="J53" t="str">
        <f>IF(AND(MOVIMIENTOS!$A53&lt;&gt;"",COUNTIF(MOVIMIENTOS!$A$5:$A52,MOVIMIENTOS!$A53)=0),COUNT(J$4:J52)+1,"")</f>
        <v/>
      </c>
      <c r="K53" s="10">
        <f>MOVIMIENTOS!$A53</f>
        <v>46219</v>
      </c>
      <c r="L53" t="str">
        <f>IF($A53="","",SUMPRODUCT(MAX((MOVIMIENTOS!$A$5:$A$400=$A53)*ROW(MOVIMIENTOS!$A$5:$A$400))))</f>
        <v/>
      </c>
    </row>
    <row r="54" spans="1:12" x14ac:dyDescent="0.2">
      <c r="A54" s="11" t="str">
        <f t="shared" si="2"/>
        <v/>
      </c>
      <c r="B54" s="12" t="str">
        <f>IF($A54="","",SUMPRODUCT((MOVIMIENTOS!$B$5:$B$400="SALDO INICIAL")*(MOVIMIENTOS!$C$5:$C$400="A")*(MOVIMIENTOS!$D$5:$D$400="jabas")*(ROW(MOVIMIENTOS!$B$5:$B$400)&lt;=$L54)*MOVIMIENTOS!$E$5:$E$400)+SUMPRODUCT((MOVIMIENTOS!$B$5:$B$400="PROCESO")*(MOVIMIENTOS!$C$5:$C$400="A")*(MOVIMIENTOS!$D$5:$D$400="jabas")*(ROW(MOVIMIENTOS!$B$5:$B$400)&lt;=$L54)*MOVIMIENTOS!$E$5:$E$400)-SUMPRODUCT((MOVIMIENTOS!$B$5:$B$400="ENVÍO A SUPESA")*(MOVIMIENTOS!$C$5:$C$400="A")*(MOVIMIENTOS!$D$5:$D$400="jabas")*(ROW(MOVIMIENTOS!$B$5:$B$400)&lt;=$L54)*MOVIMIENTOS!$E$5:$E$400)+SUMPRODUCT((MOVIMIENTOS!$B$5:$B$400="DEVOLUCIÓN")*(MOVIMIENTOS!$C$5:$C$400="A")*(MOVIMIENTOS!$D$5:$D$400="jabas")*(ROW(MOVIMIENTOS!$B$5:$B$400)&lt;=$L54)*MOVIMIENTOS!$E$5:$E$400)-SUMPRODUCT((MOVIMIENTOS!$B$5:$B$400="TRASIEGO")*(MOVIMIENTOS!$C$5:$C$400="A")*(MOVIMIENTOS!$D$5:$D$400="jabas")*(ROW(MOVIMIENTOS!$B$5:$B$400)&lt;=$L54)*MOVIMIENTOS!$E$5:$E$400)-SUMPRODUCT((MOVIMIENTOS!$B$5:$B$400="REGALO")*(MOVIMIENTOS!$C$5:$C$400="A")*(MOVIMIENTOS!$D$5:$D$400="jabas")*(ROW(MOVIMIENTOS!$B$5:$B$400)&lt;=$L54)*MOVIMIENTOS!$E$5:$E$400)-SUMPRODUCT((MOVIMIENTOS!$B$5:$B$400="VENTA")*(MOVIMIENTOS!$C$5:$C$400="A")*(MOVIMIENTOS!$D$5:$D$400="jabas")*(ROW(MOVIMIENTOS!$B$5:$B$400)&lt;=$L54)*MOVIMIENTOS!$E$5:$E$400)+SUMPRODUCT((MOVIMIENTOS!$B$5:$B$400="AJUSTE")*(MOVIMIENTOS!$C$5:$C$400="A")*(MOVIMIENTOS!$D$5:$D$400="jabas")*(ROW(MOVIMIENTOS!$B$5:$B$400)&lt;=$L54)*MOVIMIENTOS!$E$5:$E$400))</f>
        <v/>
      </c>
      <c r="C54" s="12" t="str">
        <f>IF($A54="","",SUMPRODUCT((MOVIMIENTOS!$B$5:$B$400="SALDO INICIAL")*(MOVIMIENTOS!$C$5:$C$400="P")*(MOVIMIENTOS!$D$5:$D$400="jabas")*(ROW(MOVIMIENTOS!$B$5:$B$400)&lt;=$L54)*MOVIMIENTOS!$E$5:$E$400)+SUMPRODUCT((MOVIMIENTOS!$B$5:$B$400="PROCESO")*(MOVIMIENTOS!$C$5:$C$400="P")*(MOVIMIENTOS!$D$5:$D$400="jabas")*(ROW(MOVIMIENTOS!$B$5:$B$400)&lt;=$L54)*MOVIMIENTOS!$E$5:$E$400)-SUMPRODUCT((MOVIMIENTOS!$B$5:$B$400="ENVÍO A SUPESA")*(MOVIMIENTOS!$C$5:$C$400="P")*(MOVIMIENTOS!$D$5:$D$400="jabas")*(ROW(MOVIMIENTOS!$B$5:$B$400)&lt;=$L54)*MOVIMIENTOS!$E$5:$E$400)+SUMPRODUCT((MOVIMIENTOS!$B$5:$B$400="DEVOLUCIÓN")*(MOVIMIENTOS!$C$5:$C$400="P")*(MOVIMIENTOS!$D$5:$D$400="jabas")*(ROW(MOVIMIENTOS!$B$5:$B$400)&lt;=$L54)*MOVIMIENTOS!$E$5:$E$400)-SUMPRODUCT((MOVIMIENTOS!$B$5:$B$400="TRASIEGO")*(MOVIMIENTOS!$C$5:$C$400="P")*(MOVIMIENTOS!$D$5:$D$400="jabas")*(ROW(MOVIMIENTOS!$B$5:$B$400)&lt;=$L54)*MOVIMIENTOS!$E$5:$E$400)-SUMPRODUCT((MOVIMIENTOS!$B$5:$B$400="REGALO")*(MOVIMIENTOS!$C$5:$C$400="P")*(MOVIMIENTOS!$D$5:$D$400="jabas")*(ROW(MOVIMIENTOS!$B$5:$B$400)&lt;=$L54)*MOVIMIENTOS!$E$5:$E$400)-SUMPRODUCT((MOVIMIENTOS!$B$5:$B$400="VENTA")*(MOVIMIENTOS!$C$5:$C$400="P")*(MOVIMIENTOS!$D$5:$D$400="jabas")*(ROW(MOVIMIENTOS!$B$5:$B$400)&lt;=$L54)*MOVIMIENTOS!$E$5:$E$400)+SUMPRODUCT((MOVIMIENTOS!$B$5:$B$400="AJUSTE")*(MOVIMIENTOS!$C$5:$C$400="P")*(MOVIMIENTOS!$D$5:$D$400="jabas")*(ROW(MOVIMIENTOS!$B$5:$B$400)&lt;=$L54)*MOVIMIENTOS!$E$5:$E$400))</f>
        <v/>
      </c>
      <c r="D54" s="12" t="str">
        <f>IF($A54="","",SUMPRODUCT((MOVIMIENTOS!$B$5:$B$400="SALDO INICIAL")*(MOVIMIENTOS!$C$5:$C$400="C")*(MOVIMIENTOS!$D$5:$D$400="jabas")*(ROW(MOVIMIENTOS!$B$5:$B$400)&lt;=$L54)*MOVIMIENTOS!$E$5:$E$400)+SUMPRODUCT((MOVIMIENTOS!$B$5:$B$400="PROCESO")*(MOVIMIENTOS!$C$5:$C$400="C")*(MOVIMIENTOS!$D$5:$D$400="jabas")*(ROW(MOVIMIENTOS!$B$5:$B$400)&lt;=$L54)*MOVIMIENTOS!$E$5:$E$400)-SUMPRODUCT((MOVIMIENTOS!$B$5:$B$400="ENVÍO A SUPESA")*(MOVIMIENTOS!$C$5:$C$400="C")*(MOVIMIENTOS!$D$5:$D$400="jabas")*(ROW(MOVIMIENTOS!$B$5:$B$400)&lt;=$L54)*MOVIMIENTOS!$E$5:$E$400)+SUMPRODUCT((MOVIMIENTOS!$B$5:$B$400="DEVOLUCIÓN")*(MOVIMIENTOS!$C$5:$C$400="C")*(MOVIMIENTOS!$D$5:$D$400="jabas")*(ROW(MOVIMIENTOS!$B$5:$B$400)&lt;=$L54)*MOVIMIENTOS!$E$5:$E$400)-SUMPRODUCT((MOVIMIENTOS!$B$5:$B$400="TRASIEGO")*(MOVIMIENTOS!$C$5:$C$400="C")*(MOVIMIENTOS!$D$5:$D$400="jabas")*(ROW(MOVIMIENTOS!$B$5:$B$400)&lt;=$L54)*MOVIMIENTOS!$E$5:$E$400)-SUMPRODUCT((MOVIMIENTOS!$B$5:$B$400="REGALO")*(MOVIMIENTOS!$C$5:$C$400="C")*(MOVIMIENTOS!$D$5:$D$400="jabas")*(ROW(MOVIMIENTOS!$B$5:$B$400)&lt;=$L54)*MOVIMIENTOS!$E$5:$E$400)-SUMPRODUCT((MOVIMIENTOS!$B$5:$B$400="VENTA")*(MOVIMIENTOS!$C$5:$C$400="C")*(MOVIMIENTOS!$D$5:$D$400="jabas")*(ROW(MOVIMIENTOS!$B$5:$B$400)&lt;=$L54)*MOVIMIENTOS!$E$5:$E$400)+SUMPRODUCT((MOVIMIENTOS!$B$5:$B$400="AJUSTE")*(MOVIMIENTOS!$C$5:$C$400="C")*(MOVIMIENTOS!$D$5:$D$400="jabas")*(ROW(MOVIMIENTOS!$B$5:$B$400)&lt;=$L54)*MOVIMIENTOS!$E$5:$E$400))</f>
        <v/>
      </c>
      <c r="E54" s="12" t="str">
        <f>IF($A54="","",SUMPRODUCT((MOVIMIENTOS!$B$5:$B$400="SALDO INICIAL")*(MOVIMIENTOS!$C$5:$C$400="M")*(MOVIMIENTOS!$D$5:$D$400="jabas")*(ROW(MOVIMIENTOS!$B$5:$B$400)&lt;=$L54)*MOVIMIENTOS!$E$5:$E$400)+SUMPRODUCT((MOVIMIENTOS!$B$5:$B$400="PROCESO")*(MOVIMIENTOS!$C$5:$C$400="M")*(MOVIMIENTOS!$D$5:$D$400="jabas")*(ROW(MOVIMIENTOS!$B$5:$B$400)&lt;=$L54)*MOVIMIENTOS!$E$5:$E$400)-SUMPRODUCT((MOVIMIENTOS!$B$5:$B$400="ENVÍO A SUPESA")*(MOVIMIENTOS!$C$5:$C$400="M")*(MOVIMIENTOS!$D$5:$D$400="jabas")*(ROW(MOVIMIENTOS!$B$5:$B$400)&lt;=$L54)*MOVIMIENTOS!$E$5:$E$400)+SUMPRODUCT((MOVIMIENTOS!$B$5:$B$400="DEVOLUCIÓN")*(MOVIMIENTOS!$C$5:$C$400="M")*(MOVIMIENTOS!$D$5:$D$400="jabas")*(ROW(MOVIMIENTOS!$B$5:$B$400)&lt;=$L54)*MOVIMIENTOS!$E$5:$E$400)-SUMPRODUCT((MOVIMIENTOS!$B$5:$B$400="TRASIEGO")*(MOVIMIENTOS!$C$5:$C$400="M")*(MOVIMIENTOS!$D$5:$D$400="jabas")*(ROW(MOVIMIENTOS!$B$5:$B$400)&lt;=$L54)*MOVIMIENTOS!$E$5:$E$400)-SUMPRODUCT((MOVIMIENTOS!$B$5:$B$400="REGALO")*(MOVIMIENTOS!$C$5:$C$400="M")*(MOVIMIENTOS!$D$5:$D$400="jabas")*(ROW(MOVIMIENTOS!$B$5:$B$400)&lt;=$L54)*MOVIMIENTOS!$E$5:$E$400)-SUMPRODUCT((MOVIMIENTOS!$B$5:$B$400="VENTA")*(MOVIMIENTOS!$C$5:$C$400="M")*(MOVIMIENTOS!$D$5:$D$400="jabas")*(ROW(MOVIMIENTOS!$B$5:$B$400)&lt;=$L54)*MOVIMIENTOS!$E$5:$E$400)+SUMPRODUCT((MOVIMIENTOS!$B$5:$B$400="AJUSTE")*(MOVIMIENTOS!$C$5:$C$400="M")*(MOVIMIENTOS!$D$5:$D$400="jabas")*(ROW(MOVIMIENTOS!$B$5:$B$400)&lt;=$L54)*MOVIMIENTOS!$E$5:$E$400))</f>
        <v/>
      </c>
      <c r="F54" s="12" t="str">
        <f>IF($A54="","",SUMPRODUCT((MOVIMIENTOS!$B$5:$B$400="SALDO INICIAL")*(MOVIMIENTOS!$C$5:$C$400="Chancho")*(MOVIMIENTOS!$D$5:$D$400="sacos")*(ROW(MOVIMIENTOS!$B$5:$B$400)&lt;=$L54)*MOVIMIENTOS!$E$5:$E$400)+SUMPRODUCT((MOVIMIENTOS!$B$5:$B$400="PROCESO")*(MOVIMIENTOS!$C$5:$C$400="Chancho")*(MOVIMIENTOS!$D$5:$D$400="sacos")*(ROW(MOVIMIENTOS!$B$5:$B$400)&lt;=$L54)*MOVIMIENTOS!$E$5:$E$400)-SUMPRODUCT((MOVIMIENTOS!$B$5:$B$400="VENTA CHANCHO")*(MOVIMIENTOS!$C$5:$C$400="Chancho")*(MOVIMIENTOS!$D$5:$D$400="sacos")*(ROW(MOVIMIENTOS!$B$5:$B$400)&lt;=$L54)*MOVIMIENTOS!$E$5:$E$400)-SUMPRODUCT((MOVIMIENTOS!$B$5:$B$400="REGALO")*(MOVIMIENTOS!$C$5:$C$400="Chancho")*(MOVIMIENTOS!$D$5:$D$400="sacos")*(ROW(MOVIMIENTOS!$B$5:$B$400)&lt;=$L54)*MOVIMIENTOS!$E$5:$E$400)-SUMPRODUCT((MOVIMIENTOS!$B$5:$B$400="VENTA")*(MOVIMIENTOS!$C$5:$C$400="Chancho")*(MOVIMIENTOS!$D$5:$D$400="sacos")*(ROW(MOVIMIENTOS!$B$5:$B$400)&lt;=$L54)*MOVIMIENTOS!$E$5:$E$400)+SUMPRODUCT((MOVIMIENTOS!$B$5:$B$400="AJUSTE")*(MOVIMIENTOS!$C$5:$C$400="Chancho")*(MOVIMIENTOS!$D$5:$D$400="sacos")*(ROW(MOVIMIENTOS!$B$5:$B$400)&lt;=$L54)*MOVIMIENTOS!$E$5:$E$400))</f>
        <v/>
      </c>
      <c r="G54" s="12" t="str">
        <f t="shared" si="3"/>
        <v/>
      </c>
      <c r="H54" s="12" t="str">
        <f>IF($A54="","",SUMPRODUCT((((MOVIMIENTOS!$B$5:$B$400="SALDO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54)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54)*MOVIMIENTOS!$I$5:$I$400))</f>
        <v/>
      </c>
      <c r="J54" t="str">
        <f>IF(AND(MOVIMIENTOS!$A54&lt;&gt;"",COUNTIF(MOVIMIENTOS!$A$5:$A53,MOVIMIENTOS!$A54)=0),COUNT(J$4:J53)+1,"")</f>
        <v/>
      </c>
      <c r="K54" s="10">
        <f>MOVIMIENTOS!$A54</f>
        <v>46219</v>
      </c>
      <c r="L54" t="str">
        <f>IF($A54="","",SUMPRODUCT(MAX((MOVIMIENTOS!$A$5:$A$400=$A54)*ROW(MOVIMIENTOS!$A$5:$A$400))))</f>
        <v/>
      </c>
    </row>
    <row r="55" spans="1:12" x14ac:dyDescent="0.2">
      <c r="A55" s="11" t="str">
        <f t="shared" si="2"/>
        <v/>
      </c>
      <c r="B55" s="12" t="str">
        <f>IF($A55="","",SUMPRODUCT((MOVIMIENTOS!$B$5:$B$400="SALDO INICIAL")*(MOVIMIENTOS!$C$5:$C$400="A")*(MOVIMIENTOS!$D$5:$D$400="jabas")*(ROW(MOVIMIENTOS!$B$5:$B$400)&lt;=$L55)*MOVIMIENTOS!$E$5:$E$400)+SUMPRODUCT((MOVIMIENTOS!$B$5:$B$400="PROCESO")*(MOVIMIENTOS!$C$5:$C$400="A")*(MOVIMIENTOS!$D$5:$D$400="jabas")*(ROW(MOVIMIENTOS!$B$5:$B$400)&lt;=$L55)*MOVIMIENTOS!$E$5:$E$400)-SUMPRODUCT((MOVIMIENTOS!$B$5:$B$400="ENVÍO A SUPESA")*(MOVIMIENTOS!$C$5:$C$400="A")*(MOVIMIENTOS!$D$5:$D$400="jabas")*(ROW(MOVIMIENTOS!$B$5:$B$400)&lt;=$L55)*MOVIMIENTOS!$E$5:$E$400)+SUMPRODUCT((MOVIMIENTOS!$B$5:$B$400="DEVOLUCIÓN")*(MOVIMIENTOS!$C$5:$C$400="A")*(MOVIMIENTOS!$D$5:$D$400="jabas")*(ROW(MOVIMIENTOS!$B$5:$B$400)&lt;=$L55)*MOVIMIENTOS!$E$5:$E$400)-SUMPRODUCT((MOVIMIENTOS!$B$5:$B$400="TRASIEGO")*(MOVIMIENTOS!$C$5:$C$400="A")*(MOVIMIENTOS!$D$5:$D$400="jabas")*(ROW(MOVIMIENTOS!$B$5:$B$400)&lt;=$L55)*MOVIMIENTOS!$E$5:$E$400)-SUMPRODUCT((MOVIMIENTOS!$B$5:$B$400="REGALO")*(MOVIMIENTOS!$C$5:$C$400="A")*(MOVIMIENTOS!$D$5:$D$400="jabas")*(ROW(MOVIMIENTOS!$B$5:$B$400)&lt;=$L55)*MOVIMIENTOS!$E$5:$E$400)-SUMPRODUCT((MOVIMIENTOS!$B$5:$B$400="VENTA")*(MOVIMIENTOS!$C$5:$C$400="A")*(MOVIMIENTOS!$D$5:$D$400="jabas")*(ROW(MOVIMIENTOS!$B$5:$B$400)&lt;=$L55)*MOVIMIENTOS!$E$5:$E$400)+SUMPRODUCT((MOVIMIENTOS!$B$5:$B$400="AJUSTE")*(MOVIMIENTOS!$C$5:$C$400="A")*(MOVIMIENTOS!$D$5:$D$400="jabas")*(ROW(MOVIMIENTOS!$B$5:$B$400)&lt;=$L55)*MOVIMIENTOS!$E$5:$E$400))</f>
        <v/>
      </c>
      <c r="C55" s="12" t="str">
        <f>IF($A55="","",SUMPRODUCT((MOVIMIENTOS!$B$5:$B$400="SALDO INICIAL")*(MOVIMIENTOS!$C$5:$C$400="P")*(MOVIMIENTOS!$D$5:$D$400="jabas")*(ROW(MOVIMIENTOS!$B$5:$B$400)&lt;=$L55)*MOVIMIENTOS!$E$5:$E$400)+SUMPRODUCT((MOVIMIENTOS!$B$5:$B$400="PROCESO")*(MOVIMIENTOS!$C$5:$C$400="P")*(MOVIMIENTOS!$D$5:$D$400="jabas")*(ROW(MOVIMIENTOS!$B$5:$B$400)&lt;=$L55)*MOVIMIENTOS!$E$5:$E$400)-SUMPRODUCT((MOVIMIENTOS!$B$5:$B$400="ENVÍO A SUPESA")*(MOVIMIENTOS!$C$5:$C$400="P")*(MOVIMIENTOS!$D$5:$D$400="jabas")*(ROW(MOVIMIENTOS!$B$5:$B$400)&lt;=$L55)*MOVIMIENTOS!$E$5:$E$400)+SUMPRODUCT((MOVIMIENTOS!$B$5:$B$400="DEVOLUCIÓN")*(MOVIMIENTOS!$C$5:$C$400="P")*(MOVIMIENTOS!$D$5:$D$400="jabas")*(ROW(MOVIMIENTOS!$B$5:$B$400)&lt;=$L55)*MOVIMIENTOS!$E$5:$E$400)-SUMPRODUCT((MOVIMIENTOS!$B$5:$B$400="TRASIEGO")*(MOVIMIENTOS!$C$5:$C$400="P")*(MOVIMIENTOS!$D$5:$D$400="jabas")*(ROW(MOVIMIENTOS!$B$5:$B$400)&lt;=$L55)*MOVIMIENTOS!$E$5:$E$400)-SUMPRODUCT((MOVIMIENTOS!$B$5:$B$400="REGALO")*(MOVIMIENTOS!$C$5:$C$400="P")*(MOVIMIENTOS!$D$5:$D$400="jabas")*(ROW(MOVIMIENTOS!$B$5:$B$400)&lt;=$L55)*MOVIMIENTOS!$E$5:$E$400)-SUMPRODUCT((MOVIMIENTOS!$B$5:$B$400="VENTA")*(MOVIMIENTOS!$C$5:$C$400="P")*(MOVIMIENTOS!$D$5:$D$400="jabas")*(ROW(MOVIMIENTOS!$B$5:$B$400)&lt;=$L55)*MOVIMIENTOS!$E$5:$E$400)+SUMPRODUCT((MOVIMIENTOS!$B$5:$B$400="AJUSTE")*(MOVIMIENTOS!$C$5:$C$400="P")*(MOVIMIENTOS!$D$5:$D$400="jabas")*(ROW(MOVIMIENTOS!$B$5:$B$400)&lt;=$L55)*MOVIMIENTOS!$E$5:$E$400))</f>
        <v/>
      </c>
      <c r="D55" s="12" t="str">
        <f>IF($A55="","",SUMPRODUCT((MOVIMIENTOS!$B$5:$B$400="SALDO INICIAL")*(MOVIMIENTOS!$C$5:$C$400="C")*(MOVIMIENTOS!$D$5:$D$400="jabas")*(ROW(MOVIMIENTOS!$B$5:$B$400)&lt;=$L55)*MOVIMIENTOS!$E$5:$E$400)+SUMPRODUCT((MOVIMIENTOS!$B$5:$B$400="PROCESO")*(MOVIMIENTOS!$C$5:$C$400="C")*(MOVIMIENTOS!$D$5:$D$400="jabas")*(ROW(MOVIMIENTOS!$B$5:$B$400)&lt;=$L55)*MOVIMIENTOS!$E$5:$E$400)-SUMPRODUCT((MOVIMIENTOS!$B$5:$B$400="ENVÍO A SUPESA")*(MOVIMIENTOS!$C$5:$C$400="C")*(MOVIMIENTOS!$D$5:$D$400="jabas")*(ROW(MOVIMIENTOS!$B$5:$B$400)&lt;=$L55)*MOVIMIENTOS!$E$5:$E$400)+SUMPRODUCT((MOVIMIENTOS!$B$5:$B$400="DEVOLUCIÓN")*(MOVIMIENTOS!$C$5:$C$400="C")*(MOVIMIENTOS!$D$5:$D$400="jabas")*(ROW(MOVIMIENTOS!$B$5:$B$400)&lt;=$L55)*MOVIMIENTOS!$E$5:$E$400)-SUMPRODUCT((MOVIMIENTOS!$B$5:$B$400="TRASIEGO")*(MOVIMIENTOS!$C$5:$C$400="C")*(MOVIMIENTOS!$D$5:$D$400="jabas")*(ROW(MOVIMIENTOS!$B$5:$B$400)&lt;=$L55)*MOVIMIENTOS!$E$5:$E$400)-SUMPRODUCT((MOVIMIENTOS!$B$5:$B$400="REGALO")*(MOVIMIENTOS!$C$5:$C$400="C")*(MOVIMIENTOS!$D$5:$D$400="jabas")*(ROW(MOVIMIENTOS!$B$5:$B$400)&lt;=$L55)*MOVIMIENTOS!$E$5:$E$400)-SUMPRODUCT((MOVIMIENTOS!$B$5:$B$400="VENTA")*(MOVIMIENTOS!$C$5:$C$400="C")*(MOVIMIENTOS!$D$5:$D$400="jabas")*(ROW(MOVIMIENTOS!$B$5:$B$400)&lt;=$L55)*MOVIMIENTOS!$E$5:$E$400)+SUMPRODUCT((MOVIMIENTOS!$B$5:$B$400="AJUSTE")*(MOVIMIENTOS!$C$5:$C$400="C")*(MOVIMIENTOS!$D$5:$D$400="jabas")*(ROW(MOVIMIENTOS!$B$5:$B$400)&lt;=$L55)*MOVIMIENTOS!$E$5:$E$400))</f>
        <v/>
      </c>
      <c r="E55" s="12" t="str">
        <f>IF($A55="","",SUMPRODUCT((MOVIMIENTOS!$B$5:$B$400="SALDO INICIAL")*(MOVIMIENTOS!$C$5:$C$400="M")*(MOVIMIENTOS!$D$5:$D$400="jabas")*(ROW(MOVIMIENTOS!$B$5:$B$400)&lt;=$L55)*MOVIMIENTOS!$E$5:$E$400)+SUMPRODUCT((MOVIMIENTOS!$B$5:$B$400="PROCESO")*(MOVIMIENTOS!$C$5:$C$400="M")*(MOVIMIENTOS!$D$5:$D$400="jabas")*(ROW(MOVIMIENTOS!$B$5:$B$400)&lt;=$L55)*MOVIMIENTOS!$E$5:$E$400)-SUMPRODUCT((MOVIMIENTOS!$B$5:$B$400="ENVÍO A SUPESA")*(MOVIMIENTOS!$C$5:$C$400="M")*(MOVIMIENTOS!$D$5:$D$400="jabas")*(ROW(MOVIMIENTOS!$B$5:$B$400)&lt;=$L55)*MOVIMIENTOS!$E$5:$E$400)+SUMPRODUCT((MOVIMIENTOS!$B$5:$B$400="DEVOLUCIÓN")*(MOVIMIENTOS!$C$5:$C$400="M")*(MOVIMIENTOS!$D$5:$D$400="jabas")*(ROW(MOVIMIENTOS!$B$5:$B$400)&lt;=$L55)*MOVIMIENTOS!$E$5:$E$400)-SUMPRODUCT((MOVIMIENTOS!$B$5:$B$400="TRASIEGO")*(MOVIMIENTOS!$C$5:$C$400="M")*(MOVIMIENTOS!$D$5:$D$400="jabas")*(ROW(MOVIMIENTOS!$B$5:$B$400)&lt;=$L55)*MOVIMIENTOS!$E$5:$E$400)-SUMPRODUCT((MOVIMIENTOS!$B$5:$B$400="REGALO")*(MOVIMIENTOS!$C$5:$C$400="M")*(MOVIMIENTOS!$D$5:$D$400="jabas")*(ROW(MOVIMIENTOS!$B$5:$B$400)&lt;=$L55)*MOVIMIENTOS!$E$5:$E$400)-SUMPRODUCT((MOVIMIENTOS!$B$5:$B$400="VENTA")*(MOVIMIENTOS!$C$5:$C$400="M")*(MOVIMIENTOS!$D$5:$D$400="jabas")*(ROW(MOVIMIENTOS!$B$5:$B$400)&lt;=$L55)*MOVIMIENTOS!$E$5:$E$400)+SUMPRODUCT((MOVIMIENTOS!$B$5:$B$400="AJUSTE")*(MOVIMIENTOS!$C$5:$C$400="M")*(MOVIMIENTOS!$D$5:$D$400="jabas")*(ROW(MOVIMIENTOS!$B$5:$B$400)&lt;=$L55)*MOVIMIENTOS!$E$5:$E$400))</f>
        <v/>
      </c>
      <c r="F55" s="12" t="str">
        <f>IF($A55="","",SUMPRODUCT((MOVIMIENTOS!$B$5:$B$400="SALDO INICIAL")*(MOVIMIENTOS!$C$5:$C$400="Chancho")*(MOVIMIENTOS!$D$5:$D$400="sacos")*(ROW(MOVIMIENTOS!$B$5:$B$400)&lt;=$L55)*MOVIMIENTOS!$E$5:$E$400)+SUMPRODUCT((MOVIMIENTOS!$B$5:$B$400="PROCESO")*(MOVIMIENTOS!$C$5:$C$400="Chancho")*(MOVIMIENTOS!$D$5:$D$400="sacos")*(ROW(MOVIMIENTOS!$B$5:$B$400)&lt;=$L55)*MOVIMIENTOS!$E$5:$E$400)-SUMPRODUCT((MOVIMIENTOS!$B$5:$B$400="VENTA CHANCHO")*(MOVIMIENTOS!$C$5:$C$400="Chancho")*(MOVIMIENTOS!$D$5:$D$400="sacos")*(ROW(MOVIMIENTOS!$B$5:$B$400)&lt;=$L55)*MOVIMIENTOS!$E$5:$E$400)-SUMPRODUCT((MOVIMIENTOS!$B$5:$B$400="REGALO")*(MOVIMIENTOS!$C$5:$C$400="Chancho")*(MOVIMIENTOS!$D$5:$D$400="sacos")*(ROW(MOVIMIENTOS!$B$5:$B$400)&lt;=$L55)*MOVIMIENTOS!$E$5:$E$400)-SUMPRODUCT((MOVIMIENTOS!$B$5:$B$400="VENTA")*(MOVIMIENTOS!$C$5:$C$400="Chancho")*(MOVIMIENTOS!$D$5:$D$400="sacos")*(ROW(MOVIMIENTOS!$B$5:$B$400)&lt;=$L55)*MOVIMIENTOS!$E$5:$E$400)+SUMPRODUCT((MOVIMIENTOS!$B$5:$B$400="AJUSTE")*(MOVIMIENTOS!$C$5:$C$400="Chancho")*(MOVIMIENTOS!$D$5:$D$400="sacos")*(ROW(MOVIMIENTOS!$B$5:$B$400)&lt;=$L55)*MOVIMIENTOS!$E$5:$E$400))</f>
        <v/>
      </c>
      <c r="G55" s="12" t="str">
        <f t="shared" si="3"/>
        <v/>
      </c>
      <c r="H55" s="12" t="str">
        <f>IF($A55="","",SUMPRODUCT((((MOVIMIENTOS!$B$5:$B$400="SALDO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55)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55)*MOVIMIENTOS!$I$5:$I$400))</f>
        <v/>
      </c>
      <c r="J55" t="str">
        <f>IF(AND(MOVIMIENTOS!$A55&lt;&gt;"",COUNTIF(MOVIMIENTOS!$A$5:$A54,MOVIMIENTOS!$A55)=0),COUNT(J$4:J54)+1,"")</f>
        <v/>
      </c>
      <c r="K55" s="10">
        <f>MOVIMIENTOS!$A55</f>
        <v>46219</v>
      </c>
      <c r="L55" t="str">
        <f>IF($A55="","",SUMPRODUCT(MAX((MOVIMIENTOS!$A$5:$A$400=$A55)*ROW(MOVIMIENTOS!$A$5:$A$400))))</f>
        <v/>
      </c>
    </row>
    <row r="56" spans="1:12" x14ac:dyDescent="0.2">
      <c r="A56" s="11" t="str">
        <f t="shared" si="2"/>
        <v/>
      </c>
      <c r="B56" s="12" t="str">
        <f>IF($A56="","",SUMPRODUCT((MOVIMIENTOS!$B$5:$B$400="SALDO INICIAL")*(MOVIMIENTOS!$C$5:$C$400="A")*(MOVIMIENTOS!$D$5:$D$400="jabas")*(ROW(MOVIMIENTOS!$B$5:$B$400)&lt;=$L56)*MOVIMIENTOS!$E$5:$E$400)+SUMPRODUCT((MOVIMIENTOS!$B$5:$B$400="PROCESO")*(MOVIMIENTOS!$C$5:$C$400="A")*(MOVIMIENTOS!$D$5:$D$400="jabas")*(ROW(MOVIMIENTOS!$B$5:$B$400)&lt;=$L56)*MOVIMIENTOS!$E$5:$E$400)-SUMPRODUCT((MOVIMIENTOS!$B$5:$B$400="ENVÍO A SUPESA")*(MOVIMIENTOS!$C$5:$C$400="A")*(MOVIMIENTOS!$D$5:$D$400="jabas")*(ROW(MOVIMIENTOS!$B$5:$B$400)&lt;=$L56)*MOVIMIENTOS!$E$5:$E$400)+SUMPRODUCT((MOVIMIENTOS!$B$5:$B$400="DEVOLUCIÓN")*(MOVIMIENTOS!$C$5:$C$400="A")*(MOVIMIENTOS!$D$5:$D$400="jabas")*(ROW(MOVIMIENTOS!$B$5:$B$400)&lt;=$L56)*MOVIMIENTOS!$E$5:$E$400)-SUMPRODUCT((MOVIMIENTOS!$B$5:$B$400="TRASIEGO")*(MOVIMIENTOS!$C$5:$C$400="A")*(MOVIMIENTOS!$D$5:$D$400="jabas")*(ROW(MOVIMIENTOS!$B$5:$B$400)&lt;=$L56)*MOVIMIENTOS!$E$5:$E$400)-SUMPRODUCT((MOVIMIENTOS!$B$5:$B$400="REGALO")*(MOVIMIENTOS!$C$5:$C$400="A")*(MOVIMIENTOS!$D$5:$D$400="jabas")*(ROW(MOVIMIENTOS!$B$5:$B$400)&lt;=$L56)*MOVIMIENTOS!$E$5:$E$400)-SUMPRODUCT((MOVIMIENTOS!$B$5:$B$400="VENTA")*(MOVIMIENTOS!$C$5:$C$400="A")*(MOVIMIENTOS!$D$5:$D$400="jabas")*(ROW(MOVIMIENTOS!$B$5:$B$400)&lt;=$L56)*MOVIMIENTOS!$E$5:$E$400)+SUMPRODUCT((MOVIMIENTOS!$B$5:$B$400="AJUSTE")*(MOVIMIENTOS!$C$5:$C$400="A")*(MOVIMIENTOS!$D$5:$D$400="jabas")*(ROW(MOVIMIENTOS!$B$5:$B$400)&lt;=$L56)*MOVIMIENTOS!$E$5:$E$400))</f>
        <v/>
      </c>
      <c r="C56" s="12" t="str">
        <f>IF($A56="","",SUMPRODUCT((MOVIMIENTOS!$B$5:$B$400="SALDO INICIAL")*(MOVIMIENTOS!$C$5:$C$400="P")*(MOVIMIENTOS!$D$5:$D$400="jabas")*(ROW(MOVIMIENTOS!$B$5:$B$400)&lt;=$L56)*MOVIMIENTOS!$E$5:$E$400)+SUMPRODUCT((MOVIMIENTOS!$B$5:$B$400="PROCESO")*(MOVIMIENTOS!$C$5:$C$400="P")*(MOVIMIENTOS!$D$5:$D$400="jabas")*(ROW(MOVIMIENTOS!$B$5:$B$400)&lt;=$L56)*MOVIMIENTOS!$E$5:$E$400)-SUMPRODUCT((MOVIMIENTOS!$B$5:$B$400="ENVÍO A SUPESA")*(MOVIMIENTOS!$C$5:$C$400="P")*(MOVIMIENTOS!$D$5:$D$400="jabas")*(ROW(MOVIMIENTOS!$B$5:$B$400)&lt;=$L56)*MOVIMIENTOS!$E$5:$E$400)+SUMPRODUCT((MOVIMIENTOS!$B$5:$B$400="DEVOLUCIÓN")*(MOVIMIENTOS!$C$5:$C$400="P")*(MOVIMIENTOS!$D$5:$D$400="jabas")*(ROW(MOVIMIENTOS!$B$5:$B$400)&lt;=$L56)*MOVIMIENTOS!$E$5:$E$400)-SUMPRODUCT((MOVIMIENTOS!$B$5:$B$400="TRASIEGO")*(MOVIMIENTOS!$C$5:$C$400="P")*(MOVIMIENTOS!$D$5:$D$400="jabas")*(ROW(MOVIMIENTOS!$B$5:$B$400)&lt;=$L56)*MOVIMIENTOS!$E$5:$E$400)-SUMPRODUCT((MOVIMIENTOS!$B$5:$B$400="REGALO")*(MOVIMIENTOS!$C$5:$C$400="P")*(MOVIMIENTOS!$D$5:$D$400="jabas")*(ROW(MOVIMIENTOS!$B$5:$B$400)&lt;=$L56)*MOVIMIENTOS!$E$5:$E$400)-SUMPRODUCT((MOVIMIENTOS!$B$5:$B$400="VENTA")*(MOVIMIENTOS!$C$5:$C$400="P")*(MOVIMIENTOS!$D$5:$D$400="jabas")*(ROW(MOVIMIENTOS!$B$5:$B$400)&lt;=$L56)*MOVIMIENTOS!$E$5:$E$400)+SUMPRODUCT((MOVIMIENTOS!$B$5:$B$400="AJUSTE")*(MOVIMIENTOS!$C$5:$C$400="P")*(MOVIMIENTOS!$D$5:$D$400="jabas")*(ROW(MOVIMIENTOS!$B$5:$B$400)&lt;=$L56)*MOVIMIENTOS!$E$5:$E$400))</f>
        <v/>
      </c>
      <c r="D56" s="12" t="str">
        <f>IF($A56="","",SUMPRODUCT((MOVIMIENTOS!$B$5:$B$400="SALDO INICIAL")*(MOVIMIENTOS!$C$5:$C$400="C")*(MOVIMIENTOS!$D$5:$D$400="jabas")*(ROW(MOVIMIENTOS!$B$5:$B$400)&lt;=$L56)*MOVIMIENTOS!$E$5:$E$400)+SUMPRODUCT((MOVIMIENTOS!$B$5:$B$400="PROCESO")*(MOVIMIENTOS!$C$5:$C$400="C")*(MOVIMIENTOS!$D$5:$D$400="jabas")*(ROW(MOVIMIENTOS!$B$5:$B$400)&lt;=$L56)*MOVIMIENTOS!$E$5:$E$400)-SUMPRODUCT((MOVIMIENTOS!$B$5:$B$400="ENVÍO A SUPESA")*(MOVIMIENTOS!$C$5:$C$400="C")*(MOVIMIENTOS!$D$5:$D$400="jabas")*(ROW(MOVIMIENTOS!$B$5:$B$400)&lt;=$L56)*MOVIMIENTOS!$E$5:$E$400)+SUMPRODUCT((MOVIMIENTOS!$B$5:$B$400="DEVOLUCIÓN")*(MOVIMIENTOS!$C$5:$C$400="C")*(MOVIMIENTOS!$D$5:$D$400="jabas")*(ROW(MOVIMIENTOS!$B$5:$B$400)&lt;=$L56)*MOVIMIENTOS!$E$5:$E$400)-SUMPRODUCT((MOVIMIENTOS!$B$5:$B$400="TRASIEGO")*(MOVIMIENTOS!$C$5:$C$400="C")*(MOVIMIENTOS!$D$5:$D$400="jabas")*(ROW(MOVIMIENTOS!$B$5:$B$400)&lt;=$L56)*MOVIMIENTOS!$E$5:$E$400)-SUMPRODUCT((MOVIMIENTOS!$B$5:$B$400="REGALO")*(MOVIMIENTOS!$C$5:$C$400="C")*(MOVIMIENTOS!$D$5:$D$400="jabas")*(ROW(MOVIMIENTOS!$B$5:$B$400)&lt;=$L56)*MOVIMIENTOS!$E$5:$E$400)-SUMPRODUCT((MOVIMIENTOS!$B$5:$B$400="VENTA")*(MOVIMIENTOS!$C$5:$C$400="C")*(MOVIMIENTOS!$D$5:$D$400="jabas")*(ROW(MOVIMIENTOS!$B$5:$B$400)&lt;=$L56)*MOVIMIENTOS!$E$5:$E$400)+SUMPRODUCT((MOVIMIENTOS!$B$5:$B$400="AJUSTE")*(MOVIMIENTOS!$C$5:$C$400="C")*(MOVIMIENTOS!$D$5:$D$400="jabas")*(ROW(MOVIMIENTOS!$B$5:$B$400)&lt;=$L56)*MOVIMIENTOS!$E$5:$E$400))</f>
        <v/>
      </c>
      <c r="E56" s="12" t="str">
        <f>IF($A56="","",SUMPRODUCT((MOVIMIENTOS!$B$5:$B$400="SALDO INICIAL")*(MOVIMIENTOS!$C$5:$C$400="M")*(MOVIMIENTOS!$D$5:$D$400="jabas")*(ROW(MOVIMIENTOS!$B$5:$B$400)&lt;=$L56)*MOVIMIENTOS!$E$5:$E$400)+SUMPRODUCT((MOVIMIENTOS!$B$5:$B$400="PROCESO")*(MOVIMIENTOS!$C$5:$C$400="M")*(MOVIMIENTOS!$D$5:$D$400="jabas")*(ROW(MOVIMIENTOS!$B$5:$B$400)&lt;=$L56)*MOVIMIENTOS!$E$5:$E$400)-SUMPRODUCT((MOVIMIENTOS!$B$5:$B$400="ENVÍO A SUPESA")*(MOVIMIENTOS!$C$5:$C$400="M")*(MOVIMIENTOS!$D$5:$D$400="jabas")*(ROW(MOVIMIENTOS!$B$5:$B$400)&lt;=$L56)*MOVIMIENTOS!$E$5:$E$400)+SUMPRODUCT((MOVIMIENTOS!$B$5:$B$400="DEVOLUCIÓN")*(MOVIMIENTOS!$C$5:$C$400="M")*(MOVIMIENTOS!$D$5:$D$400="jabas")*(ROW(MOVIMIENTOS!$B$5:$B$400)&lt;=$L56)*MOVIMIENTOS!$E$5:$E$400)-SUMPRODUCT((MOVIMIENTOS!$B$5:$B$400="TRASIEGO")*(MOVIMIENTOS!$C$5:$C$400="M")*(MOVIMIENTOS!$D$5:$D$400="jabas")*(ROW(MOVIMIENTOS!$B$5:$B$400)&lt;=$L56)*MOVIMIENTOS!$E$5:$E$400)-SUMPRODUCT((MOVIMIENTOS!$B$5:$B$400="REGALO")*(MOVIMIENTOS!$C$5:$C$400="M")*(MOVIMIENTOS!$D$5:$D$400="jabas")*(ROW(MOVIMIENTOS!$B$5:$B$400)&lt;=$L56)*MOVIMIENTOS!$E$5:$E$400)-SUMPRODUCT((MOVIMIENTOS!$B$5:$B$400="VENTA")*(MOVIMIENTOS!$C$5:$C$400="M")*(MOVIMIENTOS!$D$5:$D$400="jabas")*(ROW(MOVIMIENTOS!$B$5:$B$400)&lt;=$L56)*MOVIMIENTOS!$E$5:$E$400)+SUMPRODUCT((MOVIMIENTOS!$B$5:$B$400="AJUSTE")*(MOVIMIENTOS!$C$5:$C$400="M")*(MOVIMIENTOS!$D$5:$D$400="jabas")*(ROW(MOVIMIENTOS!$B$5:$B$400)&lt;=$L56)*MOVIMIENTOS!$E$5:$E$400))</f>
        <v/>
      </c>
      <c r="F56" s="12" t="str">
        <f>IF($A56="","",SUMPRODUCT((MOVIMIENTOS!$B$5:$B$400="SALDO INICIAL")*(MOVIMIENTOS!$C$5:$C$400="Chancho")*(MOVIMIENTOS!$D$5:$D$400="sacos")*(ROW(MOVIMIENTOS!$B$5:$B$400)&lt;=$L56)*MOVIMIENTOS!$E$5:$E$400)+SUMPRODUCT((MOVIMIENTOS!$B$5:$B$400="PROCESO")*(MOVIMIENTOS!$C$5:$C$400="Chancho")*(MOVIMIENTOS!$D$5:$D$400="sacos")*(ROW(MOVIMIENTOS!$B$5:$B$400)&lt;=$L56)*MOVIMIENTOS!$E$5:$E$400)-SUMPRODUCT((MOVIMIENTOS!$B$5:$B$400="VENTA CHANCHO")*(MOVIMIENTOS!$C$5:$C$400="Chancho")*(MOVIMIENTOS!$D$5:$D$400="sacos")*(ROW(MOVIMIENTOS!$B$5:$B$400)&lt;=$L56)*MOVIMIENTOS!$E$5:$E$400)-SUMPRODUCT((MOVIMIENTOS!$B$5:$B$400="REGALO")*(MOVIMIENTOS!$C$5:$C$400="Chancho")*(MOVIMIENTOS!$D$5:$D$400="sacos")*(ROW(MOVIMIENTOS!$B$5:$B$400)&lt;=$L56)*MOVIMIENTOS!$E$5:$E$400)-SUMPRODUCT((MOVIMIENTOS!$B$5:$B$400="VENTA")*(MOVIMIENTOS!$C$5:$C$400="Chancho")*(MOVIMIENTOS!$D$5:$D$400="sacos")*(ROW(MOVIMIENTOS!$B$5:$B$400)&lt;=$L56)*MOVIMIENTOS!$E$5:$E$400)+SUMPRODUCT((MOVIMIENTOS!$B$5:$B$400="AJUSTE")*(MOVIMIENTOS!$C$5:$C$400="Chancho")*(MOVIMIENTOS!$D$5:$D$400="sacos")*(ROW(MOVIMIENTOS!$B$5:$B$400)&lt;=$L56)*MOVIMIENTOS!$E$5:$E$400))</f>
        <v/>
      </c>
      <c r="G56" s="12" t="str">
        <f t="shared" si="3"/>
        <v/>
      </c>
      <c r="H56" s="12" t="str">
        <f>IF($A56="","",SUMPRODUCT((((MOVIMIENTOS!$B$5:$B$400="SALDO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56)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56)*MOVIMIENTOS!$I$5:$I$400))</f>
        <v/>
      </c>
      <c r="J56" t="str">
        <f>IF(AND(MOVIMIENTOS!$A56&lt;&gt;"",COUNTIF(MOVIMIENTOS!$A$5:$A55,MOVIMIENTOS!$A56)=0),COUNT(J$4:J55)+1,"")</f>
        <v/>
      </c>
      <c r="K56" s="10">
        <f>MOVIMIENTOS!$A56</f>
        <v>46219</v>
      </c>
      <c r="L56" t="str">
        <f>IF($A56="","",SUMPRODUCT(MAX((MOVIMIENTOS!$A$5:$A$400=$A56)*ROW(MOVIMIENTOS!$A$5:$A$400))))</f>
        <v/>
      </c>
    </row>
    <row r="57" spans="1:12" x14ac:dyDescent="0.2">
      <c r="A57" s="11" t="str">
        <f t="shared" si="2"/>
        <v/>
      </c>
      <c r="B57" s="12" t="str">
        <f>IF($A57="","",SUMPRODUCT((MOVIMIENTOS!$B$5:$B$400="SALDO INICIAL")*(MOVIMIENTOS!$C$5:$C$400="A")*(MOVIMIENTOS!$D$5:$D$400="jabas")*(ROW(MOVIMIENTOS!$B$5:$B$400)&lt;=$L57)*MOVIMIENTOS!$E$5:$E$400)+SUMPRODUCT((MOVIMIENTOS!$B$5:$B$400="PROCESO")*(MOVIMIENTOS!$C$5:$C$400="A")*(MOVIMIENTOS!$D$5:$D$400="jabas")*(ROW(MOVIMIENTOS!$B$5:$B$400)&lt;=$L57)*MOVIMIENTOS!$E$5:$E$400)-SUMPRODUCT((MOVIMIENTOS!$B$5:$B$400="ENVÍO A SUPESA")*(MOVIMIENTOS!$C$5:$C$400="A")*(MOVIMIENTOS!$D$5:$D$400="jabas")*(ROW(MOVIMIENTOS!$B$5:$B$400)&lt;=$L57)*MOVIMIENTOS!$E$5:$E$400)+SUMPRODUCT((MOVIMIENTOS!$B$5:$B$400="DEVOLUCIÓN")*(MOVIMIENTOS!$C$5:$C$400="A")*(MOVIMIENTOS!$D$5:$D$400="jabas")*(ROW(MOVIMIENTOS!$B$5:$B$400)&lt;=$L57)*MOVIMIENTOS!$E$5:$E$400)-SUMPRODUCT((MOVIMIENTOS!$B$5:$B$400="TRASIEGO")*(MOVIMIENTOS!$C$5:$C$400="A")*(MOVIMIENTOS!$D$5:$D$400="jabas")*(ROW(MOVIMIENTOS!$B$5:$B$400)&lt;=$L57)*MOVIMIENTOS!$E$5:$E$400)-SUMPRODUCT((MOVIMIENTOS!$B$5:$B$400="REGALO")*(MOVIMIENTOS!$C$5:$C$400="A")*(MOVIMIENTOS!$D$5:$D$400="jabas")*(ROW(MOVIMIENTOS!$B$5:$B$400)&lt;=$L57)*MOVIMIENTOS!$E$5:$E$400)-SUMPRODUCT((MOVIMIENTOS!$B$5:$B$400="VENTA")*(MOVIMIENTOS!$C$5:$C$400="A")*(MOVIMIENTOS!$D$5:$D$400="jabas")*(ROW(MOVIMIENTOS!$B$5:$B$400)&lt;=$L57)*MOVIMIENTOS!$E$5:$E$400)+SUMPRODUCT((MOVIMIENTOS!$B$5:$B$400="AJUSTE")*(MOVIMIENTOS!$C$5:$C$400="A")*(MOVIMIENTOS!$D$5:$D$400="jabas")*(ROW(MOVIMIENTOS!$B$5:$B$400)&lt;=$L57)*MOVIMIENTOS!$E$5:$E$400))</f>
        <v/>
      </c>
      <c r="C57" s="12" t="str">
        <f>IF($A57="","",SUMPRODUCT((MOVIMIENTOS!$B$5:$B$400="SALDO INICIAL")*(MOVIMIENTOS!$C$5:$C$400="P")*(MOVIMIENTOS!$D$5:$D$400="jabas")*(ROW(MOVIMIENTOS!$B$5:$B$400)&lt;=$L57)*MOVIMIENTOS!$E$5:$E$400)+SUMPRODUCT((MOVIMIENTOS!$B$5:$B$400="PROCESO")*(MOVIMIENTOS!$C$5:$C$400="P")*(MOVIMIENTOS!$D$5:$D$400="jabas")*(ROW(MOVIMIENTOS!$B$5:$B$400)&lt;=$L57)*MOVIMIENTOS!$E$5:$E$400)-SUMPRODUCT((MOVIMIENTOS!$B$5:$B$400="ENVÍO A SUPESA")*(MOVIMIENTOS!$C$5:$C$400="P")*(MOVIMIENTOS!$D$5:$D$400="jabas")*(ROW(MOVIMIENTOS!$B$5:$B$400)&lt;=$L57)*MOVIMIENTOS!$E$5:$E$400)+SUMPRODUCT((MOVIMIENTOS!$B$5:$B$400="DEVOLUCIÓN")*(MOVIMIENTOS!$C$5:$C$400="P")*(MOVIMIENTOS!$D$5:$D$400="jabas")*(ROW(MOVIMIENTOS!$B$5:$B$400)&lt;=$L57)*MOVIMIENTOS!$E$5:$E$400)-SUMPRODUCT((MOVIMIENTOS!$B$5:$B$400="TRASIEGO")*(MOVIMIENTOS!$C$5:$C$400="P")*(MOVIMIENTOS!$D$5:$D$400="jabas")*(ROW(MOVIMIENTOS!$B$5:$B$400)&lt;=$L57)*MOVIMIENTOS!$E$5:$E$400)-SUMPRODUCT((MOVIMIENTOS!$B$5:$B$400="REGALO")*(MOVIMIENTOS!$C$5:$C$400="P")*(MOVIMIENTOS!$D$5:$D$400="jabas")*(ROW(MOVIMIENTOS!$B$5:$B$400)&lt;=$L57)*MOVIMIENTOS!$E$5:$E$400)-SUMPRODUCT((MOVIMIENTOS!$B$5:$B$400="VENTA")*(MOVIMIENTOS!$C$5:$C$400="P")*(MOVIMIENTOS!$D$5:$D$400="jabas")*(ROW(MOVIMIENTOS!$B$5:$B$400)&lt;=$L57)*MOVIMIENTOS!$E$5:$E$400)+SUMPRODUCT((MOVIMIENTOS!$B$5:$B$400="AJUSTE")*(MOVIMIENTOS!$C$5:$C$400="P")*(MOVIMIENTOS!$D$5:$D$400="jabas")*(ROW(MOVIMIENTOS!$B$5:$B$400)&lt;=$L57)*MOVIMIENTOS!$E$5:$E$400))</f>
        <v/>
      </c>
      <c r="D57" s="12" t="str">
        <f>IF($A57="","",SUMPRODUCT((MOVIMIENTOS!$B$5:$B$400="SALDO INICIAL")*(MOVIMIENTOS!$C$5:$C$400="C")*(MOVIMIENTOS!$D$5:$D$400="jabas")*(ROW(MOVIMIENTOS!$B$5:$B$400)&lt;=$L57)*MOVIMIENTOS!$E$5:$E$400)+SUMPRODUCT((MOVIMIENTOS!$B$5:$B$400="PROCESO")*(MOVIMIENTOS!$C$5:$C$400="C")*(MOVIMIENTOS!$D$5:$D$400="jabas")*(ROW(MOVIMIENTOS!$B$5:$B$400)&lt;=$L57)*MOVIMIENTOS!$E$5:$E$400)-SUMPRODUCT((MOVIMIENTOS!$B$5:$B$400="ENVÍO A SUPESA")*(MOVIMIENTOS!$C$5:$C$400="C")*(MOVIMIENTOS!$D$5:$D$400="jabas")*(ROW(MOVIMIENTOS!$B$5:$B$400)&lt;=$L57)*MOVIMIENTOS!$E$5:$E$400)+SUMPRODUCT((MOVIMIENTOS!$B$5:$B$400="DEVOLUCIÓN")*(MOVIMIENTOS!$C$5:$C$400="C")*(MOVIMIENTOS!$D$5:$D$400="jabas")*(ROW(MOVIMIENTOS!$B$5:$B$400)&lt;=$L57)*MOVIMIENTOS!$E$5:$E$400)-SUMPRODUCT((MOVIMIENTOS!$B$5:$B$400="TRASIEGO")*(MOVIMIENTOS!$C$5:$C$400="C")*(MOVIMIENTOS!$D$5:$D$400="jabas")*(ROW(MOVIMIENTOS!$B$5:$B$400)&lt;=$L57)*MOVIMIENTOS!$E$5:$E$400)-SUMPRODUCT((MOVIMIENTOS!$B$5:$B$400="REGALO")*(MOVIMIENTOS!$C$5:$C$400="C")*(MOVIMIENTOS!$D$5:$D$400="jabas")*(ROW(MOVIMIENTOS!$B$5:$B$400)&lt;=$L57)*MOVIMIENTOS!$E$5:$E$400)-SUMPRODUCT((MOVIMIENTOS!$B$5:$B$400="VENTA")*(MOVIMIENTOS!$C$5:$C$400="C")*(MOVIMIENTOS!$D$5:$D$400="jabas")*(ROW(MOVIMIENTOS!$B$5:$B$400)&lt;=$L57)*MOVIMIENTOS!$E$5:$E$400)+SUMPRODUCT((MOVIMIENTOS!$B$5:$B$400="AJUSTE")*(MOVIMIENTOS!$C$5:$C$400="C")*(MOVIMIENTOS!$D$5:$D$400="jabas")*(ROW(MOVIMIENTOS!$B$5:$B$400)&lt;=$L57)*MOVIMIENTOS!$E$5:$E$400))</f>
        <v/>
      </c>
      <c r="E57" s="12" t="str">
        <f>IF($A57="","",SUMPRODUCT((MOVIMIENTOS!$B$5:$B$400="SALDO INICIAL")*(MOVIMIENTOS!$C$5:$C$400="M")*(MOVIMIENTOS!$D$5:$D$400="jabas")*(ROW(MOVIMIENTOS!$B$5:$B$400)&lt;=$L57)*MOVIMIENTOS!$E$5:$E$400)+SUMPRODUCT((MOVIMIENTOS!$B$5:$B$400="PROCESO")*(MOVIMIENTOS!$C$5:$C$400="M")*(MOVIMIENTOS!$D$5:$D$400="jabas")*(ROW(MOVIMIENTOS!$B$5:$B$400)&lt;=$L57)*MOVIMIENTOS!$E$5:$E$400)-SUMPRODUCT((MOVIMIENTOS!$B$5:$B$400="ENVÍO A SUPESA")*(MOVIMIENTOS!$C$5:$C$400="M")*(MOVIMIENTOS!$D$5:$D$400="jabas")*(ROW(MOVIMIENTOS!$B$5:$B$400)&lt;=$L57)*MOVIMIENTOS!$E$5:$E$400)+SUMPRODUCT((MOVIMIENTOS!$B$5:$B$400="DEVOLUCIÓN")*(MOVIMIENTOS!$C$5:$C$400="M")*(MOVIMIENTOS!$D$5:$D$400="jabas")*(ROW(MOVIMIENTOS!$B$5:$B$400)&lt;=$L57)*MOVIMIENTOS!$E$5:$E$400)-SUMPRODUCT((MOVIMIENTOS!$B$5:$B$400="TRASIEGO")*(MOVIMIENTOS!$C$5:$C$400="M")*(MOVIMIENTOS!$D$5:$D$400="jabas")*(ROW(MOVIMIENTOS!$B$5:$B$400)&lt;=$L57)*MOVIMIENTOS!$E$5:$E$400)-SUMPRODUCT((MOVIMIENTOS!$B$5:$B$400="REGALO")*(MOVIMIENTOS!$C$5:$C$400="M")*(MOVIMIENTOS!$D$5:$D$400="jabas")*(ROW(MOVIMIENTOS!$B$5:$B$400)&lt;=$L57)*MOVIMIENTOS!$E$5:$E$400)-SUMPRODUCT((MOVIMIENTOS!$B$5:$B$400="VENTA")*(MOVIMIENTOS!$C$5:$C$400="M")*(MOVIMIENTOS!$D$5:$D$400="jabas")*(ROW(MOVIMIENTOS!$B$5:$B$400)&lt;=$L57)*MOVIMIENTOS!$E$5:$E$400)+SUMPRODUCT((MOVIMIENTOS!$B$5:$B$400="AJUSTE")*(MOVIMIENTOS!$C$5:$C$400="M")*(MOVIMIENTOS!$D$5:$D$400="jabas")*(ROW(MOVIMIENTOS!$B$5:$B$400)&lt;=$L57)*MOVIMIENTOS!$E$5:$E$400))</f>
        <v/>
      </c>
      <c r="F57" s="12" t="str">
        <f>IF($A57="","",SUMPRODUCT((MOVIMIENTOS!$B$5:$B$400="SALDO INICIAL")*(MOVIMIENTOS!$C$5:$C$400="Chancho")*(MOVIMIENTOS!$D$5:$D$400="sacos")*(ROW(MOVIMIENTOS!$B$5:$B$400)&lt;=$L57)*MOVIMIENTOS!$E$5:$E$400)+SUMPRODUCT((MOVIMIENTOS!$B$5:$B$400="PROCESO")*(MOVIMIENTOS!$C$5:$C$400="Chancho")*(MOVIMIENTOS!$D$5:$D$400="sacos")*(ROW(MOVIMIENTOS!$B$5:$B$400)&lt;=$L57)*MOVIMIENTOS!$E$5:$E$400)-SUMPRODUCT((MOVIMIENTOS!$B$5:$B$400="VENTA CHANCHO")*(MOVIMIENTOS!$C$5:$C$400="Chancho")*(MOVIMIENTOS!$D$5:$D$400="sacos")*(ROW(MOVIMIENTOS!$B$5:$B$400)&lt;=$L57)*MOVIMIENTOS!$E$5:$E$400)-SUMPRODUCT((MOVIMIENTOS!$B$5:$B$400="REGALO")*(MOVIMIENTOS!$C$5:$C$400="Chancho")*(MOVIMIENTOS!$D$5:$D$400="sacos")*(ROW(MOVIMIENTOS!$B$5:$B$400)&lt;=$L57)*MOVIMIENTOS!$E$5:$E$400)-SUMPRODUCT((MOVIMIENTOS!$B$5:$B$400="VENTA")*(MOVIMIENTOS!$C$5:$C$400="Chancho")*(MOVIMIENTOS!$D$5:$D$400="sacos")*(ROW(MOVIMIENTOS!$B$5:$B$400)&lt;=$L57)*MOVIMIENTOS!$E$5:$E$400)+SUMPRODUCT((MOVIMIENTOS!$B$5:$B$400="AJUSTE")*(MOVIMIENTOS!$C$5:$C$400="Chancho")*(MOVIMIENTOS!$D$5:$D$400="sacos")*(ROW(MOVIMIENTOS!$B$5:$B$400)&lt;=$L57)*MOVIMIENTOS!$E$5:$E$400))</f>
        <v/>
      </c>
      <c r="G57" s="12" t="str">
        <f t="shared" si="3"/>
        <v/>
      </c>
      <c r="H57" s="12" t="str">
        <f>IF($A57="","",SUMPRODUCT((((MOVIMIENTOS!$B$5:$B$400="SALDO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57)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57)*MOVIMIENTOS!$I$5:$I$400))</f>
        <v/>
      </c>
      <c r="J57" t="str">
        <f>IF(AND(MOVIMIENTOS!$A57&lt;&gt;"",COUNTIF(MOVIMIENTOS!$A$5:$A56,MOVIMIENTOS!$A57)=0),COUNT(J$4:J56)+1,"")</f>
        <v/>
      </c>
      <c r="K57" s="10">
        <f>MOVIMIENTOS!$A57</f>
        <v>46219</v>
      </c>
      <c r="L57" t="str">
        <f>IF($A57="","",SUMPRODUCT(MAX((MOVIMIENTOS!$A$5:$A$400=$A57)*ROW(MOVIMIENTOS!$A$5:$A$400))))</f>
        <v/>
      </c>
    </row>
    <row r="58" spans="1:12" x14ac:dyDescent="0.2">
      <c r="A58" s="11" t="str">
        <f t="shared" si="2"/>
        <v/>
      </c>
      <c r="B58" s="12" t="str">
        <f>IF($A58="","",SUMPRODUCT((MOVIMIENTOS!$B$5:$B$400="SALDO INICIAL")*(MOVIMIENTOS!$C$5:$C$400="A")*(MOVIMIENTOS!$D$5:$D$400="jabas")*(ROW(MOVIMIENTOS!$B$5:$B$400)&lt;=$L58)*MOVIMIENTOS!$E$5:$E$400)+SUMPRODUCT((MOVIMIENTOS!$B$5:$B$400="PROCESO")*(MOVIMIENTOS!$C$5:$C$400="A")*(MOVIMIENTOS!$D$5:$D$400="jabas")*(ROW(MOVIMIENTOS!$B$5:$B$400)&lt;=$L58)*MOVIMIENTOS!$E$5:$E$400)-SUMPRODUCT((MOVIMIENTOS!$B$5:$B$400="ENVÍO A SUPESA")*(MOVIMIENTOS!$C$5:$C$400="A")*(MOVIMIENTOS!$D$5:$D$400="jabas")*(ROW(MOVIMIENTOS!$B$5:$B$400)&lt;=$L58)*MOVIMIENTOS!$E$5:$E$400)+SUMPRODUCT((MOVIMIENTOS!$B$5:$B$400="DEVOLUCIÓN")*(MOVIMIENTOS!$C$5:$C$400="A")*(MOVIMIENTOS!$D$5:$D$400="jabas")*(ROW(MOVIMIENTOS!$B$5:$B$400)&lt;=$L58)*MOVIMIENTOS!$E$5:$E$400)-SUMPRODUCT((MOVIMIENTOS!$B$5:$B$400="TRASIEGO")*(MOVIMIENTOS!$C$5:$C$400="A")*(MOVIMIENTOS!$D$5:$D$400="jabas")*(ROW(MOVIMIENTOS!$B$5:$B$400)&lt;=$L58)*MOVIMIENTOS!$E$5:$E$400)-SUMPRODUCT((MOVIMIENTOS!$B$5:$B$400="REGALO")*(MOVIMIENTOS!$C$5:$C$400="A")*(MOVIMIENTOS!$D$5:$D$400="jabas")*(ROW(MOVIMIENTOS!$B$5:$B$400)&lt;=$L58)*MOVIMIENTOS!$E$5:$E$400)-SUMPRODUCT((MOVIMIENTOS!$B$5:$B$400="VENTA")*(MOVIMIENTOS!$C$5:$C$400="A")*(MOVIMIENTOS!$D$5:$D$400="jabas")*(ROW(MOVIMIENTOS!$B$5:$B$400)&lt;=$L58)*MOVIMIENTOS!$E$5:$E$400)+SUMPRODUCT((MOVIMIENTOS!$B$5:$B$400="AJUSTE")*(MOVIMIENTOS!$C$5:$C$400="A")*(MOVIMIENTOS!$D$5:$D$400="jabas")*(ROW(MOVIMIENTOS!$B$5:$B$400)&lt;=$L58)*MOVIMIENTOS!$E$5:$E$400))</f>
        <v/>
      </c>
      <c r="C58" s="12" t="str">
        <f>IF($A58="","",SUMPRODUCT((MOVIMIENTOS!$B$5:$B$400="SALDO INICIAL")*(MOVIMIENTOS!$C$5:$C$400="P")*(MOVIMIENTOS!$D$5:$D$400="jabas")*(ROW(MOVIMIENTOS!$B$5:$B$400)&lt;=$L58)*MOVIMIENTOS!$E$5:$E$400)+SUMPRODUCT((MOVIMIENTOS!$B$5:$B$400="PROCESO")*(MOVIMIENTOS!$C$5:$C$400="P")*(MOVIMIENTOS!$D$5:$D$400="jabas")*(ROW(MOVIMIENTOS!$B$5:$B$400)&lt;=$L58)*MOVIMIENTOS!$E$5:$E$400)-SUMPRODUCT((MOVIMIENTOS!$B$5:$B$400="ENVÍO A SUPESA")*(MOVIMIENTOS!$C$5:$C$400="P")*(MOVIMIENTOS!$D$5:$D$400="jabas")*(ROW(MOVIMIENTOS!$B$5:$B$400)&lt;=$L58)*MOVIMIENTOS!$E$5:$E$400)+SUMPRODUCT((MOVIMIENTOS!$B$5:$B$400="DEVOLUCIÓN")*(MOVIMIENTOS!$C$5:$C$400="P")*(MOVIMIENTOS!$D$5:$D$400="jabas")*(ROW(MOVIMIENTOS!$B$5:$B$400)&lt;=$L58)*MOVIMIENTOS!$E$5:$E$400)-SUMPRODUCT((MOVIMIENTOS!$B$5:$B$400="TRASIEGO")*(MOVIMIENTOS!$C$5:$C$400="P")*(MOVIMIENTOS!$D$5:$D$400="jabas")*(ROW(MOVIMIENTOS!$B$5:$B$400)&lt;=$L58)*MOVIMIENTOS!$E$5:$E$400)-SUMPRODUCT((MOVIMIENTOS!$B$5:$B$400="REGALO")*(MOVIMIENTOS!$C$5:$C$400="P")*(MOVIMIENTOS!$D$5:$D$400="jabas")*(ROW(MOVIMIENTOS!$B$5:$B$400)&lt;=$L58)*MOVIMIENTOS!$E$5:$E$400)-SUMPRODUCT((MOVIMIENTOS!$B$5:$B$400="VENTA")*(MOVIMIENTOS!$C$5:$C$400="P")*(MOVIMIENTOS!$D$5:$D$400="jabas")*(ROW(MOVIMIENTOS!$B$5:$B$400)&lt;=$L58)*MOVIMIENTOS!$E$5:$E$400)+SUMPRODUCT((MOVIMIENTOS!$B$5:$B$400="AJUSTE")*(MOVIMIENTOS!$C$5:$C$400="P")*(MOVIMIENTOS!$D$5:$D$400="jabas")*(ROW(MOVIMIENTOS!$B$5:$B$400)&lt;=$L58)*MOVIMIENTOS!$E$5:$E$400))</f>
        <v/>
      </c>
      <c r="D58" s="12" t="str">
        <f>IF($A58="","",SUMPRODUCT((MOVIMIENTOS!$B$5:$B$400="SALDO INICIAL")*(MOVIMIENTOS!$C$5:$C$400="C")*(MOVIMIENTOS!$D$5:$D$400="jabas")*(ROW(MOVIMIENTOS!$B$5:$B$400)&lt;=$L58)*MOVIMIENTOS!$E$5:$E$400)+SUMPRODUCT((MOVIMIENTOS!$B$5:$B$400="PROCESO")*(MOVIMIENTOS!$C$5:$C$400="C")*(MOVIMIENTOS!$D$5:$D$400="jabas")*(ROW(MOVIMIENTOS!$B$5:$B$400)&lt;=$L58)*MOVIMIENTOS!$E$5:$E$400)-SUMPRODUCT((MOVIMIENTOS!$B$5:$B$400="ENVÍO A SUPESA")*(MOVIMIENTOS!$C$5:$C$400="C")*(MOVIMIENTOS!$D$5:$D$400="jabas")*(ROW(MOVIMIENTOS!$B$5:$B$400)&lt;=$L58)*MOVIMIENTOS!$E$5:$E$400)+SUMPRODUCT((MOVIMIENTOS!$B$5:$B$400="DEVOLUCIÓN")*(MOVIMIENTOS!$C$5:$C$400="C")*(MOVIMIENTOS!$D$5:$D$400="jabas")*(ROW(MOVIMIENTOS!$B$5:$B$400)&lt;=$L58)*MOVIMIENTOS!$E$5:$E$400)-SUMPRODUCT((MOVIMIENTOS!$B$5:$B$400="TRASIEGO")*(MOVIMIENTOS!$C$5:$C$400="C")*(MOVIMIENTOS!$D$5:$D$400="jabas")*(ROW(MOVIMIENTOS!$B$5:$B$400)&lt;=$L58)*MOVIMIENTOS!$E$5:$E$400)-SUMPRODUCT((MOVIMIENTOS!$B$5:$B$400="REGALO")*(MOVIMIENTOS!$C$5:$C$400="C")*(MOVIMIENTOS!$D$5:$D$400="jabas")*(ROW(MOVIMIENTOS!$B$5:$B$400)&lt;=$L58)*MOVIMIENTOS!$E$5:$E$400)-SUMPRODUCT((MOVIMIENTOS!$B$5:$B$400="VENTA")*(MOVIMIENTOS!$C$5:$C$400="C")*(MOVIMIENTOS!$D$5:$D$400="jabas")*(ROW(MOVIMIENTOS!$B$5:$B$400)&lt;=$L58)*MOVIMIENTOS!$E$5:$E$400)+SUMPRODUCT((MOVIMIENTOS!$B$5:$B$400="AJUSTE")*(MOVIMIENTOS!$C$5:$C$400="C")*(MOVIMIENTOS!$D$5:$D$400="jabas")*(ROW(MOVIMIENTOS!$B$5:$B$400)&lt;=$L58)*MOVIMIENTOS!$E$5:$E$400))</f>
        <v/>
      </c>
      <c r="E58" s="12" t="str">
        <f>IF($A58="","",SUMPRODUCT((MOVIMIENTOS!$B$5:$B$400="SALDO INICIAL")*(MOVIMIENTOS!$C$5:$C$400="M")*(MOVIMIENTOS!$D$5:$D$400="jabas")*(ROW(MOVIMIENTOS!$B$5:$B$400)&lt;=$L58)*MOVIMIENTOS!$E$5:$E$400)+SUMPRODUCT((MOVIMIENTOS!$B$5:$B$400="PROCESO")*(MOVIMIENTOS!$C$5:$C$400="M")*(MOVIMIENTOS!$D$5:$D$400="jabas")*(ROW(MOVIMIENTOS!$B$5:$B$400)&lt;=$L58)*MOVIMIENTOS!$E$5:$E$400)-SUMPRODUCT((MOVIMIENTOS!$B$5:$B$400="ENVÍO A SUPESA")*(MOVIMIENTOS!$C$5:$C$400="M")*(MOVIMIENTOS!$D$5:$D$400="jabas")*(ROW(MOVIMIENTOS!$B$5:$B$400)&lt;=$L58)*MOVIMIENTOS!$E$5:$E$400)+SUMPRODUCT((MOVIMIENTOS!$B$5:$B$400="DEVOLUCIÓN")*(MOVIMIENTOS!$C$5:$C$400="M")*(MOVIMIENTOS!$D$5:$D$400="jabas")*(ROW(MOVIMIENTOS!$B$5:$B$400)&lt;=$L58)*MOVIMIENTOS!$E$5:$E$400)-SUMPRODUCT((MOVIMIENTOS!$B$5:$B$400="TRASIEGO")*(MOVIMIENTOS!$C$5:$C$400="M")*(MOVIMIENTOS!$D$5:$D$400="jabas")*(ROW(MOVIMIENTOS!$B$5:$B$400)&lt;=$L58)*MOVIMIENTOS!$E$5:$E$400)-SUMPRODUCT((MOVIMIENTOS!$B$5:$B$400="REGALO")*(MOVIMIENTOS!$C$5:$C$400="M")*(MOVIMIENTOS!$D$5:$D$400="jabas")*(ROW(MOVIMIENTOS!$B$5:$B$400)&lt;=$L58)*MOVIMIENTOS!$E$5:$E$400)-SUMPRODUCT((MOVIMIENTOS!$B$5:$B$400="VENTA")*(MOVIMIENTOS!$C$5:$C$400="M")*(MOVIMIENTOS!$D$5:$D$400="jabas")*(ROW(MOVIMIENTOS!$B$5:$B$400)&lt;=$L58)*MOVIMIENTOS!$E$5:$E$400)+SUMPRODUCT((MOVIMIENTOS!$B$5:$B$400="AJUSTE")*(MOVIMIENTOS!$C$5:$C$400="M")*(MOVIMIENTOS!$D$5:$D$400="jabas")*(ROW(MOVIMIENTOS!$B$5:$B$400)&lt;=$L58)*MOVIMIENTOS!$E$5:$E$400))</f>
        <v/>
      </c>
      <c r="F58" s="12" t="str">
        <f>IF($A58="","",SUMPRODUCT((MOVIMIENTOS!$B$5:$B$400="SALDO INICIAL")*(MOVIMIENTOS!$C$5:$C$400="Chancho")*(MOVIMIENTOS!$D$5:$D$400="sacos")*(ROW(MOVIMIENTOS!$B$5:$B$400)&lt;=$L58)*MOVIMIENTOS!$E$5:$E$400)+SUMPRODUCT((MOVIMIENTOS!$B$5:$B$400="PROCESO")*(MOVIMIENTOS!$C$5:$C$400="Chancho")*(MOVIMIENTOS!$D$5:$D$400="sacos")*(ROW(MOVIMIENTOS!$B$5:$B$400)&lt;=$L58)*MOVIMIENTOS!$E$5:$E$400)-SUMPRODUCT((MOVIMIENTOS!$B$5:$B$400="VENTA CHANCHO")*(MOVIMIENTOS!$C$5:$C$400="Chancho")*(MOVIMIENTOS!$D$5:$D$400="sacos")*(ROW(MOVIMIENTOS!$B$5:$B$400)&lt;=$L58)*MOVIMIENTOS!$E$5:$E$400)-SUMPRODUCT((MOVIMIENTOS!$B$5:$B$400="REGALO")*(MOVIMIENTOS!$C$5:$C$400="Chancho")*(MOVIMIENTOS!$D$5:$D$400="sacos")*(ROW(MOVIMIENTOS!$B$5:$B$400)&lt;=$L58)*MOVIMIENTOS!$E$5:$E$400)-SUMPRODUCT((MOVIMIENTOS!$B$5:$B$400="VENTA")*(MOVIMIENTOS!$C$5:$C$400="Chancho")*(MOVIMIENTOS!$D$5:$D$400="sacos")*(ROW(MOVIMIENTOS!$B$5:$B$400)&lt;=$L58)*MOVIMIENTOS!$E$5:$E$400)+SUMPRODUCT((MOVIMIENTOS!$B$5:$B$400="AJUSTE")*(MOVIMIENTOS!$C$5:$C$400="Chancho")*(MOVIMIENTOS!$D$5:$D$400="sacos")*(ROW(MOVIMIENTOS!$B$5:$B$400)&lt;=$L58)*MOVIMIENTOS!$E$5:$E$400))</f>
        <v/>
      </c>
      <c r="G58" s="12" t="str">
        <f t="shared" si="3"/>
        <v/>
      </c>
      <c r="H58" s="12" t="str">
        <f>IF($A58="","",SUMPRODUCT((((MOVIMIENTOS!$B$5:$B$400="SALDO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58)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58)*MOVIMIENTOS!$I$5:$I$400))</f>
        <v/>
      </c>
      <c r="J58" t="str">
        <f>IF(AND(MOVIMIENTOS!$A58&lt;&gt;"",COUNTIF(MOVIMIENTOS!$A$5:$A57,MOVIMIENTOS!$A58)=0),COUNT(J$4:J57)+1,"")</f>
        <v/>
      </c>
      <c r="K58" s="10">
        <f>MOVIMIENTOS!$A58</f>
        <v>46219</v>
      </c>
      <c r="L58" t="str">
        <f>IF($A58="","",SUMPRODUCT(MAX((MOVIMIENTOS!$A$5:$A$400=$A58)*ROW(MOVIMIENTOS!$A$5:$A$400))))</f>
        <v/>
      </c>
    </row>
    <row r="59" spans="1:12" x14ac:dyDescent="0.2">
      <c r="A59" s="11" t="str">
        <f t="shared" si="2"/>
        <v/>
      </c>
      <c r="B59" s="12" t="str">
        <f>IF($A59="","",SUMPRODUCT((MOVIMIENTOS!$B$5:$B$400="SALDO INICIAL")*(MOVIMIENTOS!$C$5:$C$400="A")*(MOVIMIENTOS!$D$5:$D$400="jabas")*(ROW(MOVIMIENTOS!$B$5:$B$400)&lt;=$L59)*MOVIMIENTOS!$E$5:$E$400)+SUMPRODUCT((MOVIMIENTOS!$B$5:$B$400="PROCESO")*(MOVIMIENTOS!$C$5:$C$400="A")*(MOVIMIENTOS!$D$5:$D$400="jabas")*(ROW(MOVIMIENTOS!$B$5:$B$400)&lt;=$L59)*MOVIMIENTOS!$E$5:$E$400)-SUMPRODUCT((MOVIMIENTOS!$B$5:$B$400="ENVÍO A SUPESA")*(MOVIMIENTOS!$C$5:$C$400="A")*(MOVIMIENTOS!$D$5:$D$400="jabas")*(ROW(MOVIMIENTOS!$B$5:$B$400)&lt;=$L59)*MOVIMIENTOS!$E$5:$E$400)+SUMPRODUCT((MOVIMIENTOS!$B$5:$B$400="DEVOLUCIÓN")*(MOVIMIENTOS!$C$5:$C$400="A")*(MOVIMIENTOS!$D$5:$D$400="jabas")*(ROW(MOVIMIENTOS!$B$5:$B$400)&lt;=$L59)*MOVIMIENTOS!$E$5:$E$400)-SUMPRODUCT((MOVIMIENTOS!$B$5:$B$400="TRASIEGO")*(MOVIMIENTOS!$C$5:$C$400="A")*(MOVIMIENTOS!$D$5:$D$400="jabas")*(ROW(MOVIMIENTOS!$B$5:$B$400)&lt;=$L59)*MOVIMIENTOS!$E$5:$E$400)-SUMPRODUCT((MOVIMIENTOS!$B$5:$B$400="REGALO")*(MOVIMIENTOS!$C$5:$C$400="A")*(MOVIMIENTOS!$D$5:$D$400="jabas")*(ROW(MOVIMIENTOS!$B$5:$B$400)&lt;=$L59)*MOVIMIENTOS!$E$5:$E$400)-SUMPRODUCT((MOVIMIENTOS!$B$5:$B$400="VENTA")*(MOVIMIENTOS!$C$5:$C$400="A")*(MOVIMIENTOS!$D$5:$D$400="jabas")*(ROW(MOVIMIENTOS!$B$5:$B$400)&lt;=$L59)*MOVIMIENTOS!$E$5:$E$400)+SUMPRODUCT((MOVIMIENTOS!$B$5:$B$400="AJUSTE")*(MOVIMIENTOS!$C$5:$C$400="A")*(MOVIMIENTOS!$D$5:$D$400="jabas")*(ROW(MOVIMIENTOS!$B$5:$B$400)&lt;=$L59)*MOVIMIENTOS!$E$5:$E$400))</f>
        <v/>
      </c>
      <c r="C59" s="12" t="str">
        <f>IF($A59="","",SUMPRODUCT((MOVIMIENTOS!$B$5:$B$400="SALDO INICIAL")*(MOVIMIENTOS!$C$5:$C$400="P")*(MOVIMIENTOS!$D$5:$D$400="jabas")*(ROW(MOVIMIENTOS!$B$5:$B$400)&lt;=$L59)*MOVIMIENTOS!$E$5:$E$400)+SUMPRODUCT((MOVIMIENTOS!$B$5:$B$400="PROCESO")*(MOVIMIENTOS!$C$5:$C$400="P")*(MOVIMIENTOS!$D$5:$D$400="jabas")*(ROW(MOVIMIENTOS!$B$5:$B$400)&lt;=$L59)*MOVIMIENTOS!$E$5:$E$400)-SUMPRODUCT((MOVIMIENTOS!$B$5:$B$400="ENVÍO A SUPESA")*(MOVIMIENTOS!$C$5:$C$400="P")*(MOVIMIENTOS!$D$5:$D$400="jabas")*(ROW(MOVIMIENTOS!$B$5:$B$400)&lt;=$L59)*MOVIMIENTOS!$E$5:$E$400)+SUMPRODUCT((MOVIMIENTOS!$B$5:$B$400="DEVOLUCIÓN")*(MOVIMIENTOS!$C$5:$C$400="P")*(MOVIMIENTOS!$D$5:$D$400="jabas")*(ROW(MOVIMIENTOS!$B$5:$B$400)&lt;=$L59)*MOVIMIENTOS!$E$5:$E$400)-SUMPRODUCT((MOVIMIENTOS!$B$5:$B$400="TRASIEGO")*(MOVIMIENTOS!$C$5:$C$400="P")*(MOVIMIENTOS!$D$5:$D$400="jabas")*(ROW(MOVIMIENTOS!$B$5:$B$400)&lt;=$L59)*MOVIMIENTOS!$E$5:$E$400)-SUMPRODUCT((MOVIMIENTOS!$B$5:$B$400="REGALO")*(MOVIMIENTOS!$C$5:$C$400="P")*(MOVIMIENTOS!$D$5:$D$400="jabas")*(ROW(MOVIMIENTOS!$B$5:$B$400)&lt;=$L59)*MOVIMIENTOS!$E$5:$E$400)-SUMPRODUCT((MOVIMIENTOS!$B$5:$B$400="VENTA")*(MOVIMIENTOS!$C$5:$C$400="P")*(MOVIMIENTOS!$D$5:$D$400="jabas")*(ROW(MOVIMIENTOS!$B$5:$B$400)&lt;=$L59)*MOVIMIENTOS!$E$5:$E$400)+SUMPRODUCT((MOVIMIENTOS!$B$5:$B$400="AJUSTE")*(MOVIMIENTOS!$C$5:$C$400="P")*(MOVIMIENTOS!$D$5:$D$400="jabas")*(ROW(MOVIMIENTOS!$B$5:$B$400)&lt;=$L59)*MOVIMIENTOS!$E$5:$E$400))</f>
        <v/>
      </c>
      <c r="D59" s="12" t="str">
        <f>IF($A59="","",SUMPRODUCT((MOVIMIENTOS!$B$5:$B$400="SALDO INICIAL")*(MOVIMIENTOS!$C$5:$C$400="C")*(MOVIMIENTOS!$D$5:$D$400="jabas")*(ROW(MOVIMIENTOS!$B$5:$B$400)&lt;=$L59)*MOVIMIENTOS!$E$5:$E$400)+SUMPRODUCT((MOVIMIENTOS!$B$5:$B$400="PROCESO")*(MOVIMIENTOS!$C$5:$C$400="C")*(MOVIMIENTOS!$D$5:$D$400="jabas")*(ROW(MOVIMIENTOS!$B$5:$B$400)&lt;=$L59)*MOVIMIENTOS!$E$5:$E$400)-SUMPRODUCT((MOVIMIENTOS!$B$5:$B$400="ENVÍO A SUPESA")*(MOVIMIENTOS!$C$5:$C$400="C")*(MOVIMIENTOS!$D$5:$D$400="jabas")*(ROW(MOVIMIENTOS!$B$5:$B$400)&lt;=$L59)*MOVIMIENTOS!$E$5:$E$400)+SUMPRODUCT((MOVIMIENTOS!$B$5:$B$400="DEVOLUCIÓN")*(MOVIMIENTOS!$C$5:$C$400="C")*(MOVIMIENTOS!$D$5:$D$400="jabas")*(ROW(MOVIMIENTOS!$B$5:$B$400)&lt;=$L59)*MOVIMIENTOS!$E$5:$E$400)-SUMPRODUCT((MOVIMIENTOS!$B$5:$B$400="TRASIEGO")*(MOVIMIENTOS!$C$5:$C$400="C")*(MOVIMIENTOS!$D$5:$D$400="jabas")*(ROW(MOVIMIENTOS!$B$5:$B$400)&lt;=$L59)*MOVIMIENTOS!$E$5:$E$400)-SUMPRODUCT((MOVIMIENTOS!$B$5:$B$400="REGALO")*(MOVIMIENTOS!$C$5:$C$400="C")*(MOVIMIENTOS!$D$5:$D$400="jabas")*(ROW(MOVIMIENTOS!$B$5:$B$400)&lt;=$L59)*MOVIMIENTOS!$E$5:$E$400)-SUMPRODUCT((MOVIMIENTOS!$B$5:$B$400="VENTA")*(MOVIMIENTOS!$C$5:$C$400="C")*(MOVIMIENTOS!$D$5:$D$400="jabas")*(ROW(MOVIMIENTOS!$B$5:$B$400)&lt;=$L59)*MOVIMIENTOS!$E$5:$E$400)+SUMPRODUCT((MOVIMIENTOS!$B$5:$B$400="AJUSTE")*(MOVIMIENTOS!$C$5:$C$400="C")*(MOVIMIENTOS!$D$5:$D$400="jabas")*(ROW(MOVIMIENTOS!$B$5:$B$400)&lt;=$L59)*MOVIMIENTOS!$E$5:$E$400))</f>
        <v/>
      </c>
      <c r="E59" s="12" t="str">
        <f>IF($A59="","",SUMPRODUCT((MOVIMIENTOS!$B$5:$B$400="SALDO INICIAL")*(MOVIMIENTOS!$C$5:$C$400="M")*(MOVIMIENTOS!$D$5:$D$400="jabas")*(ROW(MOVIMIENTOS!$B$5:$B$400)&lt;=$L59)*MOVIMIENTOS!$E$5:$E$400)+SUMPRODUCT((MOVIMIENTOS!$B$5:$B$400="PROCESO")*(MOVIMIENTOS!$C$5:$C$400="M")*(MOVIMIENTOS!$D$5:$D$400="jabas")*(ROW(MOVIMIENTOS!$B$5:$B$400)&lt;=$L59)*MOVIMIENTOS!$E$5:$E$400)-SUMPRODUCT((MOVIMIENTOS!$B$5:$B$400="ENVÍO A SUPESA")*(MOVIMIENTOS!$C$5:$C$400="M")*(MOVIMIENTOS!$D$5:$D$400="jabas")*(ROW(MOVIMIENTOS!$B$5:$B$400)&lt;=$L59)*MOVIMIENTOS!$E$5:$E$400)+SUMPRODUCT((MOVIMIENTOS!$B$5:$B$400="DEVOLUCIÓN")*(MOVIMIENTOS!$C$5:$C$400="M")*(MOVIMIENTOS!$D$5:$D$400="jabas")*(ROW(MOVIMIENTOS!$B$5:$B$400)&lt;=$L59)*MOVIMIENTOS!$E$5:$E$400)-SUMPRODUCT((MOVIMIENTOS!$B$5:$B$400="TRASIEGO")*(MOVIMIENTOS!$C$5:$C$400="M")*(MOVIMIENTOS!$D$5:$D$400="jabas")*(ROW(MOVIMIENTOS!$B$5:$B$400)&lt;=$L59)*MOVIMIENTOS!$E$5:$E$400)-SUMPRODUCT((MOVIMIENTOS!$B$5:$B$400="REGALO")*(MOVIMIENTOS!$C$5:$C$400="M")*(MOVIMIENTOS!$D$5:$D$400="jabas")*(ROW(MOVIMIENTOS!$B$5:$B$400)&lt;=$L59)*MOVIMIENTOS!$E$5:$E$400)-SUMPRODUCT((MOVIMIENTOS!$B$5:$B$400="VENTA")*(MOVIMIENTOS!$C$5:$C$400="M")*(MOVIMIENTOS!$D$5:$D$400="jabas")*(ROW(MOVIMIENTOS!$B$5:$B$400)&lt;=$L59)*MOVIMIENTOS!$E$5:$E$400)+SUMPRODUCT((MOVIMIENTOS!$B$5:$B$400="AJUSTE")*(MOVIMIENTOS!$C$5:$C$400="M")*(MOVIMIENTOS!$D$5:$D$400="jabas")*(ROW(MOVIMIENTOS!$B$5:$B$400)&lt;=$L59)*MOVIMIENTOS!$E$5:$E$400))</f>
        <v/>
      </c>
      <c r="F59" s="12" t="str">
        <f>IF($A59="","",SUMPRODUCT((MOVIMIENTOS!$B$5:$B$400="SALDO INICIAL")*(MOVIMIENTOS!$C$5:$C$400="Chancho")*(MOVIMIENTOS!$D$5:$D$400="sacos")*(ROW(MOVIMIENTOS!$B$5:$B$400)&lt;=$L59)*MOVIMIENTOS!$E$5:$E$400)+SUMPRODUCT((MOVIMIENTOS!$B$5:$B$400="PROCESO")*(MOVIMIENTOS!$C$5:$C$400="Chancho")*(MOVIMIENTOS!$D$5:$D$400="sacos")*(ROW(MOVIMIENTOS!$B$5:$B$400)&lt;=$L59)*MOVIMIENTOS!$E$5:$E$400)-SUMPRODUCT((MOVIMIENTOS!$B$5:$B$400="VENTA CHANCHO")*(MOVIMIENTOS!$C$5:$C$400="Chancho")*(MOVIMIENTOS!$D$5:$D$400="sacos")*(ROW(MOVIMIENTOS!$B$5:$B$400)&lt;=$L59)*MOVIMIENTOS!$E$5:$E$400)-SUMPRODUCT((MOVIMIENTOS!$B$5:$B$400="REGALO")*(MOVIMIENTOS!$C$5:$C$400="Chancho")*(MOVIMIENTOS!$D$5:$D$400="sacos")*(ROW(MOVIMIENTOS!$B$5:$B$400)&lt;=$L59)*MOVIMIENTOS!$E$5:$E$400)-SUMPRODUCT((MOVIMIENTOS!$B$5:$B$400="VENTA")*(MOVIMIENTOS!$C$5:$C$400="Chancho")*(MOVIMIENTOS!$D$5:$D$400="sacos")*(ROW(MOVIMIENTOS!$B$5:$B$400)&lt;=$L59)*MOVIMIENTOS!$E$5:$E$400)+SUMPRODUCT((MOVIMIENTOS!$B$5:$B$400="AJUSTE")*(MOVIMIENTOS!$C$5:$C$400="Chancho")*(MOVIMIENTOS!$D$5:$D$400="sacos")*(ROW(MOVIMIENTOS!$B$5:$B$400)&lt;=$L59)*MOVIMIENTOS!$E$5:$E$400))</f>
        <v/>
      </c>
      <c r="G59" s="12" t="str">
        <f t="shared" si="3"/>
        <v/>
      </c>
      <c r="H59" s="12" t="str">
        <f>IF($A59="","",SUMPRODUCT((((MOVIMIENTOS!$B$5:$B$400="SALDO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59)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59)*MOVIMIENTOS!$I$5:$I$400))</f>
        <v/>
      </c>
      <c r="J59">
        <f>IF(AND(MOVIMIENTOS!$A59&lt;&gt;"",COUNTIF(MOVIMIENTOS!$A$5:$A58,MOVIMIENTOS!$A59)=0),COUNT(J$4:J58)+1,"")</f>
        <v>7</v>
      </c>
      <c r="K59" s="10">
        <f>MOVIMIENTOS!$A59</f>
        <v>46220</v>
      </c>
      <c r="L59" t="str">
        <f>IF($A59="","",SUMPRODUCT(MAX((MOVIMIENTOS!$A$5:$A$400=$A59)*ROW(MOVIMIENTOS!$A$5:$A$400))))</f>
        <v/>
      </c>
    </row>
    <row r="60" spans="1:12" x14ac:dyDescent="0.2">
      <c r="A60" s="11" t="str">
        <f t="shared" si="2"/>
        <v/>
      </c>
      <c r="B60" s="12" t="str">
        <f>IF($A60="","",SUMPRODUCT((MOVIMIENTOS!$B$5:$B$400="SALDO INICIAL")*(MOVIMIENTOS!$C$5:$C$400="A")*(MOVIMIENTOS!$D$5:$D$400="jabas")*(ROW(MOVIMIENTOS!$B$5:$B$400)&lt;=$L60)*MOVIMIENTOS!$E$5:$E$400)+SUMPRODUCT((MOVIMIENTOS!$B$5:$B$400="PROCESO")*(MOVIMIENTOS!$C$5:$C$400="A")*(MOVIMIENTOS!$D$5:$D$400="jabas")*(ROW(MOVIMIENTOS!$B$5:$B$400)&lt;=$L60)*MOVIMIENTOS!$E$5:$E$400)-SUMPRODUCT((MOVIMIENTOS!$B$5:$B$400="ENVÍO A SUPESA")*(MOVIMIENTOS!$C$5:$C$400="A")*(MOVIMIENTOS!$D$5:$D$400="jabas")*(ROW(MOVIMIENTOS!$B$5:$B$400)&lt;=$L60)*MOVIMIENTOS!$E$5:$E$400)+SUMPRODUCT((MOVIMIENTOS!$B$5:$B$400="DEVOLUCIÓN")*(MOVIMIENTOS!$C$5:$C$400="A")*(MOVIMIENTOS!$D$5:$D$400="jabas")*(ROW(MOVIMIENTOS!$B$5:$B$400)&lt;=$L60)*MOVIMIENTOS!$E$5:$E$400)-SUMPRODUCT((MOVIMIENTOS!$B$5:$B$400="TRASIEGO")*(MOVIMIENTOS!$C$5:$C$400="A")*(MOVIMIENTOS!$D$5:$D$400="jabas")*(ROW(MOVIMIENTOS!$B$5:$B$400)&lt;=$L60)*MOVIMIENTOS!$E$5:$E$400)-SUMPRODUCT((MOVIMIENTOS!$B$5:$B$400="REGALO")*(MOVIMIENTOS!$C$5:$C$400="A")*(MOVIMIENTOS!$D$5:$D$400="jabas")*(ROW(MOVIMIENTOS!$B$5:$B$400)&lt;=$L60)*MOVIMIENTOS!$E$5:$E$400)-SUMPRODUCT((MOVIMIENTOS!$B$5:$B$400="VENTA")*(MOVIMIENTOS!$C$5:$C$400="A")*(MOVIMIENTOS!$D$5:$D$400="jabas")*(ROW(MOVIMIENTOS!$B$5:$B$400)&lt;=$L60)*MOVIMIENTOS!$E$5:$E$400)+SUMPRODUCT((MOVIMIENTOS!$B$5:$B$400="AJUSTE")*(MOVIMIENTOS!$C$5:$C$400="A")*(MOVIMIENTOS!$D$5:$D$400="jabas")*(ROW(MOVIMIENTOS!$B$5:$B$400)&lt;=$L60)*MOVIMIENTOS!$E$5:$E$400))</f>
        <v/>
      </c>
      <c r="C60" s="12" t="str">
        <f>IF($A60="","",SUMPRODUCT((MOVIMIENTOS!$B$5:$B$400="SALDO INICIAL")*(MOVIMIENTOS!$C$5:$C$400="P")*(MOVIMIENTOS!$D$5:$D$400="jabas")*(ROW(MOVIMIENTOS!$B$5:$B$400)&lt;=$L60)*MOVIMIENTOS!$E$5:$E$400)+SUMPRODUCT((MOVIMIENTOS!$B$5:$B$400="PROCESO")*(MOVIMIENTOS!$C$5:$C$400="P")*(MOVIMIENTOS!$D$5:$D$400="jabas")*(ROW(MOVIMIENTOS!$B$5:$B$400)&lt;=$L60)*MOVIMIENTOS!$E$5:$E$400)-SUMPRODUCT((MOVIMIENTOS!$B$5:$B$400="ENVÍO A SUPESA")*(MOVIMIENTOS!$C$5:$C$400="P")*(MOVIMIENTOS!$D$5:$D$400="jabas")*(ROW(MOVIMIENTOS!$B$5:$B$400)&lt;=$L60)*MOVIMIENTOS!$E$5:$E$400)+SUMPRODUCT((MOVIMIENTOS!$B$5:$B$400="DEVOLUCIÓN")*(MOVIMIENTOS!$C$5:$C$400="P")*(MOVIMIENTOS!$D$5:$D$400="jabas")*(ROW(MOVIMIENTOS!$B$5:$B$400)&lt;=$L60)*MOVIMIENTOS!$E$5:$E$400)-SUMPRODUCT((MOVIMIENTOS!$B$5:$B$400="TRASIEGO")*(MOVIMIENTOS!$C$5:$C$400="P")*(MOVIMIENTOS!$D$5:$D$400="jabas")*(ROW(MOVIMIENTOS!$B$5:$B$400)&lt;=$L60)*MOVIMIENTOS!$E$5:$E$400)-SUMPRODUCT((MOVIMIENTOS!$B$5:$B$400="REGALO")*(MOVIMIENTOS!$C$5:$C$400="P")*(MOVIMIENTOS!$D$5:$D$400="jabas")*(ROW(MOVIMIENTOS!$B$5:$B$400)&lt;=$L60)*MOVIMIENTOS!$E$5:$E$400)-SUMPRODUCT((MOVIMIENTOS!$B$5:$B$400="VENTA")*(MOVIMIENTOS!$C$5:$C$400="P")*(MOVIMIENTOS!$D$5:$D$400="jabas")*(ROW(MOVIMIENTOS!$B$5:$B$400)&lt;=$L60)*MOVIMIENTOS!$E$5:$E$400)+SUMPRODUCT((MOVIMIENTOS!$B$5:$B$400="AJUSTE")*(MOVIMIENTOS!$C$5:$C$400="P")*(MOVIMIENTOS!$D$5:$D$400="jabas")*(ROW(MOVIMIENTOS!$B$5:$B$400)&lt;=$L60)*MOVIMIENTOS!$E$5:$E$400))</f>
        <v/>
      </c>
      <c r="D60" s="12" t="str">
        <f>IF($A60="","",SUMPRODUCT((MOVIMIENTOS!$B$5:$B$400="SALDO INICIAL")*(MOVIMIENTOS!$C$5:$C$400="C")*(MOVIMIENTOS!$D$5:$D$400="jabas")*(ROW(MOVIMIENTOS!$B$5:$B$400)&lt;=$L60)*MOVIMIENTOS!$E$5:$E$400)+SUMPRODUCT((MOVIMIENTOS!$B$5:$B$400="PROCESO")*(MOVIMIENTOS!$C$5:$C$400="C")*(MOVIMIENTOS!$D$5:$D$400="jabas")*(ROW(MOVIMIENTOS!$B$5:$B$400)&lt;=$L60)*MOVIMIENTOS!$E$5:$E$400)-SUMPRODUCT((MOVIMIENTOS!$B$5:$B$400="ENVÍO A SUPESA")*(MOVIMIENTOS!$C$5:$C$400="C")*(MOVIMIENTOS!$D$5:$D$400="jabas")*(ROW(MOVIMIENTOS!$B$5:$B$400)&lt;=$L60)*MOVIMIENTOS!$E$5:$E$400)+SUMPRODUCT((MOVIMIENTOS!$B$5:$B$400="DEVOLUCIÓN")*(MOVIMIENTOS!$C$5:$C$400="C")*(MOVIMIENTOS!$D$5:$D$400="jabas")*(ROW(MOVIMIENTOS!$B$5:$B$400)&lt;=$L60)*MOVIMIENTOS!$E$5:$E$400)-SUMPRODUCT((MOVIMIENTOS!$B$5:$B$400="TRASIEGO")*(MOVIMIENTOS!$C$5:$C$400="C")*(MOVIMIENTOS!$D$5:$D$400="jabas")*(ROW(MOVIMIENTOS!$B$5:$B$400)&lt;=$L60)*MOVIMIENTOS!$E$5:$E$400)-SUMPRODUCT((MOVIMIENTOS!$B$5:$B$400="REGALO")*(MOVIMIENTOS!$C$5:$C$400="C")*(MOVIMIENTOS!$D$5:$D$400="jabas")*(ROW(MOVIMIENTOS!$B$5:$B$400)&lt;=$L60)*MOVIMIENTOS!$E$5:$E$400)-SUMPRODUCT((MOVIMIENTOS!$B$5:$B$400="VENTA")*(MOVIMIENTOS!$C$5:$C$400="C")*(MOVIMIENTOS!$D$5:$D$400="jabas")*(ROW(MOVIMIENTOS!$B$5:$B$400)&lt;=$L60)*MOVIMIENTOS!$E$5:$E$400)+SUMPRODUCT((MOVIMIENTOS!$B$5:$B$400="AJUSTE")*(MOVIMIENTOS!$C$5:$C$400="C")*(MOVIMIENTOS!$D$5:$D$400="jabas")*(ROW(MOVIMIENTOS!$B$5:$B$400)&lt;=$L60)*MOVIMIENTOS!$E$5:$E$400))</f>
        <v/>
      </c>
      <c r="E60" s="12" t="str">
        <f>IF($A60="","",SUMPRODUCT((MOVIMIENTOS!$B$5:$B$400="SALDO INICIAL")*(MOVIMIENTOS!$C$5:$C$400="M")*(MOVIMIENTOS!$D$5:$D$400="jabas")*(ROW(MOVIMIENTOS!$B$5:$B$400)&lt;=$L60)*MOVIMIENTOS!$E$5:$E$400)+SUMPRODUCT((MOVIMIENTOS!$B$5:$B$400="PROCESO")*(MOVIMIENTOS!$C$5:$C$400="M")*(MOVIMIENTOS!$D$5:$D$400="jabas")*(ROW(MOVIMIENTOS!$B$5:$B$400)&lt;=$L60)*MOVIMIENTOS!$E$5:$E$400)-SUMPRODUCT((MOVIMIENTOS!$B$5:$B$400="ENVÍO A SUPESA")*(MOVIMIENTOS!$C$5:$C$400="M")*(MOVIMIENTOS!$D$5:$D$400="jabas")*(ROW(MOVIMIENTOS!$B$5:$B$400)&lt;=$L60)*MOVIMIENTOS!$E$5:$E$400)+SUMPRODUCT((MOVIMIENTOS!$B$5:$B$400="DEVOLUCIÓN")*(MOVIMIENTOS!$C$5:$C$400="M")*(MOVIMIENTOS!$D$5:$D$400="jabas")*(ROW(MOVIMIENTOS!$B$5:$B$400)&lt;=$L60)*MOVIMIENTOS!$E$5:$E$400)-SUMPRODUCT((MOVIMIENTOS!$B$5:$B$400="TRASIEGO")*(MOVIMIENTOS!$C$5:$C$400="M")*(MOVIMIENTOS!$D$5:$D$400="jabas")*(ROW(MOVIMIENTOS!$B$5:$B$400)&lt;=$L60)*MOVIMIENTOS!$E$5:$E$400)-SUMPRODUCT((MOVIMIENTOS!$B$5:$B$400="REGALO")*(MOVIMIENTOS!$C$5:$C$400="M")*(MOVIMIENTOS!$D$5:$D$400="jabas")*(ROW(MOVIMIENTOS!$B$5:$B$400)&lt;=$L60)*MOVIMIENTOS!$E$5:$E$400)-SUMPRODUCT((MOVIMIENTOS!$B$5:$B$400="VENTA")*(MOVIMIENTOS!$C$5:$C$400="M")*(MOVIMIENTOS!$D$5:$D$400="jabas")*(ROW(MOVIMIENTOS!$B$5:$B$400)&lt;=$L60)*MOVIMIENTOS!$E$5:$E$400)+SUMPRODUCT((MOVIMIENTOS!$B$5:$B$400="AJUSTE")*(MOVIMIENTOS!$C$5:$C$400="M")*(MOVIMIENTOS!$D$5:$D$400="jabas")*(ROW(MOVIMIENTOS!$B$5:$B$400)&lt;=$L60)*MOVIMIENTOS!$E$5:$E$400))</f>
        <v/>
      </c>
      <c r="F60" s="12" t="str">
        <f>IF($A60="","",SUMPRODUCT((MOVIMIENTOS!$B$5:$B$400="SALDO INICIAL")*(MOVIMIENTOS!$C$5:$C$400="Chancho")*(MOVIMIENTOS!$D$5:$D$400="sacos")*(ROW(MOVIMIENTOS!$B$5:$B$400)&lt;=$L60)*MOVIMIENTOS!$E$5:$E$400)+SUMPRODUCT((MOVIMIENTOS!$B$5:$B$400="PROCESO")*(MOVIMIENTOS!$C$5:$C$400="Chancho")*(MOVIMIENTOS!$D$5:$D$400="sacos")*(ROW(MOVIMIENTOS!$B$5:$B$400)&lt;=$L60)*MOVIMIENTOS!$E$5:$E$400)-SUMPRODUCT((MOVIMIENTOS!$B$5:$B$400="VENTA CHANCHO")*(MOVIMIENTOS!$C$5:$C$400="Chancho")*(MOVIMIENTOS!$D$5:$D$400="sacos")*(ROW(MOVIMIENTOS!$B$5:$B$400)&lt;=$L60)*MOVIMIENTOS!$E$5:$E$400)-SUMPRODUCT((MOVIMIENTOS!$B$5:$B$400="REGALO")*(MOVIMIENTOS!$C$5:$C$400="Chancho")*(MOVIMIENTOS!$D$5:$D$400="sacos")*(ROW(MOVIMIENTOS!$B$5:$B$400)&lt;=$L60)*MOVIMIENTOS!$E$5:$E$400)-SUMPRODUCT((MOVIMIENTOS!$B$5:$B$400="VENTA")*(MOVIMIENTOS!$C$5:$C$400="Chancho")*(MOVIMIENTOS!$D$5:$D$400="sacos")*(ROW(MOVIMIENTOS!$B$5:$B$400)&lt;=$L60)*MOVIMIENTOS!$E$5:$E$400)+SUMPRODUCT((MOVIMIENTOS!$B$5:$B$400="AJUSTE")*(MOVIMIENTOS!$C$5:$C$400="Chancho")*(MOVIMIENTOS!$D$5:$D$400="sacos")*(ROW(MOVIMIENTOS!$B$5:$B$400)&lt;=$L60)*MOVIMIENTOS!$E$5:$E$400))</f>
        <v/>
      </c>
      <c r="G60" s="12" t="str">
        <f t="shared" si="3"/>
        <v/>
      </c>
      <c r="H60" s="12" t="str">
        <f>IF($A60="","",SUMPRODUCT((((MOVIMIENTOS!$B$5:$B$400="SALDO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60)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60)*MOVIMIENTOS!$I$5:$I$400))</f>
        <v/>
      </c>
      <c r="J60" t="str">
        <f>IF(AND(MOVIMIENTOS!$A60&lt;&gt;"",COUNTIF(MOVIMIENTOS!$A$5:$A59,MOVIMIENTOS!$A60)=0),COUNT(J$4:J59)+1,"")</f>
        <v/>
      </c>
      <c r="K60" s="10">
        <f>MOVIMIENTOS!$A60</f>
        <v>46220</v>
      </c>
      <c r="L60" t="str">
        <f>IF($A60="","",SUMPRODUCT(MAX((MOVIMIENTOS!$A$5:$A$400=$A60)*ROW(MOVIMIENTOS!$A$5:$A$400))))</f>
        <v/>
      </c>
    </row>
    <row r="61" spans="1:12" x14ac:dyDescent="0.2">
      <c r="A61" s="11" t="str">
        <f t="shared" si="2"/>
        <v/>
      </c>
      <c r="B61" s="12" t="str">
        <f>IF($A61="","",SUMPRODUCT((MOVIMIENTOS!$B$5:$B$400="SALDO INICIAL")*(MOVIMIENTOS!$C$5:$C$400="A")*(MOVIMIENTOS!$D$5:$D$400="jabas")*(ROW(MOVIMIENTOS!$B$5:$B$400)&lt;=$L61)*MOVIMIENTOS!$E$5:$E$400)+SUMPRODUCT((MOVIMIENTOS!$B$5:$B$400="PROCESO")*(MOVIMIENTOS!$C$5:$C$400="A")*(MOVIMIENTOS!$D$5:$D$400="jabas")*(ROW(MOVIMIENTOS!$B$5:$B$400)&lt;=$L61)*MOVIMIENTOS!$E$5:$E$400)-SUMPRODUCT((MOVIMIENTOS!$B$5:$B$400="ENVÍO A SUPESA")*(MOVIMIENTOS!$C$5:$C$400="A")*(MOVIMIENTOS!$D$5:$D$400="jabas")*(ROW(MOVIMIENTOS!$B$5:$B$400)&lt;=$L61)*MOVIMIENTOS!$E$5:$E$400)+SUMPRODUCT((MOVIMIENTOS!$B$5:$B$400="DEVOLUCIÓN")*(MOVIMIENTOS!$C$5:$C$400="A")*(MOVIMIENTOS!$D$5:$D$400="jabas")*(ROW(MOVIMIENTOS!$B$5:$B$400)&lt;=$L61)*MOVIMIENTOS!$E$5:$E$400)-SUMPRODUCT((MOVIMIENTOS!$B$5:$B$400="TRASIEGO")*(MOVIMIENTOS!$C$5:$C$400="A")*(MOVIMIENTOS!$D$5:$D$400="jabas")*(ROW(MOVIMIENTOS!$B$5:$B$400)&lt;=$L61)*MOVIMIENTOS!$E$5:$E$400)-SUMPRODUCT((MOVIMIENTOS!$B$5:$B$400="REGALO")*(MOVIMIENTOS!$C$5:$C$400="A")*(MOVIMIENTOS!$D$5:$D$400="jabas")*(ROW(MOVIMIENTOS!$B$5:$B$400)&lt;=$L61)*MOVIMIENTOS!$E$5:$E$400)-SUMPRODUCT((MOVIMIENTOS!$B$5:$B$400="VENTA")*(MOVIMIENTOS!$C$5:$C$400="A")*(MOVIMIENTOS!$D$5:$D$400="jabas")*(ROW(MOVIMIENTOS!$B$5:$B$400)&lt;=$L61)*MOVIMIENTOS!$E$5:$E$400)+SUMPRODUCT((MOVIMIENTOS!$B$5:$B$400="AJUSTE")*(MOVIMIENTOS!$C$5:$C$400="A")*(MOVIMIENTOS!$D$5:$D$400="jabas")*(ROW(MOVIMIENTOS!$B$5:$B$400)&lt;=$L61)*MOVIMIENTOS!$E$5:$E$400))</f>
        <v/>
      </c>
      <c r="C61" s="12" t="str">
        <f>IF($A61="","",SUMPRODUCT((MOVIMIENTOS!$B$5:$B$400="SALDO INICIAL")*(MOVIMIENTOS!$C$5:$C$400="P")*(MOVIMIENTOS!$D$5:$D$400="jabas")*(ROW(MOVIMIENTOS!$B$5:$B$400)&lt;=$L61)*MOVIMIENTOS!$E$5:$E$400)+SUMPRODUCT((MOVIMIENTOS!$B$5:$B$400="PROCESO")*(MOVIMIENTOS!$C$5:$C$400="P")*(MOVIMIENTOS!$D$5:$D$400="jabas")*(ROW(MOVIMIENTOS!$B$5:$B$400)&lt;=$L61)*MOVIMIENTOS!$E$5:$E$400)-SUMPRODUCT((MOVIMIENTOS!$B$5:$B$400="ENVÍO A SUPESA")*(MOVIMIENTOS!$C$5:$C$400="P")*(MOVIMIENTOS!$D$5:$D$400="jabas")*(ROW(MOVIMIENTOS!$B$5:$B$400)&lt;=$L61)*MOVIMIENTOS!$E$5:$E$400)+SUMPRODUCT((MOVIMIENTOS!$B$5:$B$400="DEVOLUCIÓN")*(MOVIMIENTOS!$C$5:$C$400="P")*(MOVIMIENTOS!$D$5:$D$400="jabas")*(ROW(MOVIMIENTOS!$B$5:$B$400)&lt;=$L61)*MOVIMIENTOS!$E$5:$E$400)-SUMPRODUCT((MOVIMIENTOS!$B$5:$B$400="TRASIEGO")*(MOVIMIENTOS!$C$5:$C$400="P")*(MOVIMIENTOS!$D$5:$D$400="jabas")*(ROW(MOVIMIENTOS!$B$5:$B$400)&lt;=$L61)*MOVIMIENTOS!$E$5:$E$400)-SUMPRODUCT((MOVIMIENTOS!$B$5:$B$400="REGALO")*(MOVIMIENTOS!$C$5:$C$400="P")*(MOVIMIENTOS!$D$5:$D$400="jabas")*(ROW(MOVIMIENTOS!$B$5:$B$400)&lt;=$L61)*MOVIMIENTOS!$E$5:$E$400)-SUMPRODUCT((MOVIMIENTOS!$B$5:$B$400="VENTA")*(MOVIMIENTOS!$C$5:$C$400="P")*(MOVIMIENTOS!$D$5:$D$400="jabas")*(ROW(MOVIMIENTOS!$B$5:$B$400)&lt;=$L61)*MOVIMIENTOS!$E$5:$E$400)+SUMPRODUCT((MOVIMIENTOS!$B$5:$B$400="AJUSTE")*(MOVIMIENTOS!$C$5:$C$400="P")*(MOVIMIENTOS!$D$5:$D$400="jabas")*(ROW(MOVIMIENTOS!$B$5:$B$400)&lt;=$L61)*MOVIMIENTOS!$E$5:$E$400))</f>
        <v/>
      </c>
      <c r="D61" s="12" t="str">
        <f>IF($A61="","",SUMPRODUCT((MOVIMIENTOS!$B$5:$B$400="SALDO INICIAL")*(MOVIMIENTOS!$C$5:$C$400="C")*(MOVIMIENTOS!$D$5:$D$400="jabas")*(ROW(MOVIMIENTOS!$B$5:$B$400)&lt;=$L61)*MOVIMIENTOS!$E$5:$E$400)+SUMPRODUCT((MOVIMIENTOS!$B$5:$B$400="PROCESO")*(MOVIMIENTOS!$C$5:$C$400="C")*(MOVIMIENTOS!$D$5:$D$400="jabas")*(ROW(MOVIMIENTOS!$B$5:$B$400)&lt;=$L61)*MOVIMIENTOS!$E$5:$E$400)-SUMPRODUCT((MOVIMIENTOS!$B$5:$B$400="ENVÍO A SUPESA")*(MOVIMIENTOS!$C$5:$C$400="C")*(MOVIMIENTOS!$D$5:$D$400="jabas")*(ROW(MOVIMIENTOS!$B$5:$B$400)&lt;=$L61)*MOVIMIENTOS!$E$5:$E$400)+SUMPRODUCT((MOVIMIENTOS!$B$5:$B$400="DEVOLUCIÓN")*(MOVIMIENTOS!$C$5:$C$400="C")*(MOVIMIENTOS!$D$5:$D$400="jabas")*(ROW(MOVIMIENTOS!$B$5:$B$400)&lt;=$L61)*MOVIMIENTOS!$E$5:$E$400)-SUMPRODUCT((MOVIMIENTOS!$B$5:$B$400="TRASIEGO")*(MOVIMIENTOS!$C$5:$C$400="C")*(MOVIMIENTOS!$D$5:$D$400="jabas")*(ROW(MOVIMIENTOS!$B$5:$B$400)&lt;=$L61)*MOVIMIENTOS!$E$5:$E$400)-SUMPRODUCT((MOVIMIENTOS!$B$5:$B$400="REGALO")*(MOVIMIENTOS!$C$5:$C$400="C")*(MOVIMIENTOS!$D$5:$D$400="jabas")*(ROW(MOVIMIENTOS!$B$5:$B$400)&lt;=$L61)*MOVIMIENTOS!$E$5:$E$400)-SUMPRODUCT((MOVIMIENTOS!$B$5:$B$400="VENTA")*(MOVIMIENTOS!$C$5:$C$400="C")*(MOVIMIENTOS!$D$5:$D$400="jabas")*(ROW(MOVIMIENTOS!$B$5:$B$400)&lt;=$L61)*MOVIMIENTOS!$E$5:$E$400)+SUMPRODUCT((MOVIMIENTOS!$B$5:$B$400="AJUSTE")*(MOVIMIENTOS!$C$5:$C$400="C")*(MOVIMIENTOS!$D$5:$D$400="jabas")*(ROW(MOVIMIENTOS!$B$5:$B$400)&lt;=$L61)*MOVIMIENTOS!$E$5:$E$400))</f>
        <v/>
      </c>
      <c r="E61" s="12" t="str">
        <f>IF($A61="","",SUMPRODUCT((MOVIMIENTOS!$B$5:$B$400="SALDO INICIAL")*(MOVIMIENTOS!$C$5:$C$400="M")*(MOVIMIENTOS!$D$5:$D$400="jabas")*(ROW(MOVIMIENTOS!$B$5:$B$400)&lt;=$L61)*MOVIMIENTOS!$E$5:$E$400)+SUMPRODUCT((MOVIMIENTOS!$B$5:$B$400="PROCESO")*(MOVIMIENTOS!$C$5:$C$400="M")*(MOVIMIENTOS!$D$5:$D$400="jabas")*(ROW(MOVIMIENTOS!$B$5:$B$400)&lt;=$L61)*MOVIMIENTOS!$E$5:$E$400)-SUMPRODUCT((MOVIMIENTOS!$B$5:$B$400="ENVÍO A SUPESA")*(MOVIMIENTOS!$C$5:$C$400="M")*(MOVIMIENTOS!$D$5:$D$400="jabas")*(ROW(MOVIMIENTOS!$B$5:$B$400)&lt;=$L61)*MOVIMIENTOS!$E$5:$E$400)+SUMPRODUCT((MOVIMIENTOS!$B$5:$B$400="DEVOLUCIÓN")*(MOVIMIENTOS!$C$5:$C$400="M")*(MOVIMIENTOS!$D$5:$D$400="jabas")*(ROW(MOVIMIENTOS!$B$5:$B$400)&lt;=$L61)*MOVIMIENTOS!$E$5:$E$400)-SUMPRODUCT((MOVIMIENTOS!$B$5:$B$400="TRASIEGO")*(MOVIMIENTOS!$C$5:$C$400="M")*(MOVIMIENTOS!$D$5:$D$400="jabas")*(ROW(MOVIMIENTOS!$B$5:$B$400)&lt;=$L61)*MOVIMIENTOS!$E$5:$E$400)-SUMPRODUCT((MOVIMIENTOS!$B$5:$B$400="REGALO")*(MOVIMIENTOS!$C$5:$C$400="M")*(MOVIMIENTOS!$D$5:$D$400="jabas")*(ROW(MOVIMIENTOS!$B$5:$B$400)&lt;=$L61)*MOVIMIENTOS!$E$5:$E$400)-SUMPRODUCT((MOVIMIENTOS!$B$5:$B$400="VENTA")*(MOVIMIENTOS!$C$5:$C$400="M")*(MOVIMIENTOS!$D$5:$D$400="jabas")*(ROW(MOVIMIENTOS!$B$5:$B$400)&lt;=$L61)*MOVIMIENTOS!$E$5:$E$400)+SUMPRODUCT((MOVIMIENTOS!$B$5:$B$400="AJUSTE")*(MOVIMIENTOS!$C$5:$C$400="M")*(MOVIMIENTOS!$D$5:$D$400="jabas")*(ROW(MOVIMIENTOS!$B$5:$B$400)&lt;=$L61)*MOVIMIENTOS!$E$5:$E$400))</f>
        <v/>
      </c>
      <c r="F61" s="12" t="str">
        <f>IF($A61="","",SUMPRODUCT((MOVIMIENTOS!$B$5:$B$400="SALDO INICIAL")*(MOVIMIENTOS!$C$5:$C$400="Chancho")*(MOVIMIENTOS!$D$5:$D$400="sacos")*(ROW(MOVIMIENTOS!$B$5:$B$400)&lt;=$L61)*MOVIMIENTOS!$E$5:$E$400)+SUMPRODUCT((MOVIMIENTOS!$B$5:$B$400="PROCESO")*(MOVIMIENTOS!$C$5:$C$400="Chancho")*(MOVIMIENTOS!$D$5:$D$400="sacos")*(ROW(MOVIMIENTOS!$B$5:$B$400)&lt;=$L61)*MOVIMIENTOS!$E$5:$E$400)-SUMPRODUCT((MOVIMIENTOS!$B$5:$B$400="VENTA CHANCHO")*(MOVIMIENTOS!$C$5:$C$400="Chancho")*(MOVIMIENTOS!$D$5:$D$400="sacos")*(ROW(MOVIMIENTOS!$B$5:$B$400)&lt;=$L61)*MOVIMIENTOS!$E$5:$E$400)-SUMPRODUCT((MOVIMIENTOS!$B$5:$B$400="REGALO")*(MOVIMIENTOS!$C$5:$C$400="Chancho")*(MOVIMIENTOS!$D$5:$D$400="sacos")*(ROW(MOVIMIENTOS!$B$5:$B$400)&lt;=$L61)*MOVIMIENTOS!$E$5:$E$400)-SUMPRODUCT((MOVIMIENTOS!$B$5:$B$400="VENTA")*(MOVIMIENTOS!$C$5:$C$400="Chancho")*(MOVIMIENTOS!$D$5:$D$400="sacos")*(ROW(MOVIMIENTOS!$B$5:$B$400)&lt;=$L61)*MOVIMIENTOS!$E$5:$E$400)+SUMPRODUCT((MOVIMIENTOS!$B$5:$B$400="AJUSTE")*(MOVIMIENTOS!$C$5:$C$400="Chancho")*(MOVIMIENTOS!$D$5:$D$400="sacos")*(ROW(MOVIMIENTOS!$B$5:$B$400)&lt;=$L61)*MOVIMIENTOS!$E$5:$E$400))</f>
        <v/>
      </c>
      <c r="G61" s="12" t="str">
        <f t="shared" si="3"/>
        <v/>
      </c>
      <c r="H61" s="12" t="str">
        <f>IF($A61="","",SUMPRODUCT((((MOVIMIENTOS!$B$5:$B$400="SALDO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61)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61)*MOVIMIENTOS!$I$5:$I$400))</f>
        <v/>
      </c>
      <c r="J61" t="str">
        <f>IF(AND(MOVIMIENTOS!$A61&lt;&gt;"",COUNTIF(MOVIMIENTOS!$A$5:$A60,MOVIMIENTOS!$A61)=0),COUNT(J$4:J60)+1,"")</f>
        <v/>
      </c>
      <c r="K61" s="10">
        <f>MOVIMIENTOS!$A61</f>
        <v>46220</v>
      </c>
      <c r="L61" t="str">
        <f>IF($A61="","",SUMPRODUCT(MAX((MOVIMIENTOS!$A$5:$A$400=$A61)*ROW(MOVIMIENTOS!$A$5:$A$400))))</f>
        <v/>
      </c>
    </row>
    <row r="62" spans="1:12" x14ac:dyDescent="0.2">
      <c r="A62" s="11" t="str">
        <f t="shared" si="2"/>
        <v/>
      </c>
      <c r="B62" s="12" t="str">
        <f>IF($A62="","",SUMPRODUCT((MOVIMIENTOS!$B$5:$B$400="SALDO INICIAL")*(MOVIMIENTOS!$C$5:$C$400="A")*(MOVIMIENTOS!$D$5:$D$400="jabas")*(ROW(MOVIMIENTOS!$B$5:$B$400)&lt;=$L62)*MOVIMIENTOS!$E$5:$E$400)+SUMPRODUCT((MOVIMIENTOS!$B$5:$B$400="PROCESO")*(MOVIMIENTOS!$C$5:$C$400="A")*(MOVIMIENTOS!$D$5:$D$400="jabas")*(ROW(MOVIMIENTOS!$B$5:$B$400)&lt;=$L62)*MOVIMIENTOS!$E$5:$E$400)-SUMPRODUCT((MOVIMIENTOS!$B$5:$B$400="ENVÍO A SUPESA")*(MOVIMIENTOS!$C$5:$C$400="A")*(MOVIMIENTOS!$D$5:$D$400="jabas")*(ROW(MOVIMIENTOS!$B$5:$B$400)&lt;=$L62)*MOVIMIENTOS!$E$5:$E$400)+SUMPRODUCT((MOVIMIENTOS!$B$5:$B$400="DEVOLUCIÓN")*(MOVIMIENTOS!$C$5:$C$400="A")*(MOVIMIENTOS!$D$5:$D$400="jabas")*(ROW(MOVIMIENTOS!$B$5:$B$400)&lt;=$L62)*MOVIMIENTOS!$E$5:$E$400)-SUMPRODUCT((MOVIMIENTOS!$B$5:$B$400="TRASIEGO")*(MOVIMIENTOS!$C$5:$C$400="A")*(MOVIMIENTOS!$D$5:$D$400="jabas")*(ROW(MOVIMIENTOS!$B$5:$B$400)&lt;=$L62)*MOVIMIENTOS!$E$5:$E$400)-SUMPRODUCT((MOVIMIENTOS!$B$5:$B$400="REGALO")*(MOVIMIENTOS!$C$5:$C$400="A")*(MOVIMIENTOS!$D$5:$D$400="jabas")*(ROW(MOVIMIENTOS!$B$5:$B$400)&lt;=$L62)*MOVIMIENTOS!$E$5:$E$400)-SUMPRODUCT((MOVIMIENTOS!$B$5:$B$400="VENTA")*(MOVIMIENTOS!$C$5:$C$400="A")*(MOVIMIENTOS!$D$5:$D$400="jabas")*(ROW(MOVIMIENTOS!$B$5:$B$400)&lt;=$L62)*MOVIMIENTOS!$E$5:$E$400)+SUMPRODUCT((MOVIMIENTOS!$B$5:$B$400="AJUSTE")*(MOVIMIENTOS!$C$5:$C$400="A")*(MOVIMIENTOS!$D$5:$D$400="jabas")*(ROW(MOVIMIENTOS!$B$5:$B$400)&lt;=$L62)*MOVIMIENTOS!$E$5:$E$400))</f>
        <v/>
      </c>
      <c r="C62" s="12" t="str">
        <f>IF($A62="","",SUMPRODUCT((MOVIMIENTOS!$B$5:$B$400="SALDO INICIAL")*(MOVIMIENTOS!$C$5:$C$400="P")*(MOVIMIENTOS!$D$5:$D$400="jabas")*(ROW(MOVIMIENTOS!$B$5:$B$400)&lt;=$L62)*MOVIMIENTOS!$E$5:$E$400)+SUMPRODUCT((MOVIMIENTOS!$B$5:$B$400="PROCESO")*(MOVIMIENTOS!$C$5:$C$400="P")*(MOVIMIENTOS!$D$5:$D$400="jabas")*(ROW(MOVIMIENTOS!$B$5:$B$400)&lt;=$L62)*MOVIMIENTOS!$E$5:$E$400)-SUMPRODUCT((MOVIMIENTOS!$B$5:$B$400="ENVÍO A SUPESA")*(MOVIMIENTOS!$C$5:$C$400="P")*(MOVIMIENTOS!$D$5:$D$400="jabas")*(ROW(MOVIMIENTOS!$B$5:$B$400)&lt;=$L62)*MOVIMIENTOS!$E$5:$E$400)+SUMPRODUCT((MOVIMIENTOS!$B$5:$B$400="DEVOLUCIÓN")*(MOVIMIENTOS!$C$5:$C$400="P")*(MOVIMIENTOS!$D$5:$D$400="jabas")*(ROW(MOVIMIENTOS!$B$5:$B$400)&lt;=$L62)*MOVIMIENTOS!$E$5:$E$400)-SUMPRODUCT((MOVIMIENTOS!$B$5:$B$400="TRASIEGO")*(MOVIMIENTOS!$C$5:$C$400="P")*(MOVIMIENTOS!$D$5:$D$400="jabas")*(ROW(MOVIMIENTOS!$B$5:$B$400)&lt;=$L62)*MOVIMIENTOS!$E$5:$E$400)-SUMPRODUCT((MOVIMIENTOS!$B$5:$B$400="REGALO")*(MOVIMIENTOS!$C$5:$C$400="P")*(MOVIMIENTOS!$D$5:$D$400="jabas")*(ROW(MOVIMIENTOS!$B$5:$B$400)&lt;=$L62)*MOVIMIENTOS!$E$5:$E$400)-SUMPRODUCT((MOVIMIENTOS!$B$5:$B$400="VENTA")*(MOVIMIENTOS!$C$5:$C$400="P")*(MOVIMIENTOS!$D$5:$D$400="jabas")*(ROW(MOVIMIENTOS!$B$5:$B$400)&lt;=$L62)*MOVIMIENTOS!$E$5:$E$400)+SUMPRODUCT((MOVIMIENTOS!$B$5:$B$400="AJUSTE")*(MOVIMIENTOS!$C$5:$C$400="P")*(MOVIMIENTOS!$D$5:$D$400="jabas")*(ROW(MOVIMIENTOS!$B$5:$B$400)&lt;=$L62)*MOVIMIENTOS!$E$5:$E$400))</f>
        <v/>
      </c>
      <c r="D62" s="12" t="str">
        <f>IF($A62="","",SUMPRODUCT((MOVIMIENTOS!$B$5:$B$400="SALDO INICIAL")*(MOVIMIENTOS!$C$5:$C$400="C")*(MOVIMIENTOS!$D$5:$D$400="jabas")*(ROW(MOVIMIENTOS!$B$5:$B$400)&lt;=$L62)*MOVIMIENTOS!$E$5:$E$400)+SUMPRODUCT((MOVIMIENTOS!$B$5:$B$400="PROCESO")*(MOVIMIENTOS!$C$5:$C$400="C")*(MOVIMIENTOS!$D$5:$D$400="jabas")*(ROW(MOVIMIENTOS!$B$5:$B$400)&lt;=$L62)*MOVIMIENTOS!$E$5:$E$400)-SUMPRODUCT((MOVIMIENTOS!$B$5:$B$400="ENVÍO A SUPESA")*(MOVIMIENTOS!$C$5:$C$400="C")*(MOVIMIENTOS!$D$5:$D$400="jabas")*(ROW(MOVIMIENTOS!$B$5:$B$400)&lt;=$L62)*MOVIMIENTOS!$E$5:$E$400)+SUMPRODUCT((MOVIMIENTOS!$B$5:$B$400="DEVOLUCIÓN")*(MOVIMIENTOS!$C$5:$C$400="C")*(MOVIMIENTOS!$D$5:$D$400="jabas")*(ROW(MOVIMIENTOS!$B$5:$B$400)&lt;=$L62)*MOVIMIENTOS!$E$5:$E$400)-SUMPRODUCT((MOVIMIENTOS!$B$5:$B$400="TRASIEGO")*(MOVIMIENTOS!$C$5:$C$400="C")*(MOVIMIENTOS!$D$5:$D$400="jabas")*(ROW(MOVIMIENTOS!$B$5:$B$400)&lt;=$L62)*MOVIMIENTOS!$E$5:$E$400)-SUMPRODUCT((MOVIMIENTOS!$B$5:$B$400="REGALO")*(MOVIMIENTOS!$C$5:$C$400="C")*(MOVIMIENTOS!$D$5:$D$400="jabas")*(ROW(MOVIMIENTOS!$B$5:$B$400)&lt;=$L62)*MOVIMIENTOS!$E$5:$E$400)-SUMPRODUCT((MOVIMIENTOS!$B$5:$B$400="VENTA")*(MOVIMIENTOS!$C$5:$C$400="C")*(MOVIMIENTOS!$D$5:$D$400="jabas")*(ROW(MOVIMIENTOS!$B$5:$B$400)&lt;=$L62)*MOVIMIENTOS!$E$5:$E$400)+SUMPRODUCT((MOVIMIENTOS!$B$5:$B$400="AJUSTE")*(MOVIMIENTOS!$C$5:$C$400="C")*(MOVIMIENTOS!$D$5:$D$400="jabas")*(ROW(MOVIMIENTOS!$B$5:$B$400)&lt;=$L62)*MOVIMIENTOS!$E$5:$E$400))</f>
        <v/>
      </c>
      <c r="E62" s="12" t="str">
        <f>IF($A62="","",SUMPRODUCT((MOVIMIENTOS!$B$5:$B$400="SALDO INICIAL")*(MOVIMIENTOS!$C$5:$C$400="M")*(MOVIMIENTOS!$D$5:$D$400="jabas")*(ROW(MOVIMIENTOS!$B$5:$B$400)&lt;=$L62)*MOVIMIENTOS!$E$5:$E$400)+SUMPRODUCT((MOVIMIENTOS!$B$5:$B$400="PROCESO")*(MOVIMIENTOS!$C$5:$C$400="M")*(MOVIMIENTOS!$D$5:$D$400="jabas")*(ROW(MOVIMIENTOS!$B$5:$B$400)&lt;=$L62)*MOVIMIENTOS!$E$5:$E$400)-SUMPRODUCT((MOVIMIENTOS!$B$5:$B$400="ENVÍO A SUPESA")*(MOVIMIENTOS!$C$5:$C$400="M")*(MOVIMIENTOS!$D$5:$D$400="jabas")*(ROW(MOVIMIENTOS!$B$5:$B$400)&lt;=$L62)*MOVIMIENTOS!$E$5:$E$400)+SUMPRODUCT((MOVIMIENTOS!$B$5:$B$400="DEVOLUCIÓN")*(MOVIMIENTOS!$C$5:$C$400="M")*(MOVIMIENTOS!$D$5:$D$400="jabas")*(ROW(MOVIMIENTOS!$B$5:$B$400)&lt;=$L62)*MOVIMIENTOS!$E$5:$E$400)-SUMPRODUCT((MOVIMIENTOS!$B$5:$B$400="TRASIEGO")*(MOVIMIENTOS!$C$5:$C$400="M")*(MOVIMIENTOS!$D$5:$D$400="jabas")*(ROW(MOVIMIENTOS!$B$5:$B$400)&lt;=$L62)*MOVIMIENTOS!$E$5:$E$400)-SUMPRODUCT((MOVIMIENTOS!$B$5:$B$400="REGALO")*(MOVIMIENTOS!$C$5:$C$400="M")*(MOVIMIENTOS!$D$5:$D$400="jabas")*(ROW(MOVIMIENTOS!$B$5:$B$400)&lt;=$L62)*MOVIMIENTOS!$E$5:$E$400)-SUMPRODUCT((MOVIMIENTOS!$B$5:$B$400="VENTA")*(MOVIMIENTOS!$C$5:$C$400="M")*(MOVIMIENTOS!$D$5:$D$400="jabas")*(ROW(MOVIMIENTOS!$B$5:$B$400)&lt;=$L62)*MOVIMIENTOS!$E$5:$E$400)+SUMPRODUCT((MOVIMIENTOS!$B$5:$B$400="AJUSTE")*(MOVIMIENTOS!$C$5:$C$400="M")*(MOVIMIENTOS!$D$5:$D$400="jabas")*(ROW(MOVIMIENTOS!$B$5:$B$400)&lt;=$L62)*MOVIMIENTOS!$E$5:$E$400))</f>
        <v/>
      </c>
      <c r="F62" s="12" t="str">
        <f>IF($A62="","",SUMPRODUCT((MOVIMIENTOS!$B$5:$B$400="SALDO INICIAL")*(MOVIMIENTOS!$C$5:$C$400="Chancho")*(MOVIMIENTOS!$D$5:$D$400="sacos")*(ROW(MOVIMIENTOS!$B$5:$B$400)&lt;=$L62)*MOVIMIENTOS!$E$5:$E$400)+SUMPRODUCT((MOVIMIENTOS!$B$5:$B$400="PROCESO")*(MOVIMIENTOS!$C$5:$C$400="Chancho")*(MOVIMIENTOS!$D$5:$D$400="sacos")*(ROW(MOVIMIENTOS!$B$5:$B$400)&lt;=$L62)*MOVIMIENTOS!$E$5:$E$400)-SUMPRODUCT((MOVIMIENTOS!$B$5:$B$400="VENTA CHANCHO")*(MOVIMIENTOS!$C$5:$C$400="Chancho")*(MOVIMIENTOS!$D$5:$D$400="sacos")*(ROW(MOVIMIENTOS!$B$5:$B$400)&lt;=$L62)*MOVIMIENTOS!$E$5:$E$400)-SUMPRODUCT((MOVIMIENTOS!$B$5:$B$400="REGALO")*(MOVIMIENTOS!$C$5:$C$400="Chancho")*(MOVIMIENTOS!$D$5:$D$400="sacos")*(ROW(MOVIMIENTOS!$B$5:$B$400)&lt;=$L62)*MOVIMIENTOS!$E$5:$E$400)-SUMPRODUCT((MOVIMIENTOS!$B$5:$B$400="VENTA")*(MOVIMIENTOS!$C$5:$C$400="Chancho")*(MOVIMIENTOS!$D$5:$D$400="sacos")*(ROW(MOVIMIENTOS!$B$5:$B$400)&lt;=$L62)*MOVIMIENTOS!$E$5:$E$400)+SUMPRODUCT((MOVIMIENTOS!$B$5:$B$400="AJUSTE")*(MOVIMIENTOS!$C$5:$C$400="Chancho")*(MOVIMIENTOS!$D$5:$D$400="sacos")*(ROW(MOVIMIENTOS!$B$5:$B$400)&lt;=$L62)*MOVIMIENTOS!$E$5:$E$400))</f>
        <v/>
      </c>
      <c r="G62" s="12" t="str">
        <f t="shared" si="3"/>
        <v/>
      </c>
      <c r="H62" s="12" t="str">
        <f>IF($A62="","",SUMPRODUCT((((MOVIMIENTOS!$B$5:$B$400="SALDO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62)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62)*MOVIMIENTOS!$I$5:$I$400))</f>
        <v/>
      </c>
      <c r="J62" t="str">
        <f>IF(AND(MOVIMIENTOS!$A62&lt;&gt;"",COUNTIF(MOVIMIENTOS!$A$5:$A61,MOVIMIENTOS!$A62)=0),COUNT(J$4:J61)+1,"")</f>
        <v/>
      </c>
      <c r="K62" s="10">
        <f>MOVIMIENTOS!$A62</f>
        <v>46220</v>
      </c>
      <c r="L62" t="str">
        <f>IF($A62="","",SUMPRODUCT(MAX((MOVIMIENTOS!$A$5:$A$400=$A62)*ROW(MOVIMIENTOS!$A$5:$A$400))))</f>
        <v/>
      </c>
    </row>
    <row r="63" spans="1:12" x14ac:dyDescent="0.2">
      <c r="A63" s="11" t="str">
        <f t="shared" si="2"/>
        <v/>
      </c>
      <c r="B63" s="12" t="str">
        <f>IF($A63="","",SUMPRODUCT((MOVIMIENTOS!$B$5:$B$400="SALDO INICIAL")*(MOVIMIENTOS!$C$5:$C$400="A")*(MOVIMIENTOS!$D$5:$D$400="jabas")*(ROW(MOVIMIENTOS!$B$5:$B$400)&lt;=$L63)*MOVIMIENTOS!$E$5:$E$400)+SUMPRODUCT((MOVIMIENTOS!$B$5:$B$400="PROCESO")*(MOVIMIENTOS!$C$5:$C$400="A")*(MOVIMIENTOS!$D$5:$D$400="jabas")*(ROW(MOVIMIENTOS!$B$5:$B$400)&lt;=$L63)*MOVIMIENTOS!$E$5:$E$400)-SUMPRODUCT((MOVIMIENTOS!$B$5:$B$400="ENVÍO A SUPESA")*(MOVIMIENTOS!$C$5:$C$400="A")*(MOVIMIENTOS!$D$5:$D$400="jabas")*(ROW(MOVIMIENTOS!$B$5:$B$400)&lt;=$L63)*MOVIMIENTOS!$E$5:$E$400)+SUMPRODUCT((MOVIMIENTOS!$B$5:$B$400="DEVOLUCIÓN")*(MOVIMIENTOS!$C$5:$C$400="A")*(MOVIMIENTOS!$D$5:$D$400="jabas")*(ROW(MOVIMIENTOS!$B$5:$B$400)&lt;=$L63)*MOVIMIENTOS!$E$5:$E$400)-SUMPRODUCT((MOVIMIENTOS!$B$5:$B$400="TRASIEGO")*(MOVIMIENTOS!$C$5:$C$400="A")*(MOVIMIENTOS!$D$5:$D$400="jabas")*(ROW(MOVIMIENTOS!$B$5:$B$400)&lt;=$L63)*MOVIMIENTOS!$E$5:$E$400)-SUMPRODUCT((MOVIMIENTOS!$B$5:$B$400="REGALO")*(MOVIMIENTOS!$C$5:$C$400="A")*(MOVIMIENTOS!$D$5:$D$400="jabas")*(ROW(MOVIMIENTOS!$B$5:$B$400)&lt;=$L63)*MOVIMIENTOS!$E$5:$E$400)-SUMPRODUCT((MOVIMIENTOS!$B$5:$B$400="VENTA")*(MOVIMIENTOS!$C$5:$C$400="A")*(MOVIMIENTOS!$D$5:$D$400="jabas")*(ROW(MOVIMIENTOS!$B$5:$B$400)&lt;=$L63)*MOVIMIENTOS!$E$5:$E$400)+SUMPRODUCT((MOVIMIENTOS!$B$5:$B$400="AJUSTE")*(MOVIMIENTOS!$C$5:$C$400="A")*(MOVIMIENTOS!$D$5:$D$400="jabas")*(ROW(MOVIMIENTOS!$B$5:$B$400)&lt;=$L63)*MOVIMIENTOS!$E$5:$E$400))</f>
        <v/>
      </c>
      <c r="C63" s="12" t="str">
        <f>IF($A63="","",SUMPRODUCT((MOVIMIENTOS!$B$5:$B$400="SALDO INICIAL")*(MOVIMIENTOS!$C$5:$C$400="P")*(MOVIMIENTOS!$D$5:$D$400="jabas")*(ROW(MOVIMIENTOS!$B$5:$B$400)&lt;=$L63)*MOVIMIENTOS!$E$5:$E$400)+SUMPRODUCT((MOVIMIENTOS!$B$5:$B$400="PROCESO")*(MOVIMIENTOS!$C$5:$C$400="P")*(MOVIMIENTOS!$D$5:$D$400="jabas")*(ROW(MOVIMIENTOS!$B$5:$B$400)&lt;=$L63)*MOVIMIENTOS!$E$5:$E$400)-SUMPRODUCT((MOVIMIENTOS!$B$5:$B$400="ENVÍO A SUPESA")*(MOVIMIENTOS!$C$5:$C$400="P")*(MOVIMIENTOS!$D$5:$D$400="jabas")*(ROW(MOVIMIENTOS!$B$5:$B$400)&lt;=$L63)*MOVIMIENTOS!$E$5:$E$400)+SUMPRODUCT((MOVIMIENTOS!$B$5:$B$400="DEVOLUCIÓN")*(MOVIMIENTOS!$C$5:$C$400="P")*(MOVIMIENTOS!$D$5:$D$400="jabas")*(ROW(MOVIMIENTOS!$B$5:$B$400)&lt;=$L63)*MOVIMIENTOS!$E$5:$E$400)-SUMPRODUCT((MOVIMIENTOS!$B$5:$B$400="TRASIEGO")*(MOVIMIENTOS!$C$5:$C$400="P")*(MOVIMIENTOS!$D$5:$D$400="jabas")*(ROW(MOVIMIENTOS!$B$5:$B$400)&lt;=$L63)*MOVIMIENTOS!$E$5:$E$400)-SUMPRODUCT((MOVIMIENTOS!$B$5:$B$400="REGALO")*(MOVIMIENTOS!$C$5:$C$400="P")*(MOVIMIENTOS!$D$5:$D$400="jabas")*(ROW(MOVIMIENTOS!$B$5:$B$400)&lt;=$L63)*MOVIMIENTOS!$E$5:$E$400)-SUMPRODUCT((MOVIMIENTOS!$B$5:$B$400="VENTA")*(MOVIMIENTOS!$C$5:$C$400="P")*(MOVIMIENTOS!$D$5:$D$400="jabas")*(ROW(MOVIMIENTOS!$B$5:$B$400)&lt;=$L63)*MOVIMIENTOS!$E$5:$E$400)+SUMPRODUCT((MOVIMIENTOS!$B$5:$B$400="AJUSTE")*(MOVIMIENTOS!$C$5:$C$400="P")*(MOVIMIENTOS!$D$5:$D$400="jabas")*(ROW(MOVIMIENTOS!$B$5:$B$400)&lt;=$L63)*MOVIMIENTOS!$E$5:$E$400))</f>
        <v/>
      </c>
      <c r="D63" s="12" t="str">
        <f>IF($A63="","",SUMPRODUCT((MOVIMIENTOS!$B$5:$B$400="SALDO INICIAL")*(MOVIMIENTOS!$C$5:$C$400="C")*(MOVIMIENTOS!$D$5:$D$400="jabas")*(ROW(MOVIMIENTOS!$B$5:$B$400)&lt;=$L63)*MOVIMIENTOS!$E$5:$E$400)+SUMPRODUCT((MOVIMIENTOS!$B$5:$B$400="PROCESO")*(MOVIMIENTOS!$C$5:$C$400="C")*(MOVIMIENTOS!$D$5:$D$400="jabas")*(ROW(MOVIMIENTOS!$B$5:$B$400)&lt;=$L63)*MOVIMIENTOS!$E$5:$E$400)-SUMPRODUCT((MOVIMIENTOS!$B$5:$B$400="ENVÍO A SUPESA")*(MOVIMIENTOS!$C$5:$C$400="C")*(MOVIMIENTOS!$D$5:$D$400="jabas")*(ROW(MOVIMIENTOS!$B$5:$B$400)&lt;=$L63)*MOVIMIENTOS!$E$5:$E$400)+SUMPRODUCT((MOVIMIENTOS!$B$5:$B$400="DEVOLUCIÓN")*(MOVIMIENTOS!$C$5:$C$400="C")*(MOVIMIENTOS!$D$5:$D$400="jabas")*(ROW(MOVIMIENTOS!$B$5:$B$400)&lt;=$L63)*MOVIMIENTOS!$E$5:$E$400)-SUMPRODUCT((MOVIMIENTOS!$B$5:$B$400="TRASIEGO")*(MOVIMIENTOS!$C$5:$C$400="C")*(MOVIMIENTOS!$D$5:$D$400="jabas")*(ROW(MOVIMIENTOS!$B$5:$B$400)&lt;=$L63)*MOVIMIENTOS!$E$5:$E$400)-SUMPRODUCT((MOVIMIENTOS!$B$5:$B$400="REGALO")*(MOVIMIENTOS!$C$5:$C$400="C")*(MOVIMIENTOS!$D$5:$D$400="jabas")*(ROW(MOVIMIENTOS!$B$5:$B$400)&lt;=$L63)*MOVIMIENTOS!$E$5:$E$400)-SUMPRODUCT((MOVIMIENTOS!$B$5:$B$400="VENTA")*(MOVIMIENTOS!$C$5:$C$400="C")*(MOVIMIENTOS!$D$5:$D$400="jabas")*(ROW(MOVIMIENTOS!$B$5:$B$400)&lt;=$L63)*MOVIMIENTOS!$E$5:$E$400)+SUMPRODUCT((MOVIMIENTOS!$B$5:$B$400="AJUSTE")*(MOVIMIENTOS!$C$5:$C$400="C")*(MOVIMIENTOS!$D$5:$D$400="jabas")*(ROW(MOVIMIENTOS!$B$5:$B$400)&lt;=$L63)*MOVIMIENTOS!$E$5:$E$400))</f>
        <v/>
      </c>
      <c r="E63" s="12" t="str">
        <f>IF($A63="","",SUMPRODUCT((MOVIMIENTOS!$B$5:$B$400="SALDO INICIAL")*(MOVIMIENTOS!$C$5:$C$400="M")*(MOVIMIENTOS!$D$5:$D$400="jabas")*(ROW(MOVIMIENTOS!$B$5:$B$400)&lt;=$L63)*MOVIMIENTOS!$E$5:$E$400)+SUMPRODUCT((MOVIMIENTOS!$B$5:$B$400="PROCESO")*(MOVIMIENTOS!$C$5:$C$400="M")*(MOVIMIENTOS!$D$5:$D$400="jabas")*(ROW(MOVIMIENTOS!$B$5:$B$400)&lt;=$L63)*MOVIMIENTOS!$E$5:$E$400)-SUMPRODUCT((MOVIMIENTOS!$B$5:$B$400="ENVÍO A SUPESA")*(MOVIMIENTOS!$C$5:$C$400="M")*(MOVIMIENTOS!$D$5:$D$400="jabas")*(ROW(MOVIMIENTOS!$B$5:$B$400)&lt;=$L63)*MOVIMIENTOS!$E$5:$E$400)+SUMPRODUCT((MOVIMIENTOS!$B$5:$B$400="DEVOLUCIÓN")*(MOVIMIENTOS!$C$5:$C$400="M")*(MOVIMIENTOS!$D$5:$D$400="jabas")*(ROW(MOVIMIENTOS!$B$5:$B$400)&lt;=$L63)*MOVIMIENTOS!$E$5:$E$400)-SUMPRODUCT((MOVIMIENTOS!$B$5:$B$400="TRASIEGO")*(MOVIMIENTOS!$C$5:$C$400="M")*(MOVIMIENTOS!$D$5:$D$400="jabas")*(ROW(MOVIMIENTOS!$B$5:$B$400)&lt;=$L63)*MOVIMIENTOS!$E$5:$E$400)-SUMPRODUCT((MOVIMIENTOS!$B$5:$B$400="REGALO")*(MOVIMIENTOS!$C$5:$C$400="M")*(MOVIMIENTOS!$D$5:$D$400="jabas")*(ROW(MOVIMIENTOS!$B$5:$B$400)&lt;=$L63)*MOVIMIENTOS!$E$5:$E$400)-SUMPRODUCT((MOVIMIENTOS!$B$5:$B$400="VENTA")*(MOVIMIENTOS!$C$5:$C$400="M")*(MOVIMIENTOS!$D$5:$D$400="jabas")*(ROW(MOVIMIENTOS!$B$5:$B$400)&lt;=$L63)*MOVIMIENTOS!$E$5:$E$400)+SUMPRODUCT((MOVIMIENTOS!$B$5:$B$400="AJUSTE")*(MOVIMIENTOS!$C$5:$C$400="M")*(MOVIMIENTOS!$D$5:$D$400="jabas")*(ROW(MOVIMIENTOS!$B$5:$B$400)&lt;=$L63)*MOVIMIENTOS!$E$5:$E$400))</f>
        <v/>
      </c>
      <c r="F63" s="12" t="str">
        <f>IF($A63="","",SUMPRODUCT((MOVIMIENTOS!$B$5:$B$400="SALDO INICIAL")*(MOVIMIENTOS!$C$5:$C$400="Chancho")*(MOVIMIENTOS!$D$5:$D$400="sacos")*(ROW(MOVIMIENTOS!$B$5:$B$400)&lt;=$L63)*MOVIMIENTOS!$E$5:$E$400)+SUMPRODUCT((MOVIMIENTOS!$B$5:$B$400="PROCESO")*(MOVIMIENTOS!$C$5:$C$400="Chancho")*(MOVIMIENTOS!$D$5:$D$400="sacos")*(ROW(MOVIMIENTOS!$B$5:$B$400)&lt;=$L63)*MOVIMIENTOS!$E$5:$E$400)-SUMPRODUCT((MOVIMIENTOS!$B$5:$B$400="VENTA CHANCHO")*(MOVIMIENTOS!$C$5:$C$400="Chancho")*(MOVIMIENTOS!$D$5:$D$400="sacos")*(ROW(MOVIMIENTOS!$B$5:$B$400)&lt;=$L63)*MOVIMIENTOS!$E$5:$E$400)-SUMPRODUCT((MOVIMIENTOS!$B$5:$B$400="REGALO")*(MOVIMIENTOS!$C$5:$C$400="Chancho")*(MOVIMIENTOS!$D$5:$D$400="sacos")*(ROW(MOVIMIENTOS!$B$5:$B$400)&lt;=$L63)*MOVIMIENTOS!$E$5:$E$400)-SUMPRODUCT((MOVIMIENTOS!$B$5:$B$400="VENTA")*(MOVIMIENTOS!$C$5:$C$400="Chancho")*(MOVIMIENTOS!$D$5:$D$400="sacos")*(ROW(MOVIMIENTOS!$B$5:$B$400)&lt;=$L63)*MOVIMIENTOS!$E$5:$E$400)+SUMPRODUCT((MOVIMIENTOS!$B$5:$B$400="AJUSTE")*(MOVIMIENTOS!$C$5:$C$400="Chancho")*(MOVIMIENTOS!$D$5:$D$400="sacos")*(ROW(MOVIMIENTOS!$B$5:$B$400)&lt;=$L63)*MOVIMIENTOS!$E$5:$E$400))</f>
        <v/>
      </c>
      <c r="G63" s="12" t="str">
        <f t="shared" si="3"/>
        <v/>
      </c>
      <c r="H63" s="12" t="str">
        <f>IF($A63="","",SUMPRODUCT((((MOVIMIENTOS!$B$5:$B$400="SALDO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63)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63)*MOVIMIENTOS!$I$5:$I$400))</f>
        <v/>
      </c>
      <c r="J63" t="str">
        <f>IF(AND(MOVIMIENTOS!$A63&lt;&gt;"",COUNTIF(MOVIMIENTOS!$A$5:$A62,MOVIMIENTOS!$A63)=0),COUNT(J$4:J62)+1,"")</f>
        <v/>
      </c>
      <c r="K63" s="10">
        <f>MOVIMIENTOS!$A63</f>
        <v>46220</v>
      </c>
      <c r="L63" t="str">
        <f>IF($A63="","",SUMPRODUCT(MAX((MOVIMIENTOS!$A$5:$A$400=$A63)*ROW(MOVIMIENTOS!$A$5:$A$400))))</f>
        <v/>
      </c>
    </row>
    <row r="64" spans="1:12" x14ac:dyDescent="0.2">
      <c r="A64" s="11" t="str">
        <f t="shared" si="2"/>
        <v/>
      </c>
      <c r="B64" s="12" t="str">
        <f>IF($A64="","",SUMPRODUCT((MOVIMIENTOS!$B$5:$B$400="SALDO INICIAL")*(MOVIMIENTOS!$C$5:$C$400="A")*(MOVIMIENTOS!$D$5:$D$400="jabas")*(ROW(MOVIMIENTOS!$B$5:$B$400)&lt;=$L64)*MOVIMIENTOS!$E$5:$E$400)+SUMPRODUCT((MOVIMIENTOS!$B$5:$B$400="PROCESO")*(MOVIMIENTOS!$C$5:$C$400="A")*(MOVIMIENTOS!$D$5:$D$400="jabas")*(ROW(MOVIMIENTOS!$B$5:$B$400)&lt;=$L64)*MOVIMIENTOS!$E$5:$E$400)-SUMPRODUCT((MOVIMIENTOS!$B$5:$B$400="ENVÍO A SUPESA")*(MOVIMIENTOS!$C$5:$C$400="A")*(MOVIMIENTOS!$D$5:$D$400="jabas")*(ROW(MOVIMIENTOS!$B$5:$B$400)&lt;=$L64)*MOVIMIENTOS!$E$5:$E$400)+SUMPRODUCT((MOVIMIENTOS!$B$5:$B$400="DEVOLUCIÓN")*(MOVIMIENTOS!$C$5:$C$400="A")*(MOVIMIENTOS!$D$5:$D$400="jabas")*(ROW(MOVIMIENTOS!$B$5:$B$400)&lt;=$L64)*MOVIMIENTOS!$E$5:$E$400)-SUMPRODUCT((MOVIMIENTOS!$B$5:$B$400="TRASIEGO")*(MOVIMIENTOS!$C$5:$C$400="A")*(MOVIMIENTOS!$D$5:$D$400="jabas")*(ROW(MOVIMIENTOS!$B$5:$B$400)&lt;=$L64)*MOVIMIENTOS!$E$5:$E$400)-SUMPRODUCT((MOVIMIENTOS!$B$5:$B$400="REGALO")*(MOVIMIENTOS!$C$5:$C$400="A")*(MOVIMIENTOS!$D$5:$D$400="jabas")*(ROW(MOVIMIENTOS!$B$5:$B$400)&lt;=$L64)*MOVIMIENTOS!$E$5:$E$400)-SUMPRODUCT((MOVIMIENTOS!$B$5:$B$400="VENTA")*(MOVIMIENTOS!$C$5:$C$400="A")*(MOVIMIENTOS!$D$5:$D$400="jabas")*(ROW(MOVIMIENTOS!$B$5:$B$400)&lt;=$L64)*MOVIMIENTOS!$E$5:$E$400)+SUMPRODUCT((MOVIMIENTOS!$B$5:$B$400="AJUSTE")*(MOVIMIENTOS!$C$5:$C$400="A")*(MOVIMIENTOS!$D$5:$D$400="jabas")*(ROW(MOVIMIENTOS!$B$5:$B$400)&lt;=$L64)*MOVIMIENTOS!$E$5:$E$400))</f>
        <v/>
      </c>
      <c r="C64" s="12" t="str">
        <f>IF($A64="","",SUMPRODUCT((MOVIMIENTOS!$B$5:$B$400="SALDO INICIAL")*(MOVIMIENTOS!$C$5:$C$400="P")*(MOVIMIENTOS!$D$5:$D$400="jabas")*(ROW(MOVIMIENTOS!$B$5:$B$400)&lt;=$L64)*MOVIMIENTOS!$E$5:$E$400)+SUMPRODUCT((MOVIMIENTOS!$B$5:$B$400="PROCESO")*(MOVIMIENTOS!$C$5:$C$400="P")*(MOVIMIENTOS!$D$5:$D$400="jabas")*(ROW(MOVIMIENTOS!$B$5:$B$400)&lt;=$L64)*MOVIMIENTOS!$E$5:$E$400)-SUMPRODUCT((MOVIMIENTOS!$B$5:$B$400="ENVÍO A SUPESA")*(MOVIMIENTOS!$C$5:$C$400="P")*(MOVIMIENTOS!$D$5:$D$400="jabas")*(ROW(MOVIMIENTOS!$B$5:$B$400)&lt;=$L64)*MOVIMIENTOS!$E$5:$E$400)+SUMPRODUCT((MOVIMIENTOS!$B$5:$B$400="DEVOLUCIÓN")*(MOVIMIENTOS!$C$5:$C$400="P")*(MOVIMIENTOS!$D$5:$D$400="jabas")*(ROW(MOVIMIENTOS!$B$5:$B$400)&lt;=$L64)*MOVIMIENTOS!$E$5:$E$400)-SUMPRODUCT((MOVIMIENTOS!$B$5:$B$400="TRASIEGO")*(MOVIMIENTOS!$C$5:$C$400="P")*(MOVIMIENTOS!$D$5:$D$400="jabas")*(ROW(MOVIMIENTOS!$B$5:$B$400)&lt;=$L64)*MOVIMIENTOS!$E$5:$E$400)-SUMPRODUCT((MOVIMIENTOS!$B$5:$B$400="REGALO")*(MOVIMIENTOS!$C$5:$C$400="P")*(MOVIMIENTOS!$D$5:$D$400="jabas")*(ROW(MOVIMIENTOS!$B$5:$B$400)&lt;=$L64)*MOVIMIENTOS!$E$5:$E$400)-SUMPRODUCT((MOVIMIENTOS!$B$5:$B$400="VENTA")*(MOVIMIENTOS!$C$5:$C$400="P")*(MOVIMIENTOS!$D$5:$D$400="jabas")*(ROW(MOVIMIENTOS!$B$5:$B$400)&lt;=$L64)*MOVIMIENTOS!$E$5:$E$400)+SUMPRODUCT((MOVIMIENTOS!$B$5:$B$400="AJUSTE")*(MOVIMIENTOS!$C$5:$C$400="P")*(MOVIMIENTOS!$D$5:$D$400="jabas")*(ROW(MOVIMIENTOS!$B$5:$B$400)&lt;=$L64)*MOVIMIENTOS!$E$5:$E$400))</f>
        <v/>
      </c>
      <c r="D64" s="12" t="str">
        <f>IF($A64="","",SUMPRODUCT((MOVIMIENTOS!$B$5:$B$400="SALDO INICIAL")*(MOVIMIENTOS!$C$5:$C$400="C")*(MOVIMIENTOS!$D$5:$D$400="jabas")*(ROW(MOVIMIENTOS!$B$5:$B$400)&lt;=$L64)*MOVIMIENTOS!$E$5:$E$400)+SUMPRODUCT((MOVIMIENTOS!$B$5:$B$400="PROCESO")*(MOVIMIENTOS!$C$5:$C$400="C")*(MOVIMIENTOS!$D$5:$D$400="jabas")*(ROW(MOVIMIENTOS!$B$5:$B$400)&lt;=$L64)*MOVIMIENTOS!$E$5:$E$400)-SUMPRODUCT((MOVIMIENTOS!$B$5:$B$400="ENVÍO A SUPESA")*(MOVIMIENTOS!$C$5:$C$400="C")*(MOVIMIENTOS!$D$5:$D$400="jabas")*(ROW(MOVIMIENTOS!$B$5:$B$400)&lt;=$L64)*MOVIMIENTOS!$E$5:$E$400)+SUMPRODUCT((MOVIMIENTOS!$B$5:$B$400="DEVOLUCIÓN")*(MOVIMIENTOS!$C$5:$C$400="C")*(MOVIMIENTOS!$D$5:$D$400="jabas")*(ROW(MOVIMIENTOS!$B$5:$B$400)&lt;=$L64)*MOVIMIENTOS!$E$5:$E$400)-SUMPRODUCT((MOVIMIENTOS!$B$5:$B$400="TRASIEGO")*(MOVIMIENTOS!$C$5:$C$400="C")*(MOVIMIENTOS!$D$5:$D$400="jabas")*(ROW(MOVIMIENTOS!$B$5:$B$400)&lt;=$L64)*MOVIMIENTOS!$E$5:$E$400)-SUMPRODUCT((MOVIMIENTOS!$B$5:$B$400="REGALO")*(MOVIMIENTOS!$C$5:$C$400="C")*(MOVIMIENTOS!$D$5:$D$400="jabas")*(ROW(MOVIMIENTOS!$B$5:$B$400)&lt;=$L64)*MOVIMIENTOS!$E$5:$E$400)-SUMPRODUCT((MOVIMIENTOS!$B$5:$B$400="VENTA")*(MOVIMIENTOS!$C$5:$C$400="C")*(MOVIMIENTOS!$D$5:$D$400="jabas")*(ROW(MOVIMIENTOS!$B$5:$B$400)&lt;=$L64)*MOVIMIENTOS!$E$5:$E$400)+SUMPRODUCT((MOVIMIENTOS!$B$5:$B$400="AJUSTE")*(MOVIMIENTOS!$C$5:$C$400="C")*(MOVIMIENTOS!$D$5:$D$400="jabas")*(ROW(MOVIMIENTOS!$B$5:$B$400)&lt;=$L64)*MOVIMIENTOS!$E$5:$E$400))</f>
        <v/>
      </c>
      <c r="E64" s="12" t="str">
        <f>IF($A64="","",SUMPRODUCT((MOVIMIENTOS!$B$5:$B$400="SALDO INICIAL")*(MOVIMIENTOS!$C$5:$C$400="M")*(MOVIMIENTOS!$D$5:$D$400="jabas")*(ROW(MOVIMIENTOS!$B$5:$B$400)&lt;=$L64)*MOVIMIENTOS!$E$5:$E$400)+SUMPRODUCT((MOVIMIENTOS!$B$5:$B$400="PROCESO")*(MOVIMIENTOS!$C$5:$C$400="M")*(MOVIMIENTOS!$D$5:$D$400="jabas")*(ROW(MOVIMIENTOS!$B$5:$B$400)&lt;=$L64)*MOVIMIENTOS!$E$5:$E$400)-SUMPRODUCT((MOVIMIENTOS!$B$5:$B$400="ENVÍO A SUPESA")*(MOVIMIENTOS!$C$5:$C$400="M")*(MOVIMIENTOS!$D$5:$D$400="jabas")*(ROW(MOVIMIENTOS!$B$5:$B$400)&lt;=$L64)*MOVIMIENTOS!$E$5:$E$400)+SUMPRODUCT((MOVIMIENTOS!$B$5:$B$400="DEVOLUCIÓN")*(MOVIMIENTOS!$C$5:$C$400="M")*(MOVIMIENTOS!$D$5:$D$400="jabas")*(ROW(MOVIMIENTOS!$B$5:$B$400)&lt;=$L64)*MOVIMIENTOS!$E$5:$E$400)-SUMPRODUCT((MOVIMIENTOS!$B$5:$B$400="TRASIEGO")*(MOVIMIENTOS!$C$5:$C$400="M")*(MOVIMIENTOS!$D$5:$D$400="jabas")*(ROW(MOVIMIENTOS!$B$5:$B$400)&lt;=$L64)*MOVIMIENTOS!$E$5:$E$400)-SUMPRODUCT((MOVIMIENTOS!$B$5:$B$400="REGALO")*(MOVIMIENTOS!$C$5:$C$400="M")*(MOVIMIENTOS!$D$5:$D$400="jabas")*(ROW(MOVIMIENTOS!$B$5:$B$400)&lt;=$L64)*MOVIMIENTOS!$E$5:$E$400)-SUMPRODUCT((MOVIMIENTOS!$B$5:$B$400="VENTA")*(MOVIMIENTOS!$C$5:$C$400="M")*(MOVIMIENTOS!$D$5:$D$400="jabas")*(ROW(MOVIMIENTOS!$B$5:$B$400)&lt;=$L64)*MOVIMIENTOS!$E$5:$E$400)+SUMPRODUCT((MOVIMIENTOS!$B$5:$B$400="AJUSTE")*(MOVIMIENTOS!$C$5:$C$400="M")*(MOVIMIENTOS!$D$5:$D$400="jabas")*(ROW(MOVIMIENTOS!$B$5:$B$400)&lt;=$L64)*MOVIMIENTOS!$E$5:$E$400))</f>
        <v/>
      </c>
      <c r="F64" s="12" t="str">
        <f>IF($A64="","",SUMPRODUCT((MOVIMIENTOS!$B$5:$B$400="SALDO INICIAL")*(MOVIMIENTOS!$C$5:$C$400="Chancho")*(MOVIMIENTOS!$D$5:$D$400="sacos")*(ROW(MOVIMIENTOS!$B$5:$B$400)&lt;=$L64)*MOVIMIENTOS!$E$5:$E$400)+SUMPRODUCT((MOVIMIENTOS!$B$5:$B$400="PROCESO")*(MOVIMIENTOS!$C$5:$C$400="Chancho")*(MOVIMIENTOS!$D$5:$D$400="sacos")*(ROW(MOVIMIENTOS!$B$5:$B$400)&lt;=$L64)*MOVIMIENTOS!$E$5:$E$400)-SUMPRODUCT((MOVIMIENTOS!$B$5:$B$400="VENTA CHANCHO")*(MOVIMIENTOS!$C$5:$C$400="Chancho")*(MOVIMIENTOS!$D$5:$D$400="sacos")*(ROW(MOVIMIENTOS!$B$5:$B$400)&lt;=$L64)*MOVIMIENTOS!$E$5:$E$400)-SUMPRODUCT((MOVIMIENTOS!$B$5:$B$400="REGALO")*(MOVIMIENTOS!$C$5:$C$400="Chancho")*(MOVIMIENTOS!$D$5:$D$400="sacos")*(ROW(MOVIMIENTOS!$B$5:$B$400)&lt;=$L64)*MOVIMIENTOS!$E$5:$E$400)-SUMPRODUCT((MOVIMIENTOS!$B$5:$B$400="VENTA")*(MOVIMIENTOS!$C$5:$C$400="Chancho")*(MOVIMIENTOS!$D$5:$D$400="sacos")*(ROW(MOVIMIENTOS!$B$5:$B$400)&lt;=$L64)*MOVIMIENTOS!$E$5:$E$400)+SUMPRODUCT((MOVIMIENTOS!$B$5:$B$400="AJUSTE")*(MOVIMIENTOS!$C$5:$C$400="Chancho")*(MOVIMIENTOS!$D$5:$D$400="sacos")*(ROW(MOVIMIENTOS!$B$5:$B$400)&lt;=$L64)*MOVIMIENTOS!$E$5:$E$400))</f>
        <v/>
      </c>
      <c r="G64" s="12" t="str">
        <f t="shared" si="3"/>
        <v/>
      </c>
      <c r="H64" s="12" t="str">
        <f>IF($A64="","",SUMPRODUCT((((MOVIMIENTOS!$B$5:$B$400="SALDO INICIAL")*(MOVIMIENTOS!$C$5:$C$400&lt;&gt;"Chancho"))+(MOVIMIENTOS!$B$5:$B$400="COMPRA")+(MOVIMIENTOS!$B$5:$B$400="REPROCESO")+((MOVIMIENTOS!$B$5:$B$400="AJUSTE")*(MOVIMIENTOS!$C$5:$C$400&lt;&gt;"Chancho")))*(ROW(MOVIMIENTOS!$B$5:$B$400)&lt;=$L64)*MOVIMIENTOS!$I$5:$I$400)-SUMPRODUCT(((MOVIMIENTOS!$B$5:$B$400="ENVÍO A SUPESA")+(MOVIMIENTOS!$B$5:$B$400="MALOGRADO")+(MOVIMIENTOS!$B$5:$B$400="OTRA SALIDA")+(MOVIMIENTOS!$B$5:$B$400="TRASIEGO")+((MOVIMIENTOS!$B$5:$B$400="PROCESO")*(MOVIMIENTOS!$C$5:$C$400="Chancho"))+((MOVIMIENTOS!$B$5:$B$400="REGALO")*(MOVIMIENTOS!$C$5:$C$400&lt;&gt;"Chancho"))+((MOVIMIENTOS!$B$5:$B$400="VENTA")*(MOVIMIENTOS!$C$5:$C$400&lt;&gt;"Chancho")))*(ROW(MOVIMIENTOS!$B$5:$B$400)&lt;=$L64)*MOVIMIENTOS!$I$5:$I$400))</f>
        <v/>
      </c>
      <c r="J64" t="str">
        <f>IF(AND(MOVIMIENTOS!$A64&lt;&gt;"",COUNTIF(MOVIMIENTOS!$A$5:$A63,MOVIMIENTOS!$A64)=0),COUNT(J$4:J63)+1,"")</f>
        <v/>
      </c>
      <c r="K64" s="10">
        <f>MOVIMIENTOS!$A64</f>
        <v>46220</v>
      </c>
      <c r="L64" t="str">
        <f>IF($A64="","",SUMPRODUCT(MAX((MOVIMIENTOS!$A$5:$A$400=$A64)*ROW(MOVIMIENTOS!$A$5:$A$400))))</f>
        <v/>
      </c>
    </row>
    <row r="65" spans="10:11" x14ac:dyDescent="0.2">
      <c r="J65" t="str">
        <f>IF(AND(MOVIMIENTOS!$A65&lt;&gt;"",COUNTIF(MOVIMIENTOS!$A$5:$A64,MOVIMIENTOS!$A65)=0),COUNT(J$4:J64)+1,"")</f>
        <v/>
      </c>
      <c r="K65" s="10">
        <f>MOVIMIENTOS!$A65</f>
        <v>46220</v>
      </c>
    </row>
    <row r="66" spans="10:11" x14ac:dyDescent="0.2">
      <c r="J66" t="str">
        <f>IF(AND(MOVIMIENTOS!$A66&lt;&gt;"",COUNTIF(MOVIMIENTOS!$A$5:$A65,MOVIMIENTOS!$A66)=0),COUNT(J$4:J65)+1,"")</f>
        <v/>
      </c>
      <c r="K66" s="10">
        <f>MOVIMIENTOS!$A66</f>
        <v>46220</v>
      </c>
    </row>
    <row r="67" spans="10:11" x14ac:dyDescent="0.2">
      <c r="J67" t="str">
        <f>IF(AND(MOVIMIENTOS!$A67&lt;&gt;"",COUNTIF(MOVIMIENTOS!$A$5:$A66,MOVIMIENTOS!$A67)=0),COUNT(J$4:J66)+1,"")</f>
        <v/>
      </c>
      <c r="K67" s="10">
        <f>MOVIMIENTOS!$A67</f>
        <v>46220</v>
      </c>
    </row>
    <row r="68" spans="10:11" x14ac:dyDescent="0.2">
      <c r="J68" t="str">
        <f>IF(AND(MOVIMIENTOS!$A68&lt;&gt;"",COUNTIF(MOVIMIENTOS!$A$5:$A67,MOVIMIENTOS!$A68)=0),COUNT(J$4:J67)+1,"")</f>
        <v/>
      </c>
      <c r="K68" s="10">
        <f>MOVIMIENTOS!$A68</f>
        <v>46220</v>
      </c>
    </row>
    <row r="69" spans="10:11" x14ac:dyDescent="0.2">
      <c r="J69" t="str">
        <f>IF(AND(MOVIMIENTOS!$A69&lt;&gt;"",COUNTIF(MOVIMIENTOS!$A$5:$A68,MOVIMIENTOS!$A69)=0),COUNT(J$4:J68)+1,"")</f>
        <v/>
      </c>
      <c r="K69" s="10">
        <f>MOVIMIENTOS!$A69</f>
        <v>46220</v>
      </c>
    </row>
    <row r="70" spans="10:11" x14ac:dyDescent="0.2">
      <c r="J70" t="str">
        <f>IF(AND(MOVIMIENTOS!$A70&lt;&gt;"",COUNTIF(MOVIMIENTOS!$A$5:$A69,MOVIMIENTOS!$A70)=0),COUNT(J$4:J69)+1,"")</f>
        <v/>
      </c>
      <c r="K70" s="10">
        <f>MOVIMIENTOS!$A70</f>
        <v>46220</v>
      </c>
    </row>
    <row r="71" spans="10:11" x14ac:dyDescent="0.2">
      <c r="J71" t="str">
        <f>IF(AND(MOVIMIENTOS!$A71&lt;&gt;"",COUNTIF(MOVIMIENTOS!$A$5:$A70,MOVIMIENTOS!$A71)=0),COUNT(J$4:J70)+1,"")</f>
        <v/>
      </c>
      <c r="K71" s="10">
        <f>MOVIMIENTOS!$A71</f>
        <v>46220</v>
      </c>
    </row>
    <row r="72" spans="10:11" x14ac:dyDescent="0.2">
      <c r="J72" t="str">
        <f>IF(AND(MOVIMIENTOS!$A72&lt;&gt;"",COUNTIF(MOVIMIENTOS!$A$5:$A71,MOVIMIENTOS!$A72)=0),COUNT(J$4:J71)+1,"")</f>
        <v/>
      </c>
      <c r="K72" s="10">
        <f>MOVIMIENTOS!$A72</f>
        <v>46220</v>
      </c>
    </row>
    <row r="73" spans="10:11" x14ac:dyDescent="0.2">
      <c r="J73" t="str">
        <f>IF(AND(MOVIMIENTOS!$A73&lt;&gt;"",COUNTIF(MOVIMIENTOS!$A$5:$A72,MOVIMIENTOS!$A73)=0),COUNT(J$4:J72)+1,"")</f>
        <v/>
      </c>
      <c r="K73" s="10">
        <f>MOVIMIENTOS!$A73</f>
        <v>46220</v>
      </c>
    </row>
    <row r="74" spans="10:11" x14ac:dyDescent="0.2">
      <c r="J74">
        <f>IF(AND(MOVIMIENTOS!$A74&lt;&gt;"",COUNTIF(MOVIMIENTOS!$A$5:$A73,MOVIMIENTOS!$A74)=0),COUNT(J$4:J73)+1,"")</f>
        <v>8</v>
      </c>
      <c r="K74" s="10">
        <f>MOVIMIENTOS!$A74</f>
        <v>46221</v>
      </c>
    </row>
    <row r="75" spans="10:11" x14ac:dyDescent="0.2">
      <c r="J75" t="str">
        <f>IF(AND(MOVIMIENTOS!$A75&lt;&gt;"",COUNTIF(MOVIMIENTOS!$A$5:$A74,MOVIMIENTOS!$A75)=0),COUNT(J$4:J74)+1,"")</f>
        <v/>
      </c>
      <c r="K75" s="10">
        <f>MOVIMIENTOS!$A75</f>
        <v>46221</v>
      </c>
    </row>
    <row r="76" spans="10:11" x14ac:dyDescent="0.2">
      <c r="J76" t="str">
        <f>IF(AND(MOVIMIENTOS!$A76&lt;&gt;"",COUNTIF(MOVIMIENTOS!$A$5:$A75,MOVIMIENTOS!$A76)=0),COUNT(J$4:J75)+1,"")</f>
        <v/>
      </c>
      <c r="K76" s="10">
        <f>MOVIMIENTOS!$A76</f>
        <v>46221</v>
      </c>
    </row>
    <row r="77" spans="10:11" x14ac:dyDescent="0.2">
      <c r="J77" t="str">
        <f>IF(AND(MOVIMIENTOS!$A77&lt;&gt;"",COUNTIF(MOVIMIENTOS!$A$5:$A76,MOVIMIENTOS!$A77)=0),COUNT(J$4:J76)+1,"")</f>
        <v/>
      </c>
      <c r="K77" s="10">
        <f>MOVIMIENTOS!$A77</f>
        <v>46221</v>
      </c>
    </row>
    <row r="78" spans="10:11" x14ac:dyDescent="0.2">
      <c r="J78" t="str">
        <f>IF(AND(MOVIMIENTOS!$A78&lt;&gt;"",COUNTIF(MOVIMIENTOS!$A$5:$A77,MOVIMIENTOS!$A78)=0),COUNT(J$4:J77)+1,"")</f>
        <v/>
      </c>
      <c r="K78" s="10">
        <f>MOVIMIENTOS!$A78</f>
        <v>46221</v>
      </c>
    </row>
    <row r="79" spans="10:11" x14ac:dyDescent="0.2">
      <c r="J79">
        <f>IF(AND(MOVIMIENTOS!$A79&lt;&gt;"",COUNTIF(MOVIMIENTOS!$A$5:$A78,MOVIMIENTOS!$A79)=0),COUNT(J$4:J78)+1,"")</f>
        <v>9</v>
      </c>
      <c r="K79" s="10">
        <f>MOVIMIENTOS!$A79</f>
        <v>46222</v>
      </c>
    </row>
    <row r="80" spans="10:11" x14ac:dyDescent="0.2">
      <c r="J80" t="str">
        <f>IF(AND(MOVIMIENTOS!$A80&lt;&gt;"",COUNTIF(MOVIMIENTOS!$A$5:$A79,MOVIMIENTOS!$A80)=0),COUNT(J$4:J79)+1,"")</f>
        <v/>
      </c>
      <c r="K80" s="10">
        <f>MOVIMIENTOS!$A80</f>
        <v>46222</v>
      </c>
    </row>
    <row r="81" spans="10:11" x14ac:dyDescent="0.2">
      <c r="J81" t="str">
        <f>IF(AND(MOVIMIENTOS!$A81&lt;&gt;"",COUNTIF(MOVIMIENTOS!$A$5:$A80,MOVIMIENTOS!$A81)=0),COUNT(J$4:J80)+1,"")</f>
        <v/>
      </c>
      <c r="K81" s="10">
        <f>MOVIMIENTOS!$A81</f>
        <v>46222</v>
      </c>
    </row>
    <row r="82" spans="10:11" x14ac:dyDescent="0.2">
      <c r="J82" t="str">
        <f>IF(AND(MOVIMIENTOS!$A82&lt;&gt;"",COUNTIF(MOVIMIENTOS!$A$5:$A81,MOVIMIENTOS!$A82)=0),COUNT(J$4:J81)+1,"")</f>
        <v/>
      </c>
      <c r="K82" s="10">
        <f>MOVIMIENTOS!$A82</f>
        <v>46222</v>
      </c>
    </row>
    <row r="83" spans="10:11" x14ac:dyDescent="0.2">
      <c r="J83" t="str">
        <f>IF(AND(MOVIMIENTOS!$A83&lt;&gt;"",COUNTIF(MOVIMIENTOS!$A$5:$A82,MOVIMIENTOS!$A83)=0),COUNT(J$4:J82)+1,"")</f>
        <v/>
      </c>
      <c r="K83" s="10">
        <f>MOVIMIENTOS!$A83</f>
        <v>46222</v>
      </c>
    </row>
    <row r="84" spans="10:11" x14ac:dyDescent="0.2">
      <c r="J84" t="str">
        <f>IF(AND(MOVIMIENTOS!$A84&lt;&gt;"",COUNTIF(MOVIMIENTOS!$A$5:$A83,MOVIMIENTOS!$A84)=0),COUNT(J$4:J83)+1,"")</f>
        <v/>
      </c>
      <c r="K84" s="10">
        <f>MOVIMIENTOS!$A84</f>
        <v>46222</v>
      </c>
    </row>
    <row r="85" spans="10:11" x14ac:dyDescent="0.2">
      <c r="J85" t="str">
        <f>IF(AND(MOVIMIENTOS!$A85&lt;&gt;"",COUNTIF(MOVIMIENTOS!$A$5:$A84,MOVIMIENTOS!$A85)=0),COUNT(J$4:J84)+1,"")</f>
        <v/>
      </c>
      <c r="K85" s="10">
        <f>MOVIMIENTOS!$A85</f>
        <v>46222</v>
      </c>
    </row>
    <row r="86" spans="10:11" x14ac:dyDescent="0.2">
      <c r="J86" t="str">
        <f>IF(AND(MOVIMIENTOS!$A86&lt;&gt;"",COUNTIF(MOVIMIENTOS!$A$5:$A85,MOVIMIENTOS!$A86)=0),COUNT(J$4:J85)+1,"")</f>
        <v/>
      </c>
      <c r="K86" s="10">
        <f>MOVIMIENTOS!$A86</f>
        <v>46222</v>
      </c>
    </row>
    <row r="87" spans="10:11" x14ac:dyDescent="0.2">
      <c r="J87" t="str">
        <f>IF(AND(MOVIMIENTOS!$A87&lt;&gt;"",COUNTIF(MOVIMIENTOS!$A$5:$A86,MOVIMIENTOS!$A87)=0),COUNT(J$4:J86)+1,"")</f>
        <v/>
      </c>
      <c r="K87" s="10">
        <f>MOVIMIENTOS!$A87</f>
        <v>46222</v>
      </c>
    </row>
    <row r="88" spans="10:11" x14ac:dyDescent="0.2">
      <c r="J88" t="str">
        <f>IF(AND(MOVIMIENTOS!$A88&lt;&gt;"",COUNTIF(MOVIMIENTOS!$A$5:$A87,MOVIMIENTOS!$A88)=0),COUNT(J$4:J87)+1,"")</f>
        <v/>
      </c>
      <c r="K88" s="10">
        <f>MOVIMIENTOS!$A88</f>
        <v>46222</v>
      </c>
    </row>
    <row r="89" spans="10:11" x14ac:dyDescent="0.2">
      <c r="J89">
        <f>IF(AND(MOVIMIENTOS!$A89&lt;&gt;"",COUNTIF(MOVIMIENTOS!$A$5:$A88,MOVIMIENTOS!$A89)=0),COUNT(J$4:J88)+1,"")</f>
        <v>10</v>
      </c>
      <c r="K89" s="10">
        <f>MOVIMIENTOS!$A89</f>
        <v>46223</v>
      </c>
    </row>
    <row r="90" spans="10:11" x14ac:dyDescent="0.2">
      <c r="J90" t="str">
        <f>IF(AND(MOVIMIENTOS!$A90&lt;&gt;"",COUNTIF(MOVIMIENTOS!$A$5:$A89,MOVIMIENTOS!$A90)=0),COUNT(J$4:J89)+1,"")</f>
        <v/>
      </c>
      <c r="K90" s="10">
        <f>MOVIMIENTOS!$A90</f>
        <v>46223</v>
      </c>
    </row>
    <row r="91" spans="10:11" x14ac:dyDescent="0.2">
      <c r="J91" t="str">
        <f>IF(AND(MOVIMIENTOS!$A91&lt;&gt;"",COUNTIF(MOVIMIENTOS!$A$5:$A90,MOVIMIENTOS!$A91)=0),COUNT(J$4:J90)+1,"")</f>
        <v/>
      </c>
      <c r="K91" s="10">
        <f>MOVIMIENTOS!$A91</f>
        <v>46223</v>
      </c>
    </row>
    <row r="92" spans="10:11" x14ac:dyDescent="0.2">
      <c r="J92" t="str">
        <f>IF(AND(MOVIMIENTOS!$A92&lt;&gt;"",COUNTIF(MOVIMIENTOS!$A$5:$A91,MOVIMIENTOS!$A92)=0),COUNT(J$4:J91)+1,"")</f>
        <v/>
      </c>
      <c r="K92" s="10">
        <f>MOVIMIENTOS!$A92</f>
        <v>46223</v>
      </c>
    </row>
    <row r="93" spans="10:11" x14ac:dyDescent="0.2">
      <c r="J93" t="str">
        <f>IF(AND(MOVIMIENTOS!$A93&lt;&gt;"",COUNTIF(MOVIMIENTOS!$A$5:$A92,MOVIMIENTOS!$A93)=0),COUNT(J$4:J92)+1,"")</f>
        <v/>
      </c>
      <c r="K93" s="10">
        <f>MOVIMIENTOS!$A93</f>
        <v>46223</v>
      </c>
    </row>
    <row r="94" spans="10:11" x14ac:dyDescent="0.2">
      <c r="J94" t="str">
        <f>IF(AND(MOVIMIENTOS!$A94&lt;&gt;"",COUNTIF(MOVIMIENTOS!$A$5:$A93,MOVIMIENTOS!$A94)=0),COUNT(J$4:J93)+1,"")</f>
        <v/>
      </c>
      <c r="K94" s="10">
        <f>MOVIMIENTOS!$A94</f>
        <v>46223</v>
      </c>
    </row>
    <row r="95" spans="10:11" x14ac:dyDescent="0.2">
      <c r="J95" t="str">
        <f>IF(AND(MOVIMIENTOS!$A95&lt;&gt;"",COUNTIF(MOVIMIENTOS!$A$5:$A94,MOVIMIENTOS!$A95)=0),COUNT(J$4:J94)+1,"")</f>
        <v/>
      </c>
      <c r="K95" s="10">
        <f>MOVIMIENTOS!$A95</f>
        <v>46223</v>
      </c>
    </row>
    <row r="96" spans="10:11" x14ac:dyDescent="0.2">
      <c r="J96" t="str">
        <f>IF(AND(MOVIMIENTOS!$A96&lt;&gt;"",COUNTIF(MOVIMIENTOS!$A$5:$A95,MOVIMIENTOS!$A96)=0),COUNT(J$4:J95)+1,"")</f>
        <v/>
      </c>
      <c r="K96" s="10">
        <f>MOVIMIENTOS!$A96</f>
        <v>46223</v>
      </c>
    </row>
    <row r="97" spans="10:11" x14ac:dyDescent="0.2">
      <c r="J97" t="str">
        <f>IF(AND(MOVIMIENTOS!$A97&lt;&gt;"",COUNTIF(MOVIMIENTOS!$A$5:$A96,MOVIMIENTOS!$A97)=0),COUNT(J$4:J96)+1,"")</f>
        <v/>
      </c>
      <c r="K97" s="10">
        <f>MOVIMIENTOS!$A97</f>
        <v>46223</v>
      </c>
    </row>
    <row r="98" spans="10:11" x14ac:dyDescent="0.2">
      <c r="J98" t="str">
        <f>IF(AND(MOVIMIENTOS!$A98&lt;&gt;"",COUNTIF(MOVIMIENTOS!$A$5:$A97,MOVIMIENTOS!$A98)=0),COUNT(J$4:J97)+1,"")</f>
        <v/>
      </c>
      <c r="K98" s="10">
        <f>MOVIMIENTOS!$A98</f>
        <v>46223</v>
      </c>
    </row>
    <row r="99" spans="10:11" x14ac:dyDescent="0.2">
      <c r="J99" t="str">
        <f>IF(AND(MOVIMIENTOS!$A99&lt;&gt;"",COUNTIF(MOVIMIENTOS!$A$5:$A98,MOVIMIENTOS!$A99)=0),COUNT(J$4:J98)+1,"")</f>
        <v/>
      </c>
      <c r="K99" s="10">
        <f>MOVIMIENTOS!$A99</f>
        <v>46223</v>
      </c>
    </row>
    <row r="100" spans="10:11" x14ac:dyDescent="0.2">
      <c r="J100" t="str">
        <f>IF(AND(MOVIMIENTOS!$A100&lt;&gt;"",COUNTIF(MOVIMIENTOS!$A$5:$A99,MOVIMIENTOS!$A100)=0),COUNT(J$4:J99)+1,"")</f>
        <v/>
      </c>
      <c r="K100" s="10">
        <f>MOVIMIENTOS!$A100</f>
        <v>46223</v>
      </c>
    </row>
    <row r="101" spans="10:11" x14ac:dyDescent="0.2">
      <c r="J101" t="str">
        <f>IF(AND(MOVIMIENTOS!$A101&lt;&gt;"",COUNTIF(MOVIMIENTOS!$A$5:$A100,MOVIMIENTOS!$A101)=0),COUNT(J$4:J100)+1,"")</f>
        <v/>
      </c>
      <c r="K101" s="10">
        <f>MOVIMIENTOS!$A101</f>
        <v>46223</v>
      </c>
    </row>
    <row r="102" spans="10:11" x14ac:dyDescent="0.2">
      <c r="J102" t="str">
        <f>IF(AND(MOVIMIENTOS!$A102&lt;&gt;"",COUNTIF(MOVIMIENTOS!$A$5:$A101,MOVIMIENTOS!$A102)=0),COUNT(J$4:J101)+1,"")</f>
        <v/>
      </c>
      <c r="K102" s="10">
        <f>MOVIMIENTOS!$A102</f>
        <v>46223</v>
      </c>
    </row>
    <row r="103" spans="10:11" x14ac:dyDescent="0.2">
      <c r="J103">
        <f>IF(AND(MOVIMIENTOS!$A103&lt;&gt;"",COUNTIF(MOVIMIENTOS!$A$5:$A102,MOVIMIENTOS!$A103)=0),COUNT(J$4:J102)+1,"")</f>
        <v>11</v>
      </c>
      <c r="K103" s="10">
        <f>MOVIMIENTOS!$A103</f>
        <v>46224</v>
      </c>
    </row>
    <row r="104" spans="10:11" x14ac:dyDescent="0.2">
      <c r="J104" t="str">
        <f>IF(AND(MOVIMIENTOS!$A104&lt;&gt;"",COUNTIF(MOVIMIENTOS!$A$5:$A103,MOVIMIENTOS!$A104)=0),COUNT(J$4:J103)+1,"")</f>
        <v/>
      </c>
      <c r="K104" s="10">
        <f>MOVIMIENTOS!$A104</f>
        <v>46224</v>
      </c>
    </row>
    <row r="105" spans="10:11" x14ac:dyDescent="0.2">
      <c r="J105" t="str">
        <f>IF(AND(MOVIMIENTOS!$A105&lt;&gt;"",COUNTIF(MOVIMIENTOS!$A$5:$A104,MOVIMIENTOS!$A105)=0),COUNT(J$4:J104)+1,"")</f>
        <v/>
      </c>
      <c r="K105" s="10">
        <f>MOVIMIENTOS!$A105</f>
        <v>46224</v>
      </c>
    </row>
    <row r="106" spans="10:11" x14ac:dyDescent="0.2">
      <c r="J106" t="str">
        <f>IF(AND(MOVIMIENTOS!$A106&lt;&gt;"",COUNTIF(MOVIMIENTOS!$A$5:$A105,MOVIMIENTOS!$A106)=0),COUNT(J$4:J105)+1,"")</f>
        <v/>
      </c>
      <c r="K106" s="10">
        <f>MOVIMIENTOS!$A106</f>
        <v>46224</v>
      </c>
    </row>
    <row r="107" spans="10:11" x14ac:dyDescent="0.2">
      <c r="J107" t="str">
        <f>IF(AND(MOVIMIENTOS!$A107&lt;&gt;"",COUNTIF(MOVIMIENTOS!$A$5:$A106,MOVIMIENTOS!$A107)=0),COUNT(J$4:J106)+1,"")</f>
        <v/>
      </c>
      <c r="K107" s="10">
        <f>MOVIMIENTOS!$A107</f>
        <v>46224</v>
      </c>
    </row>
    <row r="108" spans="10:11" x14ac:dyDescent="0.2">
      <c r="J108" t="str">
        <f>IF(AND(MOVIMIENTOS!$A108&lt;&gt;"",COUNTIF(MOVIMIENTOS!$A$5:$A107,MOVIMIENTOS!$A108)=0),COUNT(J$4:J107)+1,"")</f>
        <v/>
      </c>
      <c r="K108" s="10">
        <f>MOVIMIENTOS!$A108</f>
        <v>46224</v>
      </c>
    </row>
    <row r="109" spans="10:11" x14ac:dyDescent="0.2">
      <c r="J109" t="str">
        <f>IF(AND(MOVIMIENTOS!$A109&lt;&gt;"",COUNTIF(MOVIMIENTOS!$A$5:$A108,MOVIMIENTOS!$A109)=0),COUNT(J$4:J108)+1,"")</f>
        <v/>
      </c>
      <c r="K109" s="10">
        <f>MOVIMIENTOS!$A109</f>
        <v>46224</v>
      </c>
    </row>
    <row r="110" spans="10:11" x14ac:dyDescent="0.2">
      <c r="J110" t="str">
        <f>IF(AND(MOVIMIENTOS!$A110&lt;&gt;"",COUNTIF(MOVIMIENTOS!$A$5:$A109,MOVIMIENTOS!$A110)=0),COUNT(J$4:J109)+1,"")</f>
        <v/>
      </c>
      <c r="K110" s="10">
        <f>MOVIMIENTOS!$A110</f>
        <v>46224</v>
      </c>
    </row>
    <row r="111" spans="10:11" x14ac:dyDescent="0.2">
      <c r="J111" t="str">
        <f>IF(AND(MOVIMIENTOS!$A111&lt;&gt;"",COUNTIF(MOVIMIENTOS!$A$5:$A110,MOVIMIENTOS!$A111)=0),COUNT(J$4:J110)+1,"")</f>
        <v/>
      </c>
      <c r="K111" s="10">
        <f>MOVIMIENTOS!$A111</f>
        <v>46224</v>
      </c>
    </row>
    <row r="112" spans="10:11" x14ac:dyDescent="0.2">
      <c r="J112" t="str">
        <f>IF(AND(MOVIMIENTOS!$A112&lt;&gt;"",COUNTIF(MOVIMIENTOS!$A$5:$A111,MOVIMIENTOS!$A112)=0),COUNT(J$4:J111)+1,"")</f>
        <v/>
      </c>
      <c r="K112" s="10">
        <f>MOVIMIENTOS!$A112</f>
        <v>46224</v>
      </c>
    </row>
    <row r="113" spans="10:11" x14ac:dyDescent="0.2">
      <c r="J113" t="str">
        <f>IF(AND(MOVIMIENTOS!$A113&lt;&gt;"",COUNTIF(MOVIMIENTOS!$A$5:$A112,MOVIMIENTOS!$A113)=0),COUNT(J$4:J112)+1,"")</f>
        <v/>
      </c>
      <c r="K113" s="10">
        <f>MOVIMIENTOS!$A113</f>
        <v>46224</v>
      </c>
    </row>
    <row r="114" spans="10:11" x14ac:dyDescent="0.2">
      <c r="J114" t="str">
        <f>IF(AND(MOVIMIENTOS!$A114&lt;&gt;"",COUNTIF(MOVIMIENTOS!$A$5:$A113,MOVIMIENTOS!$A114)=0),COUNT(J$4:J113)+1,"")</f>
        <v/>
      </c>
      <c r="K114" s="10">
        <f>MOVIMIENTOS!$A114</f>
        <v>46224</v>
      </c>
    </row>
    <row r="115" spans="10:11" x14ac:dyDescent="0.2">
      <c r="J115" t="str">
        <f>IF(AND(MOVIMIENTOS!$A115&lt;&gt;"",COUNTIF(MOVIMIENTOS!$A$5:$A114,MOVIMIENTOS!$A115)=0),COUNT(J$4:J114)+1,"")</f>
        <v/>
      </c>
      <c r="K115" s="10">
        <f>MOVIMIENTOS!$A115</f>
        <v>46224</v>
      </c>
    </row>
    <row r="116" spans="10:11" x14ac:dyDescent="0.2">
      <c r="J116" t="str">
        <f>IF(AND(MOVIMIENTOS!$A116&lt;&gt;"",COUNTIF(MOVIMIENTOS!$A$5:$A115,MOVIMIENTOS!$A116)=0),COUNT(J$4:J115)+1,"")</f>
        <v/>
      </c>
      <c r="K116" s="10">
        <f>MOVIMIENTOS!$A116</f>
        <v>46224</v>
      </c>
    </row>
    <row r="117" spans="10:11" x14ac:dyDescent="0.2">
      <c r="J117" t="str">
        <f>IF(AND(MOVIMIENTOS!$A117&lt;&gt;"",COUNTIF(MOVIMIENTOS!$A$5:$A116,MOVIMIENTOS!$A117)=0),COUNT(J$4:J116)+1,"")</f>
        <v/>
      </c>
      <c r="K117" s="10">
        <f>MOVIMIENTOS!$A117</f>
        <v>46224</v>
      </c>
    </row>
    <row r="118" spans="10:11" x14ac:dyDescent="0.2">
      <c r="J118" t="str">
        <f>IF(AND(MOVIMIENTOS!$A118&lt;&gt;"",COUNTIF(MOVIMIENTOS!$A$5:$A117,MOVIMIENTOS!$A118)=0),COUNT(J$4:J117)+1,"")</f>
        <v/>
      </c>
      <c r="K118" s="10">
        <f>MOVIMIENTOS!$A118</f>
        <v>46224</v>
      </c>
    </row>
    <row r="119" spans="10:11" x14ac:dyDescent="0.2">
      <c r="J119" t="str">
        <f>IF(AND(MOVIMIENTOS!$A119&lt;&gt;"",COUNTIF(MOVIMIENTOS!$A$5:$A118,MOVIMIENTOS!$A119)=0),COUNT(J$4:J118)+1,"")</f>
        <v/>
      </c>
      <c r="K119" s="10">
        <f>MOVIMIENTOS!$A119</f>
        <v>46224</v>
      </c>
    </row>
    <row r="120" spans="10:11" x14ac:dyDescent="0.2">
      <c r="J120" t="str">
        <f>IF(AND(MOVIMIENTOS!$A120&lt;&gt;"",COUNTIF(MOVIMIENTOS!$A$5:$A119,MOVIMIENTOS!$A120)=0),COUNT(J$4:J119)+1,"")</f>
        <v/>
      </c>
      <c r="K120" s="10">
        <f>MOVIMIENTOS!$A120</f>
        <v>46224</v>
      </c>
    </row>
    <row r="121" spans="10:11" x14ac:dyDescent="0.2">
      <c r="J121">
        <f>IF(AND(MOVIMIENTOS!$A121&lt;&gt;"",COUNTIF(MOVIMIENTOS!$A$5:$A120,MOVIMIENTOS!$A121)=0),COUNT(J$4:J120)+1,"")</f>
        <v>12</v>
      </c>
      <c r="K121" s="10">
        <f>MOVIMIENTOS!$A121</f>
        <v>46225</v>
      </c>
    </row>
    <row r="122" spans="10:11" x14ac:dyDescent="0.2">
      <c r="J122" t="str">
        <f>IF(AND(MOVIMIENTOS!$A122&lt;&gt;"",COUNTIF(MOVIMIENTOS!$A$5:$A121,MOVIMIENTOS!$A122)=0),COUNT(J$4:J121)+1,"")</f>
        <v/>
      </c>
      <c r="K122" s="10">
        <f>MOVIMIENTOS!$A122</f>
        <v>46225</v>
      </c>
    </row>
    <row r="123" spans="10:11" x14ac:dyDescent="0.2">
      <c r="J123" t="str">
        <f>IF(AND(MOVIMIENTOS!$A123&lt;&gt;"",COUNTIF(MOVIMIENTOS!$A$5:$A122,MOVIMIENTOS!$A123)=0),COUNT(J$4:J122)+1,"")</f>
        <v/>
      </c>
      <c r="K123" s="10">
        <f>MOVIMIENTOS!$A123</f>
        <v>46225</v>
      </c>
    </row>
    <row r="124" spans="10:11" x14ac:dyDescent="0.2">
      <c r="J124" t="str">
        <f>IF(AND(MOVIMIENTOS!$A124&lt;&gt;"",COUNTIF(MOVIMIENTOS!$A$5:$A123,MOVIMIENTOS!$A124)=0),COUNT(J$4:J123)+1,"")</f>
        <v/>
      </c>
      <c r="K124" s="10">
        <f>MOVIMIENTOS!$A124</f>
        <v>46225</v>
      </c>
    </row>
    <row r="125" spans="10:11" x14ac:dyDescent="0.2">
      <c r="J125" t="str">
        <f>IF(AND(MOVIMIENTOS!$A125&lt;&gt;"",COUNTIF(MOVIMIENTOS!$A$5:$A124,MOVIMIENTOS!$A125)=0),COUNT(J$4:J124)+1,"")</f>
        <v/>
      </c>
      <c r="K125" s="10">
        <f>MOVIMIENTOS!$A125</f>
        <v>46225</v>
      </c>
    </row>
    <row r="126" spans="10:11" x14ac:dyDescent="0.2">
      <c r="J126" t="str">
        <f>IF(AND(MOVIMIENTOS!$A126&lt;&gt;"",COUNTIF(MOVIMIENTOS!$A$5:$A125,MOVIMIENTOS!$A126)=0),COUNT(J$4:J125)+1,"")</f>
        <v/>
      </c>
      <c r="K126" s="10">
        <f>MOVIMIENTOS!$A126</f>
        <v>46225</v>
      </c>
    </row>
    <row r="127" spans="10:11" x14ac:dyDescent="0.2">
      <c r="J127" t="str">
        <f>IF(AND(MOVIMIENTOS!$A127&lt;&gt;"",COUNTIF(MOVIMIENTOS!$A$5:$A126,MOVIMIENTOS!$A127)=0),COUNT(J$4:J126)+1,"")</f>
        <v/>
      </c>
      <c r="K127" s="10">
        <f>MOVIMIENTOS!$A127</f>
        <v>46225</v>
      </c>
    </row>
    <row r="128" spans="10:11" x14ac:dyDescent="0.2">
      <c r="J128" t="str">
        <f>IF(AND(MOVIMIENTOS!$A128&lt;&gt;"",COUNTIF(MOVIMIENTOS!$A$5:$A127,MOVIMIENTOS!$A128)=0),COUNT(J$4:J127)+1,"")</f>
        <v/>
      </c>
      <c r="K128" s="10">
        <f>MOVIMIENTOS!$A128</f>
        <v>46225</v>
      </c>
    </row>
    <row r="129" spans="10:11" x14ac:dyDescent="0.2">
      <c r="J129" t="str">
        <f>IF(AND(MOVIMIENTOS!$A129&lt;&gt;"",COUNTIF(MOVIMIENTOS!$A$5:$A128,MOVIMIENTOS!$A129)=0),COUNT(J$4:J128)+1,"")</f>
        <v/>
      </c>
      <c r="K129" s="10">
        <f>MOVIMIENTOS!$A129</f>
        <v>46225</v>
      </c>
    </row>
    <row r="130" spans="10:11" x14ac:dyDescent="0.2">
      <c r="J130" t="str">
        <f>IF(AND(MOVIMIENTOS!$A130&lt;&gt;"",COUNTIF(MOVIMIENTOS!$A$5:$A129,MOVIMIENTOS!$A130)=0),COUNT(J$4:J129)+1,"")</f>
        <v/>
      </c>
      <c r="K130" s="10">
        <f>MOVIMIENTOS!$A130</f>
        <v>46225</v>
      </c>
    </row>
    <row r="131" spans="10:11" x14ac:dyDescent="0.2">
      <c r="J131" t="str">
        <f>IF(AND(MOVIMIENTOS!$A131&lt;&gt;"",COUNTIF(MOVIMIENTOS!$A$5:$A130,MOVIMIENTOS!$A131)=0),COUNT(J$4:J130)+1,"")</f>
        <v/>
      </c>
      <c r="K131" s="10">
        <f>MOVIMIENTOS!$A131</f>
        <v>46225</v>
      </c>
    </row>
    <row r="132" spans="10:11" x14ac:dyDescent="0.2">
      <c r="J132" t="str">
        <f>IF(AND(MOVIMIENTOS!$A132&lt;&gt;"",COUNTIF(MOVIMIENTOS!$A$5:$A131,MOVIMIENTOS!$A132)=0),COUNT(J$4:J131)+1,"")</f>
        <v/>
      </c>
      <c r="K132" s="10">
        <f>MOVIMIENTOS!$A132</f>
        <v>46225</v>
      </c>
    </row>
    <row r="133" spans="10:11" x14ac:dyDescent="0.2">
      <c r="J133" t="str">
        <f>IF(AND(MOVIMIENTOS!$A133&lt;&gt;"",COUNTIF(MOVIMIENTOS!$A$5:$A132,MOVIMIENTOS!$A133)=0),COUNT(J$4:J132)+1,"")</f>
        <v/>
      </c>
      <c r="K133" s="10">
        <f>MOVIMIENTOS!$A133</f>
        <v>46225</v>
      </c>
    </row>
    <row r="134" spans="10:11" x14ac:dyDescent="0.2">
      <c r="J134" t="str">
        <f>IF(AND(MOVIMIENTOS!$A134&lt;&gt;"",COUNTIF(MOVIMIENTOS!$A$5:$A133,MOVIMIENTOS!$A134)=0),COUNT(J$4:J133)+1,"")</f>
        <v/>
      </c>
      <c r="K134" s="10">
        <f>MOVIMIENTOS!$A134</f>
        <v>46225</v>
      </c>
    </row>
    <row r="135" spans="10:11" x14ac:dyDescent="0.2">
      <c r="J135" t="str">
        <f>IF(AND(MOVIMIENTOS!$A135&lt;&gt;"",COUNTIF(MOVIMIENTOS!$A$5:$A134,MOVIMIENTOS!$A135)=0),COUNT(J$4:J134)+1,"")</f>
        <v/>
      </c>
      <c r="K135" s="10">
        <f>MOVIMIENTOS!$A135</f>
        <v>46225</v>
      </c>
    </row>
    <row r="136" spans="10:11" x14ac:dyDescent="0.2">
      <c r="J136" t="str">
        <f>IF(AND(MOVIMIENTOS!$A136&lt;&gt;"",COUNTIF(MOVIMIENTOS!$A$5:$A135,MOVIMIENTOS!$A136)=0),COUNT(J$4:J135)+1,"")</f>
        <v/>
      </c>
      <c r="K136" s="10">
        <f>MOVIMIENTOS!$A136</f>
        <v>46225</v>
      </c>
    </row>
    <row r="137" spans="10:11" x14ac:dyDescent="0.2">
      <c r="J137">
        <f>IF(AND(MOVIMIENTOS!$A137&lt;&gt;"",COUNTIF(MOVIMIENTOS!$A$5:$A136,MOVIMIENTOS!$A137)=0),COUNT(J$4:J136)+1,"")</f>
        <v>13</v>
      </c>
      <c r="K137" s="10">
        <f>MOVIMIENTOS!$A137</f>
        <v>46226</v>
      </c>
    </row>
    <row r="138" spans="10:11" x14ac:dyDescent="0.2">
      <c r="J138" t="str">
        <f>IF(AND(MOVIMIENTOS!$A138&lt;&gt;"",COUNTIF(MOVIMIENTOS!$A$5:$A137,MOVIMIENTOS!$A138)=0),COUNT(J$4:J137)+1,"")</f>
        <v/>
      </c>
      <c r="K138" s="10">
        <f>MOVIMIENTOS!$A138</f>
        <v>46226</v>
      </c>
    </row>
    <row r="139" spans="10:11" x14ac:dyDescent="0.2">
      <c r="J139" t="str">
        <f>IF(AND(MOVIMIENTOS!$A139&lt;&gt;"",COUNTIF(MOVIMIENTOS!$A$5:$A138,MOVIMIENTOS!$A139)=0),COUNT(J$4:J138)+1,"")</f>
        <v/>
      </c>
      <c r="K139" s="10">
        <f>MOVIMIENTOS!$A139</f>
        <v>46226</v>
      </c>
    </row>
    <row r="140" spans="10:11" x14ac:dyDescent="0.2">
      <c r="J140" t="str">
        <f>IF(AND(MOVIMIENTOS!$A140&lt;&gt;"",COUNTIF(MOVIMIENTOS!$A$5:$A139,MOVIMIENTOS!$A140)=0),COUNT(J$4:J139)+1,"")</f>
        <v/>
      </c>
      <c r="K140" s="10">
        <f>MOVIMIENTOS!$A140</f>
        <v>46226</v>
      </c>
    </row>
    <row r="141" spans="10:11" x14ac:dyDescent="0.2">
      <c r="J141" t="str">
        <f>IF(AND(MOVIMIENTOS!$A141&lt;&gt;"",COUNTIF(MOVIMIENTOS!$A$5:$A140,MOVIMIENTOS!$A141)=0),COUNT(J$4:J140)+1,"")</f>
        <v/>
      </c>
      <c r="K141" s="10">
        <f>MOVIMIENTOS!$A141</f>
        <v>46226</v>
      </c>
    </row>
    <row r="142" spans="10:11" x14ac:dyDescent="0.2">
      <c r="J142" t="str">
        <f>IF(AND(MOVIMIENTOS!$A142&lt;&gt;"",COUNTIF(MOVIMIENTOS!$A$5:$A141,MOVIMIENTOS!$A142)=0),COUNT(J$4:J141)+1,"")</f>
        <v/>
      </c>
      <c r="K142" s="10">
        <f>MOVIMIENTOS!$A142</f>
        <v>46226</v>
      </c>
    </row>
    <row r="143" spans="10:11" x14ac:dyDescent="0.2">
      <c r="J143" t="str">
        <f>IF(AND(MOVIMIENTOS!$A143&lt;&gt;"",COUNTIF(MOVIMIENTOS!$A$5:$A142,MOVIMIENTOS!$A143)=0),COUNT(J$4:J142)+1,"")</f>
        <v/>
      </c>
      <c r="K143" s="10">
        <f>MOVIMIENTOS!$A143</f>
        <v>46226</v>
      </c>
    </row>
    <row r="144" spans="10:11" x14ac:dyDescent="0.2">
      <c r="J144" t="str">
        <f>IF(AND(MOVIMIENTOS!$A144&lt;&gt;"",COUNTIF(MOVIMIENTOS!$A$5:$A143,MOVIMIENTOS!$A144)=0),COUNT(J$4:J143)+1,"")</f>
        <v/>
      </c>
      <c r="K144" s="10">
        <f>MOVIMIENTOS!$A144</f>
        <v>46226</v>
      </c>
    </row>
    <row r="145" spans="10:11" x14ac:dyDescent="0.2">
      <c r="J145" t="str">
        <f>IF(AND(MOVIMIENTOS!$A145&lt;&gt;"",COUNTIF(MOVIMIENTOS!$A$5:$A144,MOVIMIENTOS!$A145)=0),COUNT(J$4:J144)+1,"")</f>
        <v/>
      </c>
      <c r="K145" s="10">
        <f>MOVIMIENTOS!$A145</f>
        <v>46226</v>
      </c>
    </row>
    <row r="146" spans="10:11" x14ac:dyDescent="0.2">
      <c r="J146" t="str">
        <f>IF(AND(MOVIMIENTOS!$A146&lt;&gt;"",COUNTIF(MOVIMIENTOS!$A$5:$A145,MOVIMIENTOS!$A146)=0),COUNT(J$4:J145)+1,"")</f>
        <v/>
      </c>
      <c r="K146" s="10">
        <f>MOVIMIENTOS!$A146</f>
        <v>46226</v>
      </c>
    </row>
    <row r="147" spans="10:11" x14ac:dyDescent="0.2">
      <c r="J147" t="str">
        <f>IF(AND(MOVIMIENTOS!$A147&lt;&gt;"",COUNTIF(MOVIMIENTOS!$A$5:$A146,MOVIMIENTOS!$A147)=0),COUNT(J$4:J146)+1,"")</f>
        <v/>
      </c>
      <c r="K147" s="10">
        <f>MOVIMIENTOS!$A147</f>
        <v>46226</v>
      </c>
    </row>
    <row r="148" spans="10:11" x14ac:dyDescent="0.2">
      <c r="J148" t="str">
        <f>IF(AND(MOVIMIENTOS!$A148&lt;&gt;"",COUNTIF(MOVIMIENTOS!$A$5:$A147,MOVIMIENTOS!$A148)=0),COUNT(J$4:J147)+1,"")</f>
        <v/>
      </c>
      <c r="K148" s="10">
        <f>MOVIMIENTOS!$A148</f>
        <v>46226</v>
      </c>
    </row>
    <row r="149" spans="10:11" x14ac:dyDescent="0.2">
      <c r="J149">
        <f>IF(AND(MOVIMIENTOS!$A149&lt;&gt;"",COUNTIF(MOVIMIENTOS!$A$5:$A148,MOVIMIENTOS!$A149)=0),COUNT(J$4:J148)+1,"")</f>
        <v>14</v>
      </c>
      <c r="K149" s="10">
        <f>MOVIMIENTOS!$A149</f>
        <v>46227</v>
      </c>
    </row>
    <row r="150" spans="10:11" x14ac:dyDescent="0.2">
      <c r="J150" t="str">
        <f>IF(AND(MOVIMIENTOS!$A150&lt;&gt;"",COUNTIF(MOVIMIENTOS!$A$5:$A149,MOVIMIENTOS!$A150)=0),COUNT(J$4:J149)+1,"")</f>
        <v/>
      </c>
      <c r="K150" s="10">
        <f>MOVIMIENTOS!$A150</f>
        <v>46227</v>
      </c>
    </row>
    <row r="151" spans="10:11" x14ac:dyDescent="0.2">
      <c r="J151" t="str">
        <f>IF(AND(MOVIMIENTOS!$A151&lt;&gt;"",COUNTIF(MOVIMIENTOS!$A$5:$A150,MOVIMIENTOS!$A151)=0),COUNT(J$4:J150)+1,"")</f>
        <v/>
      </c>
      <c r="K151" s="10">
        <f>MOVIMIENTOS!$A151</f>
        <v>46227</v>
      </c>
    </row>
    <row r="152" spans="10:11" x14ac:dyDescent="0.2">
      <c r="J152" t="str">
        <f>IF(AND(MOVIMIENTOS!$A152&lt;&gt;"",COUNTIF(MOVIMIENTOS!$A$5:$A151,MOVIMIENTOS!$A152)=0),COUNT(J$4:J151)+1,"")</f>
        <v/>
      </c>
      <c r="K152" s="10">
        <f>MOVIMIENTOS!$A152</f>
        <v>46227</v>
      </c>
    </row>
    <row r="153" spans="10:11" x14ac:dyDescent="0.2">
      <c r="J153" t="str">
        <f>IF(AND(MOVIMIENTOS!$A153&lt;&gt;"",COUNTIF(MOVIMIENTOS!$A$5:$A152,MOVIMIENTOS!$A153)=0),COUNT(J$4:J152)+1,"")</f>
        <v/>
      </c>
      <c r="K153" s="10">
        <f>MOVIMIENTOS!$A153</f>
        <v>46227</v>
      </c>
    </row>
    <row r="154" spans="10:11" x14ac:dyDescent="0.2">
      <c r="J154" t="str">
        <f>IF(AND(MOVIMIENTOS!$A154&lt;&gt;"",COUNTIF(MOVIMIENTOS!$A$5:$A153,MOVIMIENTOS!$A154)=0),COUNT(J$4:J153)+1,"")</f>
        <v/>
      </c>
      <c r="K154" s="10">
        <f>MOVIMIENTOS!$A154</f>
        <v>46227</v>
      </c>
    </row>
    <row r="155" spans="10:11" x14ac:dyDescent="0.2">
      <c r="J155" t="str">
        <f>IF(AND(MOVIMIENTOS!$A155&lt;&gt;"",COUNTIF(MOVIMIENTOS!$A$5:$A154,MOVIMIENTOS!$A155)=0),COUNT(J$4:J154)+1,"")</f>
        <v/>
      </c>
      <c r="K155" s="10">
        <f>MOVIMIENTOS!$A155</f>
        <v>46227</v>
      </c>
    </row>
    <row r="156" spans="10:11" x14ac:dyDescent="0.2">
      <c r="J156" t="str">
        <f>IF(AND(MOVIMIENTOS!$A156&lt;&gt;"",COUNTIF(MOVIMIENTOS!$A$5:$A155,MOVIMIENTOS!$A156)=0),COUNT(J$4:J155)+1,"")</f>
        <v/>
      </c>
      <c r="K156" s="10">
        <f>MOVIMIENTOS!$A156</f>
        <v>46227</v>
      </c>
    </row>
    <row r="157" spans="10:11" x14ac:dyDescent="0.2">
      <c r="J157" t="str">
        <f>IF(AND(MOVIMIENTOS!$A157&lt;&gt;"",COUNTIF(MOVIMIENTOS!$A$5:$A156,MOVIMIENTOS!$A157)=0),COUNT(J$4:J156)+1,"")</f>
        <v/>
      </c>
      <c r="K157" s="10">
        <f>MOVIMIENTOS!$A157</f>
        <v>46227</v>
      </c>
    </row>
    <row r="158" spans="10:11" x14ac:dyDescent="0.2">
      <c r="J158" t="str">
        <f>IF(AND(MOVIMIENTOS!$A158&lt;&gt;"",COUNTIF(MOVIMIENTOS!$A$5:$A157,MOVIMIENTOS!$A158)=0),COUNT(J$4:J157)+1,"")</f>
        <v/>
      </c>
      <c r="K158" s="10">
        <f>MOVIMIENTOS!$A158</f>
        <v>46227</v>
      </c>
    </row>
    <row r="159" spans="10:11" x14ac:dyDescent="0.2">
      <c r="J159" t="str">
        <f>IF(AND(MOVIMIENTOS!$A159&lt;&gt;"",COUNTIF(MOVIMIENTOS!$A$5:$A158,MOVIMIENTOS!$A159)=0),COUNT(J$4:J158)+1,"")</f>
        <v/>
      </c>
      <c r="K159" s="10">
        <f>MOVIMIENTOS!$A159</f>
        <v>46227</v>
      </c>
    </row>
    <row r="160" spans="10:11" x14ac:dyDescent="0.2">
      <c r="J160" t="str">
        <f>IF(AND(MOVIMIENTOS!$A160&lt;&gt;"",COUNTIF(MOVIMIENTOS!$A$5:$A159,MOVIMIENTOS!$A160)=0),COUNT(J$4:J159)+1,"")</f>
        <v/>
      </c>
      <c r="K160" s="10">
        <f>MOVIMIENTOS!$A160</f>
        <v>46227</v>
      </c>
    </row>
    <row r="161" spans="10:11" x14ac:dyDescent="0.2">
      <c r="J161" t="str">
        <f>IF(AND(MOVIMIENTOS!$A161&lt;&gt;"",COUNTIF(MOVIMIENTOS!$A$5:$A160,MOVIMIENTOS!$A161)=0),COUNT(J$4:J160)+1,"")</f>
        <v/>
      </c>
      <c r="K161" s="10">
        <f>MOVIMIENTOS!$A161</f>
        <v>46227</v>
      </c>
    </row>
    <row r="162" spans="10:11" x14ac:dyDescent="0.2">
      <c r="J162" t="str">
        <f>IF(AND(MOVIMIENTOS!$A162&lt;&gt;"",COUNTIF(MOVIMIENTOS!$A$5:$A161,MOVIMIENTOS!$A162)=0),COUNT(J$4:J161)+1,"")</f>
        <v/>
      </c>
      <c r="K162" s="10">
        <f>MOVIMIENTOS!$A162</f>
        <v>0</v>
      </c>
    </row>
    <row r="163" spans="10:11" x14ac:dyDescent="0.2">
      <c r="J163" t="str">
        <f>IF(AND(MOVIMIENTOS!$A163&lt;&gt;"",COUNTIF(MOVIMIENTOS!$A$5:$A162,MOVIMIENTOS!$A163)=0),COUNT(J$4:J162)+1,"")</f>
        <v/>
      </c>
      <c r="K163" s="10">
        <f>MOVIMIENTOS!$A163</f>
        <v>0</v>
      </c>
    </row>
    <row r="164" spans="10:11" x14ac:dyDescent="0.2">
      <c r="J164" t="str">
        <f>IF(AND(MOVIMIENTOS!$A164&lt;&gt;"",COUNTIF(MOVIMIENTOS!$A$5:$A163,MOVIMIENTOS!$A164)=0),COUNT(J$4:J163)+1,"")</f>
        <v/>
      </c>
      <c r="K164" s="10">
        <f>MOVIMIENTOS!$A164</f>
        <v>0</v>
      </c>
    </row>
    <row r="165" spans="10:11" x14ac:dyDescent="0.2">
      <c r="J165" t="str">
        <f>IF(AND(MOVIMIENTOS!$A165&lt;&gt;"",COUNTIF(MOVIMIENTOS!$A$5:$A164,MOVIMIENTOS!$A165)=0),COUNT(J$4:J164)+1,"")</f>
        <v/>
      </c>
      <c r="K165" s="10">
        <f>MOVIMIENTOS!$A165</f>
        <v>0</v>
      </c>
    </row>
    <row r="166" spans="10:11" x14ac:dyDescent="0.2">
      <c r="J166" t="str">
        <f>IF(AND(MOVIMIENTOS!$A166&lt;&gt;"",COUNTIF(MOVIMIENTOS!$A$5:$A165,MOVIMIENTOS!$A166)=0),COUNT(J$4:J165)+1,"")</f>
        <v/>
      </c>
      <c r="K166" s="10">
        <f>MOVIMIENTOS!$A166</f>
        <v>0</v>
      </c>
    </row>
    <row r="167" spans="10:11" x14ac:dyDescent="0.2">
      <c r="J167" t="str">
        <f>IF(AND(MOVIMIENTOS!$A167&lt;&gt;"",COUNTIF(MOVIMIENTOS!$A$5:$A166,MOVIMIENTOS!$A167)=0),COUNT(J$4:J166)+1,"")</f>
        <v/>
      </c>
      <c r="K167" s="10">
        <f>MOVIMIENTOS!$A167</f>
        <v>0</v>
      </c>
    </row>
    <row r="168" spans="10:11" x14ac:dyDescent="0.2">
      <c r="J168" t="str">
        <f>IF(AND(MOVIMIENTOS!$A168&lt;&gt;"",COUNTIF(MOVIMIENTOS!$A$5:$A167,MOVIMIENTOS!$A168)=0),COUNT(J$4:J167)+1,"")</f>
        <v/>
      </c>
      <c r="K168" s="10">
        <f>MOVIMIENTOS!$A168</f>
        <v>0</v>
      </c>
    </row>
    <row r="169" spans="10:11" x14ac:dyDescent="0.2">
      <c r="J169" t="str">
        <f>IF(AND(MOVIMIENTOS!$A169&lt;&gt;"",COUNTIF(MOVIMIENTOS!$A$5:$A168,MOVIMIENTOS!$A169)=0),COUNT(J$4:J168)+1,"")</f>
        <v/>
      </c>
      <c r="K169" s="10">
        <f>MOVIMIENTOS!$A169</f>
        <v>0</v>
      </c>
    </row>
    <row r="170" spans="10:11" x14ac:dyDescent="0.2">
      <c r="J170" t="str">
        <f>IF(AND(MOVIMIENTOS!$A170&lt;&gt;"",COUNTIF(MOVIMIENTOS!$A$5:$A169,MOVIMIENTOS!$A170)=0),COUNT(J$4:J169)+1,"")</f>
        <v/>
      </c>
      <c r="K170" s="10">
        <f>MOVIMIENTOS!$A170</f>
        <v>0</v>
      </c>
    </row>
    <row r="171" spans="10:11" x14ac:dyDescent="0.2">
      <c r="J171" t="str">
        <f>IF(AND(MOVIMIENTOS!$A171&lt;&gt;"",COUNTIF(MOVIMIENTOS!$A$5:$A170,MOVIMIENTOS!$A171)=0),COUNT(J$4:J170)+1,"")</f>
        <v/>
      </c>
      <c r="K171" s="10">
        <f>MOVIMIENTOS!$A171</f>
        <v>0</v>
      </c>
    </row>
    <row r="172" spans="10:11" x14ac:dyDescent="0.2">
      <c r="J172" t="str">
        <f>IF(AND(MOVIMIENTOS!$A172&lt;&gt;"",COUNTIF(MOVIMIENTOS!$A$5:$A171,MOVIMIENTOS!$A172)=0),COUNT(J$4:J171)+1,"")</f>
        <v/>
      </c>
      <c r="K172" s="10">
        <f>MOVIMIENTOS!$A172</f>
        <v>0</v>
      </c>
    </row>
    <row r="173" spans="10:11" x14ac:dyDescent="0.2">
      <c r="J173" t="str">
        <f>IF(AND(MOVIMIENTOS!$A173&lt;&gt;"",COUNTIF(MOVIMIENTOS!$A$5:$A172,MOVIMIENTOS!$A173)=0),COUNT(J$4:J172)+1,"")</f>
        <v/>
      </c>
      <c r="K173" s="10">
        <f>MOVIMIENTOS!$A173</f>
        <v>0</v>
      </c>
    </row>
    <row r="174" spans="10:11" x14ac:dyDescent="0.2">
      <c r="J174" t="str">
        <f>IF(AND(MOVIMIENTOS!$A174&lt;&gt;"",COUNTIF(MOVIMIENTOS!$A$5:$A173,MOVIMIENTOS!$A174)=0),COUNT(J$4:J173)+1,"")</f>
        <v/>
      </c>
      <c r="K174" s="10">
        <f>MOVIMIENTOS!$A174</f>
        <v>0</v>
      </c>
    </row>
    <row r="175" spans="10:11" x14ac:dyDescent="0.2">
      <c r="J175" t="str">
        <f>IF(AND(MOVIMIENTOS!$A175&lt;&gt;"",COUNTIF(MOVIMIENTOS!$A$5:$A174,MOVIMIENTOS!$A175)=0),COUNT(J$4:J174)+1,"")</f>
        <v/>
      </c>
      <c r="K175" s="10">
        <f>MOVIMIENTOS!$A175</f>
        <v>0</v>
      </c>
    </row>
    <row r="176" spans="10:11" x14ac:dyDescent="0.2">
      <c r="J176" t="str">
        <f>IF(AND(MOVIMIENTOS!$A176&lt;&gt;"",COUNTIF(MOVIMIENTOS!$A$5:$A175,MOVIMIENTOS!$A176)=0),COUNT(J$4:J175)+1,"")</f>
        <v/>
      </c>
      <c r="K176" s="10">
        <f>MOVIMIENTOS!$A176</f>
        <v>0</v>
      </c>
    </row>
    <row r="177" spans="10:11" x14ac:dyDescent="0.2">
      <c r="J177" t="str">
        <f>IF(AND(MOVIMIENTOS!$A177&lt;&gt;"",COUNTIF(MOVIMIENTOS!$A$5:$A176,MOVIMIENTOS!$A177)=0),COUNT(J$4:J176)+1,"")</f>
        <v/>
      </c>
      <c r="K177" s="10">
        <f>MOVIMIENTOS!$A177</f>
        <v>0</v>
      </c>
    </row>
    <row r="178" spans="10:11" x14ac:dyDescent="0.2">
      <c r="J178" t="str">
        <f>IF(AND(MOVIMIENTOS!$A178&lt;&gt;"",COUNTIF(MOVIMIENTOS!$A$5:$A177,MOVIMIENTOS!$A178)=0),COUNT(J$4:J177)+1,"")</f>
        <v/>
      </c>
      <c r="K178" s="10">
        <f>MOVIMIENTOS!$A178</f>
        <v>0</v>
      </c>
    </row>
    <row r="179" spans="10:11" x14ac:dyDescent="0.2">
      <c r="J179" t="str">
        <f>IF(AND(MOVIMIENTOS!$A179&lt;&gt;"",COUNTIF(MOVIMIENTOS!$A$5:$A178,MOVIMIENTOS!$A179)=0),COUNT(J$4:J178)+1,"")</f>
        <v/>
      </c>
      <c r="K179" s="10">
        <f>MOVIMIENTOS!$A179</f>
        <v>0</v>
      </c>
    </row>
    <row r="180" spans="10:11" x14ac:dyDescent="0.2">
      <c r="J180" t="str">
        <f>IF(AND(MOVIMIENTOS!$A180&lt;&gt;"",COUNTIF(MOVIMIENTOS!$A$5:$A179,MOVIMIENTOS!$A180)=0),COUNT(J$4:J179)+1,"")</f>
        <v/>
      </c>
      <c r="K180" s="10">
        <f>MOVIMIENTOS!$A180</f>
        <v>0</v>
      </c>
    </row>
    <row r="181" spans="10:11" x14ac:dyDescent="0.2">
      <c r="J181" t="str">
        <f>IF(AND(MOVIMIENTOS!$A181&lt;&gt;"",COUNTIF(MOVIMIENTOS!$A$5:$A180,MOVIMIENTOS!$A181)=0),COUNT(J$4:J180)+1,"")</f>
        <v/>
      </c>
      <c r="K181" s="10">
        <f>MOVIMIENTOS!$A181</f>
        <v>0</v>
      </c>
    </row>
    <row r="182" spans="10:11" x14ac:dyDescent="0.2">
      <c r="J182" t="str">
        <f>IF(AND(MOVIMIENTOS!$A182&lt;&gt;"",COUNTIF(MOVIMIENTOS!$A$5:$A181,MOVIMIENTOS!$A182)=0),COUNT(J$4:J181)+1,"")</f>
        <v/>
      </c>
      <c r="K182" s="10">
        <f>MOVIMIENTOS!$A182</f>
        <v>0</v>
      </c>
    </row>
    <row r="183" spans="10:11" x14ac:dyDescent="0.2">
      <c r="J183" t="str">
        <f>IF(AND(MOVIMIENTOS!$A183&lt;&gt;"",COUNTIF(MOVIMIENTOS!$A$5:$A182,MOVIMIENTOS!$A183)=0),COUNT(J$4:J182)+1,"")</f>
        <v/>
      </c>
      <c r="K183" s="10">
        <f>MOVIMIENTOS!$A183</f>
        <v>0</v>
      </c>
    </row>
    <row r="184" spans="10:11" x14ac:dyDescent="0.2">
      <c r="J184" t="str">
        <f>IF(AND(MOVIMIENTOS!$A184&lt;&gt;"",COUNTIF(MOVIMIENTOS!$A$5:$A183,MOVIMIENTOS!$A184)=0),COUNT(J$4:J183)+1,"")</f>
        <v/>
      </c>
      <c r="K184" s="10">
        <f>MOVIMIENTOS!$A184</f>
        <v>0</v>
      </c>
    </row>
    <row r="185" spans="10:11" x14ac:dyDescent="0.2">
      <c r="J185" t="str">
        <f>IF(AND(MOVIMIENTOS!$A185&lt;&gt;"",COUNTIF(MOVIMIENTOS!$A$5:$A184,MOVIMIENTOS!$A185)=0),COUNT(J$4:J184)+1,"")</f>
        <v/>
      </c>
      <c r="K185" s="10">
        <f>MOVIMIENTOS!$A185</f>
        <v>0</v>
      </c>
    </row>
    <row r="186" spans="10:11" x14ac:dyDescent="0.2">
      <c r="J186" t="str">
        <f>IF(AND(MOVIMIENTOS!$A186&lt;&gt;"",COUNTIF(MOVIMIENTOS!$A$5:$A185,MOVIMIENTOS!$A186)=0),COUNT(J$4:J185)+1,"")</f>
        <v/>
      </c>
      <c r="K186" s="10">
        <f>MOVIMIENTOS!$A186</f>
        <v>0</v>
      </c>
    </row>
    <row r="187" spans="10:11" x14ac:dyDescent="0.2">
      <c r="J187" t="str">
        <f>IF(AND(MOVIMIENTOS!$A187&lt;&gt;"",COUNTIF(MOVIMIENTOS!$A$5:$A186,MOVIMIENTOS!$A187)=0),COUNT(J$4:J186)+1,"")</f>
        <v/>
      </c>
      <c r="K187" s="10">
        <f>MOVIMIENTOS!$A187</f>
        <v>0</v>
      </c>
    </row>
    <row r="188" spans="10:11" x14ac:dyDescent="0.2">
      <c r="J188" t="str">
        <f>IF(AND(MOVIMIENTOS!$A188&lt;&gt;"",COUNTIF(MOVIMIENTOS!$A$5:$A187,MOVIMIENTOS!$A188)=0),COUNT(J$4:J187)+1,"")</f>
        <v/>
      </c>
      <c r="K188" s="10">
        <f>MOVIMIENTOS!$A188</f>
        <v>0</v>
      </c>
    </row>
    <row r="189" spans="10:11" x14ac:dyDescent="0.2">
      <c r="J189" t="str">
        <f>IF(AND(MOVIMIENTOS!$A189&lt;&gt;"",COUNTIF(MOVIMIENTOS!$A$5:$A188,MOVIMIENTOS!$A189)=0),COUNT(J$4:J188)+1,"")</f>
        <v/>
      </c>
      <c r="K189" s="10">
        <f>MOVIMIENTOS!$A189</f>
        <v>0</v>
      </c>
    </row>
    <row r="190" spans="10:11" x14ac:dyDescent="0.2">
      <c r="J190" t="str">
        <f>IF(AND(MOVIMIENTOS!$A190&lt;&gt;"",COUNTIF(MOVIMIENTOS!$A$5:$A189,MOVIMIENTOS!$A190)=0),COUNT(J$4:J189)+1,"")</f>
        <v/>
      </c>
      <c r="K190" s="10">
        <f>MOVIMIENTOS!$A190</f>
        <v>0</v>
      </c>
    </row>
    <row r="191" spans="10:11" x14ac:dyDescent="0.2">
      <c r="J191" t="str">
        <f>IF(AND(MOVIMIENTOS!$A191&lt;&gt;"",COUNTIF(MOVIMIENTOS!$A$5:$A190,MOVIMIENTOS!$A191)=0),COUNT(J$4:J190)+1,"")</f>
        <v/>
      </c>
      <c r="K191" s="10">
        <f>MOVIMIENTOS!$A191</f>
        <v>0</v>
      </c>
    </row>
    <row r="192" spans="10:11" x14ac:dyDescent="0.2">
      <c r="J192" t="str">
        <f>IF(AND(MOVIMIENTOS!$A192&lt;&gt;"",COUNTIF(MOVIMIENTOS!$A$5:$A191,MOVIMIENTOS!$A192)=0),COUNT(J$4:J191)+1,"")</f>
        <v/>
      </c>
      <c r="K192" s="10">
        <f>MOVIMIENTOS!$A192</f>
        <v>0</v>
      </c>
    </row>
    <row r="193" spans="10:11" x14ac:dyDescent="0.2">
      <c r="J193" t="str">
        <f>IF(AND(MOVIMIENTOS!$A193&lt;&gt;"",COUNTIF(MOVIMIENTOS!$A$5:$A192,MOVIMIENTOS!$A193)=0),COUNT(J$4:J192)+1,"")</f>
        <v/>
      </c>
      <c r="K193" s="10">
        <f>MOVIMIENTOS!$A193</f>
        <v>0</v>
      </c>
    </row>
    <row r="194" spans="10:11" x14ac:dyDescent="0.2">
      <c r="J194" t="str">
        <f>IF(AND(MOVIMIENTOS!$A194&lt;&gt;"",COUNTIF(MOVIMIENTOS!$A$5:$A193,MOVIMIENTOS!$A194)=0),COUNT(J$4:J193)+1,"")</f>
        <v/>
      </c>
      <c r="K194" s="10">
        <f>MOVIMIENTOS!$A194</f>
        <v>0</v>
      </c>
    </row>
    <row r="195" spans="10:11" x14ac:dyDescent="0.2">
      <c r="J195" t="str">
        <f>IF(AND(MOVIMIENTOS!$A195&lt;&gt;"",COUNTIF(MOVIMIENTOS!$A$5:$A194,MOVIMIENTOS!$A195)=0),COUNT(J$4:J194)+1,"")</f>
        <v/>
      </c>
      <c r="K195" s="10">
        <f>MOVIMIENTOS!$A195</f>
        <v>0</v>
      </c>
    </row>
    <row r="196" spans="10:11" x14ac:dyDescent="0.2">
      <c r="J196" t="str">
        <f>IF(AND(MOVIMIENTOS!$A196&lt;&gt;"",COUNTIF(MOVIMIENTOS!$A$5:$A195,MOVIMIENTOS!$A196)=0),COUNT(J$4:J195)+1,"")</f>
        <v/>
      </c>
      <c r="K196" s="10">
        <f>MOVIMIENTOS!$A196</f>
        <v>0</v>
      </c>
    </row>
    <row r="197" spans="10:11" x14ac:dyDescent="0.2">
      <c r="J197" t="str">
        <f>IF(AND(MOVIMIENTOS!$A197&lt;&gt;"",COUNTIF(MOVIMIENTOS!$A$5:$A196,MOVIMIENTOS!$A197)=0),COUNT(J$4:J196)+1,"")</f>
        <v/>
      </c>
      <c r="K197" s="10">
        <f>MOVIMIENTOS!$A197</f>
        <v>0</v>
      </c>
    </row>
    <row r="198" spans="10:11" x14ac:dyDescent="0.2">
      <c r="J198" t="str">
        <f>IF(AND(MOVIMIENTOS!$A198&lt;&gt;"",COUNTIF(MOVIMIENTOS!$A$5:$A197,MOVIMIENTOS!$A198)=0),COUNT(J$4:J197)+1,"")</f>
        <v/>
      </c>
      <c r="K198" s="10">
        <f>MOVIMIENTOS!$A198</f>
        <v>0</v>
      </c>
    </row>
    <row r="199" spans="10:11" x14ac:dyDescent="0.2">
      <c r="J199" t="str">
        <f>IF(AND(MOVIMIENTOS!$A199&lt;&gt;"",COUNTIF(MOVIMIENTOS!$A$5:$A198,MOVIMIENTOS!$A199)=0),COUNT(J$4:J198)+1,"")</f>
        <v/>
      </c>
      <c r="K199" s="10">
        <f>MOVIMIENTOS!$A199</f>
        <v>0</v>
      </c>
    </row>
    <row r="200" spans="10:11" x14ac:dyDescent="0.2">
      <c r="J200" t="str">
        <f>IF(AND(MOVIMIENTOS!$A200&lt;&gt;"",COUNTIF(MOVIMIENTOS!$A$5:$A199,MOVIMIENTOS!$A200)=0),COUNT(J$4:J199)+1,"")</f>
        <v/>
      </c>
      <c r="K200" s="10">
        <f>MOVIMIENTOS!$A200</f>
        <v>0</v>
      </c>
    </row>
    <row r="201" spans="10:11" x14ac:dyDescent="0.2">
      <c r="J201" t="str">
        <f>IF(AND(MOVIMIENTOS!$A201&lt;&gt;"",COUNTIF(MOVIMIENTOS!$A$5:$A200,MOVIMIENTOS!$A201)=0),COUNT(J$4:J200)+1,"")</f>
        <v/>
      </c>
      <c r="K201" s="10">
        <f>MOVIMIENTOS!$A201</f>
        <v>0</v>
      </c>
    </row>
    <row r="202" spans="10:11" x14ac:dyDescent="0.2">
      <c r="J202" t="str">
        <f>IF(AND(MOVIMIENTOS!$A202&lt;&gt;"",COUNTIF(MOVIMIENTOS!$A$5:$A201,MOVIMIENTOS!$A202)=0),COUNT(J$4:J201)+1,"")</f>
        <v/>
      </c>
      <c r="K202" s="10">
        <f>MOVIMIENTOS!$A202</f>
        <v>0</v>
      </c>
    </row>
    <row r="203" spans="10:11" x14ac:dyDescent="0.2">
      <c r="J203" t="str">
        <f>IF(AND(MOVIMIENTOS!$A203&lt;&gt;"",COUNTIF(MOVIMIENTOS!$A$5:$A202,MOVIMIENTOS!$A203)=0),COUNT(J$4:J202)+1,"")</f>
        <v/>
      </c>
      <c r="K203" s="10">
        <f>MOVIMIENTOS!$A203</f>
        <v>0</v>
      </c>
    </row>
    <row r="204" spans="10:11" x14ac:dyDescent="0.2">
      <c r="J204" t="str">
        <f>IF(AND(MOVIMIENTOS!$A204&lt;&gt;"",COUNTIF(MOVIMIENTOS!$A$5:$A203,MOVIMIENTOS!$A204)=0),COUNT(J$4:J203)+1,"")</f>
        <v/>
      </c>
      <c r="K204" s="10">
        <f>MOVIMIENTOS!$A204</f>
        <v>0</v>
      </c>
    </row>
    <row r="205" spans="10:11" x14ac:dyDescent="0.2">
      <c r="J205" t="str">
        <f>IF(AND(MOVIMIENTOS!$A205&lt;&gt;"",COUNTIF(MOVIMIENTOS!$A$5:$A204,MOVIMIENTOS!$A205)=0),COUNT(J$4:J204)+1,"")</f>
        <v/>
      </c>
      <c r="K205" s="10">
        <f>MOVIMIENTOS!$A205</f>
        <v>0</v>
      </c>
    </row>
    <row r="206" spans="10:11" x14ac:dyDescent="0.2">
      <c r="J206" t="str">
        <f>IF(AND(MOVIMIENTOS!$A206&lt;&gt;"",COUNTIF(MOVIMIENTOS!$A$5:$A205,MOVIMIENTOS!$A206)=0),COUNT(J$4:J205)+1,"")</f>
        <v/>
      </c>
      <c r="K206" s="10">
        <f>MOVIMIENTOS!$A206</f>
        <v>0</v>
      </c>
    </row>
    <row r="207" spans="10:11" x14ac:dyDescent="0.2">
      <c r="J207" t="str">
        <f>IF(AND(MOVIMIENTOS!$A207&lt;&gt;"",COUNTIF(MOVIMIENTOS!$A$5:$A206,MOVIMIENTOS!$A207)=0),COUNT(J$4:J206)+1,"")</f>
        <v/>
      </c>
      <c r="K207" s="10">
        <f>MOVIMIENTOS!$A207</f>
        <v>0</v>
      </c>
    </row>
    <row r="208" spans="10:11" x14ac:dyDescent="0.2">
      <c r="J208" t="str">
        <f>IF(AND(MOVIMIENTOS!$A208&lt;&gt;"",COUNTIF(MOVIMIENTOS!$A$5:$A207,MOVIMIENTOS!$A208)=0),COUNT(J$4:J207)+1,"")</f>
        <v/>
      </c>
      <c r="K208" s="10">
        <f>MOVIMIENTOS!$A208</f>
        <v>0</v>
      </c>
    </row>
    <row r="209" spans="10:11" x14ac:dyDescent="0.2">
      <c r="J209" t="str">
        <f>IF(AND(MOVIMIENTOS!$A209&lt;&gt;"",COUNTIF(MOVIMIENTOS!$A$5:$A208,MOVIMIENTOS!$A209)=0),COUNT(J$4:J208)+1,"")</f>
        <v/>
      </c>
      <c r="K209" s="10">
        <f>MOVIMIENTOS!$A209</f>
        <v>0</v>
      </c>
    </row>
    <row r="210" spans="10:11" x14ac:dyDescent="0.2">
      <c r="J210" t="str">
        <f>IF(AND(MOVIMIENTOS!$A210&lt;&gt;"",COUNTIF(MOVIMIENTOS!$A$5:$A209,MOVIMIENTOS!$A210)=0),COUNT(J$4:J209)+1,"")</f>
        <v/>
      </c>
      <c r="K210" s="10">
        <f>MOVIMIENTOS!$A210</f>
        <v>0</v>
      </c>
    </row>
    <row r="211" spans="10:11" x14ac:dyDescent="0.2">
      <c r="J211" t="str">
        <f>IF(AND(MOVIMIENTOS!$A211&lt;&gt;"",COUNTIF(MOVIMIENTOS!$A$5:$A210,MOVIMIENTOS!$A211)=0),COUNT(J$4:J210)+1,"")</f>
        <v/>
      </c>
      <c r="K211" s="10">
        <f>MOVIMIENTOS!$A211</f>
        <v>0</v>
      </c>
    </row>
    <row r="212" spans="10:11" x14ac:dyDescent="0.2">
      <c r="J212" t="str">
        <f>IF(AND(MOVIMIENTOS!$A212&lt;&gt;"",COUNTIF(MOVIMIENTOS!$A$5:$A211,MOVIMIENTOS!$A212)=0),COUNT(J$4:J211)+1,"")</f>
        <v/>
      </c>
      <c r="K212" s="10">
        <f>MOVIMIENTOS!$A212</f>
        <v>0</v>
      </c>
    </row>
    <row r="213" spans="10:11" x14ac:dyDescent="0.2">
      <c r="J213" t="str">
        <f>IF(AND(MOVIMIENTOS!$A213&lt;&gt;"",COUNTIF(MOVIMIENTOS!$A$5:$A212,MOVIMIENTOS!$A213)=0),COUNT(J$4:J212)+1,"")</f>
        <v/>
      </c>
      <c r="K213" s="10">
        <f>MOVIMIENTOS!$A213</f>
        <v>0</v>
      </c>
    </row>
    <row r="214" spans="10:11" x14ac:dyDescent="0.2">
      <c r="J214" t="str">
        <f>IF(AND(MOVIMIENTOS!$A214&lt;&gt;"",COUNTIF(MOVIMIENTOS!$A$5:$A213,MOVIMIENTOS!$A214)=0),COUNT(J$4:J213)+1,"")</f>
        <v/>
      </c>
      <c r="K214" s="10">
        <f>MOVIMIENTOS!$A214</f>
        <v>0</v>
      </c>
    </row>
    <row r="215" spans="10:11" x14ac:dyDescent="0.2">
      <c r="J215" t="str">
        <f>IF(AND(MOVIMIENTOS!$A215&lt;&gt;"",COUNTIF(MOVIMIENTOS!$A$5:$A214,MOVIMIENTOS!$A215)=0),COUNT(J$4:J214)+1,"")</f>
        <v/>
      </c>
      <c r="K215" s="10">
        <f>MOVIMIENTOS!$A215</f>
        <v>0</v>
      </c>
    </row>
    <row r="216" spans="10:11" x14ac:dyDescent="0.2">
      <c r="J216" t="str">
        <f>IF(AND(MOVIMIENTOS!$A216&lt;&gt;"",COUNTIF(MOVIMIENTOS!$A$5:$A215,MOVIMIENTOS!$A216)=0),COUNT(J$4:J215)+1,"")</f>
        <v/>
      </c>
      <c r="K216" s="10">
        <f>MOVIMIENTOS!$A216</f>
        <v>0</v>
      </c>
    </row>
    <row r="217" spans="10:11" x14ac:dyDescent="0.2">
      <c r="J217" t="str">
        <f>IF(AND(MOVIMIENTOS!$A217&lt;&gt;"",COUNTIF(MOVIMIENTOS!$A$5:$A216,MOVIMIENTOS!$A217)=0),COUNT(J$4:J216)+1,"")</f>
        <v/>
      </c>
      <c r="K217" s="10">
        <f>MOVIMIENTOS!$A217</f>
        <v>0</v>
      </c>
    </row>
    <row r="218" spans="10:11" x14ac:dyDescent="0.2">
      <c r="J218" t="str">
        <f>IF(AND(MOVIMIENTOS!$A218&lt;&gt;"",COUNTIF(MOVIMIENTOS!$A$5:$A217,MOVIMIENTOS!$A218)=0),COUNT(J$4:J217)+1,"")</f>
        <v/>
      </c>
      <c r="K218" s="10">
        <f>MOVIMIENTOS!$A218</f>
        <v>0</v>
      </c>
    </row>
    <row r="219" spans="10:11" x14ac:dyDescent="0.2">
      <c r="J219" t="str">
        <f>IF(AND(MOVIMIENTOS!$A219&lt;&gt;"",COUNTIF(MOVIMIENTOS!$A$5:$A218,MOVIMIENTOS!$A219)=0),COUNT(J$4:J218)+1,"")</f>
        <v/>
      </c>
      <c r="K219" s="10">
        <f>MOVIMIENTOS!$A219</f>
        <v>0</v>
      </c>
    </row>
    <row r="220" spans="10:11" x14ac:dyDescent="0.2">
      <c r="J220" t="str">
        <f>IF(AND(MOVIMIENTOS!$A220&lt;&gt;"",COUNTIF(MOVIMIENTOS!$A$5:$A219,MOVIMIENTOS!$A220)=0),COUNT(J$4:J219)+1,"")</f>
        <v/>
      </c>
      <c r="K220" s="10">
        <f>MOVIMIENTOS!$A220</f>
        <v>0</v>
      </c>
    </row>
    <row r="221" spans="10:11" x14ac:dyDescent="0.2">
      <c r="J221" t="str">
        <f>IF(AND(MOVIMIENTOS!$A221&lt;&gt;"",COUNTIF(MOVIMIENTOS!$A$5:$A220,MOVIMIENTOS!$A221)=0),COUNT(J$4:J220)+1,"")</f>
        <v/>
      </c>
      <c r="K221" s="10">
        <f>MOVIMIENTOS!$A221</f>
        <v>0</v>
      </c>
    </row>
    <row r="222" spans="10:11" x14ac:dyDescent="0.2">
      <c r="J222" t="str">
        <f>IF(AND(MOVIMIENTOS!$A222&lt;&gt;"",COUNTIF(MOVIMIENTOS!$A$5:$A221,MOVIMIENTOS!$A222)=0),COUNT(J$4:J221)+1,"")</f>
        <v/>
      </c>
      <c r="K222" s="10">
        <f>MOVIMIENTOS!$A222</f>
        <v>0</v>
      </c>
    </row>
    <row r="223" spans="10:11" x14ac:dyDescent="0.2">
      <c r="J223" t="str">
        <f>IF(AND(MOVIMIENTOS!$A223&lt;&gt;"",COUNTIF(MOVIMIENTOS!$A$5:$A222,MOVIMIENTOS!$A223)=0),COUNT(J$4:J222)+1,"")</f>
        <v/>
      </c>
      <c r="K223" s="10">
        <f>MOVIMIENTOS!$A223</f>
        <v>0</v>
      </c>
    </row>
    <row r="224" spans="10:11" x14ac:dyDescent="0.2">
      <c r="J224" t="str">
        <f>IF(AND(MOVIMIENTOS!$A224&lt;&gt;"",COUNTIF(MOVIMIENTOS!$A$5:$A223,MOVIMIENTOS!$A224)=0),COUNT(J$4:J223)+1,"")</f>
        <v/>
      </c>
      <c r="K224" s="10">
        <f>MOVIMIENTOS!$A224</f>
        <v>0</v>
      </c>
    </row>
    <row r="225" spans="10:11" x14ac:dyDescent="0.2">
      <c r="J225" t="str">
        <f>IF(AND(MOVIMIENTOS!$A225&lt;&gt;"",COUNTIF(MOVIMIENTOS!$A$5:$A224,MOVIMIENTOS!$A225)=0),COUNT(J$4:J224)+1,"")</f>
        <v/>
      </c>
      <c r="K225" s="10">
        <f>MOVIMIENTOS!$A225</f>
        <v>0</v>
      </c>
    </row>
    <row r="226" spans="10:11" x14ac:dyDescent="0.2">
      <c r="J226" t="str">
        <f>IF(AND(MOVIMIENTOS!$A226&lt;&gt;"",COUNTIF(MOVIMIENTOS!$A$5:$A225,MOVIMIENTOS!$A226)=0),COUNT(J$4:J225)+1,"")</f>
        <v/>
      </c>
      <c r="K226" s="10">
        <f>MOVIMIENTOS!$A226</f>
        <v>0</v>
      </c>
    </row>
    <row r="227" spans="10:11" x14ac:dyDescent="0.2">
      <c r="J227" t="str">
        <f>IF(AND(MOVIMIENTOS!$A227&lt;&gt;"",COUNTIF(MOVIMIENTOS!$A$5:$A226,MOVIMIENTOS!$A227)=0),COUNT(J$4:J226)+1,"")</f>
        <v/>
      </c>
      <c r="K227" s="10">
        <f>MOVIMIENTOS!$A227</f>
        <v>0</v>
      </c>
    </row>
    <row r="228" spans="10:11" x14ac:dyDescent="0.2">
      <c r="J228" t="str">
        <f>IF(AND(MOVIMIENTOS!$A228&lt;&gt;"",COUNTIF(MOVIMIENTOS!$A$5:$A227,MOVIMIENTOS!$A228)=0),COUNT(J$4:J227)+1,"")</f>
        <v/>
      </c>
      <c r="K228" s="10">
        <f>MOVIMIENTOS!$A228</f>
        <v>0</v>
      </c>
    </row>
    <row r="229" spans="10:11" x14ac:dyDescent="0.2">
      <c r="J229" t="str">
        <f>IF(AND(MOVIMIENTOS!$A229&lt;&gt;"",COUNTIF(MOVIMIENTOS!$A$5:$A228,MOVIMIENTOS!$A229)=0),COUNT(J$4:J228)+1,"")</f>
        <v/>
      </c>
      <c r="K229" s="10">
        <f>MOVIMIENTOS!$A229</f>
        <v>0</v>
      </c>
    </row>
    <row r="230" spans="10:11" x14ac:dyDescent="0.2">
      <c r="J230" t="str">
        <f>IF(AND(MOVIMIENTOS!$A230&lt;&gt;"",COUNTIF(MOVIMIENTOS!$A$5:$A229,MOVIMIENTOS!$A230)=0),COUNT(J$4:J229)+1,"")</f>
        <v/>
      </c>
      <c r="K230" s="10">
        <f>MOVIMIENTOS!$A230</f>
        <v>0</v>
      </c>
    </row>
    <row r="231" spans="10:11" x14ac:dyDescent="0.2">
      <c r="J231" t="str">
        <f>IF(AND(MOVIMIENTOS!$A231&lt;&gt;"",COUNTIF(MOVIMIENTOS!$A$5:$A230,MOVIMIENTOS!$A231)=0),COUNT(J$4:J230)+1,"")</f>
        <v/>
      </c>
      <c r="K231" s="10">
        <f>MOVIMIENTOS!$A231</f>
        <v>0</v>
      </c>
    </row>
    <row r="232" spans="10:11" x14ac:dyDescent="0.2">
      <c r="J232" t="str">
        <f>IF(AND(MOVIMIENTOS!$A232&lt;&gt;"",COUNTIF(MOVIMIENTOS!$A$5:$A231,MOVIMIENTOS!$A232)=0),COUNT(J$4:J231)+1,"")</f>
        <v/>
      </c>
      <c r="K232" s="10">
        <f>MOVIMIENTOS!$A232</f>
        <v>0</v>
      </c>
    </row>
    <row r="233" spans="10:11" x14ac:dyDescent="0.2">
      <c r="J233" t="str">
        <f>IF(AND(MOVIMIENTOS!$A233&lt;&gt;"",COUNTIF(MOVIMIENTOS!$A$5:$A232,MOVIMIENTOS!$A233)=0),COUNT(J$4:J232)+1,"")</f>
        <v/>
      </c>
      <c r="K233" s="10">
        <f>MOVIMIENTOS!$A233</f>
        <v>0</v>
      </c>
    </row>
    <row r="234" spans="10:11" x14ac:dyDescent="0.2">
      <c r="J234" t="str">
        <f>IF(AND(MOVIMIENTOS!$A234&lt;&gt;"",COUNTIF(MOVIMIENTOS!$A$5:$A233,MOVIMIENTOS!$A234)=0),COUNT(J$4:J233)+1,"")</f>
        <v/>
      </c>
      <c r="K234" s="10">
        <f>MOVIMIENTOS!$A234</f>
        <v>0</v>
      </c>
    </row>
    <row r="235" spans="10:11" x14ac:dyDescent="0.2">
      <c r="J235" t="str">
        <f>IF(AND(MOVIMIENTOS!$A235&lt;&gt;"",COUNTIF(MOVIMIENTOS!$A$5:$A234,MOVIMIENTOS!$A235)=0),COUNT(J$4:J234)+1,"")</f>
        <v/>
      </c>
      <c r="K235" s="10">
        <f>MOVIMIENTOS!$A235</f>
        <v>0</v>
      </c>
    </row>
    <row r="236" spans="10:11" x14ac:dyDescent="0.2">
      <c r="J236" t="str">
        <f>IF(AND(MOVIMIENTOS!$A236&lt;&gt;"",COUNTIF(MOVIMIENTOS!$A$5:$A235,MOVIMIENTOS!$A236)=0),COUNT(J$4:J235)+1,"")</f>
        <v/>
      </c>
      <c r="K236" s="10">
        <f>MOVIMIENTOS!$A236</f>
        <v>0</v>
      </c>
    </row>
    <row r="237" spans="10:11" x14ac:dyDescent="0.2">
      <c r="J237" t="str">
        <f>IF(AND(MOVIMIENTOS!$A237&lt;&gt;"",COUNTIF(MOVIMIENTOS!$A$5:$A236,MOVIMIENTOS!$A237)=0),COUNT(J$4:J236)+1,"")</f>
        <v/>
      </c>
      <c r="K237" s="10">
        <f>MOVIMIENTOS!$A237</f>
        <v>0</v>
      </c>
    </row>
    <row r="238" spans="10:11" x14ac:dyDescent="0.2">
      <c r="J238" t="str">
        <f>IF(AND(MOVIMIENTOS!$A238&lt;&gt;"",COUNTIF(MOVIMIENTOS!$A$5:$A237,MOVIMIENTOS!$A238)=0),COUNT(J$4:J237)+1,"")</f>
        <v/>
      </c>
      <c r="K238" s="10">
        <f>MOVIMIENTOS!$A238</f>
        <v>0</v>
      </c>
    </row>
    <row r="239" spans="10:11" x14ac:dyDescent="0.2">
      <c r="J239" t="str">
        <f>IF(AND(MOVIMIENTOS!$A239&lt;&gt;"",COUNTIF(MOVIMIENTOS!$A$5:$A238,MOVIMIENTOS!$A239)=0),COUNT(J$4:J238)+1,"")</f>
        <v/>
      </c>
      <c r="K239" s="10">
        <f>MOVIMIENTOS!$A239</f>
        <v>0</v>
      </c>
    </row>
    <row r="240" spans="10:11" x14ac:dyDescent="0.2">
      <c r="J240" t="str">
        <f>IF(AND(MOVIMIENTOS!$A240&lt;&gt;"",COUNTIF(MOVIMIENTOS!$A$5:$A239,MOVIMIENTOS!$A240)=0),COUNT(J$4:J239)+1,"")</f>
        <v/>
      </c>
      <c r="K240" s="10">
        <f>MOVIMIENTOS!$A240</f>
        <v>0</v>
      </c>
    </row>
    <row r="241" spans="10:11" x14ac:dyDescent="0.2">
      <c r="J241" t="str">
        <f>IF(AND(MOVIMIENTOS!$A241&lt;&gt;"",COUNTIF(MOVIMIENTOS!$A$5:$A240,MOVIMIENTOS!$A241)=0),COUNT(J$4:J240)+1,"")</f>
        <v/>
      </c>
      <c r="K241" s="10">
        <f>MOVIMIENTOS!$A241</f>
        <v>0</v>
      </c>
    </row>
    <row r="242" spans="10:11" x14ac:dyDescent="0.2">
      <c r="J242" t="str">
        <f>IF(AND(MOVIMIENTOS!$A242&lt;&gt;"",COUNTIF(MOVIMIENTOS!$A$5:$A241,MOVIMIENTOS!$A242)=0),COUNT(J$4:J241)+1,"")</f>
        <v/>
      </c>
      <c r="K242" s="10">
        <f>MOVIMIENTOS!$A242</f>
        <v>0</v>
      </c>
    </row>
    <row r="243" spans="10:11" x14ac:dyDescent="0.2">
      <c r="J243" t="str">
        <f>IF(AND(MOVIMIENTOS!$A243&lt;&gt;"",COUNTIF(MOVIMIENTOS!$A$5:$A242,MOVIMIENTOS!$A243)=0),COUNT(J$4:J242)+1,"")</f>
        <v/>
      </c>
      <c r="K243" s="10">
        <f>MOVIMIENTOS!$A243</f>
        <v>0</v>
      </c>
    </row>
    <row r="244" spans="10:11" x14ac:dyDescent="0.2">
      <c r="J244" t="str">
        <f>IF(AND(MOVIMIENTOS!$A244&lt;&gt;"",COUNTIF(MOVIMIENTOS!$A$5:$A243,MOVIMIENTOS!$A244)=0),COUNT(J$4:J243)+1,"")</f>
        <v/>
      </c>
      <c r="K244" s="10">
        <f>MOVIMIENTOS!$A244</f>
        <v>0</v>
      </c>
    </row>
    <row r="245" spans="10:11" x14ac:dyDescent="0.2">
      <c r="J245" t="str">
        <f>IF(AND(MOVIMIENTOS!$A245&lt;&gt;"",COUNTIF(MOVIMIENTOS!$A$5:$A244,MOVIMIENTOS!$A245)=0),COUNT(J$4:J244)+1,"")</f>
        <v/>
      </c>
      <c r="K245" s="10">
        <f>MOVIMIENTOS!$A245</f>
        <v>0</v>
      </c>
    </row>
    <row r="246" spans="10:11" x14ac:dyDescent="0.2">
      <c r="J246" t="str">
        <f>IF(AND(MOVIMIENTOS!$A246&lt;&gt;"",COUNTIF(MOVIMIENTOS!$A$5:$A245,MOVIMIENTOS!$A246)=0),COUNT(J$4:J245)+1,"")</f>
        <v/>
      </c>
      <c r="K246" s="10">
        <f>MOVIMIENTOS!$A246</f>
        <v>0</v>
      </c>
    </row>
    <row r="247" spans="10:11" x14ac:dyDescent="0.2">
      <c r="J247" t="str">
        <f>IF(AND(MOVIMIENTOS!$A247&lt;&gt;"",COUNTIF(MOVIMIENTOS!$A$5:$A246,MOVIMIENTOS!$A247)=0),COUNT(J$4:J246)+1,"")</f>
        <v/>
      </c>
      <c r="K247" s="10">
        <f>MOVIMIENTOS!$A247</f>
        <v>0</v>
      </c>
    </row>
    <row r="248" spans="10:11" x14ac:dyDescent="0.2">
      <c r="J248" t="str">
        <f>IF(AND(MOVIMIENTOS!$A248&lt;&gt;"",COUNTIF(MOVIMIENTOS!$A$5:$A247,MOVIMIENTOS!$A248)=0),COUNT(J$4:J247)+1,"")</f>
        <v/>
      </c>
      <c r="K248" s="10">
        <f>MOVIMIENTOS!$A248</f>
        <v>0</v>
      </c>
    </row>
    <row r="249" spans="10:11" x14ac:dyDescent="0.2">
      <c r="J249" t="str">
        <f>IF(AND(MOVIMIENTOS!$A249&lt;&gt;"",COUNTIF(MOVIMIENTOS!$A$5:$A248,MOVIMIENTOS!$A249)=0),COUNT(J$4:J248)+1,"")</f>
        <v/>
      </c>
      <c r="K249" s="10">
        <f>MOVIMIENTOS!$A249</f>
        <v>0</v>
      </c>
    </row>
    <row r="250" spans="10:11" x14ac:dyDescent="0.2">
      <c r="J250" t="str">
        <f>IF(AND(MOVIMIENTOS!$A250&lt;&gt;"",COUNTIF(MOVIMIENTOS!$A$5:$A249,MOVIMIENTOS!$A250)=0),COUNT(J$4:J249)+1,"")</f>
        <v/>
      </c>
      <c r="K250" s="10">
        <f>MOVIMIENTOS!$A250</f>
        <v>0</v>
      </c>
    </row>
    <row r="251" spans="10:11" x14ac:dyDescent="0.2">
      <c r="J251" t="str">
        <f>IF(AND(MOVIMIENTOS!$A251&lt;&gt;"",COUNTIF(MOVIMIENTOS!$A$5:$A250,MOVIMIENTOS!$A251)=0),COUNT(J$4:J250)+1,"")</f>
        <v/>
      </c>
      <c r="K251" s="10">
        <f>MOVIMIENTOS!$A251</f>
        <v>0</v>
      </c>
    </row>
    <row r="252" spans="10:11" x14ac:dyDescent="0.2">
      <c r="J252" t="str">
        <f>IF(AND(MOVIMIENTOS!$A252&lt;&gt;"",COUNTIF(MOVIMIENTOS!$A$5:$A251,MOVIMIENTOS!$A252)=0),COUNT(J$4:J251)+1,"")</f>
        <v/>
      </c>
      <c r="K252" s="10">
        <f>MOVIMIENTOS!$A252</f>
        <v>0</v>
      </c>
    </row>
    <row r="253" spans="10:11" x14ac:dyDescent="0.2">
      <c r="J253" t="str">
        <f>IF(AND(MOVIMIENTOS!$A253&lt;&gt;"",COUNTIF(MOVIMIENTOS!$A$5:$A252,MOVIMIENTOS!$A253)=0),COUNT(J$4:J252)+1,"")</f>
        <v/>
      </c>
      <c r="K253" s="10">
        <f>MOVIMIENTOS!$A253</f>
        <v>0</v>
      </c>
    </row>
    <row r="254" spans="10:11" x14ac:dyDescent="0.2">
      <c r="J254" t="str">
        <f>IF(AND(MOVIMIENTOS!$A254&lt;&gt;"",COUNTIF(MOVIMIENTOS!$A$5:$A253,MOVIMIENTOS!$A254)=0),COUNT(J$4:J253)+1,"")</f>
        <v/>
      </c>
      <c r="K254" s="10">
        <f>MOVIMIENTOS!$A254</f>
        <v>0</v>
      </c>
    </row>
    <row r="255" spans="10:11" x14ac:dyDescent="0.2">
      <c r="J255" t="str">
        <f>IF(AND(MOVIMIENTOS!$A255&lt;&gt;"",COUNTIF(MOVIMIENTOS!$A$5:$A254,MOVIMIENTOS!$A255)=0),COUNT(J$4:J254)+1,"")</f>
        <v/>
      </c>
      <c r="K255" s="10">
        <f>MOVIMIENTOS!$A255</f>
        <v>0</v>
      </c>
    </row>
    <row r="256" spans="10:11" x14ac:dyDescent="0.2">
      <c r="J256" t="str">
        <f>IF(AND(MOVIMIENTOS!$A256&lt;&gt;"",COUNTIF(MOVIMIENTOS!$A$5:$A255,MOVIMIENTOS!$A256)=0),COUNT(J$4:J255)+1,"")</f>
        <v/>
      </c>
      <c r="K256" s="10">
        <f>MOVIMIENTOS!$A256</f>
        <v>0</v>
      </c>
    </row>
    <row r="257" spans="10:11" x14ac:dyDescent="0.2">
      <c r="J257" t="str">
        <f>IF(AND(MOVIMIENTOS!$A257&lt;&gt;"",COUNTIF(MOVIMIENTOS!$A$5:$A256,MOVIMIENTOS!$A257)=0),COUNT(J$4:J256)+1,"")</f>
        <v/>
      </c>
      <c r="K257" s="10">
        <f>MOVIMIENTOS!$A257</f>
        <v>0</v>
      </c>
    </row>
    <row r="258" spans="10:11" x14ac:dyDescent="0.2">
      <c r="J258" t="str">
        <f>IF(AND(MOVIMIENTOS!$A258&lt;&gt;"",COUNTIF(MOVIMIENTOS!$A$5:$A257,MOVIMIENTOS!$A258)=0),COUNT(J$4:J257)+1,"")</f>
        <v/>
      </c>
      <c r="K258" s="10">
        <f>MOVIMIENTOS!$A258</f>
        <v>0</v>
      </c>
    </row>
    <row r="259" spans="10:11" x14ac:dyDescent="0.2">
      <c r="J259" t="str">
        <f>IF(AND(MOVIMIENTOS!$A259&lt;&gt;"",COUNTIF(MOVIMIENTOS!$A$5:$A258,MOVIMIENTOS!$A259)=0),COUNT(J$4:J258)+1,"")</f>
        <v/>
      </c>
      <c r="K259" s="10">
        <f>MOVIMIENTOS!$A259</f>
        <v>0</v>
      </c>
    </row>
    <row r="260" spans="10:11" x14ac:dyDescent="0.2">
      <c r="J260" t="str">
        <f>IF(AND(MOVIMIENTOS!$A260&lt;&gt;"",COUNTIF(MOVIMIENTOS!$A$5:$A259,MOVIMIENTOS!$A260)=0),COUNT(J$4:J259)+1,"")</f>
        <v/>
      </c>
      <c r="K260" s="10">
        <f>MOVIMIENTOS!$A260</f>
        <v>0</v>
      </c>
    </row>
    <row r="261" spans="10:11" x14ac:dyDescent="0.2">
      <c r="J261" t="str">
        <f>IF(AND(MOVIMIENTOS!$A261&lt;&gt;"",COUNTIF(MOVIMIENTOS!$A$5:$A260,MOVIMIENTOS!$A261)=0),COUNT(J$4:J260)+1,"")</f>
        <v/>
      </c>
      <c r="K261" s="10">
        <f>MOVIMIENTOS!$A261</f>
        <v>0</v>
      </c>
    </row>
    <row r="262" spans="10:11" x14ac:dyDescent="0.2">
      <c r="J262" t="str">
        <f>IF(AND(MOVIMIENTOS!$A262&lt;&gt;"",COUNTIF(MOVIMIENTOS!$A$5:$A261,MOVIMIENTOS!$A262)=0),COUNT(J$4:J261)+1,"")</f>
        <v/>
      </c>
      <c r="K262" s="10">
        <f>MOVIMIENTOS!$A262</f>
        <v>0</v>
      </c>
    </row>
    <row r="263" spans="10:11" x14ac:dyDescent="0.2">
      <c r="J263" t="str">
        <f>IF(AND(MOVIMIENTOS!$A263&lt;&gt;"",COUNTIF(MOVIMIENTOS!$A$5:$A262,MOVIMIENTOS!$A263)=0),COUNT(J$4:J262)+1,"")</f>
        <v/>
      </c>
      <c r="K263" s="10">
        <f>MOVIMIENTOS!$A263</f>
        <v>0</v>
      </c>
    </row>
    <row r="264" spans="10:11" x14ac:dyDescent="0.2">
      <c r="J264" t="str">
        <f>IF(AND(MOVIMIENTOS!$A264&lt;&gt;"",COUNTIF(MOVIMIENTOS!$A$5:$A263,MOVIMIENTOS!$A264)=0),COUNT(J$4:J263)+1,"")</f>
        <v/>
      </c>
      <c r="K264" s="10">
        <f>MOVIMIENTOS!$A264</f>
        <v>0</v>
      </c>
    </row>
    <row r="265" spans="10:11" x14ac:dyDescent="0.2">
      <c r="J265" t="str">
        <f>IF(AND(MOVIMIENTOS!$A265&lt;&gt;"",COUNTIF(MOVIMIENTOS!$A$5:$A264,MOVIMIENTOS!$A265)=0),COUNT(J$4:J264)+1,"")</f>
        <v/>
      </c>
      <c r="K265" s="10">
        <f>MOVIMIENTOS!$A265</f>
        <v>0</v>
      </c>
    </row>
    <row r="266" spans="10:11" x14ac:dyDescent="0.2">
      <c r="J266" t="str">
        <f>IF(AND(MOVIMIENTOS!$A266&lt;&gt;"",COUNTIF(MOVIMIENTOS!$A$5:$A265,MOVIMIENTOS!$A266)=0),COUNT(J$4:J265)+1,"")</f>
        <v/>
      </c>
      <c r="K266" s="10">
        <f>MOVIMIENTOS!$A266</f>
        <v>0</v>
      </c>
    </row>
    <row r="267" spans="10:11" x14ac:dyDescent="0.2">
      <c r="J267" t="str">
        <f>IF(AND(MOVIMIENTOS!$A267&lt;&gt;"",COUNTIF(MOVIMIENTOS!$A$5:$A266,MOVIMIENTOS!$A267)=0),COUNT(J$4:J266)+1,"")</f>
        <v/>
      </c>
      <c r="K267" s="10">
        <f>MOVIMIENTOS!$A267</f>
        <v>0</v>
      </c>
    </row>
    <row r="268" spans="10:11" x14ac:dyDescent="0.2">
      <c r="J268" t="str">
        <f>IF(AND(MOVIMIENTOS!$A268&lt;&gt;"",COUNTIF(MOVIMIENTOS!$A$5:$A267,MOVIMIENTOS!$A268)=0),COUNT(J$4:J267)+1,"")</f>
        <v/>
      </c>
      <c r="K268" s="10">
        <f>MOVIMIENTOS!$A268</f>
        <v>0</v>
      </c>
    </row>
    <row r="269" spans="10:11" x14ac:dyDescent="0.2">
      <c r="J269" t="str">
        <f>IF(AND(MOVIMIENTOS!$A269&lt;&gt;"",COUNTIF(MOVIMIENTOS!$A$5:$A268,MOVIMIENTOS!$A269)=0),COUNT(J$4:J268)+1,"")</f>
        <v/>
      </c>
      <c r="K269" s="10">
        <f>MOVIMIENTOS!$A269</f>
        <v>0</v>
      </c>
    </row>
    <row r="270" spans="10:11" x14ac:dyDescent="0.2">
      <c r="J270" t="str">
        <f>IF(AND(MOVIMIENTOS!$A270&lt;&gt;"",COUNTIF(MOVIMIENTOS!$A$5:$A269,MOVIMIENTOS!$A270)=0),COUNT(J$4:J269)+1,"")</f>
        <v/>
      </c>
      <c r="K270" s="10">
        <f>MOVIMIENTOS!$A270</f>
        <v>0</v>
      </c>
    </row>
    <row r="271" spans="10:11" x14ac:dyDescent="0.2">
      <c r="J271" t="str">
        <f>IF(AND(MOVIMIENTOS!$A271&lt;&gt;"",COUNTIF(MOVIMIENTOS!$A$5:$A270,MOVIMIENTOS!$A271)=0),COUNT(J$4:J270)+1,"")</f>
        <v/>
      </c>
      <c r="K271" s="10">
        <f>MOVIMIENTOS!$A271</f>
        <v>0</v>
      </c>
    </row>
    <row r="272" spans="10:11" x14ac:dyDescent="0.2">
      <c r="J272" t="str">
        <f>IF(AND(MOVIMIENTOS!$A272&lt;&gt;"",COUNTIF(MOVIMIENTOS!$A$5:$A271,MOVIMIENTOS!$A272)=0),COUNT(J$4:J271)+1,"")</f>
        <v/>
      </c>
      <c r="K272" s="10">
        <f>MOVIMIENTOS!$A272</f>
        <v>0</v>
      </c>
    </row>
    <row r="273" spans="10:11" x14ac:dyDescent="0.2">
      <c r="J273" t="str">
        <f>IF(AND(MOVIMIENTOS!$A273&lt;&gt;"",COUNTIF(MOVIMIENTOS!$A$5:$A272,MOVIMIENTOS!$A273)=0),COUNT(J$4:J272)+1,"")</f>
        <v/>
      </c>
      <c r="K273" s="10">
        <f>MOVIMIENTOS!$A273</f>
        <v>0</v>
      </c>
    </row>
    <row r="274" spans="10:11" x14ac:dyDescent="0.2">
      <c r="J274" t="str">
        <f>IF(AND(MOVIMIENTOS!$A274&lt;&gt;"",COUNTIF(MOVIMIENTOS!$A$5:$A273,MOVIMIENTOS!$A274)=0),COUNT(J$4:J273)+1,"")</f>
        <v/>
      </c>
      <c r="K274" s="10">
        <f>MOVIMIENTOS!$A274</f>
        <v>0</v>
      </c>
    </row>
    <row r="275" spans="10:11" x14ac:dyDescent="0.2">
      <c r="J275" t="str">
        <f>IF(AND(MOVIMIENTOS!$A275&lt;&gt;"",COUNTIF(MOVIMIENTOS!$A$5:$A274,MOVIMIENTOS!$A275)=0),COUNT(J$4:J274)+1,"")</f>
        <v/>
      </c>
      <c r="K275" s="10">
        <f>MOVIMIENTOS!$A275</f>
        <v>0</v>
      </c>
    </row>
    <row r="276" spans="10:11" x14ac:dyDescent="0.2">
      <c r="J276" t="str">
        <f>IF(AND(MOVIMIENTOS!$A276&lt;&gt;"",COUNTIF(MOVIMIENTOS!$A$5:$A275,MOVIMIENTOS!$A276)=0),COUNT(J$4:J275)+1,"")</f>
        <v/>
      </c>
      <c r="K276" s="10">
        <f>MOVIMIENTOS!$A276</f>
        <v>0</v>
      </c>
    </row>
    <row r="277" spans="10:11" x14ac:dyDescent="0.2">
      <c r="J277" t="str">
        <f>IF(AND(MOVIMIENTOS!$A277&lt;&gt;"",COUNTIF(MOVIMIENTOS!$A$5:$A276,MOVIMIENTOS!$A277)=0),COUNT(J$4:J276)+1,"")</f>
        <v/>
      </c>
      <c r="K277" s="10">
        <f>MOVIMIENTOS!$A277</f>
        <v>0</v>
      </c>
    </row>
    <row r="278" spans="10:11" x14ac:dyDescent="0.2">
      <c r="J278" t="str">
        <f>IF(AND(MOVIMIENTOS!$A278&lt;&gt;"",COUNTIF(MOVIMIENTOS!$A$5:$A277,MOVIMIENTOS!$A278)=0),COUNT(J$4:J277)+1,"")</f>
        <v/>
      </c>
      <c r="K278" s="10">
        <f>MOVIMIENTOS!$A278</f>
        <v>0</v>
      </c>
    </row>
    <row r="279" spans="10:11" x14ac:dyDescent="0.2">
      <c r="J279" t="str">
        <f>IF(AND(MOVIMIENTOS!$A279&lt;&gt;"",COUNTIF(MOVIMIENTOS!$A$5:$A278,MOVIMIENTOS!$A279)=0),COUNT(J$4:J278)+1,"")</f>
        <v/>
      </c>
      <c r="K279" s="10">
        <f>MOVIMIENTOS!$A279</f>
        <v>0</v>
      </c>
    </row>
    <row r="280" spans="10:11" x14ac:dyDescent="0.2">
      <c r="J280" t="str">
        <f>IF(AND(MOVIMIENTOS!$A280&lt;&gt;"",COUNTIF(MOVIMIENTOS!$A$5:$A279,MOVIMIENTOS!$A280)=0),COUNT(J$4:J279)+1,"")</f>
        <v/>
      </c>
      <c r="K280" s="10">
        <f>MOVIMIENTOS!$A280</f>
        <v>0</v>
      </c>
    </row>
    <row r="281" spans="10:11" x14ac:dyDescent="0.2">
      <c r="J281" t="str">
        <f>IF(AND(MOVIMIENTOS!$A281&lt;&gt;"",COUNTIF(MOVIMIENTOS!$A$5:$A280,MOVIMIENTOS!$A281)=0),COUNT(J$4:J280)+1,"")</f>
        <v/>
      </c>
      <c r="K281" s="10">
        <f>MOVIMIENTOS!$A281</f>
        <v>0</v>
      </c>
    </row>
    <row r="282" spans="10:11" x14ac:dyDescent="0.2">
      <c r="J282" t="str">
        <f>IF(AND(MOVIMIENTOS!$A282&lt;&gt;"",COUNTIF(MOVIMIENTOS!$A$5:$A281,MOVIMIENTOS!$A282)=0),COUNT(J$4:J281)+1,"")</f>
        <v/>
      </c>
      <c r="K282" s="10">
        <f>MOVIMIENTOS!$A282</f>
        <v>0</v>
      </c>
    </row>
    <row r="283" spans="10:11" x14ac:dyDescent="0.2">
      <c r="J283" t="str">
        <f>IF(AND(MOVIMIENTOS!$A283&lt;&gt;"",COUNTIF(MOVIMIENTOS!$A$5:$A282,MOVIMIENTOS!$A283)=0),COUNT(J$4:J282)+1,"")</f>
        <v/>
      </c>
      <c r="K283" s="10">
        <f>MOVIMIENTOS!$A283</f>
        <v>0</v>
      </c>
    </row>
    <row r="284" spans="10:11" x14ac:dyDescent="0.2">
      <c r="J284" t="str">
        <f>IF(AND(MOVIMIENTOS!$A284&lt;&gt;"",COUNTIF(MOVIMIENTOS!$A$5:$A283,MOVIMIENTOS!$A284)=0),COUNT(J$4:J283)+1,"")</f>
        <v/>
      </c>
      <c r="K284" s="10">
        <f>MOVIMIENTOS!$A284</f>
        <v>0</v>
      </c>
    </row>
    <row r="285" spans="10:11" x14ac:dyDescent="0.2">
      <c r="J285" t="str">
        <f>IF(AND(MOVIMIENTOS!$A285&lt;&gt;"",COUNTIF(MOVIMIENTOS!$A$5:$A284,MOVIMIENTOS!$A285)=0),COUNT(J$4:J284)+1,"")</f>
        <v/>
      </c>
      <c r="K285" s="10">
        <f>MOVIMIENTOS!$A285</f>
        <v>0</v>
      </c>
    </row>
    <row r="286" spans="10:11" x14ac:dyDescent="0.2">
      <c r="J286" t="str">
        <f>IF(AND(MOVIMIENTOS!$A286&lt;&gt;"",COUNTIF(MOVIMIENTOS!$A$5:$A285,MOVIMIENTOS!$A286)=0),COUNT(J$4:J285)+1,"")</f>
        <v/>
      </c>
      <c r="K286" s="10">
        <f>MOVIMIENTOS!$A286</f>
        <v>0</v>
      </c>
    </row>
    <row r="287" spans="10:11" x14ac:dyDescent="0.2">
      <c r="J287" t="str">
        <f>IF(AND(MOVIMIENTOS!$A287&lt;&gt;"",COUNTIF(MOVIMIENTOS!$A$5:$A286,MOVIMIENTOS!$A287)=0),COUNT(J$4:J286)+1,"")</f>
        <v/>
      </c>
      <c r="K287" s="10">
        <f>MOVIMIENTOS!$A287</f>
        <v>0</v>
      </c>
    </row>
    <row r="288" spans="10:11" x14ac:dyDescent="0.2">
      <c r="J288" t="str">
        <f>IF(AND(MOVIMIENTOS!$A288&lt;&gt;"",COUNTIF(MOVIMIENTOS!$A$5:$A287,MOVIMIENTOS!$A288)=0),COUNT(J$4:J287)+1,"")</f>
        <v/>
      </c>
      <c r="K288" s="10">
        <f>MOVIMIENTOS!$A288</f>
        <v>0</v>
      </c>
    </row>
    <row r="289" spans="10:11" x14ac:dyDescent="0.2">
      <c r="J289" t="str">
        <f>IF(AND(MOVIMIENTOS!$A289&lt;&gt;"",COUNTIF(MOVIMIENTOS!$A$5:$A288,MOVIMIENTOS!$A289)=0),COUNT(J$4:J288)+1,"")</f>
        <v/>
      </c>
      <c r="K289" s="10">
        <f>MOVIMIENTOS!$A289</f>
        <v>0</v>
      </c>
    </row>
    <row r="290" spans="10:11" x14ac:dyDescent="0.2">
      <c r="J290" t="str">
        <f>IF(AND(MOVIMIENTOS!$A290&lt;&gt;"",COUNTIF(MOVIMIENTOS!$A$5:$A289,MOVIMIENTOS!$A290)=0),COUNT(J$4:J289)+1,"")</f>
        <v/>
      </c>
      <c r="K290" s="10">
        <f>MOVIMIENTOS!$A290</f>
        <v>0</v>
      </c>
    </row>
    <row r="291" spans="10:11" x14ac:dyDescent="0.2">
      <c r="J291" t="str">
        <f>IF(AND(MOVIMIENTOS!$A291&lt;&gt;"",COUNTIF(MOVIMIENTOS!$A$5:$A290,MOVIMIENTOS!$A291)=0),COUNT(J$4:J290)+1,"")</f>
        <v/>
      </c>
      <c r="K291" s="10">
        <f>MOVIMIENTOS!$A291</f>
        <v>0</v>
      </c>
    </row>
    <row r="292" spans="10:11" x14ac:dyDescent="0.2">
      <c r="J292" t="str">
        <f>IF(AND(MOVIMIENTOS!$A292&lt;&gt;"",COUNTIF(MOVIMIENTOS!$A$5:$A291,MOVIMIENTOS!$A292)=0),COUNT(J$4:J291)+1,"")</f>
        <v/>
      </c>
      <c r="K292" s="10">
        <f>MOVIMIENTOS!$A292</f>
        <v>0</v>
      </c>
    </row>
    <row r="293" spans="10:11" x14ac:dyDescent="0.2">
      <c r="J293" t="str">
        <f>IF(AND(MOVIMIENTOS!$A293&lt;&gt;"",COUNTIF(MOVIMIENTOS!$A$5:$A292,MOVIMIENTOS!$A293)=0),COUNT(J$4:J292)+1,"")</f>
        <v/>
      </c>
      <c r="K293" s="10">
        <f>MOVIMIENTOS!$A293</f>
        <v>0</v>
      </c>
    </row>
    <row r="294" spans="10:11" x14ac:dyDescent="0.2">
      <c r="J294" t="str">
        <f>IF(AND(MOVIMIENTOS!$A294&lt;&gt;"",COUNTIF(MOVIMIENTOS!$A$5:$A293,MOVIMIENTOS!$A294)=0),COUNT(J$4:J293)+1,"")</f>
        <v/>
      </c>
      <c r="K294" s="10">
        <f>MOVIMIENTOS!$A294</f>
        <v>0</v>
      </c>
    </row>
    <row r="295" spans="10:11" x14ac:dyDescent="0.2">
      <c r="J295" t="str">
        <f>IF(AND(MOVIMIENTOS!$A295&lt;&gt;"",COUNTIF(MOVIMIENTOS!$A$5:$A294,MOVIMIENTOS!$A295)=0),COUNT(J$4:J294)+1,"")</f>
        <v/>
      </c>
      <c r="K295" s="10">
        <f>MOVIMIENTOS!$A295</f>
        <v>0</v>
      </c>
    </row>
    <row r="296" spans="10:11" x14ac:dyDescent="0.2">
      <c r="J296" t="str">
        <f>IF(AND(MOVIMIENTOS!$A296&lt;&gt;"",COUNTIF(MOVIMIENTOS!$A$5:$A295,MOVIMIENTOS!$A296)=0),COUNT(J$4:J295)+1,"")</f>
        <v/>
      </c>
      <c r="K296" s="10">
        <f>MOVIMIENTOS!$A296</f>
        <v>0</v>
      </c>
    </row>
    <row r="297" spans="10:11" x14ac:dyDescent="0.2">
      <c r="J297" t="str">
        <f>IF(AND(MOVIMIENTOS!$A297&lt;&gt;"",COUNTIF(MOVIMIENTOS!$A$5:$A296,MOVIMIENTOS!$A297)=0),COUNT(J$4:J296)+1,"")</f>
        <v/>
      </c>
      <c r="K297" s="10">
        <f>MOVIMIENTOS!$A297</f>
        <v>0</v>
      </c>
    </row>
    <row r="298" spans="10:11" x14ac:dyDescent="0.2">
      <c r="J298" t="str">
        <f>IF(AND(MOVIMIENTOS!$A298&lt;&gt;"",COUNTIF(MOVIMIENTOS!$A$5:$A297,MOVIMIENTOS!$A298)=0),COUNT(J$4:J297)+1,"")</f>
        <v/>
      </c>
      <c r="K298" s="10">
        <f>MOVIMIENTOS!$A298</f>
        <v>0</v>
      </c>
    </row>
    <row r="299" spans="10:11" x14ac:dyDescent="0.2">
      <c r="J299" t="str">
        <f>IF(AND(MOVIMIENTOS!$A299&lt;&gt;"",COUNTIF(MOVIMIENTOS!$A$5:$A298,MOVIMIENTOS!$A299)=0),COUNT(J$4:J298)+1,"")</f>
        <v/>
      </c>
      <c r="K299" s="10">
        <f>MOVIMIENTOS!$A299</f>
        <v>0</v>
      </c>
    </row>
    <row r="300" spans="10:11" x14ac:dyDescent="0.2">
      <c r="J300" t="str">
        <f>IF(AND(MOVIMIENTOS!$A300&lt;&gt;"",COUNTIF(MOVIMIENTOS!$A$5:$A299,MOVIMIENTOS!$A300)=0),COUNT(J$4:J299)+1,"")</f>
        <v/>
      </c>
      <c r="K300" s="10">
        <f>MOVIMIENTOS!$A300</f>
        <v>0</v>
      </c>
    </row>
    <row r="301" spans="10:11" x14ac:dyDescent="0.2">
      <c r="J301" t="str">
        <f>IF(AND(MOVIMIENTOS!$A301&lt;&gt;"",COUNTIF(MOVIMIENTOS!$A$5:$A300,MOVIMIENTOS!$A301)=0),COUNT(J$4:J300)+1,"")</f>
        <v/>
      </c>
      <c r="K301" s="10">
        <f>MOVIMIENTOS!$A301</f>
        <v>0</v>
      </c>
    </row>
    <row r="302" spans="10:11" x14ac:dyDescent="0.2">
      <c r="J302" t="str">
        <f>IF(AND(MOVIMIENTOS!$A302&lt;&gt;"",COUNTIF(MOVIMIENTOS!$A$5:$A301,MOVIMIENTOS!$A302)=0),COUNT(J$4:J301)+1,"")</f>
        <v/>
      </c>
      <c r="K302" s="10">
        <f>MOVIMIENTOS!$A302</f>
        <v>0</v>
      </c>
    </row>
    <row r="303" spans="10:11" x14ac:dyDescent="0.2">
      <c r="J303" t="str">
        <f>IF(AND(MOVIMIENTOS!$A303&lt;&gt;"",COUNTIF(MOVIMIENTOS!$A$5:$A302,MOVIMIENTOS!$A303)=0),COUNT(J$4:J302)+1,"")</f>
        <v/>
      </c>
      <c r="K303" s="10">
        <f>MOVIMIENTOS!$A303</f>
        <v>0</v>
      </c>
    </row>
    <row r="304" spans="10:11" x14ac:dyDescent="0.2">
      <c r="J304" t="str">
        <f>IF(AND(MOVIMIENTOS!$A304&lt;&gt;"",COUNTIF(MOVIMIENTOS!$A$5:$A303,MOVIMIENTOS!$A304)=0),COUNT(J$4:J303)+1,"")</f>
        <v/>
      </c>
      <c r="K304" s="10">
        <f>MOVIMIENTOS!$A304</f>
        <v>0</v>
      </c>
    </row>
    <row r="305" spans="10:11" x14ac:dyDescent="0.2">
      <c r="J305" t="str">
        <f>IF(AND(MOVIMIENTOS!$A305&lt;&gt;"",COUNTIF(MOVIMIENTOS!$A$5:$A304,MOVIMIENTOS!$A305)=0),COUNT(J$4:J304)+1,"")</f>
        <v/>
      </c>
      <c r="K305" s="10">
        <f>MOVIMIENTOS!$A305</f>
        <v>0</v>
      </c>
    </row>
    <row r="306" spans="10:11" x14ac:dyDescent="0.2">
      <c r="J306" t="str">
        <f>IF(AND(MOVIMIENTOS!$A306&lt;&gt;"",COUNTIF(MOVIMIENTOS!$A$5:$A305,MOVIMIENTOS!$A306)=0),COUNT(J$4:J305)+1,"")</f>
        <v/>
      </c>
      <c r="K306" s="10">
        <f>MOVIMIENTOS!$A306</f>
        <v>0</v>
      </c>
    </row>
    <row r="307" spans="10:11" x14ac:dyDescent="0.2">
      <c r="J307" t="str">
        <f>IF(AND(MOVIMIENTOS!$A307&lt;&gt;"",COUNTIF(MOVIMIENTOS!$A$5:$A306,MOVIMIENTOS!$A307)=0),COUNT(J$4:J306)+1,"")</f>
        <v/>
      </c>
      <c r="K307" s="10">
        <f>MOVIMIENTOS!$A307</f>
        <v>0</v>
      </c>
    </row>
    <row r="308" spans="10:11" x14ac:dyDescent="0.2">
      <c r="J308" t="str">
        <f>IF(AND(MOVIMIENTOS!$A308&lt;&gt;"",COUNTIF(MOVIMIENTOS!$A$5:$A307,MOVIMIENTOS!$A308)=0),COUNT(J$4:J307)+1,"")</f>
        <v/>
      </c>
      <c r="K308" s="10">
        <f>MOVIMIENTOS!$A308</f>
        <v>0</v>
      </c>
    </row>
    <row r="309" spans="10:11" x14ac:dyDescent="0.2">
      <c r="J309" t="str">
        <f>IF(AND(MOVIMIENTOS!$A309&lt;&gt;"",COUNTIF(MOVIMIENTOS!$A$5:$A308,MOVIMIENTOS!$A309)=0),COUNT(J$4:J308)+1,"")</f>
        <v/>
      </c>
      <c r="K309" s="10">
        <f>MOVIMIENTOS!$A309</f>
        <v>0</v>
      </c>
    </row>
    <row r="310" spans="10:11" x14ac:dyDescent="0.2">
      <c r="J310" t="str">
        <f>IF(AND(MOVIMIENTOS!$A310&lt;&gt;"",COUNTIF(MOVIMIENTOS!$A$5:$A309,MOVIMIENTOS!$A310)=0),COUNT(J$4:J309)+1,"")</f>
        <v/>
      </c>
      <c r="K310" s="10">
        <f>MOVIMIENTOS!$A310</f>
        <v>0</v>
      </c>
    </row>
    <row r="311" spans="10:11" x14ac:dyDescent="0.2">
      <c r="J311" t="str">
        <f>IF(AND(MOVIMIENTOS!$A311&lt;&gt;"",COUNTIF(MOVIMIENTOS!$A$5:$A310,MOVIMIENTOS!$A311)=0),COUNT(J$4:J310)+1,"")</f>
        <v/>
      </c>
      <c r="K311" s="10">
        <f>MOVIMIENTOS!$A311</f>
        <v>0</v>
      </c>
    </row>
    <row r="312" spans="10:11" x14ac:dyDescent="0.2">
      <c r="J312" t="str">
        <f>IF(AND(MOVIMIENTOS!$A312&lt;&gt;"",COUNTIF(MOVIMIENTOS!$A$5:$A311,MOVIMIENTOS!$A312)=0),COUNT(J$4:J311)+1,"")</f>
        <v/>
      </c>
      <c r="K312" s="10">
        <f>MOVIMIENTOS!$A312</f>
        <v>0</v>
      </c>
    </row>
    <row r="313" spans="10:11" x14ac:dyDescent="0.2">
      <c r="J313" t="str">
        <f>IF(AND(MOVIMIENTOS!$A313&lt;&gt;"",COUNTIF(MOVIMIENTOS!$A$5:$A312,MOVIMIENTOS!$A313)=0),COUNT(J$4:J312)+1,"")</f>
        <v/>
      </c>
      <c r="K313" s="10">
        <f>MOVIMIENTOS!$A313</f>
        <v>0</v>
      </c>
    </row>
    <row r="314" spans="10:11" x14ac:dyDescent="0.2">
      <c r="J314" t="str">
        <f>IF(AND(MOVIMIENTOS!$A314&lt;&gt;"",COUNTIF(MOVIMIENTOS!$A$5:$A313,MOVIMIENTOS!$A314)=0),COUNT(J$4:J313)+1,"")</f>
        <v/>
      </c>
      <c r="K314" s="10">
        <f>MOVIMIENTOS!$A314</f>
        <v>0</v>
      </c>
    </row>
    <row r="315" spans="10:11" x14ac:dyDescent="0.2">
      <c r="J315" t="str">
        <f>IF(AND(MOVIMIENTOS!$A315&lt;&gt;"",COUNTIF(MOVIMIENTOS!$A$5:$A314,MOVIMIENTOS!$A315)=0),COUNT(J$4:J314)+1,"")</f>
        <v/>
      </c>
      <c r="K315" s="10">
        <f>MOVIMIENTOS!$A315</f>
        <v>0</v>
      </c>
    </row>
    <row r="316" spans="10:11" x14ac:dyDescent="0.2">
      <c r="J316" t="str">
        <f>IF(AND(MOVIMIENTOS!$A316&lt;&gt;"",COUNTIF(MOVIMIENTOS!$A$5:$A315,MOVIMIENTOS!$A316)=0),COUNT(J$4:J315)+1,"")</f>
        <v/>
      </c>
      <c r="K316" s="10">
        <f>MOVIMIENTOS!$A316</f>
        <v>0</v>
      </c>
    </row>
    <row r="317" spans="10:11" x14ac:dyDescent="0.2">
      <c r="J317" t="str">
        <f>IF(AND(MOVIMIENTOS!$A317&lt;&gt;"",COUNTIF(MOVIMIENTOS!$A$5:$A316,MOVIMIENTOS!$A317)=0),COUNT(J$4:J316)+1,"")</f>
        <v/>
      </c>
      <c r="K317" s="10">
        <f>MOVIMIENTOS!$A317</f>
        <v>0</v>
      </c>
    </row>
    <row r="318" spans="10:11" x14ac:dyDescent="0.2">
      <c r="J318" t="str">
        <f>IF(AND(MOVIMIENTOS!$A318&lt;&gt;"",COUNTIF(MOVIMIENTOS!$A$5:$A317,MOVIMIENTOS!$A318)=0),COUNT(J$4:J317)+1,"")</f>
        <v/>
      </c>
      <c r="K318" s="10">
        <f>MOVIMIENTOS!$A318</f>
        <v>0</v>
      </c>
    </row>
    <row r="319" spans="10:11" x14ac:dyDescent="0.2">
      <c r="J319" t="str">
        <f>IF(AND(MOVIMIENTOS!$A319&lt;&gt;"",COUNTIF(MOVIMIENTOS!$A$5:$A318,MOVIMIENTOS!$A319)=0),COUNT(J$4:J318)+1,"")</f>
        <v/>
      </c>
      <c r="K319" s="10">
        <f>MOVIMIENTOS!$A319</f>
        <v>0</v>
      </c>
    </row>
    <row r="320" spans="10:11" x14ac:dyDescent="0.2">
      <c r="J320" t="str">
        <f>IF(AND(MOVIMIENTOS!$A320&lt;&gt;"",COUNTIF(MOVIMIENTOS!$A$5:$A319,MOVIMIENTOS!$A320)=0),COUNT(J$4:J319)+1,"")</f>
        <v/>
      </c>
      <c r="K320" s="10">
        <f>MOVIMIENTOS!$A320</f>
        <v>0</v>
      </c>
    </row>
    <row r="321" spans="10:11" x14ac:dyDescent="0.2">
      <c r="J321" t="str">
        <f>IF(AND(MOVIMIENTOS!$A321&lt;&gt;"",COUNTIF(MOVIMIENTOS!$A$5:$A320,MOVIMIENTOS!$A321)=0),COUNT(J$4:J320)+1,"")</f>
        <v/>
      </c>
      <c r="K321" s="10">
        <f>MOVIMIENTOS!$A321</f>
        <v>0</v>
      </c>
    </row>
    <row r="322" spans="10:11" x14ac:dyDescent="0.2">
      <c r="J322" t="str">
        <f>IF(AND(MOVIMIENTOS!$A322&lt;&gt;"",COUNTIF(MOVIMIENTOS!$A$5:$A321,MOVIMIENTOS!$A322)=0),COUNT(J$4:J321)+1,"")</f>
        <v/>
      </c>
      <c r="K322" s="10">
        <f>MOVIMIENTOS!$A322</f>
        <v>0</v>
      </c>
    </row>
    <row r="323" spans="10:11" x14ac:dyDescent="0.2">
      <c r="J323" t="str">
        <f>IF(AND(MOVIMIENTOS!$A323&lt;&gt;"",COUNTIF(MOVIMIENTOS!$A$5:$A322,MOVIMIENTOS!$A323)=0),COUNT(J$4:J322)+1,"")</f>
        <v/>
      </c>
      <c r="K323" s="10">
        <f>MOVIMIENTOS!$A323</f>
        <v>0</v>
      </c>
    </row>
    <row r="324" spans="10:11" x14ac:dyDescent="0.2">
      <c r="J324" t="str">
        <f>IF(AND(MOVIMIENTOS!$A324&lt;&gt;"",COUNTIF(MOVIMIENTOS!$A$5:$A323,MOVIMIENTOS!$A324)=0),COUNT(J$4:J323)+1,"")</f>
        <v/>
      </c>
      <c r="K324" s="10">
        <f>MOVIMIENTOS!$A324</f>
        <v>0</v>
      </c>
    </row>
    <row r="325" spans="10:11" x14ac:dyDescent="0.2">
      <c r="J325" t="str">
        <f>IF(AND(MOVIMIENTOS!$A325&lt;&gt;"",COUNTIF(MOVIMIENTOS!$A$5:$A324,MOVIMIENTOS!$A325)=0),COUNT(J$4:J324)+1,"")</f>
        <v/>
      </c>
      <c r="K325" s="10">
        <f>MOVIMIENTOS!$A325</f>
        <v>0</v>
      </c>
    </row>
    <row r="326" spans="10:11" x14ac:dyDescent="0.2">
      <c r="J326" t="str">
        <f>IF(AND(MOVIMIENTOS!$A326&lt;&gt;"",COUNTIF(MOVIMIENTOS!$A$5:$A325,MOVIMIENTOS!$A326)=0),COUNT(J$4:J325)+1,"")</f>
        <v/>
      </c>
      <c r="K326" s="10">
        <f>MOVIMIENTOS!$A326</f>
        <v>0</v>
      </c>
    </row>
    <row r="327" spans="10:11" x14ac:dyDescent="0.2">
      <c r="J327" t="str">
        <f>IF(AND(MOVIMIENTOS!$A327&lt;&gt;"",COUNTIF(MOVIMIENTOS!$A$5:$A326,MOVIMIENTOS!$A327)=0),COUNT(J$4:J326)+1,"")</f>
        <v/>
      </c>
      <c r="K327" s="10">
        <f>MOVIMIENTOS!$A327</f>
        <v>0</v>
      </c>
    </row>
    <row r="328" spans="10:11" x14ac:dyDescent="0.2">
      <c r="J328" t="str">
        <f>IF(AND(MOVIMIENTOS!$A328&lt;&gt;"",COUNTIF(MOVIMIENTOS!$A$5:$A327,MOVIMIENTOS!$A328)=0),COUNT(J$4:J327)+1,"")</f>
        <v/>
      </c>
      <c r="K328" s="10">
        <f>MOVIMIENTOS!$A328</f>
        <v>0</v>
      </c>
    </row>
    <row r="329" spans="10:11" x14ac:dyDescent="0.2">
      <c r="J329" t="str">
        <f>IF(AND(MOVIMIENTOS!$A329&lt;&gt;"",COUNTIF(MOVIMIENTOS!$A$5:$A328,MOVIMIENTOS!$A329)=0),COUNT(J$4:J328)+1,"")</f>
        <v/>
      </c>
      <c r="K329" s="10">
        <f>MOVIMIENTOS!$A329</f>
        <v>0</v>
      </c>
    </row>
    <row r="330" spans="10:11" x14ac:dyDescent="0.2">
      <c r="J330" t="str">
        <f>IF(AND(MOVIMIENTOS!$A330&lt;&gt;"",COUNTIF(MOVIMIENTOS!$A$5:$A329,MOVIMIENTOS!$A330)=0),COUNT(J$4:J329)+1,"")</f>
        <v/>
      </c>
      <c r="K330" s="10">
        <f>MOVIMIENTOS!$A330</f>
        <v>0</v>
      </c>
    </row>
    <row r="331" spans="10:11" x14ac:dyDescent="0.2">
      <c r="J331" t="str">
        <f>IF(AND(MOVIMIENTOS!$A331&lt;&gt;"",COUNTIF(MOVIMIENTOS!$A$5:$A330,MOVIMIENTOS!$A331)=0),COUNT(J$4:J330)+1,"")</f>
        <v/>
      </c>
      <c r="K331" s="10">
        <f>MOVIMIENTOS!$A331</f>
        <v>0</v>
      </c>
    </row>
    <row r="332" spans="10:11" x14ac:dyDescent="0.2">
      <c r="J332" t="str">
        <f>IF(AND(MOVIMIENTOS!$A332&lt;&gt;"",COUNTIF(MOVIMIENTOS!$A$5:$A331,MOVIMIENTOS!$A332)=0),COUNT(J$4:J331)+1,"")</f>
        <v/>
      </c>
      <c r="K332" s="10">
        <f>MOVIMIENTOS!$A332</f>
        <v>0</v>
      </c>
    </row>
    <row r="333" spans="10:11" x14ac:dyDescent="0.2">
      <c r="J333" t="str">
        <f>IF(AND(MOVIMIENTOS!$A333&lt;&gt;"",COUNTIF(MOVIMIENTOS!$A$5:$A332,MOVIMIENTOS!$A333)=0),COUNT(J$4:J332)+1,"")</f>
        <v/>
      </c>
      <c r="K333" s="10">
        <f>MOVIMIENTOS!$A333</f>
        <v>0</v>
      </c>
    </row>
    <row r="334" spans="10:11" x14ac:dyDescent="0.2">
      <c r="J334" t="str">
        <f>IF(AND(MOVIMIENTOS!$A334&lt;&gt;"",COUNTIF(MOVIMIENTOS!$A$5:$A333,MOVIMIENTOS!$A334)=0),COUNT(J$4:J333)+1,"")</f>
        <v/>
      </c>
      <c r="K334" s="10">
        <f>MOVIMIENTOS!$A334</f>
        <v>0</v>
      </c>
    </row>
    <row r="335" spans="10:11" x14ac:dyDescent="0.2">
      <c r="J335" t="str">
        <f>IF(AND(MOVIMIENTOS!$A335&lt;&gt;"",COUNTIF(MOVIMIENTOS!$A$5:$A334,MOVIMIENTOS!$A335)=0),COUNT(J$4:J334)+1,"")</f>
        <v/>
      </c>
      <c r="K335" s="10">
        <f>MOVIMIENTOS!$A335</f>
        <v>0</v>
      </c>
    </row>
    <row r="336" spans="10:11" x14ac:dyDescent="0.2">
      <c r="J336" t="str">
        <f>IF(AND(MOVIMIENTOS!$A336&lt;&gt;"",COUNTIF(MOVIMIENTOS!$A$5:$A335,MOVIMIENTOS!$A336)=0),COUNT(J$4:J335)+1,"")</f>
        <v/>
      </c>
      <c r="K336" s="10">
        <f>MOVIMIENTOS!$A336</f>
        <v>0</v>
      </c>
    </row>
    <row r="337" spans="10:11" x14ac:dyDescent="0.2">
      <c r="J337" t="str">
        <f>IF(AND(MOVIMIENTOS!$A337&lt;&gt;"",COUNTIF(MOVIMIENTOS!$A$5:$A336,MOVIMIENTOS!$A337)=0),COUNT(J$4:J336)+1,"")</f>
        <v/>
      </c>
      <c r="K337" s="10">
        <f>MOVIMIENTOS!$A337</f>
        <v>0</v>
      </c>
    </row>
    <row r="338" spans="10:11" x14ac:dyDescent="0.2">
      <c r="J338" t="str">
        <f>IF(AND(MOVIMIENTOS!$A338&lt;&gt;"",COUNTIF(MOVIMIENTOS!$A$5:$A337,MOVIMIENTOS!$A338)=0),COUNT(J$4:J337)+1,"")</f>
        <v/>
      </c>
      <c r="K338" s="10">
        <f>MOVIMIENTOS!$A338</f>
        <v>0</v>
      </c>
    </row>
    <row r="339" spans="10:11" x14ac:dyDescent="0.2">
      <c r="J339" t="str">
        <f>IF(AND(MOVIMIENTOS!$A339&lt;&gt;"",COUNTIF(MOVIMIENTOS!$A$5:$A338,MOVIMIENTOS!$A339)=0),COUNT(J$4:J338)+1,"")</f>
        <v/>
      </c>
      <c r="K339" s="10">
        <f>MOVIMIENTOS!$A339</f>
        <v>0</v>
      </c>
    </row>
    <row r="340" spans="10:11" x14ac:dyDescent="0.2">
      <c r="J340" t="str">
        <f>IF(AND(MOVIMIENTOS!$A340&lt;&gt;"",COUNTIF(MOVIMIENTOS!$A$5:$A339,MOVIMIENTOS!$A340)=0),COUNT(J$4:J339)+1,"")</f>
        <v/>
      </c>
      <c r="K340" s="10">
        <f>MOVIMIENTOS!$A340</f>
        <v>0</v>
      </c>
    </row>
    <row r="341" spans="10:11" x14ac:dyDescent="0.2">
      <c r="J341" t="str">
        <f>IF(AND(MOVIMIENTOS!$A341&lt;&gt;"",COUNTIF(MOVIMIENTOS!$A$5:$A340,MOVIMIENTOS!$A341)=0),COUNT(J$4:J340)+1,"")</f>
        <v/>
      </c>
      <c r="K341" s="10">
        <f>MOVIMIENTOS!$A341</f>
        <v>0</v>
      </c>
    </row>
    <row r="342" spans="10:11" x14ac:dyDescent="0.2">
      <c r="J342" t="str">
        <f>IF(AND(MOVIMIENTOS!$A342&lt;&gt;"",COUNTIF(MOVIMIENTOS!$A$5:$A341,MOVIMIENTOS!$A342)=0),COUNT(J$4:J341)+1,"")</f>
        <v/>
      </c>
      <c r="K342" s="10">
        <f>MOVIMIENTOS!$A342</f>
        <v>0</v>
      </c>
    </row>
    <row r="343" spans="10:11" x14ac:dyDescent="0.2">
      <c r="J343" t="str">
        <f>IF(AND(MOVIMIENTOS!$A343&lt;&gt;"",COUNTIF(MOVIMIENTOS!$A$5:$A342,MOVIMIENTOS!$A343)=0),COUNT(J$4:J342)+1,"")</f>
        <v/>
      </c>
      <c r="K343" s="10">
        <f>MOVIMIENTOS!$A343</f>
        <v>0</v>
      </c>
    </row>
    <row r="344" spans="10:11" x14ac:dyDescent="0.2">
      <c r="J344" t="str">
        <f>IF(AND(MOVIMIENTOS!$A344&lt;&gt;"",COUNTIF(MOVIMIENTOS!$A$5:$A343,MOVIMIENTOS!$A344)=0),COUNT(J$4:J343)+1,"")</f>
        <v/>
      </c>
      <c r="K344" s="10">
        <f>MOVIMIENTOS!$A344</f>
        <v>0</v>
      </c>
    </row>
    <row r="345" spans="10:11" x14ac:dyDescent="0.2">
      <c r="J345" t="str">
        <f>IF(AND(MOVIMIENTOS!$A345&lt;&gt;"",COUNTIF(MOVIMIENTOS!$A$5:$A344,MOVIMIENTOS!$A345)=0),COUNT(J$4:J344)+1,"")</f>
        <v/>
      </c>
      <c r="K345" s="10">
        <f>MOVIMIENTOS!$A345</f>
        <v>0</v>
      </c>
    </row>
    <row r="346" spans="10:11" x14ac:dyDescent="0.2">
      <c r="J346" t="str">
        <f>IF(AND(MOVIMIENTOS!$A346&lt;&gt;"",COUNTIF(MOVIMIENTOS!$A$5:$A345,MOVIMIENTOS!$A346)=0),COUNT(J$4:J345)+1,"")</f>
        <v/>
      </c>
      <c r="K346" s="10">
        <f>MOVIMIENTOS!$A346</f>
        <v>0</v>
      </c>
    </row>
    <row r="347" spans="10:11" x14ac:dyDescent="0.2">
      <c r="J347" t="str">
        <f>IF(AND(MOVIMIENTOS!$A347&lt;&gt;"",COUNTIF(MOVIMIENTOS!$A$5:$A346,MOVIMIENTOS!$A347)=0),COUNT(J$4:J346)+1,"")</f>
        <v/>
      </c>
      <c r="K347" s="10">
        <f>MOVIMIENTOS!$A347</f>
        <v>0</v>
      </c>
    </row>
    <row r="348" spans="10:11" x14ac:dyDescent="0.2">
      <c r="J348" t="str">
        <f>IF(AND(MOVIMIENTOS!$A348&lt;&gt;"",COUNTIF(MOVIMIENTOS!$A$5:$A347,MOVIMIENTOS!$A348)=0),COUNT(J$4:J347)+1,"")</f>
        <v/>
      </c>
      <c r="K348" s="10">
        <f>MOVIMIENTOS!$A348</f>
        <v>0</v>
      </c>
    </row>
    <row r="349" spans="10:11" x14ac:dyDescent="0.2">
      <c r="J349" t="str">
        <f>IF(AND(MOVIMIENTOS!$A349&lt;&gt;"",COUNTIF(MOVIMIENTOS!$A$5:$A348,MOVIMIENTOS!$A349)=0),COUNT(J$4:J348)+1,"")</f>
        <v/>
      </c>
      <c r="K349" s="10">
        <f>MOVIMIENTOS!$A349</f>
        <v>0</v>
      </c>
    </row>
    <row r="350" spans="10:11" x14ac:dyDescent="0.2">
      <c r="J350" t="str">
        <f>IF(AND(MOVIMIENTOS!$A350&lt;&gt;"",COUNTIF(MOVIMIENTOS!$A$5:$A349,MOVIMIENTOS!$A350)=0),COUNT(J$4:J349)+1,"")</f>
        <v/>
      </c>
      <c r="K350" s="10">
        <f>MOVIMIENTOS!$A350</f>
        <v>0</v>
      </c>
    </row>
    <row r="351" spans="10:11" x14ac:dyDescent="0.2">
      <c r="J351" t="str">
        <f>IF(AND(MOVIMIENTOS!$A351&lt;&gt;"",COUNTIF(MOVIMIENTOS!$A$5:$A350,MOVIMIENTOS!$A351)=0),COUNT(J$4:J350)+1,"")</f>
        <v/>
      </c>
      <c r="K351" s="10">
        <f>MOVIMIENTOS!$A351</f>
        <v>0</v>
      </c>
    </row>
    <row r="352" spans="10:11" x14ac:dyDescent="0.2">
      <c r="J352" t="str">
        <f>IF(AND(MOVIMIENTOS!$A352&lt;&gt;"",COUNTIF(MOVIMIENTOS!$A$5:$A351,MOVIMIENTOS!$A352)=0),COUNT(J$4:J351)+1,"")</f>
        <v/>
      </c>
      <c r="K352" s="10">
        <f>MOVIMIENTOS!$A352</f>
        <v>0</v>
      </c>
    </row>
    <row r="353" spans="10:11" x14ac:dyDescent="0.2">
      <c r="J353" t="str">
        <f>IF(AND(MOVIMIENTOS!$A353&lt;&gt;"",COUNTIF(MOVIMIENTOS!$A$5:$A352,MOVIMIENTOS!$A353)=0),COUNT(J$4:J352)+1,"")</f>
        <v/>
      </c>
      <c r="K353" s="10">
        <f>MOVIMIENTOS!$A353</f>
        <v>0</v>
      </c>
    </row>
    <row r="354" spans="10:11" x14ac:dyDescent="0.2">
      <c r="J354" t="str">
        <f>IF(AND(MOVIMIENTOS!$A354&lt;&gt;"",COUNTIF(MOVIMIENTOS!$A$5:$A353,MOVIMIENTOS!$A354)=0),COUNT(J$4:J353)+1,"")</f>
        <v/>
      </c>
      <c r="K354" s="10">
        <f>MOVIMIENTOS!$A354</f>
        <v>0</v>
      </c>
    </row>
    <row r="355" spans="10:11" x14ac:dyDescent="0.2">
      <c r="J355" t="str">
        <f>IF(AND(MOVIMIENTOS!$A355&lt;&gt;"",COUNTIF(MOVIMIENTOS!$A$5:$A354,MOVIMIENTOS!$A355)=0),COUNT(J$4:J354)+1,"")</f>
        <v/>
      </c>
      <c r="K355" s="10">
        <f>MOVIMIENTOS!$A355</f>
        <v>0</v>
      </c>
    </row>
    <row r="356" spans="10:11" x14ac:dyDescent="0.2">
      <c r="J356" t="str">
        <f>IF(AND(MOVIMIENTOS!$A356&lt;&gt;"",COUNTIF(MOVIMIENTOS!$A$5:$A355,MOVIMIENTOS!$A356)=0),COUNT(J$4:J355)+1,"")</f>
        <v/>
      </c>
      <c r="K356" s="10">
        <f>MOVIMIENTOS!$A356</f>
        <v>0</v>
      </c>
    </row>
    <row r="357" spans="10:11" x14ac:dyDescent="0.2">
      <c r="J357" t="str">
        <f>IF(AND(MOVIMIENTOS!$A357&lt;&gt;"",COUNTIF(MOVIMIENTOS!$A$5:$A356,MOVIMIENTOS!$A357)=0),COUNT(J$4:J356)+1,"")</f>
        <v/>
      </c>
      <c r="K357" s="10">
        <f>MOVIMIENTOS!$A357</f>
        <v>0</v>
      </c>
    </row>
    <row r="358" spans="10:11" x14ac:dyDescent="0.2">
      <c r="J358" t="str">
        <f>IF(AND(MOVIMIENTOS!$A358&lt;&gt;"",COUNTIF(MOVIMIENTOS!$A$5:$A357,MOVIMIENTOS!$A358)=0),COUNT(J$4:J357)+1,"")</f>
        <v/>
      </c>
      <c r="K358" s="10">
        <f>MOVIMIENTOS!$A358</f>
        <v>0</v>
      </c>
    </row>
    <row r="359" spans="10:11" x14ac:dyDescent="0.2">
      <c r="J359" t="str">
        <f>IF(AND(MOVIMIENTOS!$A359&lt;&gt;"",COUNTIF(MOVIMIENTOS!$A$5:$A358,MOVIMIENTOS!$A359)=0),COUNT(J$4:J358)+1,"")</f>
        <v/>
      </c>
      <c r="K359" s="10">
        <f>MOVIMIENTOS!$A359</f>
        <v>0</v>
      </c>
    </row>
    <row r="360" spans="10:11" x14ac:dyDescent="0.2">
      <c r="J360" t="str">
        <f>IF(AND(MOVIMIENTOS!$A360&lt;&gt;"",COUNTIF(MOVIMIENTOS!$A$5:$A359,MOVIMIENTOS!$A360)=0),COUNT(J$4:J359)+1,"")</f>
        <v/>
      </c>
      <c r="K360" s="10">
        <f>MOVIMIENTOS!$A360</f>
        <v>0</v>
      </c>
    </row>
    <row r="361" spans="10:11" x14ac:dyDescent="0.2">
      <c r="J361" t="str">
        <f>IF(AND(MOVIMIENTOS!$A361&lt;&gt;"",COUNTIF(MOVIMIENTOS!$A$5:$A360,MOVIMIENTOS!$A361)=0),COUNT(J$4:J360)+1,"")</f>
        <v/>
      </c>
      <c r="K361" s="10">
        <f>MOVIMIENTOS!$A361</f>
        <v>0</v>
      </c>
    </row>
    <row r="362" spans="10:11" x14ac:dyDescent="0.2">
      <c r="J362" t="str">
        <f>IF(AND(MOVIMIENTOS!$A362&lt;&gt;"",COUNTIF(MOVIMIENTOS!$A$5:$A361,MOVIMIENTOS!$A362)=0),COUNT(J$4:J361)+1,"")</f>
        <v/>
      </c>
      <c r="K362" s="10">
        <f>MOVIMIENTOS!$A362</f>
        <v>0</v>
      </c>
    </row>
    <row r="363" spans="10:11" x14ac:dyDescent="0.2">
      <c r="J363" t="str">
        <f>IF(AND(MOVIMIENTOS!$A363&lt;&gt;"",COUNTIF(MOVIMIENTOS!$A$5:$A362,MOVIMIENTOS!$A363)=0),COUNT(J$4:J362)+1,"")</f>
        <v/>
      </c>
      <c r="K363" s="10">
        <f>MOVIMIENTOS!$A363</f>
        <v>0</v>
      </c>
    </row>
    <row r="364" spans="10:11" x14ac:dyDescent="0.2">
      <c r="J364" t="str">
        <f>IF(AND(MOVIMIENTOS!$A364&lt;&gt;"",COUNTIF(MOVIMIENTOS!$A$5:$A363,MOVIMIENTOS!$A364)=0),COUNT(J$4:J363)+1,"")</f>
        <v/>
      </c>
      <c r="K364" s="10">
        <f>MOVIMIENTOS!$A364</f>
        <v>0</v>
      </c>
    </row>
    <row r="365" spans="10:11" x14ac:dyDescent="0.2">
      <c r="J365" t="str">
        <f>IF(AND(MOVIMIENTOS!$A365&lt;&gt;"",COUNTIF(MOVIMIENTOS!$A$5:$A364,MOVIMIENTOS!$A365)=0),COUNT(J$4:J364)+1,"")</f>
        <v/>
      </c>
      <c r="K365" s="10">
        <f>MOVIMIENTOS!$A365</f>
        <v>0</v>
      </c>
    </row>
    <row r="366" spans="10:11" x14ac:dyDescent="0.2">
      <c r="J366" t="str">
        <f>IF(AND(MOVIMIENTOS!$A366&lt;&gt;"",COUNTIF(MOVIMIENTOS!$A$5:$A365,MOVIMIENTOS!$A366)=0),COUNT(J$4:J365)+1,"")</f>
        <v/>
      </c>
      <c r="K366" s="10">
        <f>MOVIMIENTOS!$A366</f>
        <v>0</v>
      </c>
    </row>
    <row r="367" spans="10:11" x14ac:dyDescent="0.2">
      <c r="J367" t="str">
        <f>IF(AND(MOVIMIENTOS!$A367&lt;&gt;"",COUNTIF(MOVIMIENTOS!$A$5:$A366,MOVIMIENTOS!$A367)=0),COUNT(J$4:J366)+1,"")</f>
        <v/>
      </c>
      <c r="K367" s="10">
        <f>MOVIMIENTOS!$A367</f>
        <v>0</v>
      </c>
    </row>
    <row r="368" spans="10:11" x14ac:dyDescent="0.2">
      <c r="J368" t="str">
        <f>IF(AND(MOVIMIENTOS!$A368&lt;&gt;"",COUNTIF(MOVIMIENTOS!$A$5:$A367,MOVIMIENTOS!$A368)=0),COUNT(J$4:J367)+1,"")</f>
        <v/>
      </c>
      <c r="K368" s="10">
        <f>MOVIMIENTOS!$A368</f>
        <v>0</v>
      </c>
    </row>
    <row r="369" spans="10:11" x14ac:dyDescent="0.2">
      <c r="J369" t="str">
        <f>IF(AND(MOVIMIENTOS!$A369&lt;&gt;"",COUNTIF(MOVIMIENTOS!$A$5:$A368,MOVIMIENTOS!$A369)=0),COUNT(J$4:J368)+1,"")</f>
        <v/>
      </c>
      <c r="K369" s="10">
        <f>MOVIMIENTOS!$A369</f>
        <v>0</v>
      </c>
    </row>
    <row r="370" spans="10:11" x14ac:dyDescent="0.2">
      <c r="J370" t="str">
        <f>IF(AND(MOVIMIENTOS!$A370&lt;&gt;"",COUNTIF(MOVIMIENTOS!$A$5:$A369,MOVIMIENTOS!$A370)=0),COUNT(J$4:J369)+1,"")</f>
        <v/>
      </c>
      <c r="K370" s="10">
        <f>MOVIMIENTOS!$A370</f>
        <v>0</v>
      </c>
    </row>
    <row r="371" spans="10:11" x14ac:dyDescent="0.2">
      <c r="J371" t="str">
        <f>IF(AND(MOVIMIENTOS!$A371&lt;&gt;"",COUNTIF(MOVIMIENTOS!$A$5:$A370,MOVIMIENTOS!$A371)=0),COUNT(J$4:J370)+1,"")</f>
        <v/>
      </c>
      <c r="K371" s="10">
        <f>MOVIMIENTOS!$A371</f>
        <v>0</v>
      </c>
    </row>
    <row r="372" spans="10:11" x14ac:dyDescent="0.2">
      <c r="J372" t="str">
        <f>IF(AND(MOVIMIENTOS!$A372&lt;&gt;"",COUNTIF(MOVIMIENTOS!$A$5:$A371,MOVIMIENTOS!$A372)=0),COUNT(J$4:J371)+1,"")</f>
        <v/>
      </c>
      <c r="K372" s="10">
        <f>MOVIMIENTOS!$A372</f>
        <v>0</v>
      </c>
    </row>
    <row r="373" spans="10:11" x14ac:dyDescent="0.2">
      <c r="J373" t="str">
        <f>IF(AND(MOVIMIENTOS!$A373&lt;&gt;"",COUNTIF(MOVIMIENTOS!$A$5:$A372,MOVIMIENTOS!$A373)=0),COUNT(J$4:J372)+1,"")</f>
        <v/>
      </c>
      <c r="K373" s="10">
        <f>MOVIMIENTOS!$A373</f>
        <v>0</v>
      </c>
    </row>
    <row r="374" spans="10:11" x14ac:dyDescent="0.2">
      <c r="J374" t="str">
        <f>IF(AND(MOVIMIENTOS!$A374&lt;&gt;"",COUNTIF(MOVIMIENTOS!$A$5:$A373,MOVIMIENTOS!$A374)=0),COUNT(J$4:J373)+1,"")</f>
        <v/>
      </c>
      <c r="K374" s="10">
        <f>MOVIMIENTOS!$A374</f>
        <v>0</v>
      </c>
    </row>
    <row r="375" spans="10:11" x14ac:dyDescent="0.2">
      <c r="J375" t="str">
        <f>IF(AND(MOVIMIENTOS!$A375&lt;&gt;"",COUNTIF(MOVIMIENTOS!$A$5:$A374,MOVIMIENTOS!$A375)=0),COUNT(J$4:J374)+1,"")</f>
        <v/>
      </c>
      <c r="K375" s="10">
        <f>MOVIMIENTOS!$A375</f>
        <v>0</v>
      </c>
    </row>
    <row r="376" spans="10:11" x14ac:dyDescent="0.2">
      <c r="J376" t="str">
        <f>IF(AND(MOVIMIENTOS!$A376&lt;&gt;"",COUNTIF(MOVIMIENTOS!$A$5:$A375,MOVIMIENTOS!$A376)=0),COUNT(J$4:J375)+1,"")</f>
        <v/>
      </c>
      <c r="K376" s="10">
        <f>MOVIMIENTOS!$A376</f>
        <v>0</v>
      </c>
    </row>
    <row r="377" spans="10:11" x14ac:dyDescent="0.2">
      <c r="J377" t="str">
        <f>IF(AND(MOVIMIENTOS!$A377&lt;&gt;"",COUNTIF(MOVIMIENTOS!$A$5:$A376,MOVIMIENTOS!$A377)=0),COUNT(J$4:J376)+1,"")</f>
        <v/>
      </c>
      <c r="K377" s="10">
        <f>MOVIMIENTOS!$A377</f>
        <v>0</v>
      </c>
    </row>
    <row r="378" spans="10:11" x14ac:dyDescent="0.2">
      <c r="J378" t="str">
        <f>IF(AND(MOVIMIENTOS!$A378&lt;&gt;"",COUNTIF(MOVIMIENTOS!$A$5:$A377,MOVIMIENTOS!$A378)=0),COUNT(J$4:J377)+1,"")</f>
        <v/>
      </c>
      <c r="K378" s="10">
        <f>MOVIMIENTOS!$A378</f>
        <v>0</v>
      </c>
    </row>
    <row r="379" spans="10:11" x14ac:dyDescent="0.2">
      <c r="J379" t="str">
        <f>IF(AND(MOVIMIENTOS!$A379&lt;&gt;"",COUNTIF(MOVIMIENTOS!$A$5:$A378,MOVIMIENTOS!$A379)=0),COUNT(J$4:J378)+1,"")</f>
        <v/>
      </c>
      <c r="K379" s="10">
        <f>MOVIMIENTOS!$A379</f>
        <v>0</v>
      </c>
    </row>
    <row r="380" spans="10:11" x14ac:dyDescent="0.2">
      <c r="J380" t="str">
        <f>IF(AND(MOVIMIENTOS!$A380&lt;&gt;"",COUNTIF(MOVIMIENTOS!$A$5:$A379,MOVIMIENTOS!$A380)=0),COUNT(J$4:J379)+1,"")</f>
        <v/>
      </c>
      <c r="K380" s="10">
        <f>MOVIMIENTOS!$A380</f>
        <v>0</v>
      </c>
    </row>
    <row r="381" spans="10:11" x14ac:dyDescent="0.2">
      <c r="J381" t="str">
        <f>IF(AND(MOVIMIENTOS!$A381&lt;&gt;"",COUNTIF(MOVIMIENTOS!$A$5:$A380,MOVIMIENTOS!$A381)=0),COUNT(J$4:J380)+1,"")</f>
        <v/>
      </c>
      <c r="K381" s="10">
        <f>MOVIMIENTOS!$A381</f>
        <v>0</v>
      </c>
    </row>
    <row r="382" spans="10:11" x14ac:dyDescent="0.2">
      <c r="J382" t="str">
        <f>IF(AND(MOVIMIENTOS!$A382&lt;&gt;"",COUNTIF(MOVIMIENTOS!$A$5:$A381,MOVIMIENTOS!$A382)=0),COUNT(J$4:J381)+1,"")</f>
        <v/>
      </c>
      <c r="K382" s="10">
        <f>MOVIMIENTOS!$A382</f>
        <v>0</v>
      </c>
    </row>
    <row r="383" spans="10:11" x14ac:dyDescent="0.2">
      <c r="J383" t="str">
        <f>IF(AND(MOVIMIENTOS!$A383&lt;&gt;"",COUNTIF(MOVIMIENTOS!$A$5:$A382,MOVIMIENTOS!$A383)=0),COUNT(J$4:J382)+1,"")</f>
        <v/>
      </c>
      <c r="K383" s="10">
        <f>MOVIMIENTOS!$A383</f>
        <v>0</v>
      </c>
    </row>
    <row r="384" spans="10:11" x14ac:dyDescent="0.2">
      <c r="J384" t="str">
        <f>IF(AND(MOVIMIENTOS!$A384&lt;&gt;"",COUNTIF(MOVIMIENTOS!$A$5:$A383,MOVIMIENTOS!$A384)=0),COUNT(J$4:J383)+1,"")</f>
        <v/>
      </c>
      <c r="K384" s="10">
        <f>MOVIMIENTOS!$A384</f>
        <v>0</v>
      </c>
    </row>
    <row r="385" spans="10:11" x14ac:dyDescent="0.2">
      <c r="J385" t="str">
        <f>IF(AND(MOVIMIENTOS!$A385&lt;&gt;"",COUNTIF(MOVIMIENTOS!$A$5:$A384,MOVIMIENTOS!$A385)=0),COUNT(J$4:J384)+1,"")</f>
        <v/>
      </c>
      <c r="K385" s="10">
        <f>MOVIMIENTOS!$A385</f>
        <v>0</v>
      </c>
    </row>
    <row r="386" spans="10:11" x14ac:dyDescent="0.2">
      <c r="J386" t="str">
        <f>IF(AND(MOVIMIENTOS!$A386&lt;&gt;"",COUNTIF(MOVIMIENTOS!$A$5:$A385,MOVIMIENTOS!$A386)=0),COUNT(J$4:J385)+1,"")</f>
        <v/>
      </c>
      <c r="K386" s="10">
        <f>MOVIMIENTOS!$A386</f>
        <v>0</v>
      </c>
    </row>
    <row r="387" spans="10:11" x14ac:dyDescent="0.2">
      <c r="J387" t="str">
        <f>IF(AND(MOVIMIENTOS!$A387&lt;&gt;"",COUNTIF(MOVIMIENTOS!$A$5:$A386,MOVIMIENTOS!$A387)=0),COUNT(J$4:J386)+1,"")</f>
        <v/>
      </c>
      <c r="K387" s="10">
        <f>MOVIMIENTOS!$A387</f>
        <v>0</v>
      </c>
    </row>
    <row r="388" spans="10:11" x14ac:dyDescent="0.2">
      <c r="J388" t="str">
        <f>IF(AND(MOVIMIENTOS!$A388&lt;&gt;"",COUNTIF(MOVIMIENTOS!$A$5:$A387,MOVIMIENTOS!$A388)=0),COUNT(J$4:J387)+1,"")</f>
        <v/>
      </c>
      <c r="K388" s="10">
        <f>MOVIMIENTOS!$A388</f>
        <v>0</v>
      </c>
    </row>
    <row r="389" spans="10:11" x14ac:dyDescent="0.2">
      <c r="J389" t="str">
        <f>IF(AND(MOVIMIENTOS!$A389&lt;&gt;"",COUNTIF(MOVIMIENTOS!$A$5:$A388,MOVIMIENTOS!$A389)=0),COUNT(J$4:J388)+1,"")</f>
        <v/>
      </c>
      <c r="K389" s="10">
        <f>MOVIMIENTOS!$A389</f>
        <v>0</v>
      </c>
    </row>
    <row r="390" spans="10:11" x14ac:dyDescent="0.2">
      <c r="J390" t="str">
        <f>IF(AND(MOVIMIENTOS!$A390&lt;&gt;"",COUNTIF(MOVIMIENTOS!$A$5:$A389,MOVIMIENTOS!$A390)=0),COUNT(J$4:J389)+1,"")</f>
        <v/>
      </c>
      <c r="K390" s="10">
        <f>MOVIMIENTOS!$A390</f>
        <v>0</v>
      </c>
    </row>
    <row r="391" spans="10:11" x14ac:dyDescent="0.2">
      <c r="J391" t="str">
        <f>IF(AND(MOVIMIENTOS!$A391&lt;&gt;"",COUNTIF(MOVIMIENTOS!$A$5:$A390,MOVIMIENTOS!$A391)=0),COUNT(J$4:J390)+1,"")</f>
        <v/>
      </c>
      <c r="K391" s="10">
        <f>MOVIMIENTOS!$A391</f>
        <v>0</v>
      </c>
    </row>
    <row r="392" spans="10:11" x14ac:dyDescent="0.2">
      <c r="J392" t="str">
        <f>IF(AND(MOVIMIENTOS!$A392&lt;&gt;"",COUNTIF(MOVIMIENTOS!$A$5:$A391,MOVIMIENTOS!$A392)=0),COUNT(J$4:J391)+1,"")</f>
        <v/>
      </c>
      <c r="K392" s="10">
        <f>MOVIMIENTOS!$A392</f>
        <v>0</v>
      </c>
    </row>
    <row r="393" spans="10:11" x14ac:dyDescent="0.2">
      <c r="J393" t="str">
        <f>IF(AND(MOVIMIENTOS!$A393&lt;&gt;"",COUNTIF(MOVIMIENTOS!$A$5:$A392,MOVIMIENTOS!$A393)=0),COUNT(J$4:J392)+1,"")</f>
        <v/>
      </c>
      <c r="K393" s="10">
        <f>MOVIMIENTOS!$A393</f>
        <v>0</v>
      </c>
    </row>
    <row r="394" spans="10:11" x14ac:dyDescent="0.2">
      <c r="J394" t="str">
        <f>IF(AND(MOVIMIENTOS!$A394&lt;&gt;"",COUNTIF(MOVIMIENTOS!$A$5:$A393,MOVIMIENTOS!$A394)=0),COUNT(J$4:J393)+1,"")</f>
        <v/>
      </c>
      <c r="K394" s="10">
        <f>MOVIMIENTOS!$A394</f>
        <v>0</v>
      </c>
    </row>
    <row r="395" spans="10:11" x14ac:dyDescent="0.2">
      <c r="J395" t="str">
        <f>IF(AND(MOVIMIENTOS!$A395&lt;&gt;"",COUNTIF(MOVIMIENTOS!$A$5:$A394,MOVIMIENTOS!$A395)=0),COUNT(J$4:J394)+1,"")</f>
        <v/>
      </c>
      <c r="K395" s="10">
        <f>MOVIMIENTOS!$A395</f>
        <v>0</v>
      </c>
    </row>
    <row r="396" spans="10:11" x14ac:dyDescent="0.2">
      <c r="J396" t="str">
        <f>IF(AND(MOVIMIENTOS!$A396&lt;&gt;"",COUNTIF(MOVIMIENTOS!$A$5:$A395,MOVIMIENTOS!$A396)=0),COUNT(J$4:J395)+1,"")</f>
        <v/>
      </c>
      <c r="K396" s="10">
        <f>MOVIMIENTOS!$A396</f>
        <v>0</v>
      </c>
    </row>
    <row r="397" spans="10:11" x14ac:dyDescent="0.2">
      <c r="J397" t="str">
        <f>IF(AND(MOVIMIENTOS!$A397&lt;&gt;"",COUNTIF(MOVIMIENTOS!$A$5:$A396,MOVIMIENTOS!$A397)=0),COUNT(J$4:J396)+1,"")</f>
        <v/>
      </c>
      <c r="K397" s="10">
        <f>MOVIMIENTOS!$A397</f>
        <v>0</v>
      </c>
    </row>
    <row r="398" spans="10:11" x14ac:dyDescent="0.2">
      <c r="J398" t="str">
        <f>IF(AND(MOVIMIENTOS!$A398&lt;&gt;"",COUNTIF(MOVIMIENTOS!$A$5:$A397,MOVIMIENTOS!$A398)=0),COUNT(J$4:J397)+1,"")</f>
        <v/>
      </c>
      <c r="K398" s="10">
        <f>MOVIMIENTOS!$A398</f>
        <v>0</v>
      </c>
    </row>
    <row r="399" spans="10:11" x14ac:dyDescent="0.2">
      <c r="J399" t="str">
        <f>IF(AND(MOVIMIENTOS!$A399&lt;&gt;"",COUNTIF(MOVIMIENTOS!$A$5:$A398,MOVIMIENTOS!$A399)=0),COUNT(J$4:J398)+1,"")</f>
        <v/>
      </c>
      <c r="K399" s="10">
        <f>MOVIMIENTOS!$A399</f>
        <v>0</v>
      </c>
    </row>
    <row r="400" spans="10:11" x14ac:dyDescent="0.2">
      <c r="J400" t="str">
        <f>IF(AND(MOVIMIENTOS!$A400&lt;&gt;"",COUNTIF(MOVIMIENTOS!$A$5:$A399,MOVIMIENTOS!$A400)=0),COUNT(J$4:J399)+1,"")</f>
        <v/>
      </c>
      <c r="K400" s="10">
        <f>MOVIMIENTOS!$A400</f>
        <v>0</v>
      </c>
    </row>
  </sheetData>
  <mergeCells count="2">
    <mergeCell ref="A1:H1"/>
    <mergeCell ref="A2:H2"/>
  </mergeCells>
  <conditionalFormatting sqref="A5:H64">
    <cfRule type="expression" dxfId="0" priority="2">
      <formula>AND($A5&lt;&gt;"",A6="")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zoomScaleNormal="100" workbookViewId="0">
      <selection activeCell="K13" sqref="K13"/>
    </sheetView>
  </sheetViews>
  <sheetFormatPr baseColWidth="10" defaultColWidth="8.6640625" defaultRowHeight="15" x14ac:dyDescent="0.2"/>
  <sheetData>
    <row r="1" spans="1:8" x14ac:dyDescent="0.2">
      <c r="A1" t="s">
        <v>4</v>
      </c>
      <c r="B1" t="s">
        <v>7</v>
      </c>
      <c r="D1" t="s">
        <v>70</v>
      </c>
      <c r="F1" t="s">
        <v>71</v>
      </c>
      <c r="H1" t="s">
        <v>72</v>
      </c>
    </row>
    <row r="2" spans="1:8" x14ac:dyDescent="0.2">
      <c r="A2" t="s">
        <v>11</v>
      </c>
      <c r="B2">
        <v>15</v>
      </c>
      <c r="D2" t="s">
        <v>50</v>
      </c>
      <c r="F2" t="s">
        <v>11</v>
      </c>
      <c r="H2" t="s">
        <v>12</v>
      </c>
    </row>
    <row r="3" spans="1:8" x14ac:dyDescent="0.2">
      <c r="A3" t="s">
        <v>21</v>
      </c>
      <c r="B3">
        <v>18</v>
      </c>
      <c r="D3" t="s">
        <v>17</v>
      </c>
      <c r="F3" t="s">
        <v>21</v>
      </c>
      <c r="H3" t="s">
        <v>16</v>
      </c>
    </row>
    <row r="4" spans="1:8" x14ac:dyDescent="0.2">
      <c r="A4" t="s">
        <v>22</v>
      </c>
      <c r="B4">
        <v>17</v>
      </c>
      <c r="D4" t="s">
        <v>39</v>
      </c>
      <c r="F4" t="s">
        <v>22</v>
      </c>
      <c r="H4" t="s">
        <v>42</v>
      </c>
    </row>
    <row r="5" spans="1:8" x14ac:dyDescent="0.2">
      <c r="A5" t="s">
        <v>14</v>
      </c>
      <c r="B5">
        <v>17</v>
      </c>
      <c r="D5" t="s">
        <v>23</v>
      </c>
      <c r="F5" t="s">
        <v>14</v>
      </c>
    </row>
    <row r="6" spans="1:8" x14ac:dyDescent="0.2">
      <c r="A6" t="s">
        <v>15</v>
      </c>
      <c r="B6">
        <v>95</v>
      </c>
      <c r="D6" t="s">
        <v>44</v>
      </c>
      <c r="F6" t="s">
        <v>15</v>
      </c>
    </row>
    <row r="7" spans="1:8" x14ac:dyDescent="0.2">
      <c r="D7" t="s">
        <v>78</v>
      </c>
      <c r="F7" t="s">
        <v>18</v>
      </c>
    </row>
    <row r="8" spans="1:8" x14ac:dyDescent="0.2">
      <c r="D8" t="s">
        <v>20</v>
      </c>
      <c r="F8" t="s">
        <v>75</v>
      </c>
    </row>
    <row r="9" spans="1:8" x14ac:dyDescent="0.2">
      <c r="A9" s="13" t="s">
        <v>76</v>
      </c>
      <c r="D9" t="s">
        <v>74</v>
      </c>
      <c r="F9" t="s">
        <v>77</v>
      </c>
    </row>
    <row r="10" spans="1:8" x14ac:dyDescent="0.2">
      <c r="D10" t="s">
        <v>41</v>
      </c>
    </row>
    <row r="11" spans="1:8" x14ac:dyDescent="0.2">
      <c r="D11" t="s">
        <v>10</v>
      </c>
    </row>
    <row r="12" spans="1:8" x14ac:dyDescent="0.2">
      <c r="D12" t="s">
        <v>34</v>
      </c>
    </row>
    <row r="13" spans="1:8" x14ac:dyDescent="0.2">
      <c r="D13" t="s">
        <v>73</v>
      </c>
    </row>
    <row r="14" spans="1:8" x14ac:dyDescent="0.2">
      <c r="D14" t="s">
        <v>28</v>
      </c>
    </row>
  </sheetData>
  <sortState xmlns:xlrd2="http://schemas.microsoft.com/office/spreadsheetml/2017/richdata2" ref="D2:D14">
    <sortCondition ref="D2:D14"/>
  </sortState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MOVIMIENTOS</vt:lpstr>
      <vt:lpstr>KARDEX</vt:lpstr>
      <vt:lpstr>SALDO DIARIO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Mirian Martinez Paredes</cp:lastModifiedBy>
  <cp:revision>0</cp:revision>
  <dcterms:created xsi:type="dcterms:W3CDTF">2026-07-25T02:09:50Z</dcterms:created>
  <dcterms:modified xsi:type="dcterms:W3CDTF">2026-07-25T02:16:17Z</dcterms:modified>
  <dc:language>en-US</dc:language>
</cp:coreProperties>
</file>