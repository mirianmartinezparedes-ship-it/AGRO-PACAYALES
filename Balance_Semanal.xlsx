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392C376A-86E4-5945-B3F0-B1F1F5E3CE9A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PROCESO" sheetId="1" r:id="rId1"/>
    <sheet name="TOTALES" sheetId="2" r:id="rId2"/>
  </sheets>
  <definedNames>
    <definedName name="_xlnm._FilterDatabase" localSheetId="1" hidden="1">TOTALES!$A$5:$F$167</definedName>
    <definedName name="_xlnm.Print_Area" localSheetId="0">PROCESO!$A$1:$R$82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7" i="2" l="1"/>
  <c r="E167" i="2"/>
  <c r="C167" i="2"/>
  <c r="B167" i="2"/>
  <c r="A167" i="2"/>
  <c r="F166" i="2"/>
  <c r="E166" i="2"/>
  <c r="D166" i="2"/>
  <c r="B166" i="2"/>
  <c r="A166" i="2"/>
  <c r="F165" i="2"/>
  <c r="D165" i="2"/>
  <c r="B165" i="2"/>
  <c r="A165" i="2"/>
  <c r="F163" i="2"/>
  <c r="E163" i="2"/>
  <c r="C163" i="2"/>
  <c r="B163" i="2"/>
  <c r="A163" i="2"/>
  <c r="F162" i="2"/>
  <c r="E162" i="2"/>
  <c r="C162" i="2"/>
  <c r="B162" i="2"/>
  <c r="A162" i="2"/>
  <c r="F161" i="2"/>
  <c r="E161" i="2"/>
  <c r="D161" i="2"/>
  <c r="B161" i="2"/>
  <c r="A161" i="2"/>
  <c r="F160" i="2"/>
  <c r="D160" i="2"/>
  <c r="B160" i="2"/>
  <c r="A160" i="2"/>
  <c r="F158" i="2"/>
  <c r="E158" i="2"/>
  <c r="C158" i="2"/>
  <c r="B158" i="2"/>
  <c r="A158" i="2"/>
  <c r="F157" i="2"/>
  <c r="E157" i="2"/>
  <c r="C157" i="2"/>
  <c r="B157" i="2"/>
  <c r="A157" i="2"/>
  <c r="F156" i="2"/>
  <c r="E156" i="2"/>
  <c r="D156" i="2"/>
  <c r="B156" i="2"/>
  <c r="A156" i="2"/>
  <c r="F155" i="2"/>
  <c r="D155" i="2"/>
  <c r="B155" i="2"/>
  <c r="A155" i="2"/>
  <c r="F153" i="2"/>
  <c r="E153" i="2"/>
  <c r="C153" i="2"/>
  <c r="B153" i="2"/>
  <c r="A153" i="2"/>
  <c r="F152" i="2"/>
  <c r="E152" i="2"/>
  <c r="C152" i="2"/>
  <c r="B152" i="2"/>
  <c r="A152" i="2"/>
  <c r="F151" i="2"/>
  <c r="E151" i="2"/>
  <c r="D151" i="2"/>
  <c r="B151" i="2"/>
  <c r="A151" i="2"/>
  <c r="F150" i="2"/>
  <c r="D150" i="2"/>
  <c r="B150" i="2"/>
  <c r="A150" i="2"/>
  <c r="F148" i="2"/>
  <c r="E148" i="2"/>
  <c r="C148" i="2"/>
  <c r="B148" i="2"/>
  <c r="A148" i="2"/>
  <c r="F147" i="2"/>
  <c r="E147" i="2"/>
  <c r="C147" i="2"/>
  <c r="B147" i="2"/>
  <c r="A147" i="2"/>
  <c r="F146" i="2"/>
  <c r="E146" i="2"/>
  <c r="D146" i="2"/>
  <c r="B146" i="2"/>
  <c r="A146" i="2"/>
  <c r="F145" i="2"/>
  <c r="D145" i="2"/>
  <c r="B145" i="2"/>
  <c r="A145" i="2"/>
  <c r="F143" i="2"/>
  <c r="E143" i="2"/>
  <c r="C143" i="2"/>
  <c r="B143" i="2"/>
  <c r="A143" i="2"/>
  <c r="F142" i="2"/>
  <c r="E142" i="2"/>
  <c r="C142" i="2"/>
  <c r="B142" i="2"/>
  <c r="A142" i="2"/>
  <c r="F141" i="2"/>
  <c r="E141" i="2"/>
  <c r="D141" i="2"/>
  <c r="B141" i="2"/>
  <c r="A141" i="2"/>
  <c r="F140" i="2"/>
  <c r="D140" i="2"/>
  <c r="B140" i="2"/>
  <c r="A140" i="2"/>
  <c r="F138" i="2"/>
  <c r="E138" i="2"/>
  <c r="C138" i="2"/>
  <c r="B138" i="2"/>
  <c r="A138" i="2"/>
  <c r="F137" i="2"/>
  <c r="E137" i="2"/>
  <c r="C137" i="2"/>
  <c r="B137" i="2"/>
  <c r="A137" i="2"/>
  <c r="F136" i="2"/>
  <c r="E136" i="2"/>
  <c r="D136" i="2"/>
  <c r="B136" i="2"/>
  <c r="A136" i="2"/>
  <c r="F135" i="2"/>
  <c r="D135" i="2"/>
  <c r="B135" i="2"/>
  <c r="A135" i="2"/>
  <c r="F133" i="2"/>
  <c r="E133" i="2"/>
  <c r="C133" i="2"/>
  <c r="B133" i="2"/>
  <c r="A133" i="2"/>
  <c r="F132" i="2"/>
  <c r="E132" i="2"/>
  <c r="C132" i="2"/>
  <c r="B132" i="2"/>
  <c r="A132" i="2"/>
  <c r="F131" i="2"/>
  <c r="E131" i="2"/>
  <c r="D131" i="2"/>
  <c r="B131" i="2"/>
  <c r="A131" i="2"/>
  <c r="F130" i="2"/>
  <c r="D130" i="2"/>
  <c r="B130" i="2"/>
  <c r="A130" i="2"/>
  <c r="F128" i="2"/>
  <c r="E128" i="2"/>
  <c r="C128" i="2"/>
  <c r="B128" i="2"/>
  <c r="A128" i="2"/>
  <c r="F127" i="2"/>
  <c r="E127" i="2"/>
  <c r="C127" i="2"/>
  <c r="B127" i="2"/>
  <c r="A127" i="2"/>
  <c r="F126" i="2"/>
  <c r="E126" i="2"/>
  <c r="D126" i="2"/>
  <c r="B126" i="2"/>
  <c r="A126" i="2"/>
  <c r="F125" i="2"/>
  <c r="D125" i="2"/>
  <c r="B125" i="2"/>
  <c r="A125" i="2"/>
  <c r="F123" i="2"/>
  <c r="E123" i="2"/>
  <c r="C123" i="2"/>
  <c r="B123" i="2"/>
  <c r="A123" i="2"/>
  <c r="F122" i="2"/>
  <c r="E122" i="2"/>
  <c r="C122" i="2"/>
  <c r="B122" i="2"/>
  <c r="A122" i="2"/>
  <c r="F121" i="2"/>
  <c r="E121" i="2"/>
  <c r="D121" i="2"/>
  <c r="B121" i="2"/>
  <c r="A121" i="2"/>
  <c r="F120" i="2"/>
  <c r="D120" i="2"/>
  <c r="B120" i="2"/>
  <c r="A120" i="2"/>
  <c r="F118" i="2"/>
  <c r="E118" i="2"/>
  <c r="C118" i="2"/>
  <c r="B118" i="2"/>
  <c r="A118" i="2"/>
  <c r="F117" i="2"/>
  <c r="E117" i="2"/>
  <c r="C117" i="2"/>
  <c r="B117" i="2"/>
  <c r="A117" i="2"/>
  <c r="F116" i="2"/>
  <c r="E116" i="2"/>
  <c r="D116" i="2"/>
  <c r="B116" i="2"/>
  <c r="A116" i="2"/>
  <c r="F115" i="2"/>
  <c r="D115" i="2"/>
  <c r="B115" i="2"/>
  <c r="A115" i="2"/>
  <c r="F113" i="2"/>
  <c r="E113" i="2"/>
  <c r="C113" i="2"/>
  <c r="B113" i="2"/>
  <c r="A113" i="2"/>
  <c r="F112" i="2"/>
  <c r="E112" i="2"/>
  <c r="C112" i="2"/>
  <c r="B112" i="2"/>
  <c r="A112" i="2"/>
  <c r="F111" i="2"/>
  <c r="E111" i="2"/>
  <c r="D111" i="2"/>
  <c r="B111" i="2"/>
  <c r="A111" i="2"/>
  <c r="F110" i="2"/>
  <c r="D110" i="2"/>
  <c r="B110" i="2"/>
  <c r="A110" i="2"/>
  <c r="F108" i="2"/>
  <c r="E108" i="2"/>
  <c r="C108" i="2"/>
  <c r="B108" i="2"/>
  <c r="A108" i="2"/>
  <c r="F107" i="2"/>
  <c r="E107" i="2"/>
  <c r="C107" i="2"/>
  <c r="B107" i="2"/>
  <c r="A107" i="2"/>
  <c r="F106" i="2"/>
  <c r="E106" i="2"/>
  <c r="D106" i="2"/>
  <c r="B106" i="2"/>
  <c r="A106" i="2"/>
  <c r="F105" i="2"/>
  <c r="D105" i="2"/>
  <c r="B105" i="2"/>
  <c r="A105" i="2"/>
  <c r="F103" i="2"/>
  <c r="E103" i="2"/>
  <c r="C103" i="2"/>
  <c r="B103" i="2"/>
  <c r="A103" i="2"/>
  <c r="F102" i="2"/>
  <c r="E102" i="2"/>
  <c r="C102" i="2"/>
  <c r="B102" i="2"/>
  <c r="A102" i="2"/>
  <c r="F101" i="2"/>
  <c r="E101" i="2"/>
  <c r="D101" i="2"/>
  <c r="B101" i="2"/>
  <c r="A101" i="2"/>
  <c r="F100" i="2"/>
  <c r="D100" i="2"/>
  <c r="B100" i="2"/>
  <c r="A100" i="2"/>
  <c r="F98" i="2"/>
  <c r="E98" i="2"/>
  <c r="C98" i="2"/>
  <c r="B98" i="2"/>
  <c r="A98" i="2"/>
  <c r="F97" i="2"/>
  <c r="E97" i="2"/>
  <c r="C97" i="2"/>
  <c r="B97" i="2"/>
  <c r="A97" i="2"/>
  <c r="F96" i="2"/>
  <c r="E96" i="2"/>
  <c r="D96" i="2"/>
  <c r="B96" i="2"/>
  <c r="A96" i="2"/>
  <c r="F95" i="2"/>
  <c r="D95" i="2"/>
  <c r="B95" i="2"/>
  <c r="A95" i="2"/>
  <c r="F93" i="2"/>
  <c r="E93" i="2"/>
  <c r="C93" i="2"/>
  <c r="B93" i="2"/>
  <c r="A93" i="2"/>
  <c r="F92" i="2"/>
  <c r="E92" i="2"/>
  <c r="C92" i="2"/>
  <c r="B92" i="2"/>
  <c r="A92" i="2"/>
  <c r="F91" i="2"/>
  <c r="E91" i="2"/>
  <c r="D91" i="2"/>
  <c r="B91" i="2"/>
  <c r="A91" i="2"/>
  <c r="F90" i="2"/>
  <c r="D90" i="2"/>
  <c r="B90" i="2"/>
  <c r="A90" i="2"/>
  <c r="F88" i="2"/>
  <c r="E88" i="2"/>
  <c r="C88" i="2"/>
  <c r="B88" i="2"/>
  <c r="A88" i="2"/>
  <c r="F87" i="2"/>
  <c r="E87" i="2"/>
  <c r="C87" i="2"/>
  <c r="B87" i="2"/>
  <c r="A87" i="2"/>
  <c r="F86" i="2"/>
  <c r="E86" i="2"/>
  <c r="D86" i="2"/>
  <c r="B86" i="2"/>
  <c r="A86" i="2"/>
  <c r="F85" i="2"/>
  <c r="D85" i="2"/>
  <c r="B85" i="2"/>
  <c r="A85" i="2"/>
  <c r="F83" i="2"/>
  <c r="E83" i="2"/>
  <c r="C83" i="2"/>
  <c r="B83" i="2"/>
  <c r="A83" i="2"/>
  <c r="F82" i="2"/>
  <c r="E82" i="2"/>
  <c r="C82" i="2"/>
  <c r="B82" i="2"/>
  <c r="A82" i="2"/>
  <c r="F81" i="2"/>
  <c r="E81" i="2"/>
  <c r="D81" i="2"/>
  <c r="B81" i="2"/>
  <c r="A81" i="2"/>
  <c r="F80" i="2"/>
  <c r="D80" i="2"/>
  <c r="B80" i="2"/>
  <c r="A80" i="2"/>
  <c r="F78" i="2"/>
  <c r="E78" i="2"/>
  <c r="C78" i="2"/>
  <c r="B78" i="2"/>
  <c r="A78" i="2"/>
  <c r="F77" i="2"/>
  <c r="E77" i="2"/>
  <c r="C77" i="2"/>
  <c r="B77" i="2"/>
  <c r="A77" i="2"/>
  <c r="F76" i="2"/>
  <c r="E76" i="2"/>
  <c r="D76" i="2"/>
  <c r="B76" i="2"/>
  <c r="A76" i="2"/>
  <c r="F75" i="2"/>
  <c r="D75" i="2"/>
  <c r="B75" i="2"/>
  <c r="A75" i="2"/>
  <c r="F73" i="2"/>
  <c r="E73" i="2"/>
  <c r="C73" i="2"/>
  <c r="B73" i="2"/>
  <c r="A73" i="2"/>
  <c r="F72" i="2"/>
  <c r="E72" i="2"/>
  <c r="C72" i="2"/>
  <c r="B72" i="2"/>
  <c r="A72" i="2"/>
  <c r="F71" i="2"/>
  <c r="E71" i="2"/>
  <c r="D71" i="2"/>
  <c r="B71" i="2"/>
  <c r="A71" i="2"/>
  <c r="F70" i="2"/>
  <c r="D70" i="2"/>
  <c r="B70" i="2"/>
  <c r="A70" i="2"/>
  <c r="F68" i="2"/>
  <c r="E68" i="2"/>
  <c r="C68" i="2"/>
  <c r="B68" i="2"/>
  <c r="A68" i="2"/>
  <c r="F67" i="2"/>
  <c r="E67" i="2"/>
  <c r="C67" i="2"/>
  <c r="B67" i="2"/>
  <c r="A67" i="2"/>
  <c r="F66" i="2"/>
  <c r="E66" i="2"/>
  <c r="D66" i="2"/>
  <c r="B66" i="2"/>
  <c r="A66" i="2"/>
  <c r="F65" i="2"/>
  <c r="D65" i="2"/>
  <c r="B65" i="2"/>
  <c r="A65" i="2"/>
  <c r="F63" i="2"/>
  <c r="E63" i="2"/>
  <c r="C63" i="2"/>
  <c r="B63" i="2"/>
  <c r="A63" i="2"/>
  <c r="F62" i="2"/>
  <c r="E62" i="2"/>
  <c r="C62" i="2"/>
  <c r="B62" i="2"/>
  <c r="A62" i="2"/>
  <c r="F61" i="2"/>
  <c r="E61" i="2"/>
  <c r="D61" i="2"/>
  <c r="B61" i="2"/>
  <c r="A61" i="2"/>
  <c r="F60" i="2"/>
  <c r="D60" i="2"/>
  <c r="B60" i="2"/>
  <c r="A60" i="2"/>
  <c r="F58" i="2"/>
  <c r="E58" i="2"/>
  <c r="C58" i="2"/>
  <c r="B58" i="2"/>
  <c r="A58" i="2"/>
  <c r="F57" i="2"/>
  <c r="E57" i="2"/>
  <c r="C57" i="2"/>
  <c r="B57" i="2"/>
  <c r="A57" i="2"/>
  <c r="F56" i="2"/>
  <c r="E56" i="2"/>
  <c r="D56" i="2"/>
  <c r="B56" i="2"/>
  <c r="A56" i="2"/>
  <c r="F55" i="2"/>
  <c r="D55" i="2"/>
  <c r="B55" i="2"/>
  <c r="A55" i="2"/>
  <c r="F53" i="2"/>
  <c r="E53" i="2"/>
  <c r="C53" i="2"/>
  <c r="B53" i="2"/>
  <c r="A53" i="2"/>
  <c r="F52" i="2"/>
  <c r="E52" i="2"/>
  <c r="C52" i="2"/>
  <c r="B52" i="2"/>
  <c r="A52" i="2"/>
  <c r="F51" i="2"/>
  <c r="E51" i="2"/>
  <c r="D51" i="2"/>
  <c r="B51" i="2"/>
  <c r="A51" i="2"/>
  <c r="F50" i="2"/>
  <c r="D50" i="2"/>
  <c r="B50" i="2"/>
  <c r="A50" i="2"/>
  <c r="F48" i="2"/>
  <c r="E48" i="2"/>
  <c r="C48" i="2"/>
  <c r="B48" i="2"/>
  <c r="A48" i="2"/>
  <c r="E46" i="2"/>
  <c r="B46" i="2"/>
  <c r="A46" i="2"/>
  <c r="E43" i="2"/>
  <c r="C43" i="2"/>
  <c r="B43" i="2"/>
  <c r="A43" i="2"/>
  <c r="E42" i="2"/>
  <c r="B42" i="2"/>
  <c r="A42" i="2"/>
  <c r="D41" i="2"/>
  <c r="B41" i="2"/>
  <c r="A41" i="2"/>
  <c r="E39" i="2"/>
  <c r="C39" i="2"/>
  <c r="B39" i="2"/>
  <c r="A39" i="2"/>
  <c r="E38" i="2"/>
  <c r="B38" i="2"/>
  <c r="A38" i="2"/>
  <c r="E33" i="2"/>
  <c r="B33" i="2"/>
  <c r="A33" i="2"/>
  <c r="E30" i="2"/>
  <c r="B30" i="2"/>
  <c r="A30" i="2"/>
  <c r="E27" i="2"/>
  <c r="B27" i="2"/>
  <c r="A27" i="2"/>
  <c r="E24" i="2"/>
  <c r="B24" i="2"/>
  <c r="A24" i="2"/>
  <c r="E21" i="2"/>
  <c r="B21" i="2"/>
  <c r="A21" i="2"/>
  <c r="E18" i="2"/>
  <c r="B18" i="2"/>
  <c r="A18" i="2"/>
  <c r="E15" i="2"/>
  <c r="B15" i="2"/>
  <c r="A15" i="2"/>
  <c r="E12" i="2"/>
  <c r="B12" i="2"/>
  <c r="A12" i="2"/>
  <c r="E9" i="2"/>
  <c r="B9" i="2"/>
  <c r="A9" i="2"/>
  <c r="A6" i="2"/>
  <c r="O246" i="1"/>
  <c r="N246" i="1"/>
  <c r="M246" i="1"/>
  <c r="K246" i="1"/>
  <c r="G246" i="1"/>
  <c r="B246" i="1"/>
  <c r="L244" i="1"/>
  <c r="H244" i="1"/>
  <c r="D164" i="2" s="1"/>
  <c r="L243" i="1"/>
  <c r="H243" i="1"/>
  <c r="L242" i="1"/>
  <c r="H242" i="1"/>
  <c r="L241" i="1"/>
  <c r="H241" i="1"/>
  <c r="L240" i="1"/>
  <c r="H240" i="1"/>
  <c r="L238" i="1"/>
  <c r="H238" i="1"/>
  <c r="L237" i="1"/>
  <c r="H237" i="1"/>
  <c r="L236" i="1"/>
  <c r="H236" i="1"/>
  <c r="L235" i="1"/>
  <c r="H235" i="1"/>
  <c r="L234" i="1"/>
  <c r="H234" i="1"/>
  <c r="L232" i="1"/>
  <c r="H232" i="1"/>
  <c r="L231" i="1"/>
  <c r="H231" i="1"/>
  <c r="L230" i="1"/>
  <c r="H230" i="1"/>
  <c r="L229" i="1"/>
  <c r="H229" i="1"/>
  <c r="L228" i="1"/>
  <c r="H228" i="1"/>
  <c r="L226" i="1"/>
  <c r="H226" i="1"/>
  <c r="L225" i="1"/>
  <c r="H225" i="1"/>
  <c r="L224" i="1"/>
  <c r="H224" i="1"/>
  <c r="L223" i="1"/>
  <c r="H223" i="1"/>
  <c r="L222" i="1"/>
  <c r="H222" i="1"/>
  <c r="L220" i="1"/>
  <c r="H220" i="1"/>
  <c r="L219" i="1"/>
  <c r="H219" i="1"/>
  <c r="L218" i="1"/>
  <c r="H218" i="1"/>
  <c r="L217" i="1"/>
  <c r="H217" i="1"/>
  <c r="L216" i="1"/>
  <c r="H216" i="1"/>
  <c r="L214" i="1"/>
  <c r="H214" i="1"/>
  <c r="L213" i="1"/>
  <c r="H213" i="1"/>
  <c r="L212" i="1"/>
  <c r="H212" i="1"/>
  <c r="L211" i="1"/>
  <c r="H211" i="1"/>
  <c r="L210" i="1"/>
  <c r="H210" i="1"/>
  <c r="L208" i="1"/>
  <c r="H208" i="1"/>
  <c r="L207" i="1"/>
  <c r="H207" i="1"/>
  <c r="L206" i="1"/>
  <c r="H206" i="1"/>
  <c r="L205" i="1"/>
  <c r="H205" i="1"/>
  <c r="L204" i="1"/>
  <c r="H204" i="1"/>
  <c r="L202" i="1"/>
  <c r="H202" i="1"/>
  <c r="L201" i="1"/>
  <c r="H201" i="1"/>
  <c r="L200" i="1"/>
  <c r="H200" i="1"/>
  <c r="L199" i="1"/>
  <c r="H199" i="1"/>
  <c r="L198" i="1"/>
  <c r="H198" i="1"/>
  <c r="L196" i="1"/>
  <c r="H196" i="1"/>
  <c r="L195" i="1"/>
  <c r="H195" i="1"/>
  <c r="L194" i="1"/>
  <c r="H194" i="1"/>
  <c r="L193" i="1"/>
  <c r="H193" i="1"/>
  <c r="L192" i="1"/>
  <c r="H192" i="1"/>
  <c r="L190" i="1"/>
  <c r="H190" i="1"/>
  <c r="L189" i="1"/>
  <c r="H189" i="1"/>
  <c r="L188" i="1"/>
  <c r="H188" i="1"/>
  <c r="L187" i="1"/>
  <c r="H187" i="1"/>
  <c r="L186" i="1"/>
  <c r="H186" i="1"/>
  <c r="L184" i="1"/>
  <c r="H184" i="1"/>
  <c r="L183" i="1"/>
  <c r="H183" i="1"/>
  <c r="L182" i="1"/>
  <c r="H182" i="1"/>
  <c r="L181" i="1"/>
  <c r="H181" i="1"/>
  <c r="L180" i="1"/>
  <c r="H180" i="1"/>
  <c r="L178" i="1"/>
  <c r="H178" i="1"/>
  <c r="L177" i="1"/>
  <c r="H177" i="1"/>
  <c r="L176" i="1"/>
  <c r="H176" i="1"/>
  <c r="L175" i="1"/>
  <c r="H175" i="1"/>
  <c r="L174" i="1"/>
  <c r="H174" i="1"/>
  <c r="L172" i="1"/>
  <c r="H172" i="1"/>
  <c r="L171" i="1"/>
  <c r="H171" i="1"/>
  <c r="L170" i="1"/>
  <c r="H170" i="1"/>
  <c r="L169" i="1"/>
  <c r="H169" i="1"/>
  <c r="L168" i="1"/>
  <c r="H168" i="1"/>
  <c r="L166" i="1"/>
  <c r="H166" i="1"/>
  <c r="L165" i="1"/>
  <c r="H165" i="1"/>
  <c r="L164" i="1"/>
  <c r="H164" i="1"/>
  <c r="L163" i="1"/>
  <c r="H163" i="1"/>
  <c r="L162" i="1"/>
  <c r="H162" i="1"/>
  <c r="L160" i="1"/>
  <c r="H160" i="1"/>
  <c r="L159" i="1"/>
  <c r="H159" i="1"/>
  <c r="L158" i="1"/>
  <c r="H158" i="1"/>
  <c r="L157" i="1"/>
  <c r="H157" i="1"/>
  <c r="L156" i="1"/>
  <c r="H156" i="1"/>
  <c r="L154" i="1"/>
  <c r="H154" i="1"/>
  <c r="L153" i="1"/>
  <c r="H153" i="1"/>
  <c r="L152" i="1"/>
  <c r="H152" i="1"/>
  <c r="L151" i="1"/>
  <c r="H151" i="1"/>
  <c r="L150" i="1"/>
  <c r="H150" i="1"/>
  <c r="L148" i="1"/>
  <c r="H148" i="1"/>
  <c r="L147" i="1"/>
  <c r="H147" i="1"/>
  <c r="L146" i="1"/>
  <c r="H146" i="1"/>
  <c r="L145" i="1"/>
  <c r="H145" i="1"/>
  <c r="L144" i="1"/>
  <c r="H144" i="1"/>
  <c r="L142" i="1"/>
  <c r="H142" i="1"/>
  <c r="L141" i="1"/>
  <c r="H141" i="1"/>
  <c r="L140" i="1"/>
  <c r="H140" i="1"/>
  <c r="L139" i="1"/>
  <c r="H139" i="1"/>
  <c r="L138" i="1"/>
  <c r="H138" i="1"/>
  <c r="L136" i="1"/>
  <c r="H136" i="1"/>
  <c r="L135" i="1"/>
  <c r="H135" i="1"/>
  <c r="L134" i="1"/>
  <c r="H134" i="1"/>
  <c r="L133" i="1"/>
  <c r="H133" i="1"/>
  <c r="L132" i="1"/>
  <c r="H132" i="1"/>
  <c r="L130" i="1"/>
  <c r="H130" i="1"/>
  <c r="L129" i="1"/>
  <c r="H129" i="1"/>
  <c r="L128" i="1"/>
  <c r="H128" i="1"/>
  <c r="L127" i="1"/>
  <c r="H127" i="1"/>
  <c r="L126" i="1"/>
  <c r="H126" i="1"/>
  <c r="L124" i="1"/>
  <c r="H124" i="1"/>
  <c r="L123" i="1"/>
  <c r="H123" i="1"/>
  <c r="L122" i="1"/>
  <c r="H122" i="1"/>
  <c r="L121" i="1"/>
  <c r="H121" i="1"/>
  <c r="L120" i="1"/>
  <c r="H120" i="1"/>
  <c r="L118" i="1"/>
  <c r="H118" i="1"/>
  <c r="L117" i="1"/>
  <c r="H117" i="1"/>
  <c r="L116" i="1"/>
  <c r="H116" i="1"/>
  <c r="L115" i="1"/>
  <c r="H115" i="1"/>
  <c r="L114" i="1"/>
  <c r="H114" i="1"/>
  <c r="L112" i="1"/>
  <c r="H112" i="1"/>
  <c r="L111" i="1"/>
  <c r="H111" i="1"/>
  <c r="L110" i="1"/>
  <c r="H110" i="1"/>
  <c r="L109" i="1"/>
  <c r="H109" i="1"/>
  <c r="L108" i="1"/>
  <c r="H108" i="1"/>
  <c r="L106" i="1"/>
  <c r="H106" i="1"/>
  <c r="L105" i="1"/>
  <c r="H105" i="1"/>
  <c r="L104" i="1"/>
  <c r="H104" i="1"/>
  <c r="L103" i="1"/>
  <c r="H103" i="1"/>
  <c r="L102" i="1"/>
  <c r="H102" i="1"/>
  <c r="L100" i="1"/>
  <c r="H100" i="1"/>
  <c r="L99" i="1"/>
  <c r="H99" i="1"/>
  <c r="L98" i="1"/>
  <c r="H98" i="1"/>
  <c r="L97" i="1"/>
  <c r="H97" i="1"/>
  <c r="L96" i="1"/>
  <c r="H96" i="1"/>
  <c r="D96" i="1"/>
  <c r="L94" i="1"/>
  <c r="H94" i="1"/>
  <c r="L93" i="1"/>
  <c r="H93" i="1"/>
  <c r="L92" i="1"/>
  <c r="H92" i="1"/>
  <c r="L91" i="1"/>
  <c r="H91" i="1"/>
  <c r="L90" i="1"/>
  <c r="D46" i="2" s="1"/>
  <c r="H90" i="1"/>
  <c r="D90" i="1"/>
  <c r="L88" i="1"/>
  <c r="H88" i="1"/>
  <c r="L87" i="1"/>
  <c r="H87" i="1"/>
  <c r="L86" i="1"/>
  <c r="H86" i="1"/>
  <c r="L85" i="1"/>
  <c r="H85" i="1"/>
  <c r="L84" i="1"/>
  <c r="D42" i="2" s="1"/>
  <c r="H84" i="1"/>
  <c r="L82" i="1"/>
  <c r="H82" i="1"/>
  <c r="L81" i="1"/>
  <c r="H81" i="1"/>
  <c r="L80" i="1"/>
  <c r="H80" i="1"/>
  <c r="L79" i="1"/>
  <c r="H79" i="1"/>
  <c r="L78" i="1"/>
  <c r="H78" i="1"/>
  <c r="D78" i="1"/>
  <c r="L76" i="1"/>
  <c r="H76" i="1"/>
  <c r="L75" i="1"/>
  <c r="H75" i="1"/>
  <c r="L74" i="1"/>
  <c r="H74" i="1"/>
  <c r="L73" i="1"/>
  <c r="H73" i="1"/>
  <c r="L72" i="1"/>
  <c r="H72" i="1"/>
  <c r="D72" i="1"/>
  <c r="L70" i="1"/>
  <c r="H70" i="1"/>
  <c r="L69" i="1"/>
  <c r="H69" i="1"/>
  <c r="L68" i="1"/>
  <c r="H68" i="1"/>
  <c r="L67" i="1"/>
  <c r="H67" i="1"/>
  <c r="L66" i="1"/>
  <c r="H66" i="1"/>
  <c r="D66" i="1"/>
  <c r="L64" i="1"/>
  <c r="H64" i="1"/>
  <c r="L63" i="1"/>
  <c r="H63" i="1"/>
  <c r="L62" i="1"/>
  <c r="H62" i="1"/>
  <c r="L61" i="1"/>
  <c r="H61" i="1"/>
  <c r="L60" i="1"/>
  <c r="D30" i="2" s="1"/>
  <c r="H60" i="1"/>
  <c r="D60" i="1"/>
  <c r="L58" i="1"/>
  <c r="H58" i="1"/>
  <c r="L57" i="1"/>
  <c r="H57" i="1"/>
  <c r="L56" i="1"/>
  <c r="H56" i="1"/>
  <c r="L55" i="1"/>
  <c r="H55" i="1"/>
  <c r="L54" i="1"/>
  <c r="D27" i="2" s="1"/>
  <c r="H54" i="1"/>
  <c r="D54" i="1"/>
  <c r="L52" i="1"/>
  <c r="H52" i="1"/>
  <c r="L51" i="1"/>
  <c r="H51" i="1"/>
  <c r="L50" i="1"/>
  <c r="H50" i="1"/>
  <c r="L49" i="1"/>
  <c r="H49" i="1"/>
  <c r="L48" i="1"/>
  <c r="H48" i="1"/>
  <c r="D48" i="1"/>
  <c r="L46" i="1"/>
  <c r="H46" i="1"/>
  <c r="L45" i="1"/>
  <c r="H45" i="1"/>
  <c r="L44" i="1"/>
  <c r="H44" i="1"/>
  <c r="L43" i="1"/>
  <c r="H43" i="1"/>
  <c r="L42" i="1"/>
  <c r="D24" i="2" s="1"/>
  <c r="H42" i="1"/>
  <c r="D42" i="1"/>
  <c r="L40" i="1"/>
  <c r="H40" i="1"/>
  <c r="L39" i="1"/>
  <c r="H39" i="1"/>
  <c r="L38" i="1"/>
  <c r="H38" i="1"/>
  <c r="L37" i="1"/>
  <c r="H37" i="1"/>
  <c r="L36" i="1"/>
  <c r="H36" i="1"/>
  <c r="D36" i="1"/>
  <c r="L34" i="1"/>
  <c r="H34" i="1"/>
  <c r="L33" i="1"/>
  <c r="H33" i="1"/>
  <c r="L32" i="1"/>
  <c r="H32" i="1"/>
  <c r="L31" i="1"/>
  <c r="H31" i="1"/>
  <c r="L30" i="1"/>
  <c r="H30" i="1"/>
  <c r="D30" i="1"/>
  <c r="L28" i="1"/>
  <c r="H28" i="1"/>
  <c r="L27" i="1"/>
  <c r="H27" i="1"/>
  <c r="L26" i="1"/>
  <c r="H26" i="1"/>
  <c r="L25" i="1"/>
  <c r="H25" i="1"/>
  <c r="L24" i="1"/>
  <c r="H24" i="1"/>
  <c r="D24" i="1"/>
  <c r="L22" i="1"/>
  <c r="H22" i="1"/>
  <c r="Q21" i="1"/>
  <c r="Q27" i="1" s="1"/>
  <c r="Q33" i="1" s="1"/>
  <c r="Q39" i="1" s="1"/>
  <c r="Q45" i="1" s="1"/>
  <c r="Q51" i="1" s="1"/>
  <c r="Q57" i="1" s="1"/>
  <c r="Q63" i="1" s="1"/>
  <c r="Q69" i="1" s="1"/>
  <c r="Q75" i="1" s="1"/>
  <c r="Q81" i="1" s="1"/>
  <c r="Q87" i="1" s="1"/>
  <c r="Q93" i="1" s="1"/>
  <c r="Q99" i="1" s="1"/>
  <c r="Q105" i="1" s="1"/>
  <c r="Q111" i="1" s="1"/>
  <c r="Q117" i="1" s="1"/>
  <c r="Q123" i="1" s="1"/>
  <c r="Q129" i="1" s="1"/>
  <c r="Q135" i="1" s="1"/>
  <c r="Q141" i="1" s="1"/>
  <c r="Q147" i="1" s="1"/>
  <c r="Q153" i="1" s="1"/>
  <c r="Q159" i="1" s="1"/>
  <c r="Q165" i="1" s="1"/>
  <c r="Q171" i="1" s="1"/>
  <c r="Q177" i="1" s="1"/>
  <c r="Q183" i="1" s="1"/>
  <c r="Q189" i="1" s="1"/>
  <c r="Q195" i="1" s="1"/>
  <c r="Q201" i="1" s="1"/>
  <c r="Q207" i="1" s="1"/>
  <c r="Q213" i="1" s="1"/>
  <c r="Q219" i="1" s="1"/>
  <c r="Q225" i="1" s="1"/>
  <c r="Q231" i="1" s="1"/>
  <c r="Q237" i="1" s="1"/>
  <c r="Q243" i="1" s="1"/>
  <c r="L21" i="1"/>
  <c r="H21" i="1"/>
  <c r="L20" i="1"/>
  <c r="H20" i="1"/>
  <c r="Q19" i="1"/>
  <c r="Q25" i="1" s="1"/>
  <c r="Q31" i="1" s="1"/>
  <c r="Q37" i="1" s="1"/>
  <c r="Q43" i="1" s="1"/>
  <c r="Q49" i="1" s="1"/>
  <c r="Q55" i="1" s="1"/>
  <c r="Q61" i="1" s="1"/>
  <c r="Q67" i="1" s="1"/>
  <c r="Q73" i="1" s="1"/>
  <c r="Q79" i="1" s="1"/>
  <c r="Q85" i="1" s="1"/>
  <c r="Q91" i="1" s="1"/>
  <c r="Q97" i="1" s="1"/>
  <c r="Q103" i="1" s="1"/>
  <c r="Q109" i="1" s="1"/>
  <c r="Q115" i="1" s="1"/>
  <c r="Q121" i="1" s="1"/>
  <c r="Q127" i="1" s="1"/>
  <c r="Q133" i="1" s="1"/>
  <c r="Q139" i="1" s="1"/>
  <c r="Q145" i="1" s="1"/>
  <c r="Q151" i="1" s="1"/>
  <c r="Q157" i="1" s="1"/>
  <c r="Q163" i="1" s="1"/>
  <c r="Q169" i="1" s="1"/>
  <c r="Q175" i="1" s="1"/>
  <c r="Q181" i="1" s="1"/>
  <c r="Q187" i="1" s="1"/>
  <c r="Q193" i="1" s="1"/>
  <c r="Q199" i="1" s="1"/>
  <c r="Q205" i="1" s="1"/>
  <c r="Q211" i="1" s="1"/>
  <c r="Q217" i="1" s="1"/>
  <c r="Q223" i="1" s="1"/>
  <c r="Q229" i="1" s="1"/>
  <c r="Q235" i="1" s="1"/>
  <c r="Q241" i="1" s="1"/>
  <c r="L19" i="1"/>
  <c r="H19" i="1"/>
  <c r="L18" i="1"/>
  <c r="H18" i="1"/>
  <c r="D18" i="1"/>
  <c r="Q16" i="1"/>
  <c r="Q22" i="1" s="1"/>
  <c r="Q28" i="1" s="1"/>
  <c r="Q34" i="1" s="1"/>
  <c r="Q40" i="1" s="1"/>
  <c r="Q46" i="1" s="1"/>
  <c r="Q52" i="1" s="1"/>
  <c r="Q58" i="1" s="1"/>
  <c r="Q64" i="1" s="1"/>
  <c r="Q70" i="1" s="1"/>
  <c r="Q76" i="1" s="1"/>
  <c r="Q82" i="1" s="1"/>
  <c r="Q88" i="1" s="1"/>
  <c r="Q94" i="1" s="1"/>
  <c r="Q100" i="1" s="1"/>
  <c r="Q106" i="1" s="1"/>
  <c r="Q112" i="1" s="1"/>
  <c r="Q118" i="1" s="1"/>
  <c r="Q124" i="1" s="1"/>
  <c r="Q130" i="1" s="1"/>
  <c r="Q136" i="1" s="1"/>
  <c r="Q142" i="1" s="1"/>
  <c r="Q148" i="1" s="1"/>
  <c r="Q154" i="1" s="1"/>
  <c r="Q160" i="1" s="1"/>
  <c r="Q166" i="1" s="1"/>
  <c r="Q172" i="1" s="1"/>
  <c r="Q178" i="1" s="1"/>
  <c r="Q184" i="1" s="1"/>
  <c r="Q190" i="1" s="1"/>
  <c r="Q196" i="1" s="1"/>
  <c r="Q202" i="1" s="1"/>
  <c r="Q208" i="1" s="1"/>
  <c r="Q214" i="1" s="1"/>
  <c r="Q220" i="1" s="1"/>
  <c r="Q226" i="1" s="1"/>
  <c r="Q232" i="1" s="1"/>
  <c r="Q238" i="1" s="1"/>
  <c r="Q244" i="1" s="1"/>
  <c r="L16" i="1"/>
  <c r="R16" i="1" s="1"/>
  <c r="R22" i="1" s="1"/>
  <c r="R28" i="1" s="1"/>
  <c r="R34" i="1" s="1"/>
  <c r="R40" i="1" s="1"/>
  <c r="R46" i="1" s="1"/>
  <c r="R52" i="1" s="1"/>
  <c r="R58" i="1" s="1"/>
  <c r="R64" i="1" s="1"/>
  <c r="R70" i="1" s="1"/>
  <c r="R76" i="1" s="1"/>
  <c r="R82" i="1" s="1"/>
  <c r="R88" i="1" s="1"/>
  <c r="R94" i="1" s="1"/>
  <c r="R100" i="1" s="1"/>
  <c r="R106" i="1" s="1"/>
  <c r="R112" i="1" s="1"/>
  <c r="R118" i="1" s="1"/>
  <c r="R124" i="1" s="1"/>
  <c r="R130" i="1" s="1"/>
  <c r="R136" i="1" s="1"/>
  <c r="R142" i="1" s="1"/>
  <c r="R148" i="1" s="1"/>
  <c r="R154" i="1" s="1"/>
  <c r="R160" i="1" s="1"/>
  <c r="R166" i="1" s="1"/>
  <c r="R172" i="1" s="1"/>
  <c r="R178" i="1" s="1"/>
  <c r="R184" i="1" s="1"/>
  <c r="R190" i="1" s="1"/>
  <c r="R196" i="1" s="1"/>
  <c r="R202" i="1" s="1"/>
  <c r="R208" i="1" s="1"/>
  <c r="R214" i="1" s="1"/>
  <c r="R220" i="1" s="1"/>
  <c r="R226" i="1" s="1"/>
  <c r="R232" i="1" s="1"/>
  <c r="R238" i="1" s="1"/>
  <c r="R244" i="1" s="1"/>
  <c r="H16" i="1"/>
  <c r="Q15" i="1"/>
  <c r="L15" i="1"/>
  <c r="H15" i="1"/>
  <c r="Q14" i="1"/>
  <c r="Q20" i="1" s="1"/>
  <c r="Q26" i="1" s="1"/>
  <c r="Q32" i="1" s="1"/>
  <c r="Q38" i="1" s="1"/>
  <c r="Q44" i="1" s="1"/>
  <c r="Q50" i="1" s="1"/>
  <c r="Q56" i="1" s="1"/>
  <c r="Q62" i="1" s="1"/>
  <c r="Q68" i="1" s="1"/>
  <c r="Q74" i="1" s="1"/>
  <c r="Q80" i="1" s="1"/>
  <c r="Q86" i="1" s="1"/>
  <c r="Q92" i="1" s="1"/>
  <c r="Q98" i="1" s="1"/>
  <c r="Q104" i="1" s="1"/>
  <c r="Q110" i="1" s="1"/>
  <c r="Q116" i="1" s="1"/>
  <c r="Q122" i="1" s="1"/>
  <c r="Q128" i="1" s="1"/>
  <c r="Q134" i="1" s="1"/>
  <c r="Q140" i="1" s="1"/>
  <c r="Q146" i="1" s="1"/>
  <c r="Q152" i="1" s="1"/>
  <c r="Q158" i="1" s="1"/>
  <c r="Q164" i="1" s="1"/>
  <c r="Q170" i="1" s="1"/>
  <c r="Q176" i="1" s="1"/>
  <c r="Q182" i="1" s="1"/>
  <c r="Q188" i="1" s="1"/>
  <c r="Q194" i="1" s="1"/>
  <c r="Q200" i="1" s="1"/>
  <c r="Q206" i="1" s="1"/>
  <c r="Q212" i="1" s="1"/>
  <c r="Q218" i="1" s="1"/>
  <c r="Q224" i="1" s="1"/>
  <c r="Q230" i="1" s="1"/>
  <c r="Q236" i="1" s="1"/>
  <c r="Q242" i="1" s="1"/>
  <c r="L14" i="1"/>
  <c r="R14" i="1" s="1"/>
  <c r="R20" i="1" s="1"/>
  <c r="R26" i="1" s="1"/>
  <c r="R32" i="1" s="1"/>
  <c r="R38" i="1" s="1"/>
  <c r="R44" i="1" s="1"/>
  <c r="R50" i="1" s="1"/>
  <c r="R56" i="1" s="1"/>
  <c r="R62" i="1" s="1"/>
  <c r="R68" i="1" s="1"/>
  <c r="R74" i="1" s="1"/>
  <c r="R80" i="1" s="1"/>
  <c r="R86" i="1" s="1"/>
  <c r="R92" i="1" s="1"/>
  <c r="R98" i="1" s="1"/>
  <c r="R104" i="1" s="1"/>
  <c r="R110" i="1" s="1"/>
  <c r="R116" i="1" s="1"/>
  <c r="R122" i="1" s="1"/>
  <c r="R128" i="1" s="1"/>
  <c r="R134" i="1" s="1"/>
  <c r="R140" i="1" s="1"/>
  <c r="R146" i="1" s="1"/>
  <c r="R152" i="1" s="1"/>
  <c r="R158" i="1" s="1"/>
  <c r="R164" i="1" s="1"/>
  <c r="R170" i="1" s="1"/>
  <c r="R176" i="1" s="1"/>
  <c r="R182" i="1" s="1"/>
  <c r="R188" i="1" s="1"/>
  <c r="R194" i="1" s="1"/>
  <c r="R200" i="1" s="1"/>
  <c r="R206" i="1" s="1"/>
  <c r="R212" i="1" s="1"/>
  <c r="R218" i="1" s="1"/>
  <c r="R224" i="1" s="1"/>
  <c r="R230" i="1" s="1"/>
  <c r="R236" i="1" s="1"/>
  <c r="R242" i="1" s="1"/>
  <c r="H14" i="1"/>
  <c r="Q13" i="1"/>
  <c r="L13" i="1"/>
  <c r="H13" i="1"/>
  <c r="Q12" i="1"/>
  <c r="Q18" i="1" s="1"/>
  <c r="Q24" i="1" s="1"/>
  <c r="Q30" i="1" s="1"/>
  <c r="Q36" i="1" s="1"/>
  <c r="Q42" i="1" s="1"/>
  <c r="Q48" i="1" s="1"/>
  <c r="Q54" i="1" s="1"/>
  <c r="Q60" i="1" s="1"/>
  <c r="Q66" i="1" s="1"/>
  <c r="Q72" i="1" s="1"/>
  <c r="Q78" i="1" s="1"/>
  <c r="Q84" i="1" s="1"/>
  <c r="Q90" i="1" s="1"/>
  <c r="Q96" i="1" s="1"/>
  <c r="Q102" i="1" s="1"/>
  <c r="Q108" i="1" s="1"/>
  <c r="Q114" i="1" s="1"/>
  <c r="Q120" i="1" s="1"/>
  <c r="Q126" i="1" s="1"/>
  <c r="Q132" i="1" s="1"/>
  <c r="Q138" i="1" s="1"/>
  <c r="Q144" i="1" s="1"/>
  <c r="Q150" i="1" s="1"/>
  <c r="Q156" i="1" s="1"/>
  <c r="Q162" i="1" s="1"/>
  <c r="Q168" i="1" s="1"/>
  <c r="Q174" i="1" s="1"/>
  <c r="Q180" i="1" s="1"/>
  <c r="Q186" i="1" s="1"/>
  <c r="Q192" i="1" s="1"/>
  <c r="Q198" i="1" s="1"/>
  <c r="Q204" i="1" s="1"/>
  <c r="Q210" i="1" s="1"/>
  <c r="Q216" i="1" s="1"/>
  <c r="Q222" i="1" s="1"/>
  <c r="Q228" i="1" s="1"/>
  <c r="Q234" i="1" s="1"/>
  <c r="Q240" i="1" s="1"/>
  <c r="L12" i="1"/>
  <c r="D9" i="2" s="1"/>
  <c r="H12" i="1"/>
  <c r="D12" i="1"/>
  <c r="R10" i="1"/>
  <c r="L10" i="1"/>
  <c r="H10" i="1"/>
  <c r="R9" i="1"/>
  <c r="R15" i="1" s="1"/>
  <c r="R21" i="1" s="1"/>
  <c r="R27" i="1" s="1"/>
  <c r="R33" i="1" s="1"/>
  <c r="R39" i="1" s="1"/>
  <c r="R45" i="1" s="1"/>
  <c r="R51" i="1" s="1"/>
  <c r="R57" i="1" s="1"/>
  <c r="R63" i="1" s="1"/>
  <c r="R69" i="1" s="1"/>
  <c r="R75" i="1" s="1"/>
  <c r="R81" i="1" s="1"/>
  <c r="R87" i="1" s="1"/>
  <c r="R93" i="1" s="1"/>
  <c r="R99" i="1" s="1"/>
  <c r="R105" i="1" s="1"/>
  <c r="R111" i="1" s="1"/>
  <c r="R117" i="1" s="1"/>
  <c r="R123" i="1" s="1"/>
  <c r="R129" i="1" s="1"/>
  <c r="R135" i="1" s="1"/>
  <c r="R141" i="1" s="1"/>
  <c r="R147" i="1" s="1"/>
  <c r="R153" i="1" s="1"/>
  <c r="R159" i="1" s="1"/>
  <c r="R165" i="1" s="1"/>
  <c r="R171" i="1" s="1"/>
  <c r="R177" i="1" s="1"/>
  <c r="R183" i="1" s="1"/>
  <c r="R189" i="1" s="1"/>
  <c r="R195" i="1" s="1"/>
  <c r="R201" i="1" s="1"/>
  <c r="R207" i="1" s="1"/>
  <c r="R213" i="1" s="1"/>
  <c r="R219" i="1" s="1"/>
  <c r="R225" i="1" s="1"/>
  <c r="R231" i="1" s="1"/>
  <c r="R237" i="1" s="1"/>
  <c r="R243" i="1" s="1"/>
  <c r="L9" i="1"/>
  <c r="H9" i="1"/>
  <c r="R8" i="1"/>
  <c r="L8" i="1"/>
  <c r="H8" i="1"/>
  <c r="R7" i="1"/>
  <c r="R13" i="1" s="1"/>
  <c r="R19" i="1" s="1"/>
  <c r="R25" i="1" s="1"/>
  <c r="R31" i="1" s="1"/>
  <c r="R37" i="1" s="1"/>
  <c r="R43" i="1" s="1"/>
  <c r="R49" i="1" s="1"/>
  <c r="R55" i="1" s="1"/>
  <c r="R61" i="1" s="1"/>
  <c r="R67" i="1" s="1"/>
  <c r="R73" i="1" s="1"/>
  <c r="R79" i="1" s="1"/>
  <c r="R85" i="1" s="1"/>
  <c r="R91" i="1" s="1"/>
  <c r="R97" i="1" s="1"/>
  <c r="R103" i="1" s="1"/>
  <c r="R109" i="1" s="1"/>
  <c r="R115" i="1" s="1"/>
  <c r="R121" i="1" s="1"/>
  <c r="R127" i="1" s="1"/>
  <c r="R133" i="1" s="1"/>
  <c r="R139" i="1" s="1"/>
  <c r="R145" i="1" s="1"/>
  <c r="R151" i="1" s="1"/>
  <c r="R157" i="1" s="1"/>
  <c r="R163" i="1" s="1"/>
  <c r="R169" i="1" s="1"/>
  <c r="R175" i="1" s="1"/>
  <c r="R181" i="1" s="1"/>
  <c r="R187" i="1" s="1"/>
  <c r="R193" i="1" s="1"/>
  <c r="R199" i="1" s="1"/>
  <c r="R205" i="1" s="1"/>
  <c r="R211" i="1" s="1"/>
  <c r="R217" i="1" s="1"/>
  <c r="R223" i="1" s="1"/>
  <c r="R229" i="1" s="1"/>
  <c r="R235" i="1" s="1"/>
  <c r="R241" i="1" s="1"/>
  <c r="L7" i="1"/>
  <c r="H7" i="1"/>
  <c r="R6" i="1"/>
  <c r="F6" i="2" s="1"/>
  <c r="L6" i="1"/>
  <c r="H6" i="1"/>
  <c r="E34" i="2" l="1"/>
  <c r="C34" i="2"/>
  <c r="B34" i="2"/>
  <c r="A34" i="2"/>
  <c r="D129" i="2"/>
  <c r="B129" i="2"/>
  <c r="A129" i="2"/>
  <c r="F129" i="2"/>
  <c r="E129" i="2"/>
  <c r="A14" i="2"/>
  <c r="E14" i="2"/>
  <c r="D14" i="2"/>
  <c r="B14" i="2"/>
  <c r="E35" i="2"/>
  <c r="D35" i="2"/>
  <c r="B35" i="2"/>
  <c r="A35" i="2"/>
  <c r="D149" i="2"/>
  <c r="B149" i="2"/>
  <c r="A149" i="2"/>
  <c r="F149" i="2"/>
  <c r="E149" i="2"/>
  <c r="E40" i="2"/>
  <c r="D40" i="2"/>
  <c r="B40" i="2"/>
  <c r="A40" i="2"/>
  <c r="D89" i="2"/>
  <c r="B89" i="2"/>
  <c r="A89" i="2"/>
  <c r="F89" i="2"/>
  <c r="E89" i="2"/>
  <c r="E10" i="2"/>
  <c r="C10" i="2"/>
  <c r="B10" i="2"/>
  <c r="A10" i="2"/>
  <c r="H246" i="1"/>
  <c r="E8" i="2"/>
  <c r="D8" i="2"/>
  <c r="B8" i="2"/>
  <c r="A8" i="2"/>
  <c r="D18" i="2"/>
  <c r="A22" i="2"/>
  <c r="E22" i="2"/>
  <c r="C22" i="2"/>
  <c r="B22" i="2"/>
  <c r="E29" i="2"/>
  <c r="D29" i="2"/>
  <c r="B29" i="2"/>
  <c r="A29" i="2"/>
  <c r="D38" i="2"/>
  <c r="E45" i="2"/>
  <c r="D45" i="2"/>
  <c r="B45" i="2"/>
  <c r="A45" i="2"/>
  <c r="D79" i="2"/>
  <c r="B79" i="2"/>
  <c r="A79" i="2"/>
  <c r="F79" i="2"/>
  <c r="E79" i="2"/>
  <c r="D104" i="2"/>
  <c r="B104" i="2"/>
  <c r="A104" i="2"/>
  <c r="F104" i="2"/>
  <c r="E104" i="2"/>
  <c r="D119" i="2"/>
  <c r="B119" i="2"/>
  <c r="A119" i="2"/>
  <c r="F119" i="2"/>
  <c r="E119" i="2"/>
  <c r="D144" i="2"/>
  <c r="B144" i="2"/>
  <c r="A144" i="2"/>
  <c r="F144" i="2"/>
  <c r="E144" i="2"/>
  <c r="D84" i="2"/>
  <c r="B84" i="2"/>
  <c r="A84" i="2"/>
  <c r="F84" i="2"/>
  <c r="E84" i="2"/>
  <c r="E13" i="2"/>
  <c r="C13" i="2"/>
  <c r="B13" i="2"/>
  <c r="A13" i="2"/>
  <c r="D49" i="2"/>
  <c r="B49" i="2"/>
  <c r="A49" i="2"/>
  <c r="F49" i="2"/>
  <c r="E49" i="2"/>
  <c r="D59" i="2"/>
  <c r="B59" i="2"/>
  <c r="A59" i="2"/>
  <c r="F59" i="2"/>
  <c r="E59" i="2"/>
  <c r="D109" i="2"/>
  <c r="B109" i="2"/>
  <c r="A109" i="2"/>
  <c r="F109" i="2"/>
  <c r="E109" i="2"/>
  <c r="D134" i="2"/>
  <c r="B134" i="2"/>
  <c r="A134" i="2"/>
  <c r="F134" i="2"/>
  <c r="E134" i="2"/>
  <c r="D21" i="2"/>
  <c r="B25" i="2"/>
  <c r="A25" i="2"/>
  <c r="E25" i="2"/>
  <c r="C25" i="2"/>
  <c r="E32" i="2"/>
  <c r="D32" i="2"/>
  <c r="B32" i="2"/>
  <c r="A32" i="2"/>
  <c r="D54" i="2"/>
  <c r="B54" i="2"/>
  <c r="A54" i="2"/>
  <c r="F54" i="2"/>
  <c r="E54" i="2"/>
  <c r="D64" i="2"/>
  <c r="B64" i="2"/>
  <c r="A64" i="2"/>
  <c r="F64" i="2"/>
  <c r="E64" i="2"/>
  <c r="D74" i="2"/>
  <c r="B74" i="2"/>
  <c r="A74" i="2"/>
  <c r="F74" i="2"/>
  <c r="E74" i="2"/>
  <c r="D94" i="2"/>
  <c r="B94" i="2"/>
  <c r="A94" i="2"/>
  <c r="F94" i="2"/>
  <c r="E94" i="2"/>
  <c r="D124" i="2"/>
  <c r="B124" i="2"/>
  <c r="A124" i="2"/>
  <c r="F124" i="2"/>
  <c r="E124" i="2"/>
  <c r="E23" i="2"/>
  <c r="D23" i="2"/>
  <c r="B23" i="2"/>
  <c r="A23" i="2"/>
  <c r="D15" i="2"/>
  <c r="E19" i="2"/>
  <c r="C19" i="2"/>
  <c r="B19" i="2"/>
  <c r="A19" i="2"/>
  <c r="E31" i="2"/>
  <c r="C31" i="2"/>
  <c r="B31" i="2"/>
  <c r="A31" i="2"/>
  <c r="D154" i="2"/>
  <c r="B154" i="2"/>
  <c r="A154" i="2"/>
  <c r="F154" i="2"/>
  <c r="E154" i="2"/>
  <c r="E11" i="2"/>
  <c r="D11" i="2"/>
  <c r="B11" i="2"/>
  <c r="A11" i="2"/>
  <c r="D33" i="2"/>
  <c r="C36" i="2"/>
  <c r="B36" i="2"/>
  <c r="A36" i="2"/>
  <c r="E36" i="2"/>
  <c r="D99" i="2"/>
  <c r="B99" i="2"/>
  <c r="A99" i="2"/>
  <c r="F99" i="2"/>
  <c r="E99" i="2"/>
  <c r="D139" i="2"/>
  <c r="B139" i="2"/>
  <c r="A139" i="2"/>
  <c r="F139" i="2"/>
  <c r="E139" i="2"/>
  <c r="D159" i="2"/>
  <c r="B159" i="2"/>
  <c r="A159" i="2"/>
  <c r="F159" i="2"/>
  <c r="E159" i="2"/>
  <c r="L246" i="1"/>
  <c r="D69" i="2"/>
  <c r="B69" i="2"/>
  <c r="A69" i="2"/>
  <c r="F69" i="2"/>
  <c r="E69" i="2"/>
  <c r="R12" i="1"/>
  <c r="R18" i="1" s="1"/>
  <c r="R24" i="1" s="1"/>
  <c r="R30" i="1" s="1"/>
  <c r="R36" i="1" s="1"/>
  <c r="R42" i="1" s="1"/>
  <c r="R48" i="1" s="1"/>
  <c r="R54" i="1" s="1"/>
  <c r="R60" i="1" s="1"/>
  <c r="R66" i="1" s="1"/>
  <c r="R72" i="1" s="1"/>
  <c r="R78" i="1" s="1"/>
  <c r="R84" i="1" s="1"/>
  <c r="R90" i="1" s="1"/>
  <c r="R96" i="1" s="1"/>
  <c r="R102" i="1" s="1"/>
  <c r="R108" i="1" s="1"/>
  <c r="R114" i="1" s="1"/>
  <c r="R120" i="1" s="1"/>
  <c r="R126" i="1" s="1"/>
  <c r="R132" i="1" s="1"/>
  <c r="R138" i="1" s="1"/>
  <c r="R144" i="1" s="1"/>
  <c r="R150" i="1" s="1"/>
  <c r="R156" i="1" s="1"/>
  <c r="R162" i="1" s="1"/>
  <c r="R168" i="1" s="1"/>
  <c r="R174" i="1" s="1"/>
  <c r="R180" i="1" s="1"/>
  <c r="R186" i="1" s="1"/>
  <c r="R192" i="1" s="1"/>
  <c r="R198" i="1" s="1"/>
  <c r="R204" i="1" s="1"/>
  <c r="R210" i="1" s="1"/>
  <c r="R216" i="1" s="1"/>
  <c r="R222" i="1" s="1"/>
  <c r="R228" i="1" s="1"/>
  <c r="R234" i="1" s="1"/>
  <c r="R240" i="1" s="1"/>
  <c r="D114" i="2"/>
  <c r="B114" i="2"/>
  <c r="A114" i="2"/>
  <c r="F114" i="2"/>
  <c r="E114" i="2"/>
  <c r="D20" i="2"/>
  <c r="B20" i="2"/>
  <c r="A20" i="2"/>
  <c r="E20" i="2"/>
  <c r="E47" i="2"/>
  <c r="C47" i="2"/>
  <c r="B47" i="2"/>
  <c r="A47" i="2"/>
  <c r="D12" i="2"/>
  <c r="E16" i="2"/>
  <c r="C16" i="2"/>
  <c r="B16" i="2"/>
  <c r="A16" i="2"/>
  <c r="E26" i="2"/>
  <c r="D26" i="2"/>
  <c r="B26" i="2"/>
  <c r="A26" i="2"/>
  <c r="E7" i="2"/>
  <c r="C7" i="2"/>
  <c r="F7" i="2" s="1"/>
  <c r="B7" i="2"/>
  <c r="A7" i="2"/>
  <c r="D246" i="1"/>
  <c r="B17" i="2"/>
  <c r="A17" i="2"/>
  <c r="E17" i="2"/>
  <c r="D17" i="2"/>
  <c r="C28" i="2"/>
  <c r="B28" i="2"/>
  <c r="A28" i="2"/>
  <c r="E28" i="2"/>
  <c r="E37" i="2"/>
  <c r="D37" i="2"/>
  <c r="B37" i="2"/>
  <c r="A37" i="2"/>
  <c r="E44" i="2"/>
  <c r="C44" i="2"/>
  <c r="B44" i="2"/>
  <c r="A44" i="2"/>
  <c r="E164" i="2"/>
  <c r="F164" i="2"/>
  <c r="A164" i="2"/>
  <c r="B164" i="2"/>
  <c r="F8" i="2" l="1"/>
  <c r="F9" i="2" l="1"/>
  <c r="F10" i="2" l="1"/>
  <c r="F11" i="2"/>
  <c r="F12" i="2" l="1"/>
  <c r="F13" i="2" l="1"/>
  <c r="F14" i="2" l="1"/>
  <c r="F15" i="2" l="1"/>
  <c r="F16" i="2" l="1"/>
  <c r="F17" i="2" l="1"/>
  <c r="F18" i="2" l="1"/>
  <c r="F19" i="2" l="1"/>
  <c r="F20" i="2" s="1"/>
  <c r="F23" i="2" l="1"/>
  <c r="F24" i="2"/>
  <c r="F21" i="2"/>
  <c r="F22" i="2"/>
  <c r="F25" i="2" l="1"/>
  <c r="F26" i="2" s="1"/>
  <c r="F27" i="2" l="1"/>
  <c r="F28" i="2" l="1"/>
  <c r="F29" i="2"/>
  <c r="F30" i="2" l="1"/>
  <c r="F31" i="2"/>
  <c r="F32" i="2" l="1"/>
  <c r="F33" i="2"/>
  <c r="F34" i="2" l="1"/>
  <c r="F35" i="2"/>
  <c r="F36" i="2" l="1"/>
  <c r="F37" i="2" l="1"/>
  <c r="F38" i="2" l="1"/>
  <c r="F39" i="2" l="1"/>
  <c r="F40" i="2" l="1"/>
  <c r="F41" i="2"/>
  <c r="F42" i="2" l="1"/>
  <c r="F43" i="2" l="1"/>
  <c r="F44" i="2" l="1"/>
  <c r="F45" i="2" s="1"/>
  <c r="F46" i="2" l="1"/>
  <c r="F4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X7" authorId="0" shapeId="0" xr:uid="{00000000-0006-0000-0000-000001000000}">
      <text>
        <r>
          <rPr>
            <sz val="10"/>
            <rFont val="Arial"/>
            <family val="2"/>
          </rPr>
          <t>Agregado por Claude: Malogrado normalmente se registra directo en KG (columna H), no por jabas. Factor=1 es un valor neutro solo para que la fórmula de Saldo kg no truene (VLOOKUP) si alguna vez se usa trasiego/devolución en jabas para esta calidad.</t>
        </r>
      </text>
    </comment>
  </commentList>
</comments>
</file>

<file path=xl/sharedStrings.xml><?xml version="1.0" encoding="utf-8"?>
<sst xmlns="http://schemas.openxmlformats.org/spreadsheetml/2006/main" count="326" uniqueCount="65">
  <si>
    <t>AGRO PACAYALES · PLANTA CAMOTE 2026  |  KARDEX POR CALIDAD — Proceso · Envío · Devolución · Saldo en planta (jabas y kg)</t>
  </si>
  <si>
    <t>Factor kg/unidad</t>
  </si>
  <si>
    <t>Calidades A/P/C/M en jabas · Chancho en sacos (1 saco = 95 kg). Conversión jaba→kg: A=15 · P=18 · C=17 · M=17. Saldo en planta = Apertura + Procesado − Enviado + Devuelto.</t>
  </si>
  <si>
    <t>A</t>
  </si>
  <si>
    <t>P</t>
  </si>
  <si>
    <t>DETALLE DIARIO POR CALIDAD</t>
  </si>
  <si>
    <t>PROCESO</t>
  </si>
  <si>
    <t>ENVIO DE PRODUCTO</t>
  </si>
  <si>
    <t>C</t>
  </si>
  <si>
    <t>Fecha
Compra</t>
  </si>
  <si>
    <t>Compra sacos</t>
  </si>
  <si>
    <t>Peso 
aprox</t>
  </si>
  <si>
    <t>Compra kg</t>
  </si>
  <si>
    <t>Fecha
Proceso</t>
  </si>
  <si>
    <t>Calidad</t>
  </si>
  <si>
    <t>Proceso jabas</t>
  </si>
  <si>
    <t>Proceso kg</t>
  </si>
  <si>
    <t>Fecha
Envio</t>
  </si>
  <si>
    <t>N° Guía</t>
  </si>
  <si>
    <t>Envío jabas</t>
  </si>
  <si>
    <t>Envío kg</t>
  </si>
  <si>
    <t>Devolución
Jabas</t>
  </si>
  <si>
    <t>Reproceso
Kg</t>
  </si>
  <si>
    <t>Trasiego jabas</t>
  </si>
  <si>
    <t>Trasiego
Kg</t>
  </si>
  <si>
    <t>Saldo jabas</t>
  </si>
  <si>
    <t>Saldo kg</t>
  </si>
  <si>
    <t>Nota</t>
  </si>
  <si>
    <t>M</t>
  </si>
  <si>
    <t>SAB 11-07</t>
  </si>
  <si>
    <t>Apertura</t>
  </si>
  <si>
    <t>Chancho</t>
  </si>
  <si>
    <t>Malogrado</t>
  </si>
  <si>
    <t>DOM 12-07</t>
  </si>
  <si>
    <t>LUN 13-07</t>
  </si>
  <si>
    <t>MAR 14-07</t>
  </si>
  <si>
    <t>MIE 15-07</t>
  </si>
  <si>
    <t>TCK002-724</t>
  </si>
  <si>
    <t>JUE 16-07</t>
  </si>
  <si>
    <t>VIE 17-07</t>
  </si>
  <si>
    <t>TCK002-725</t>
  </si>
  <si>
    <t>SAB 18-07</t>
  </si>
  <si>
    <t>DOM 19-07</t>
  </si>
  <si>
    <t>LUN 20-07</t>
  </si>
  <si>
    <t>TCK002-726</t>
  </si>
  <si>
    <t>MAR 21-07</t>
  </si>
  <si>
    <t>MIE 22-07</t>
  </si>
  <si>
    <t>S/T</t>
  </si>
  <si>
    <t>no hay ticket de esta venta</t>
  </si>
  <si>
    <t>JUE 23-07</t>
  </si>
  <si>
    <t>JUE 24-7</t>
  </si>
  <si>
    <t>VIE 24-07</t>
  </si>
  <si>
    <t>TOTAL</t>
  </si>
  <si>
    <t>AGRO PACAYALES · PLANTA CAMOTE 2026  |  TOTALES — Entradas / Salidas y Rendimiento (kg)</t>
  </si>
  <si>
    <t>Se actualiza SOLO al llenar PRUEBA. ENTRADAS (col. C): compras y reprocesos (devoluciones). SALIDAS (col. D): envíos a supermercado, chancho del proceso y malogrado. Ingreso − Envíos − Chancho = rendimiento puntual. Solo aparecen filas con movimiento.</t>
  </si>
  <si>
    <t>ENTRADAS</t>
  </si>
  <si>
    <t>SALIDAS</t>
  </si>
  <si>
    <t>Fecha</t>
  </si>
  <si>
    <t>Detalle</t>
  </si>
  <si>
    <t>Ingresos Kg</t>
  </si>
  <si>
    <t>Salidas Kg</t>
  </si>
  <si>
    <t>N. Guía / Nota</t>
  </si>
  <si>
    <t>Stock Kg</t>
  </si>
  <si>
    <t>APERTURA (saldo semana anterior)</t>
  </si>
  <si>
    <t>Solo camote A/P/C/M, sin sacos de chancho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</si>
</sst>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\-"/>
    <numFmt numFmtId="165" formatCode="#,##0.##;\(#,##0.##\);\-"/>
    <numFmt numFmtId="166" formatCode="&quot;G-&quot;0"/>
    <numFmt numFmtId="167" formatCode="m/d/yyyy"/>
    <numFmt numFmtId="168" formatCode="#,##0.0"/>
    <numFmt numFmtId="169" formatCode="#,##0.#;\(#,##0.#\);\-"/>
  </numFmts>
  <fonts count="2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12"/>
      <color rgb="FFFFFFFF"/>
      <name val="Arial"/>
      <family val="2"/>
      <charset val="1"/>
    </font>
    <font>
      <b/>
      <sz val="8"/>
      <color theme="1"/>
      <name val="Arial"/>
      <family val="2"/>
      <charset val="1"/>
    </font>
    <font>
      <i/>
      <sz val="8"/>
      <color rgb="FFFFFFFF"/>
      <name val="Arial"/>
      <family val="2"/>
      <charset val="1"/>
    </font>
    <font>
      <b/>
      <i/>
      <sz val="8"/>
      <color rgb="FFFFFFFF"/>
      <name val="Arial"/>
      <family val="2"/>
      <charset val="1"/>
    </font>
    <font>
      <sz val="8"/>
      <color theme="1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Cambria"/>
      <family val="1"/>
      <charset val="1"/>
    </font>
    <font>
      <sz val="9"/>
      <color theme="1"/>
      <name val="Arial"/>
      <family val="2"/>
      <charset val="1"/>
    </font>
    <font>
      <sz val="11"/>
      <name val="Arial"/>
      <family val="2"/>
      <charset val="1"/>
    </font>
    <font>
      <sz val="9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9"/>
      <color rgb="FF0000FF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2"/>
      <color rgb="FFFFFFFF"/>
      <name val="Arial"/>
      <family val="2"/>
    </font>
    <font>
      <sz val="11"/>
      <name val="Arial"/>
      <family val="2"/>
    </font>
    <font>
      <sz val="9"/>
      <color rgb="FF555555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1"/>
      <color rgb="FF5D4037"/>
      <name val="Arial"/>
      <family val="2"/>
    </font>
    <font>
      <b/>
      <sz val="11"/>
      <color rgb="FF0D47A1"/>
      <name val="Arial"/>
      <family val="2"/>
    </font>
    <font>
      <sz val="11"/>
      <color rgb="FF4E342E"/>
      <name val="Arial"/>
      <family val="2"/>
    </font>
    <font>
      <sz val="11"/>
      <color rgb="FF311B92"/>
      <name val="Arial"/>
      <family val="2"/>
    </font>
    <font>
      <b/>
      <sz val="11"/>
      <color rgb="FF00695C"/>
      <name val="Arial"/>
      <family val="2"/>
    </font>
    <font>
      <b/>
      <sz val="11"/>
      <color rgb="FFB71C1C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1565C0"/>
        <bgColor rgb="FF1976D2"/>
      </patternFill>
    </fill>
    <fill>
      <patternFill patternType="solid">
        <fgColor rgb="FFECEFF1"/>
        <bgColor rgb="FFEFEBE9"/>
      </patternFill>
    </fill>
    <fill>
      <patternFill patternType="solid">
        <fgColor rgb="FF1976D2"/>
        <bgColor rgb="FF1565C0"/>
      </patternFill>
    </fill>
    <fill>
      <patternFill patternType="solid">
        <fgColor rgb="FF0D47A1"/>
        <bgColor rgb="FF1565C0"/>
      </patternFill>
    </fill>
    <fill>
      <patternFill patternType="solid">
        <fgColor theme="6"/>
        <bgColor rgb="FF969696"/>
      </patternFill>
    </fill>
    <fill>
      <patternFill patternType="solid">
        <fgColor theme="7" tint="0.39948728904080327"/>
        <bgColor rgb="FFBFBFBF"/>
      </patternFill>
    </fill>
    <fill>
      <patternFill patternType="solid">
        <fgColor rgb="FF2E7D32"/>
        <bgColor rgb="FF008000"/>
      </patternFill>
    </fill>
    <fill>
      <patternFill patternType="solid">
        <fgColor rgb="FF4527A0"/>
        <bgColor rgb="FF311B92"/>
      </patternFill>
    </fill>
    <fill>
      <patternFill patternType="solid">
        <fgColor rgb="FFEF6C00"/>
        <bgColor rgb="FFFF9900"/>
      </patternFill>
    </fill>
    <fill>
      <patternFill patternType="solid">
        <fgColor rgb="FF5D4037"/>
        <bgColor rgb="FF4E342E"/>
      </patternFill>
    </fill>
    <fill>
      <patternFill patternType="solid">
        <fgColor rgb="FF607D8B"/>
        <bgColor rgb="FF969696"/>
      </patternFill>
    </fill>
    <fill>
      <patternFill patternType="solid">
        <fgColor theme="0"/>
        <bgColor rgb="FFFAFAFA"/>
      </patternFill>
    </fill>
    <fill>
      <patternFill patternType="solid">
        <fgColor theme="6" tint="0.79979857783745845"/>
        <bgColor rgb="FFEFEBE9"/>
      </patternFill>
    </fill>
    <fill>
      <patternFill patternType="solid">
        <fgColor rgb="FFEDE7F6"/>
        <bgColor rgb="FFEFEBE9"/>
      </patternFill>
    </fill>
    <fill>
      <patternFill patternType="solid">
        <fgColor theme="9" tint="0.79979857783745845"/>
        <bgColor rgb="FFFFEBEE"/>
      </patternFill>
    </fill>
    <fill>
      <patternFill patternType="solid">
        <fgColor rgb="FFEFEBE9"/>
        <bgColor rgb="FFECEFF1"/>
      </patternFill>
    </fill>
    <fill>
      <patternFill patternType="solid">
        <fgColor rgb="FFFAFAFA"/>
        <bgColor rgb="FFFFFFFF"/>
      </patternFill>
    </fill>
    <fill>
      <patternFill patternType="solid">
        <fgColor theme="7" tint="0.79979857783745845"/>
        <bgColor rgb="FFDDDDDD"/>
      </patternFill>
    </fill>
    <fill>
      <patternFill patternType="solid">
        <fgColor rgb="FF263238"/>
        <bgColor rgb="FF37474F"/>
      </patternFill>
    </fill>
    <fill>
      <patternFill patternType="solid">
        <fgColor rgb="FF8E24AA"/>
        <bgColor rgb="FF800080"/>
      </patternFill>
    </fill>
    <fill>
      <patternFill patternType="solid">
        <fgColor rgb="FF37474F"/>
        <bgColor rgb="FF555555"/>
      </patternFill>
    </fill>
    <fill>
      <patternFill patternType="solid">
        <fgColor rgb="FFFFF8E1"/>
        <bgColor rgb="FFFAFAFA"/>
      </patternFill>
    </fill>
    <fill>
      <patternFill patternType="solid">
        <fgColor rgb="FFE3F2FD"/>
        <bgColor rgb="FFE0F2F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DEA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607D8B"/>
      </bottom>
      <diagonal/>
    </border>
    <border>
      <left style="thin">
        <color rgb="FF607D8B"/>
      </left>
      <right style="thin">
        <color rgb="FFCFD8DC"/>
      </right>
      <top style="thin">
        <color rgb="FF607D8B"/>
      </top>
      <bottom/>
      <diagonal/>
    </border>
    <border>
      <left style="thin">
        <color rgb="FFCFD8DC"/>
      </left>
      <right style="thin">
        <color rgb="FFCFD8DC"/>
      </right>
      <top style="thin">
        <color rgb="FF607D8B"/>
      </top>
      <bottom/>
      <diagonal/>
    </border>
    <border>
      <left style="thin">
        <color rgb="FFCFD8DC"/>
      </left>
      <right style="thin">
        <color rgb="FF607D8B"/>
      </right>
      <top style="thin">
        <color rgb="FF607D8B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rgb="FF607D8B"/>
      </bottom>
      <diagonal/>
    </border>
    <border>
      <left/>
      <right/>
      <top/>
      <bottom style="thin">
        <color rgb="FFDDDDDD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20" fillId="0" borderId="0" xfId="0" applyFont="1" applyAlignment="1">
      <alignment horizontal="left" vertical="center" indent="1"/>
    </xf>
    <xf numFmtId="0" fontId="18" fillId="20" borderId="0" xfId="0" applyFont="1" applyFill="1" applyAlignment="1">
      <alignment horizontal="left" vertical="center" indent="1"/>
    </xf>
    <xf numFmtId="0" fontId="9" fillId="7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7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8" fillId="0" borderId="0" xfId="0" applyFont="1"/>
    <xf numFmtId="0" fontId="9" fillId="5" borderId="0" xfId="0" applyFont="1" applyFill="1" applyAlignment="1">
      <alignment horizont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 vertical="center" wrapText="1"/>
    </xf>
    <xf numFmtId="0" fontId="11" fillId="13" borderId="5" xfId="0" applyFont="1" applyFill="1" applyBorder="1" applyAlignment="1">
      <alignment horizontal="center" vertical="center"/>
    </xf>
    <xf numFmtId="164" fontId="12" fillId="13" borderId="5" xfId="0" applyNumberFormat="1" applyFont="1" applyFill="1" applyBorder="1" applyAlignment="1">
      <alignment horizontal="center" vertical="center"/>
    </xf>
    <xf numFmtId="164" fontId="12" fillId="14" borderId="5" xfId="0" applyNumberFormat="1" applyFont="1" applyFill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165" fontId="12" fillId="14" borderId="5" xfId="0" applyNumberFormat="1" applyFont="1" applyFill="1" applyBorder="1" applyAlignment="1">
      <alignment horizontal="right" vertical="center"/>
    </xf>
    <xf numFmtId="164" fontId="11" fillId="14" borderId="5" xfId="0" applyNumberFormat="1" applyFont="1" applyFill="1" applyBorder="1" applyAlignment="1">
      <alignment horizontal="right" vertical="center"/>
    </xf>
    <xf numFmtId="164" fontId="12" fillId="0" borderId="5" xfId="0" applyNumberFormat="1" applyFont="1" applyBorder="1" applyAlignment="1">
      <alignment horizontal="right" vertical="center"/>
    </xf>
    <xf numFmtId="166" fontId="13" fillId="15" borderId="5" xfId="0" applyNumberFormat="1" applyFont="1" applyFill="1" applyBorder="1" applyAlignment="1">
      <alignment horizontal="center" vertical="center"/>
    </xf>
    <xf numFmtId="165" fontId="12" fillId="0" borderId="5" xfId="0" applyNumberFormat="1" applyFont="1" applyBorder="1" applyAlignment="1">
      <alignment horizontal="right" vertical="center"/>
    </xf>
    <xf numFmtId="164" fontId="11" fillId="15" borderId="5" xfId="0" applyNumberFormat="1" applyFont="1" applyFill="1" applyBorder="1" applyAlignment="1">
      <alignment horizontal="right" vertical="center"/>
    </xf>
    <xf numFmtId="165" fontId="12" fillId="16" borderId="5" xfId="0" applyNumberFormat="1" applyFont="1" applyFill="1" applyBorder="1" applyAlignment="1">
      <alignment horizontal="right" vertical="center"/>
    </xf>
    <xf numFmtId="164" fontId="12" fillId="16" borderId="5" xfId="0" applyNumberFormat="1" applyFont="1" applyFill="1" applyBorder="1" applyAlignment="1">
      <alignment horizontal="right" vertical="center"/>
    </xf>
    <xf numFmtId="165" fontId="11" fillId="17" borderId="5" xfId="0" applyNumberFormat="1" applyFont="1" applyFill="1" applyBorder="1" applyAlignment="1">
      <alignment horizontal="right" vertical="center"/>
    </xf>
    <xf numFmtId="164" fontId="11" fillId="17" borderId="5" xfId="0" applyNumberFormat="1" applyFont="1" applyFill="1" applyBorder="1" applyAlignment="1">
      <alignment horizontal="right" vertical="center"/>
    </xf>
    <xf numFmtId="49" fontId="14" fillId="18" borderId="5" xfId="0" applyNumberFormat="1" applyFont="1" applyFill="1" applyBorder="1" applyAlignment="1">
      <alignment horizontal="left" vertical="center" wrapText="1"/>
    </xf>
    <xf numFmtId="49" fontId="12" fillId="13" borderId="5" xfId="0" applyNumberFormat="1" applyFont="1" applyFill="1" applyBorder="1" applyAlignment="1">
      <alignment horizontal="center" vertical="center"/>
    </xf>
    <xf numFmtId="0" fontId="12" fillId="0" borderId="5" xfId="0" applyFont="1" applyBorder="1"/>
    <xf numFmtId="164" fontId="15" fillId="13" borderId="5" xfId="0" applyNumberFormat="1" applyFont="1" applyFill="1" applyBorder="1" applyAlignment="1">
      <alignment horizontal="center" vertical="center"/>
    </xf>
    <xf numFmtId="164" fontId="16" fillId="13" borderId="5" xfId="0" applyNumberFormat="1" applyFont="1" applyFill="1" applyBorder="1" applyAlignment="1">
      <alignment horizontal="center" vertical="center"/>
    </xf>
    <xf numFmtId="164" fontId="16" fillId="14" borderId="5" xfId="0" applyNumberFormat="1" applyFont="1" applyFill="1" applyBorder="1" applyAlignment="1">
      <alignment horizontal="center" vertical="center"/>
    </xf>
    <xf numFmtId="165" fontId="15" fillId="14" borderId="5" xfId="0" applyNumberFormat="1" applyFont="1" applyFill="1" applyBorder="1" applyAlignment="1">
      <alignment horizontal="right" vertical="center"/>
    </xf>
    <xf numFmtId="164" fontId="11" fillId="19" borderId="5" xfId="0" applyNumberFormat="1" applyFont="1" applyFill="1" applyBorder="1" applyAlignment="1">
      <alignment horizontal="right" vertical="center"/>
    </xf>
    <xf numFmtId="166" fontId="13" fillId="19" borderId="5" xfId="0" applyNumberFormat="1" applyFont="1" applyFill="1" applyBorder="1" applyAlignment="1">
      <alignment horizontal="center" vertical="center"/>
    </xf>
    <xf numFmtId="165" fontId="15" fillId="19" borderId="5" xfId="0" applyNumberFormat="1" applyFont="1" applyFill="1" applyBorder="1" applyAlignment="1">
      <alignment horizontal="right" vertical="center"/>
    </xf>
    <xf numFmtId="165" fontId="15" fillId="16" borderId="5" xfId="0" applyNumberFormat="1" applyFont="1" applyFill="1" applyBorder="1" applyAlignment="1">
      <alignment horizontal="right" vertical="center"/>
    </xf>
    <xf numFmtId="164" fontId="15" fillId="16" borderId="5" xfId="0" applyNumberFormat="1" applyFont="1" applyFill="1" applyBorder="1" applyAlignment="1">
      <alignment horizontal="right" vertical="center"/>
    </xf>
    <xf numFmtId="0" fontId="11" fillId="13" borderId="6" xfId="0" applyFont="1" applyFill="1" applyBorder="1" applyAlignment="1">
      <alignment horizontal="center" vertical="center"/>
    </xf>
    <xf numFmtId="164" fontId="15" fillId="13" borderId="6" xfId="0" applyNumberFormat="1" applyFont="1" applyFill="1" applyBorder="1" applyAlignment="1">
      <alignment horizontal="center" vertical="center"/>
    </xf>
    <xf numFmtId="164" fontId="16" fillId="13" borderId="6" xfId="0" applyNumberFormat="1" applyFont="1" applyFill="1" applyBorder="1" applyAlignment="1">
      <alignment horizontal="center" vertical="center"/>
    </xf>
    <xf numFmtId="164" fontId="12" fillId="14" borderId="6" xfId="0" applyNumberFormat="1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/>
    </xf>
    <xf numFmtId="165" fontId="15" fillId="14" borderId="6" xfId="0" applyNumberFormat="1" applyFont="1" applyFill="1" applyBorder="1" applyAlignment="1">
      <alignment horizontal="right" vertical="center"/>
    </xf>
    <xf numFmtId="164" fontId="11" fillId="14" borderId="6" xfId="0" applyNumberFormat="1" applyFont="1" applyFill="1" applyBorder="1" applyAlignment="1">
      <alignment horizontal="right" vertical="center"/>
    </xf>
    <xf numFmtId="0" fontId="11" fillId="19" borderId="6" xfId="0" applyFont="1" applyFill="1" applyBorder="1" applyAlignment="1">
      <alignment horizontal="right" vertical="center"/>
    </xf>
    <xf numFmtId="166" fontId="13" fillId="19" borderId="6" xfId="0" applyNumberFormat="1" applyFont="1" applyFill="1" applyBorder="1" applyAlignment="1">
      <alignment horizontal="center" vertical="center"/>
    </xf>
    <xf numFmtId="165" fontId="15" fillId="19" borderId="6" xfId="0" applyNumberFormat="1" applyFont="1" applyFill="1" applyBorder="1" applyAlignment="1">
      <alignment horizontal="right" vertical="center"/>
    </xf>
    <xf numFmtId="164" fontId="11" fillId="19" borderId="6" xfId="0" applyNumberFormat="1" applyFont="1" applyFill="1" applyBorder="1" applyAlignment="1">
      <alignment horizontal="right" vertical="center"/>
    </xf>
    <xf numFmtId="165" fontId="12" fillId="16" borderId="6" xfId="0" applyNumberFormat="1" applyFont="1" applyFill="1" applyBorder="1" applyAlignment="1">
      <alignment horizontal="right" vertical="center"/>
    </xf>
    <xf numFmtId="164" fontId="12" fillId="16" borderId="6" xfId="0" applyNumberFormat="1" applyFont="1" applyFill="1" applyBorder="1" applyAlignment="1">
      <alignment horizontal="right" vertical="center"/>
    </xf>
    <xf numFmtId="165" fontId="11" fillId="17" borderId="6" xfId="0" applyNumberFormat="1" applyFont="1" applyFill="1" applyBorder="1" applyAlignment="1">
      <alignment horizontal="right" vertical="center"/>
    </xf>
    <xf numFmtId="164" fontId="11" fillId="17" borderId="6" xfId="0" applyNumberFormat="1" applyFont="1" applyFill="1" applyBorder="1" applyAlignment="1">
      <alignment horizontal="right" vertical="center"/>
    </xf>
    <xf numFmtId="49" fontId="14" fillId="18" borderId="6" xfId="0" applyNumberFormat="1" applyFont="1" applyFill="1" applyBorder="1" applyAlignment="1">
      <alignment horizontal="left" vertical="center" wrapText="1"/>
    </xf>
    <xf numFmtId="164" fontId="12" fillId="19" borderId="5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center" vertical="center"/>
    </xf>
    <xf numFmtId="0" fontId="12" fillId="19" borderId="5" xfId="0" applyFont="1" applyFill="1" applyBorder="1" applyAlignment="1">
      <alignment horizontal="right" vertical="center"/>
    </xf>
    <xf numFmtId="166" fontId="12" fillId="19" borderId="5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>
      <alignment horizontal="center" vertical="center"/>
    </xf>
    <xf numFmtId="164" fontId="15" fillId="13" borderId="7" xfId="0" applyNumberFormat="1" applyFont="1" applyFill="1" applyBorder="1" applyAlignment="1">
      <alignment horizontal="center" vertical="center"/>
    </xf>
    <xf numFmtId="164" fontId="16" fillId="13" borderId="7" xfId="0" applyNumberFormat="1" applyFont="1" applyFill="1" applyBorder="1" applyAlignment="1">
      <alignment horizontal="center" vertical="center"/>
    </xf>
    <xf numFmtId="164" fontId="16" fillId="14" borderId="7" xfId="0" applyNumberFormat="1" applyFont="1" applyFill="1" applyBorder="1" applyAlignment="1">
      <alignment horizontal="center" vertical="center"/>
    </xf>
    <xf numFmtId="0" fontId="11" fillId="14" borderId="7" xfId="0" applyFont="1" applyFill="1" applyBorder="1" applyAlignment="1">
      <alignment horizontal="center" vertical="center"/>
    </xf>
    <xf numFmtId="165" fontId="15" fillId="14" borderId="7" xfId="0" applyNumberFormat="1" applyFont="1" applyFill="1" applyBorder="1" applyAlignment="1">
      <alignment horizontal="right" vertical="center"/>
    </xf>
    <xf numFmtId="164" fontId="11" fillId="14" borderId="7" xfId="0" applyNumberFormat="1" applyFont="1" applyFill="1" applyBorder="1" applyAlignment="1">
      <alignment horizontal="right" vertical="center"/>
    </xf>
    <xf numFmtId="0" fontId="11" fillId="19" borderId="7" xfId="0" applyFont="1" applyFill="1" applyBorder="1" applyAlignment="1">
      <alignment horizontal="right" vertical="center"/>
    </xf>
    <xf numFmtId="166" fontId="13" fillId="19" borderId="7" xfId="0" applyNumberFormat="1" applyFont="1" applyFill="1" applyBorder="1" applyAlignment="1">
      <alignment horizontal="center" vertical="center"/>
    </xf>
    <xf numFmtId="165" fontId="15" fillId="19" borderId="7" xfId="0" applyNumberFormat="1" applyFont="1" applyFill="1" applyBorder="1" applyAlignment="1">
      <alignment horizontal="right" vertical="center"/>
    </xf>
    <xf numFmtId="164" fontId="11" fillId="19" borderId="7" xfId="0" applyNumberFormat="1" applyFont="1" applyFill="1" applyBorder="1" applyAlignment="1">
      <alignment horizontal="right" vertical="center"/>
    </xf>
    <xf numFmtId="165" fontId="15" fillId="16" borderId="7" xfId="0" applyNumberFormat="1" applyFont="1" applyFill="1" applyBorder="1" applyAlignment="1">
      <alignment horizontal="right" vertical="center"/>
    </xf>
    <xf numFmtId="164" fontId="15" fillId="16" borderId="7" xfId="0" applyNumberFormat="1" applyFont="1" applyFill="1" applyBorder="1" applyAlignment="1">
      <alignment horizontal="right" vertical="center"/>
    </xf>
    <xf numFmtId="165" fontId="11" fillId="17" borderId="7" xfId="0" applyNumberFormat="1" applyFont="1" applyFill="1" applyBorder="1" applyAlignment="1">
      <alignment horizontal="right" vertical="center"/>
    </xf>
    <xf numFmtId="164" fontId="11" fillId="17" borderId="7" xfId="0" applyNumberFormat="1" applyFont="1" applyFill="1" applyBorder="1" applyAlignment="1">
      <alignment horizontal="right" vertical="center"/>
    </xf>
    <xf numFmtId="49" fontId="14" fillId="18" borderId="7" xfId="0" applyNumberFormat="1" applyFont="1" applyFill="1" applyBorder="1" applyAlignment="1">
      <alignment horizontal="left" vertical="center" wrapText="1"/>
    </xf>
    <xf numFmtId="0" fontId="11" fillId="19" borderId="5" xfId="0" applyFont="1" applyFill="1" applyBorder="1" applyAlignment="1">
      <alignment horizontal="right" vertical="center"/>
    </xf>
    <xf numFmtId="164" fontId="12" fillId="19" borderId="6" xfId="0" applyNumberFormat="1" applyFont="1" applyFill="1" applyBorder="1" applyAlignment="1">
      <alignment horizontal="right" vertical="center"/>
    </xf>
    <xf numFmtId="0" fontId="12" fillId="19" borderId="6" xfId="0" applyFont="1" applyFill="1" applyBorder="1"/>
    <xf numFmtId="0" fontId="12" fillId="19" borderId="5" xfId="0" applyFont="1" applyFill="1" applyBorder="1"/>
    <xf numFmtId="167" fontId="12" fillId="19" borderId="5" xfId="0" applyNumberFormat="1" applyFont="1" applyFill="1" applyBorder="1" applyAlignment="1">
      <alignment horizontal="right" vertical="center"/>
    </xf>
    <xf numFmtId="0" fontId="12" fillId="14" borderId="5" xfId="0" applyFont="1" applyFill="1" applyBorder="1" applyAlignment="1">
      <alignment horizontal="center" vertical="center"/>
    </xf>
    <xf numFmtId="164" fontId="16" fillId="14" borderId="6" xfId="0" applyNumberFormat="1" applyFont="1" applyFill="1" applyBorder="1" applyAlignment="1">
      <alignment horizontal="center" vertical="center"/>
    </xf>
    <xf numFmtId="0" fontId="12" fillId="19" borderId="6" xfId="0" applyFont="1" applyFill="1" applyBorder="1" applyAlignment="1">
      <alignment horizontal="right" vertical="center"/>
    </xf>
    <xf numFmtId="166" fontId="12" fillId="19" borderId="6" xfId="0" applyNumberFormat="1" applyFont="1" applyFill="1" applyBorder="1" applyAlignment="1">
      <alignment horizontal="center" vertical="center"/>
    </xf>
    <xf numFmtId="165" fontId="12" fillId="19" borderId="6" xfId="0" applyNumberFormat="1" applyFont="1" applyFill="1" applyBorder="1" applyAlignment="1">
      <alignment horizontal="right" vertical="center"/>
    </xf>
    <xf numFmtId="165" fontId="12" fillId="19" borderId="5" xfId="0" applyNumberFormat="1" applyFont="1" applyFill="1" applyBorder="1" applyAlignment="1">
      <alignment horizontal="right" vertical="center"/>
    </xf>
    <xf numFmtId="165" fontId="16" fillId="17" borderId="5" xfId="0" applyNumberFormat="1" applyFont="1" applyFill="1" applyBorder="1" applyAlignment="1">
      <alignment horizontal="right" vertical="center"/>
    </xf>
    <xf numFmtId="165" fontId="15" fillId="16" borderId="6" xfId="0" applyNumberFormat="1" applyFont="1" applyFill="1" applyBorder="1" applyAlignment="1">
      <alignment horizontal="right" vertical="center"/>
    </xf>
    <xf numFmtId="164" fontId="15" fillId="16" borderId="6" xfId="0" applyNumberFormat="1" applyFont="1" applyFill="1" applyBorder="1" applyAlignment="1">
      <alignment horizontal="right" vertical="center"/>
    </xf>
    <xf numFmtId="168" fontId="12" fillId="16" borderId="5" xfId="0" applyNumberFormat="1" applyFont="1" applyFill="1" applyBorder="1" applyAlignment="1">
      <alignment horizontal="right" vertical="center"/>
    </xf>
    <xf numFmtId="164" fontId="12" fillId="13" borderId="6" xfId="0" applyNumberFormat="1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/>
    </xf>
    <xf numFmtId="165" fontId="15" fillId="7" borderId="5" xfId="0" applyNumberFormat="1" applyFont="1" applyFill="1" applyBorder="1" applyAlignment="1">
      <alignment horizontal="right" vertical="center"/>
    </xf>
    <xf numFmtId="164" fontId="11" fillId="7" borderId="5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center"/>
    </xf>
    <xf numFmtId="0" fontId="12" fillId="13" borderId="5" xfId="0" applyFont="1" applyFill="1" applyBorder="1" applyAlignment="1">
      <alignment horizontal="right"/>
    </xf>
    <xf numFmtId="0" fontId="12" fillId="14" borderId="5" xfId="0" applyFont="1" applyFill="1" applyBorder="1" applyAlignment="1">
      <alignment horizontal="center"/>
    </xf>
    <xf numFmtId="0" fontId="12" fillId="19" borderId="5" xfId="0" applyFont="1" applyFill="1" applyBorder="1" applyAlignment="1">
      <alignment horizontal="right"/>
    </xf>
    <xf numFmtId="0" fontId="12" fillId="16" borderId="5" xfId="0" applyFont="1" applyFill="1" applyBorder="1" applyAlignment="1">
      <alignment horizontal="right"/>
    </xf>
    <xf numFmtId="168" fontId="11" fillId="17" borderId="5" xfId="0" applyNumberFormat="1" applyFont="1" applyFill="1" applyBorder="1" applyAlignment="1">
      <alignment horizontal="right" vertical="center"/>
    </xf>
    <xf numFmtId="0" fontId="0" fillId="13" borderId="5" xfId="0" applyFill="1" applyBorder="1"/>
    <xf numFmtId="0" fontId="0" fillId="0" borderId="5" xfId="0" applyBorder="1"/>
    <xf numFmtId="0" fontId="0" fillId="14" borderId="6" xfId="0" applyFill="1" applyBorder="1"/>
    <xf numFmtId="0" fontId="0" fillId="19" borderId="6" xfId="0" applyFill="1" applyBorder="1"/>
    <xf numFmtId="0" fontId="0" fillId="16" borderId="6" xfId="0" applyFill="1" applyBorder="1"/>
    <xf numFmtId="0" fontId="0" fillId="0" borderId="6" xfId="0" applyBorder="1"/>
    <xf numFmtId="0" fontId="2" fillId="13" borderId="5" xfId="0" applyFont="1" applyFill="1" applyBorder="1"/>
    <xf numFmtId="0" fontId="0" fillId="14" borderId="5" xfId="0" applyFill="1" applyBorder="1"/>
    <xf numFmtId="0" fontId="0" fillId="19" borderId="5" xfId="0" applyFill="1" applyBorder="1"/>
    <xf numFmtId="0" fontId="0" fillId="16" borderId="5" xfId="0" applyFill="1" applyBorder="1"/>
    <xf numFmtId="0" fontId="2" fillId="14" borderId="5" xfId="0" applyFont="1" applyFill="1" applyBorder="1" applyAlignment="1">
      <alignment horizontal="center"/>
    </xf>
    <xf numFmtId="0" fontId="0" fillId="0" borderId="7" xfId="0" applyBorder="1"/>
    <xf numFmtId="0" fontId="0" fillId="13" borderId="6" xfId="0" applyFill="1" applyBorder="1"/>
    <xf numFmtId="0" fontId="2" fillId="13" borderId="6" xfId="0" applyFont="1" applyFill="1" applyBorder="1"/>
    <xf numFmtId="0" fontId="2" fillId="14" borderId="6" xfId="0" applyFont="1" applyFill="1" applyBorder="1" applyAlignment="1">
      <alignment horizontal="center"/>
    </xf>
    <xf numFmtId="0" fontId="17" fillId="20" borderId="8" xfId="0" applyFont="1" applyFill="1" applyBorder="1" applyAlignment="1">
      <alignment horizontal="center"/>
    </xf>
    <xf numFmtId="0" fontId="17" fillId="20" borderId="8" xfId="0" applyFont="1" applyFill="1" applyBorder="1" applyAlignment="1">
      <alignment horizontal="right"/>
    </xf>
    <xf numFmtId="0" fontId="2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165" fontId="17" fillId="20" borderId="8" xfId="0" applyNumberFormat="1" applyFont="1" applyFill="1" applyBorder="1" applyAlignment="1">
      <alignment horizontal="right"/>
    </xf>
    <xf numFmtId="0" fontId="19" fillId="0" borderId="0" xfId="0" applyFont="1"/>
    <xf numFmtId="0" fontId="21" fillId="2" borderId="0" xfId="0" applyFont="1" applyFill="1" applyAlignment="1">
      <alignment horizontal="center" vertical="center"/>
    </xf>
    <xf numFmtId="0" fontId="21" fillId="21" borderId="0" xfId="0" applyFont="1" applyFill="1" applyAlignment="1">
      <alignment horizontal="center" vertical="center"/>
    </xf>
    <xf numFmtId="0" fontId="22" fillId="22" borderId="0" xfId="0" applyFont="1" applyFill="1" applyAlignment="1">
      <alignment horizontal="center" vertical="center"/>
    </xf>
    <xf numFmtId="0" fontId="23" fillId="23" borderId="9" xfId="0" applyFont="1" applyFill="1" applyBorder="1" applyAlignment="1">
      <alignment horizontal="left" vertical="center"/>
    </xf>
    <xf numFmtId="169" fontId="23" fillId="23" borderId="9" xfId="0" applyNumberFormat="1" applyFont="1" applyFill="1" applyBorder="1" applyAlignment="1">
      <alignment horizontal="right" vertical="center"/>
    </xf>
    <xf numFmtId="0" fontId="24" fillId="24" borderId="9" xfId="0" applyFont="1" applyFill="1" applyBorder="1" applyAlignment="1">
      <alignment horizontal="left" vertical="center"/>
    </xf>
    <xf numFmtId="169" fontId="24" fillId="24" borderId="9" xfId="0" applyNumberFormat="1" applyFont="1" applyFill="1" applyBorder="1" applyAlignment="1">
      <alignment horizontal="right" vertical="center"/>
    </xf>
    <xf numFmtId="0" fontId="25" fillId="17" borderId="9" xfId="0" applyFont="1" applyFill="1" applyBorder="1" applyAlignment="1">
      <alignment horizontal="left" vertical="center"/>
    </xf>
    <xf numFmtId="169" fontId="25" fillId="17" borderId="9" xfId="0" applyNumberFormat="1" applyFont="1" applyFill="1" applyBorder="1" applyAlignment="1">
      <alignment horizontal="right" vertical="center"/>
    </xf>
    <xf numFmtId="0" fontId="26" fillId="15" borderId="9" xfId="0" applyFont="1" applyFill="1" applyBorder="1" applyAlignment="1">
      <alignment horizontal="left" vertical="center"/>
    </xf>
    <xf numFmtId="169" fontId="26" fillId="15" borderId="9" xfId="0" applyNumberFormat="1" applyFont="1" applyFill="1" applyBorder="1" applyAlignment="1">
      <alignment horizontal="right" vertical="center"/>
    </xf>
    <xf numFmtId="0" fontId="27" fillId="25" borderId="9" xfId="0" applyFont="1" applyFill="1" applyBorder="1" applyAlignment="1">
      <alignment horizontal="left" vertical="center"/>
    </xf>
    <xf numFmtId="169" fontId="27" fillId="25" borderId="9" xfId="0" applyNumberFormat="1" applyFont="1" applyFill="1" applyBorder="1" applyAlignment="1">
      <alignment horizontal="right" vertical="center"/>
    </xf>
    <xf numFmtId="0" fontId="28" fillId="26" borderId="9" xfId="0" applyFont="1" applyFill="1" applyBorder="1" applyAlignment="1">
      <alignment horizontal="left" vertical="center"/>
    </xf>
    <xf numFmtId="169" fontId="28" fillId="26" borderId="9" xfId="0" applyNumberFormat="1" applyFont="1" applyFill="1" applyBorder="1" applyAlignment="1">
      <alignment horizontal="right" vertical="center"/>
    </xf>
    <xf numFmtId="0" fontId="24" fillId="0" borderId="0" xfId="0" applyFont="1" applyAlignment="1">
      <alignment horizontal="left" vertical="center"/>
    </xf>
    <xf numFmtId="169" fontId="24" fillId="0" borderId="0" xfId="0" applyNumberFormat="1" applyFont="1" applyAlignment="1">
      <alignment horizontal="right" vertical="center"/>
    </xf>
    <xf numFmtId="0" fontId="25" fillId="0" borderId="0" xfId="0" applyFont="1" applyAlignment="1">
      <alignment horizontal="left" vertical="center"/>
    </xf>
    <xf numFmtId="169" fontId="25" fillId="0" borderId="0" xfId="0" applyNumberFormat="1" applyFont="1" applyAlignment="1">
      <alignment horizontal="right" vertical="center"/>
    </xf>
    <xf numFmtId="0" fontId="28" fillId="0" borderId="0" xfId="0" applyFont="1" applyAlignment="1">
      <alignment horizontal="left" vertical="center"/>
    </xf>
    <xf numFmtId="169" fontId="28" fillId="0" borderId="0" xfId="0" applyNumberFormat="1" applyFont="1" applyAlignment="1">
      <alignment horizontal="right" vertical="center"/>
    </xf>
    <xf numFmtId="0" fontId="26" fillId="0" borderId="0" xfId="0" applyFont="1" applyAlignment="1">
      <alignment horizontal="left" vertical="center"/>
    </xf>
    <xf numFmtId="169" fontId="26" fillId="0" borderId="0" xfId="0" applyNumberFormat="1" applyFont="1" applyAlignment="1">
      <alignment horizontal="right" vertical="center"/>
    </xf>
    <xf numFmtId="0" fontId="27" fillId="0" borderId="0" xfId="0" applyFont="1" applyAlignment="1">
      <alignment horizontal="left" vertical="center"/>
    </xf>
    <xf numFmtId="169" fontId="27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20"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0F2F1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DE7F6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EBEE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FEBE9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E3F2FD"/>
        </patternFill>
      </fill>
      <border diagonalUp="0" diagonalDown="0">
        <left/>
        <right/>
        <top/>
        <bottom style="thin">
          <color rgb="FFDDDDDD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EE"/>
      <rgbColor rgb="FFFF00FF"/>
      <rgbColor rgb="FF00FFFF"/>
      <rgbColor rgb="FF800000"/>
      <rgbColor rgb="FF008000"/>
      <rgbColor rgb="FF311B92"/>
      <rgbColor rgb="FF808000"/>
      <rgbColor rgb="FF800080"/>
      <rgbColor rgb="FF00695C"/>
      <rgbColor rgb="FFBFBFBF"/>
      <rgbColor rgb="FF607D8B"/>
      <rgbColor rgb="FFEFEBE9"/>
      <rgbColor rgb="FF8E24AA"/>
      <rgbColor rgb="FFFFF8E1"/>
      <rgbColor rgb="FFE0F2F1"/>
      <rgbColor rgb="FF660066"/>
      <rgbColor rgb="FFFF8080"/>
      <rgbColor rgb="FF1565C0"/>
      <rgbColor rgb="FFCFD8DC"/>
      <rgbColor rgb="FF000080"/>
      <rgbColor rgb="FFFF00FF"/>
      <rgbColor rgb="FFECEFF1"/>
      <rgbColor rgb="FF00FFFF"/>
      <rgbColor rgb="FF800080"/>
      <rgbColor rgb="FF800000"/>
      <rgbColor rgb="FF008080"/>
      <rgbColor rgb="FF0000FF"/>
      <rgbColor rgb="FF00CCFF"/>
      <rgbColor rgb="FFE3F2FD"/>
      <rgbColor rgb="FFEBF1DE"/>
      <rgbColor rgb="FFFDEADA"/>
      <rgbColor rgb="FFE6E0EC"/>
      <rgbColor rgb="FFEDE7F6"/>
      <rgbColor rgb="FFB3A2C7"/>
      <rgbColor rgb="FFDDDDDD"/>
      <rgbColor rgb="FF1976D2"/>
      <rgbColor rgb="FF33CCCC"/>
      <rgbColor rgb="FF9BBB59"/>
      <rgbColor rgb="FFFAFAFA"/>
      <rgbColor rgb="FFFF9900"/>
      <rgbColor rgb="FFEF6C00"/>
      <rgbColor rgb="FF555555"/>
      <rgbColor rgb="FF969696"/>
      <rgbColor rgb="FF0D47A1"/>
      <rgbColor rgb="FF2E7D32"/>
      <rgbColor rgb="FF37474F"/>
      <rgbColor rgb="FF4E342E"/>
      <rgbColor rgb="FFB71C1C"/>
      <rgbColor rgb="FF5D4037"/>
      <rgbColor rgb="FF4527A0"/>
      <rgbColor rgb="FF2632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6"/>
  <sheetViews>
    <sheetView showGridLines="0" tabSelected="1" zoomScaleNormal="100" workbookViewId="0">
      <pane ySplit="5" topLeftCell="A66" activePane="bottomLeft" state="frozen"/>
      <selection pane="bottomLeft" activeCell="O87" sqref="O87"/>
    </sheetView>
  </sheetViews>
  <sheetFormatPr baseColWidth="10" defaultColWidth="10.6640625" defaultRowHeight="15" x14ac:dyDescent="0.2"/>
  <cols>
    <col min="1" max="1" width="10.33203125" customWidth="1"/>
    <col min="2" max="3" width="9.33203125" customWidth="1"/>
    <col min="4" max="4" width="9.6640625" style="6" customWidth="1"/>
    <col min="5" max="5" width="9.6640625" style="7" customWidth="1"/>
    <col min="6" max="6" width="10.33203125" customWidth="1"/>
    <col min="7" max="7" width="9" customWidth="1"/>
    <col min="8" max="9" width="9.33203125" customWidth="1"/>
    <col min="10" max="10" width="9.5" style="8" customWidth="1"/>
    <col min="11" max="11" width="9" customWidth="1"/>
    <col min="12" max="14" width="9.33203125" customWidth="1"/>
    <col min="15" max="17" width="9" customWidth="1"/>
    <col min="18" max="18" width="9.6640625" customWidth="1"/>
    <col min="19" max="19" width="25" customWidth="1"/>
    <col min="20" max="30" width="10.33203125" customWidth="1"/>
  </cols>
  <sheetData>
    <row r="1" spans="1:25" ht="24" customHeight="1" x14ac:dyDescent="0.2">
      <c r="A1" s="9" t="s">
        <v>0</v>
      </c>
      <c r="B1" s="9"/>
      <c r="C1" s="9"/>
      <c r="D1" s="9"/>
      <c r="E1" s="9"/>
      <c r="F1" s="10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X1" s="5" t="s">
        <v>1</v>
      </c>
      <c r="Y1" s="5"/>
    </row>
    <row r="2" spans="1:25" ht="15" customHeight="1" x14ac:dyDescent="0.2">
      <c r="A2" s="11" t="s">
        <v>2</v>
      </c>
      <c r="B2" s="11"/>
      <c r="C2" s="11"/>
      <c r="D2" s="12"/>
      <c r="E2" s="13"/>
      <c r="F2" s="11"/>
      <c r="G2" s="11"/>
      <c r="H2" s="11"/>
      <c r="I2" s="11"/>
      <c r="J2" s="14"/>
      <c r="K2" s="11"/>
      <c r="L2" s="11"/>
      <c r="M2" s="11"/>
      <c r="N2" s="11"/>
      <c r="O2" s="11"/>
      <c r="P2" s="11"/>
      <c r="Q2" s="11"/>
      <c r="R2" s="11"/>
      <c r="S2" s="11"/>
      <c r="X2" s="15" t="s">
        <v>3</v>
      </c>
      <c r="Y2" s="15">
        <v>15</v>
      </c>
    </row>
    <row r="3" spans="1:25" ht="15" customHeight="1" x14ac:dyDescent="0.2">
      <c r="X3" s="15" t="s">
        <v>4</v>
      </c>
      <c r="Y3" s="15">
        <v>18</v>
      </c>
    </row>
    <row r="4" spans="1:25" ht="15" customHeight="1" x14ac:dyDescent="0.2">
      <c r="A4" s="16" t="s">
        <v>5</v>
      </c>
      <c r="B4" s="16"/>
      <c r="C4" s="16"/>
      <c r="D4" s="16"/>
      <c r="E4" s="4" t="s">
        <v>6</v>
      </c>
      <c r="F4" s="4"/>
      <c r="G4" s="4"/>
      <c r="H4" s="4"/>
      <c r="I4" s="3" t="s">
        <v>7</v>
      </c>
      <c r="J4" s="3"/>
      <c r="K4" s="3"/>
      <c r="L4" s="3"/>
      <c r="M4" s="16"/>
      <c r="N4" s="16"/>
      <c r="O4" s="16"/>
      <c r="P4" s="16"/>
      <c r="Q4" s="16"/>
      <c r="R4" s="16"/>
      <c r="S4" s="16"/>
      <c r="X4" t="s">
        <v>8</v>
      </c>
      <c r="Y4">
        <v>17</v>
      </c>
    </row>
    <row r="5" spans="1:25" ht="25.5" customHeight="1" x14ac:dyDescent="0.2">
      <c r="A5" s="17" t="s">
        <v>9</v>
      </c>
      <c r="B5" s="18" t="s">
        <v>10</v>
      </c>
      <c r="C5" s="18" t="s">
        <v>11</v>
      </c>
      <c r="D5" s="18" t="s">
        <v>12</v>
      </c>
      <c r="E5" s="19" t="s">
        <v>13</v>
      </c>
      <c r="F5" s="19" t="s">
        <v>14</v>
      </c>
      <c r="G5" s="19" t="s">
        <v>15</v>
      </c>
      <c r="H5" s="19" t="s">
        <v>16</v>
      </c>
      <c r="I5" s="20" t="s">
        <v>17</v>
      </c>
      <c r="J5" s="20" t="s">
        <v>18</v>
      </c>
      <c r="K5" s="20" t="s">
        <v>19</v>
      </c>
      <c r="L5" s="20" t="s">
        <v>20</v>
      </c>
      <c r="M5" s="21" t="s">
        <v>21</v>
      </c>
      <c r="N5" s="21" t="s">
        <v>22</v>
      </c>
      <c r="O5" s="21" t="s">
        <v>23</v>
      </c>
      <c r="P5" s="21" t="s">
        <v>24</v>
      </c>
      <c r="Q5" s="22" t="s">
        <v>25</v>
      </c>
      <c r="R5" s="22" t="s">
        <v>26</v>
      </c>
      <c r="S5" s="23" t="s">
        <v>27</v>
      </c>
      <c r="X5" t="s">
        <v>28</v>
      </c>
      <c r="Y5">
        <v>17</v>
      </c>
    </row>
    <row r="6" spans="1:25" ht="15" customHeight="1" x14ac:dyDescent="0.2">
      <c r="A6" s="24" t="s">
        <v>29</v>
      </c>
      <c r="B6" s="25"/>
      <c r="C6" s="25"/>
      <c r="D6" s="25"/>
      <c r="E6" s="26"/>
      <c r="F6" s="27" t="s">
        <v>3</v>
      </c>
      <c r="G6" s="28"/>
      <c r="H6" s="29">
        <f>G6*VLOOKUP(F6,$X$2:$Y$7,2,FALSE())</f>
        <v>0</v>
      </c>
      <c r="I6" s="30"/>
      <c r="J6" s="31" t="s">
        <v>30</v>
      </c>
      <c r="K6" s="32"/>
      <c r="L6" s="33">
        <f>K6*VLOOKUP(F6,$X$2:$Y$7,2,FALSE())</f>
        <v>0</v>
      </c>
      <c r="M6" s="34"/>
      <c r="N6" s="35"/>
      <c r="O6" s="34"/>
      <c r="P6" s="34"/>
      <c r="Q6" s="36">
        <v>8</v>
      </c>
      <c r="R6" s="37">
        <f>Q6*VLOOKUP(F6,$X$2:$Y$7,2,FALSE())</f>
        <v>120</v>
      </c>
      <c r="S6" s="38"/>
      <c r="X6" t="s">
        <v>31</v>
      </c>
      <c r="Y6">
        <v>95</v>
      </c>
    </row>
    <row r="7" spans="1:25" ht="15" customHeight="1" x14ac:dyDescent="0.2">
      <c r="A7" s="39"/>
      <c r="B7" s="25"/>
      <c r="C7" s="25"/>
      <c r="D7" s="25"/>
      <c r="E7" s="26"/>
      <c r="F7" s="27" t="s">
        <v>4</v>
      </c>
      <c r="G7" s="28"/>
      <c r="H7" s="29">
        <f>G7*VLOOKUP(F7,$X$2:$Y$7,2,FALSE())</f>
        <v>0</v>
      </c>
      <c r="I7" s="30"/>
      <c r="J7" s="31" t="s">
        <v>30</v>
      </c>
      <c r="K7" s="32"/>
      <c r="L7" s="33">
        <f>K7*VLOOKUP(F7,$X$2:$Y$7,2,FALSE())</f>
        <v>0</v>
      </c>
      <c r="M7" s="34"/>
      <c r="N7" s="35"/>
      <c r="O7" s="34"/>
      <c r="P7" s="34"/>
      <c r="Q7" s="36">
        <v>0</v>
      </c>
      <c r="R7" s="37">
        <f>Q7*VLOOKUP(F7,$X$2:$Y$7,2,FALSE())</f>
        <v>0</v>
      </c>
      <c r="S7" s="38"/>
      <c r="X7" t="s">
        <v>32</v>
      </c>
      <c r="Y7">
        <v>1</v>
      </c>
    </row>
    <row r="8" spans="1:25" ht="15" customHeight="1" x14ac:dyDescent="0.2">
      <c r="A8" s="39"/>
      <c r="B8" s="25"/>
      <c r="C8" s="25"/>
      <c r="D8" s="25"/>
      <c r="E8" s="26"/>
      <c r="F8" s="27" t="s">
        <v>8</v>
      </c>
      <c r="G8" s="28"/>
      <c r="H8" s="29">
        <f>G8*VLOOKUP(F8,$X$2:$Y$7,2,FALSE())</f>
        <v>0</v>
      </c>
      <c r="I8" s="30"/>
      <c r="J8" s="31" t="s">
        <v>30</v>
      </c>
      <c r="K8" s="32"/>
      <c r="L8" s="33">
        <f>K8*VLOOKUP(F8,$X$2:$Y$7,2,FALSE())</f>
        <v>0</v>
      </c>
      <c r="M8" s="34"/>
      <c r="N8" s="35"/>
      <c r="O8" s="34"/>
      <c r="P8" s="34"/>
      <c r="Q8" s="36">
        <v>0</v>
      </c>
      <c r="R8" s="37">
        <f>Q8*VLOOKUP(F8,$X$2:$Y$7,2,FALSE())</f>
        <v>0</v>
      </c>
      <c r="S8" s="38"/>
    </row>
    <row r="9" spans="1:25" ht="15" customHeight="1" x14ac:dyDescent="0.2">
      <c r="A9" s="39"/>
      <c r="B9" s="25"/>
      <c r="C9" s="25"/>
      <c r="D9" s="25"/>
      <c r="E9" s="26"/>
      <c r="F9" s="27" t="s">
        <v>28</v>
      </c>
      <c r="G9" s="28"/>
      <c r="H9" s="29">
        <f>G9*VLOOKUP(F9,$X$2:$Y$7,2,FALSE())</f>
        <v>0</v>
      </c>
      <c r="I9" s="30"/>
      <c r="J9" s="31" t="s">
        <v>30</v>
      </c>
      <c r="K9" s="32"/>
      <c r="L9" s="33">
        <f>K9*VLOOKUP(F9,$X$2:$Y$7,2,FALSE())</f>
        <v>0</v>
      </c>
      <c r="M9" s="34"/>
      <c r="N9" s="35"/>
      <c r="O9" s="34"/>
      <c r="P9" s="34"/>
      <c r="Q9" s="36">
        <v>7</v>
      </c>
      <c r="R9" s="37">
        <f>Q9*VLOOKUP(F9,$X$2:$Y$7,2,FALSE())</f>
        <v>119</v>
      </c>
      <c r="S9" s="38"/>
    </row>
    <row r="10" spans="1:25" ht="15.75" customHeight="1" x14ac:dyDescent="0.2">
      <c r="A10" s="39"/>
      <c r="B10" s="25"/>
      <c r="C10" s="25"/>
      <c r="D10" s="25"/>
      <c r="E10" s="26"/>
      <c r="F10" s="27" t="s">
        <v>31</v>
      </c>
      <c r="G10" s="28"/>
      <c r="H10" s="29">
        <f>G10*VLOOKUP(F10,$X$2:$Y$7,2,FALSE())</f>
        <v>0</v>
      </c>
      <c r="I10" s="30"/>
      <c r="J10" s="40"/>
      <c r="K10" s="32"/>
      <c r="L10" s="33">
        <f>K10*VLOOKUP(F10,$X$2:$Y$7,2,FALSE())</f>
        <v>0</v>
      </c>
      <c r="M10" s="34"/>
      <c r="N10" s="35"/>
      <c r="O10" s="34"/>
      <c r="P10" s="34"/>
      <c r="Q10" s="36">
        <v>20</v>
      </c>
      <c r="R10" s="37">
        <f>Q10*VLOOKUP(F10,$X$2:$Y$7,2,FALSE())</f>
        <v>1900</v>
      </c>
      <c r="S10" s="38"/>
    </row>
    <row r="11" spans="1:25" ht="15" customHeight="1" x14ac:dyDescent="0.2">
      <c r="A11" s="24"/>
      <c r="B11" s="41"/>
      <c r="C11" s="41"/>
      <c r="D11" s="42"/>
      <c r="E11" s="43"/>
      <c r="F11" s="27" t="s">
        <v>32</v>
      </c>
      <c r="G11" s="44"/>
      <c r="H11" s="29"/>
      <c r="I11" s="45"/>
      <c r="J11" s="46"/>
      <c r="K11" s="47"/>
      <c r="L11" s="45"/>
      <c r="M11" s="48"/>
      <c r="N11" s="49"/>
      <c r="O11" s="48"/>
      <c r="P11" s="48"/>
      <c r="Q11" s="36"/>
      <c r="R11" s="37"/>
      <c r="S11" s="38"/>
    </row>
    <row r="12" spans="1:25" ht="15" customHeight="1" x14ac:dyDescent="0.2">
      <c r="A12" s="50" t="s">
        <v>33</v>
      </c>
      <c r="B12" s="51">
        <v>30</v>
      </c>
      <c r="C12" s="51">
        <v>95</v>
      </c>
      <c r="D12" s="52">
        <f>B12*C12</f>
        <v>2850</v>
      </c>
      <c r="E12" s="53"/>
      <c r="F12" s="54" t="s">
        <v>3</v>
      </c>
      <c r="G12" s="55">
        <v>59</v>
      </c>
      <c r="H12" s="56">
        <f>G12*VLOOKUP(F12,$X$2:$Y$7,2,FALSE())</f>
        <v>885</v>
      </c>
      <c r="I12" s="57" t="s">
        <v>33</v>
      </c>
      <c r="J12" s="58">
        <v>2977</v>
      </c>
      <c r="K12" s="59">
        <v>67</v>
      </c>
      <c r="L12" s="60">
        <f>K12*VLOOKUP(F12,$X$2:$Y$7,2,FALSE())</f>
        <v>1005</v>
      </c>
      <c r="M12" s="61"/>
      <c r="N12" s="62"/>
      <c r="O12" s="61"/>
      <c r="P12" s="61"/>
      <c r="Q12" s="63">
        <f>Q6+G12-K12+M12-O12</f>
        <v>0</v>
      </c>
      <c r="R12" s="64">
        <f>R6+H12-L12+N12-O12*VLOOKUP(F12,$X$2:$Y$7,2,FALSE())</f>
        <v>0</v>
      </c>
      <c r="S12" s="65"/>
    </row>
    <row r="13" spans="1:25" ht="15" customHeight="1" x14ac:dyDescent="0.2">
      <c r="A13" s="39"/>
      <c r="B13" s="25"/>
      <c r="C13" s="25"/>
      <c r="D13" s="25"/>
      <c r="E13" s="26"/>
      <c r="F13" s="27" t="s">
        <v>4</v>
      </c>
      <c r="G13" s="44">
        <v>11</v>
      </c>
      <c r="H13" s="29">
        <f>G13*VLOOKUP(F13,$X$2:$Y$7,2,FALSE())</f>
        <v>198</v>
      </c>
      <c r="I13" s="66"/>
      <c r="J13" s="46">
        <v>2977</v>
      </c>
      <c r="K13" s="47">
        <v>11</v>
      </c>
      <c r="L13" s="45">
        <f>K13*VLOOKUP(F13,$X$2:$Y$7,2,FALSE())</f>
        <v>198</v>
      </c>
      <c r="M13" s="34"/>
      <c r="N13" s="35"/>
      <c r="O13" s="34"/>
      <c r="P13" s="34"/>
      <c r="Q13" s="36">
        <f>Q7+G13-K13+M13-O13</f>
        <v>0</v>
      </c>
      <c r="R13" s="37">
        <f>R7+H13-L13+N13-O13*VLOOKUP(F13,$X$2:$Y$7,2,FALSE())</f>
        <v>0</v>
      </c>
      <c r="S13" s="38"/>
    </row>
    <row r="14" spans="1:25" ht="15" customHeight="1" x14ac:dyDescent="0.2">
      <c r="A14" s="39"/>
      <c r="B14" s="25"/>
      <c r="C14" s="25"/>
      <c r="D14" s="25"/>
      <c r="E14" s="26"/>
      <c r="F14" s="27" t="s">
        <v>8</v>
      </c>
      <c r="G14" s="44">
        <v>12</v>
      </c>
      <c r="H14" s="29">
        <f>G14*VLOOKUP(F14,$X$2:$Y$7,2,FALSE())</f>
        <v>204</v>
      </c>
      <c r="I14" s="66"/>
      <c r="J14" s="46">
        <v>2977</v>
      </c>
      <c r="K14" s="47">
        <v>12</v>
      </c>
      <c r="L14" s="45">
        <f>K14*VLOOKUP(F14,$X$2:$Y$7,2,FALSE())</f>
        <v>204</v>
      </c>
      <c r="M14" s="34"/>
      <c r="N14" s="35"/>
      <c r="O14" s="34"/>
      <c r="P14" s="34"/>
      <c r="Q14" s="36">
        <f>Q8+G14-K14+M14-O14</f>
        <v>0</v>
      </c>
      <c r="R14" s="37">
        <f>R8+H14-L14+N14-O14*VLOOKUP(F14,$X$2:$Y$7,2,FALSE())</f>
        <v>0</v>
      </c>
      <c r="S14" s="38"/>
    </row>
    <row r="15" spans="1:25" ht="15.75" customHeight="1" x14ac:dyDescent="0.2">
      <c r="A15" s="39"/>
      <c r="B15" s="25"/>
      <c r="C15" s="25"/>
      <c r="D15" s="25"/>
      <c r="E15" s="26"/>
      <c r="F15" s="27" t="s">
        <v>28</v>
      </c>
      <c r="G15" s="44">
        <v>64</v>
      </c>
      <c r="H15" s="29">
        <f>G15*VLOOKUP(F15,$X$2:$Y$7,2,FALSE())</f>
        <v>1088</v>
      </c>
      <c r="I15" s="66"/>
      <c r="J15" s="46">
        <v>2977</v>
      </c>
      <c r="K15" s="47">
        <v>42</v>
      </c>
      <c r="L15" s="45">
        <f>K15*VLOOKUP(F15,$X$2:$Y$7,2,FALSE())</f>
        <v>714</v>
      </c>
      <c r="M15" s="34"/>
      <c r="N15" s="35"/>
      <c r="O15" s="34"/>
      <c r="P15" s="34"/>
      <c r="Q15" s="36">
        <f>Q9+G15-K15+M15-O15</f>
        <v>29</v>
      </c>
      <c r="R15" s="37">
        <f>R9+H15-L15+N15-O15*VLOOKUP(F15,$X$2:$Y$7,2,FALSE())</f>
        <v>493</v>
      </c>
      <c r="S15" s="38"/>
    </row>
    <row r="16" spans="1:25" ht="15" customHeight="1" x14ac:dyDescent="0.2">
      <c r="A16" s="67"/>
      <c r="B16" s="25"/>
      <c r="C16" s="25"/>
      <c r="D16" s="25"/>
      <c r="E16" s="26"/>
      <c r="F16" s="27" t="s">
        <v>31</v>
      </c>
      <c r="G16" s="44">
        <v>6</v>
      </c>
      <c r="H16" s="29">
        <f>G16*VLOOKUP(F16,$X$2:$Y$7,2,FALSE())</f>
        <v>570</v>
      </c>
      <c r="I16" s="68"/>
      <c r="J16" s="69"/>
      <c r="K16" s="47">
        <v>0</v>
      </c>
      <c r="L16" s="45">
        <f>K16*VLOOKUP(F16,$X$2:$Y$7,2,FALSE())</f>
        <v>0</v>
      </c>
      <c r="M16" s="34"/>
      <c r="N16" s="35"/>
      <c r="O16" s="34"/>
      <c r="P16" s="34"/>
      <c r="Q16" s="36">
        <f>Q10+G16-K16+M16-O16</f>
        <v>26</v>
      </c>
      <c r="R16" s="37">
        <f>R10+H16-L16+N16-O16*VLOOKUP(F16,$X$2:$Y$7,2,FALSE())</f>
        <v>2470</v>
      </c>
      <c r="S16" s="38"/>
    </row>
    <row r="17" spans="1:19" ht="15" customHeight="1" x14ac:dyDescent="0.2">
      <c r="A17" s="70"/>
      <c r="B17" s="71"/>
      <c r="C17" s="71"/>
      <c r="D17" s="72"/>
      <c r="E17" s="73"/>
      <c r="F17" s="74" t="s">
        <v>32</v>
      </c>
      <c r="G17" s="75"/>
      <c r="H17" s="76"/>
      <c r="I17" s="77"/>
      <c r="J17" s="78"/>
      <c r="K17" s="79"/>
      <c r="L17" s="80"/>
      <c r="M17" s="81"/>
      <c r="N17" s="82"/>
      <c r="O17" s="81"/>
      <c r="P17" s="81"/>
      <c r="Q17" s="83"/>
      <c r="R17" s="84"/>
      <c r="S17" s="85"/>
    </row>
    <row r="18" spans="1:19" ht="15" customHeight="1" x14ac:dyDescent="0.2">
      <c r="A18" s="24" t="s">
        <v>34</v>
      </c>
      <c r="B18" s="41">
        <v>40</v>
      </c>
      <c r="C18" s="41">
        <v>95</v>
      </c>
      <c r="D18" s="42">
        <f>B18*C18</f>
        <v>3800</v>
      </c>
      <c r="E18" s="26"/>
      <c r="F18" s="27" t="s">
        <v>3</v>
      </c>
      <c r="G18" s="44">
        <v>107</v>
      </c>
      <c r="H18" s="29">
        <f>G18*VLOOKUP(F18,$X$2:$Y$7,2,FALSE())</f>
        <v>1605</v>
      </c>
      <c r="I18" s="86" t="s">
        <v>34</v>
      </c>
      <c r="J18" s="46">
        <v>2980</v>
      </c>
      <c r="K18" s="47">
        <v>67</v>
      </c>
      <c r="L18" s="45">
        <f>K18*VLOOKUP(F18,$X$2:$Y$7,2,FALSE())</f>
        <v>1005</v>
      </c>
      <c r="M18" s="34"/>
      <c r="N18" s="35"/>
      <c r="O18" s="34"/>
      <c r="P18" s="34"/>
      <c r="Q18" s="36">
        <f>Q12+G18-K18+M18-O18</f>
        <v>40</v>
      </c>
      <c r="R18" s="37">
        <f>R12+H18-L18+N18-O18*VLOOKUP(F18,$X$2:$Y$7,2,FALSE())</f>
        <v>600</v>
      </c>
      <c r="S18" s="38"/>
    </row>
    <row r="19" spans="1:19" ht="15" customHeight="1" x14ac:dyDescent="0.2">
      <c r="A19" s="39"/>
      <c r="B19" s="25"/>
      <c r="C19" s="25"/>
      <c r="D19" s="25"/>
      <c r="E19" s="26"/>
      <c r="F19" s="27" t="s">
        <v>4</v>
      </c>
      <c r="G19" s="44">
        <v>11</v>
      </c>
      <c r="H19" s="29">
        <f>G19*VLOOKUP(F19,$X$2:$Y$7,2,FALSE())</f>
        <v>198</v>
      </c>
      <c r="I19" s="66"/>
      <c r="J19" s="46">
        <v>2980</v>
      </c>
      <c r="K19" s="47">
        <v>11</v>
      </c>
      <c r="L19" s="45">
        <f>K19*VLOOKUP(F19,$X$2:$Y$7,2,FALSE())</f>
        <v>198</v>
      </c>
      <c r="M19" s="34"/>
      <c r="N19" s="35"/>
      <c r="O19" s="34"/>
      <c r="P19" s="34"/>
      <c r="Q19" s="36">
        <f>Q13+G19-K19+M19-O19</f>
        <v>0</v>
      </c>
      <c r="R19" s="37">
        <f>R13+H19-L19+N19-O19*VLOOKUP(F19,$X$2:$Y$7,2,FALSE())</f>
        <v>0</v>
      </c>
      <c r="S19" s="38"/>
    </row>
    <row r="20" spans="1:19" ht="15.75" customHeight="1" x14ac:dyDescent="0.2">
      <c r="A20" s="39"/>
      <c r="B20" s="25"/>
      <c r="C20" s="25"/>
      <c r="D20" s="25"/>
      <c r="E20" s="26"/>
      <c r="F20" s="27" t="s">
        <v>8</v>
      </c>
      <c r="G20" s="44">
        <v>12</v>
      </c>
      <c r="H20" s="29">
        <f>G20*VLOOKUP(F20,$X$2:$Y$7,2,FALSE())</f>
        <v>204</v>
      </c>
      <c r="I20" s="66"/>
      <c r="J20" s="46">
        <v>2980</v>
      </c>
      <c r="K20" s="47">
        <v>12</v>
      </c>
      <c r="L20" s="45">
        <f>K20*VLOOKUP(F20,$X$2:$Y$7,2,FALSE())</f>
        <v>204</v>
      </c>
      <c r="M20" s="34"/>
      <c r="N20" s="35"/>
      <c r="O20" s="34"/>
      <c r="P20" s="34"/>
      <c r="Q20" s="36">
        <f>Q14+G20-K20+M20-O20</f>
        <v>0</v>
      </c>
      <c r="R20" s="37">
        <f>R14+H20-L20+N20-O20*VLOOKUP(F20,$X$2:$Y$7,2,FALSE())</f>
        <v>0</v>
      </c>
      <c r="S20" s="38"/>
    </row>
    <row r="21" spans="1:19" ht="15" customHeight="1" x14ac:dyDescent="0.2">
      <c r="A21" s="67"/>
      <c r="B21" s="25"/>
      <c r="C21" s="25"/>
      <c r="D21" s="25"/>
      <c r="E21" s="26"/>
      <c r="F21" s="27" t="s">
        <v>28</v>
      </c>
      <c r="G21" s="44">
        <v>110</v>
      </c>
      <c r="H21" s="29">
        <f>G21*VLOOKUP(F21,$X$2:$Y$7,2,FALSE())</f>
        <v>1870</v>
      </c>
      <c r="I21" s="68"/>
      <c r="J21" s="46">
        <v>2980</v>
      </c>
      <c r="K21" s="47">
        <v>97</v>
      </c>
      <c r="L21" s="45">
        <f>K21*VLOOKUP(F21,$X$2:$Y$7,2,FALSE())</f>
        <v>1649</v>
      </c>
      <c r="M21" s="34"/>
      <c r="N21" s="35"/>
      <c r="O21" s="34"/>
      <c r="P21" s="34"/>
      <c r="Q21" s="36">
        <f>Q15+G21-K21+M21-O21</f>
        <v>42</v>
      </c>
      <c r="R21" s="37">
        <f>R15+H21-L21+N21-O21*VLOOKUP(F21,$X$2:$Y$7,2,FALSE())</f>
        <v>714</v>
      </c>
      <c r="S21" s="38"/>
    </row>
    <row r="22" spans="1:19" ht="15" customHeight="1" x14ac:dyDescent="0.2">
      <c r="A22" s="39"/>
      <c r="B22" s="25"/>
      <c r="C22" s="25"/>
      <c r="D22" s="25"/>
      <c r="E22" s="26"/>
      <c r="F22" s="27" t="s">
        <v>31</v>
      </c>
      <c r="G22" s="44">
        <v>2</v>
      </c>
      <c r="H22" s="29">
        <f>G22*VLOOKUP(F22,$X$2:$Y$7,2,FALSE())</f>
        <v>190</v>
      </c>
      <c r="I22" s="66"/>
      <c r="J22" s="69"/>
      <c r="K22" s="47">
        <v>0</v>
      </c>
      <c r="L22" s="45">
        <f>K22*VLOOKUP(F22,$X$2:$Y$7,2,FALSE())</f>
        <v>0</v>
      </c>
      <c r="M22" s="34"/>
      <c r="N22" s="35"/>
      <c r="O22" s="34"/>
      <c r="P22" s="34"/>
      <c r="Q22" s="36">
        <f>Q16+G22-K22+M22-O22</f>
        <v>28</v>
      </c>
      <c r="R22" s="37">
        <f>R16+H22-L22+N22-O22*VLOOKUP(F22,$X$2:$Y$7,2,FALSE())</f>
        <v>2660</v>
      </c>
      <c r="S22" s="38"/>
    </row>
    <row r="23" spans="1:19" ht="15" customHeight="1" x14ac:dyDescent="0.2">
      <c r="A23" s="24"/>
      <c r="B23" s="41"/>
      <c r="C23" s="41"/>
      <c r="D23" s="42"/>
      <c r="E23" s="43"/>
      <c r="F23" s="27" t="s">
        <v>32</v>
      </c>
      <c r="G23" s="44"/>
      <c r="H23" s="29"/>
      <c r="I23" s="86"/>
      <c r="J23" s="46"/>
      <c r="K23" s="47"/>
      <c r="L23" s="45"/>
      <c r="M23" s="48"/>
      <c r="N23" s="49"/>
      <c r="O23" s="48"/>
      <c r="P23" s="48"/>
      <c r="Q23" s="36"/>
      <c r="R23" s="37"/>
      <c r="S23" s="38"/>
    </row>
    <row r="24" spans="1:19" ht="15" customHeight="1" x14ac:dyDescent="0.2">
      <c r="A24" s="50" t="s">
        <v>35</v>
      </c>
      <c r="B24" s="51">
        <v>40</v>
      </c>
      <c r="C24" s="51">
        <v>95</v>
      </c>
      <c r="D24" s="52">
        <f>B24*C24</f>
        <v>3800</v>
      </c>
      <c r="E24" s="53"/>
      <c r="F24" s="54" t="s">
        <v>3</v>
      </c>
      <c r="G24" s="55">
        <v>45</v>
      </c>
      <c r="H24" s="56">
        <f>G24*VLOOKUP(F24,$X$2:$Y$7,2,FALSE())</f>
        <v>675</v>
      </c>
      <c r="I24" s="57" t="s">
        <v>35</v>
      </c>
      <c r="J24" s="58">
        <v>2984</v>
      </c>
      <c r="K24" s="59">
        <v>67</v>
      </c>
      <c r="L24" s="60">
        <f>K24*VLOOKUP(F24,$X$2:$Y$7,2,FALSE())</f>
        <v>1005</v>
      </c>
      <c r="M24" s="61"/>
      <c r="N24" s="62"/>
      <c r="O24" s="61"/>
      <c r="P24" s="61"/>
      <c r="Q24" s="63">
        <f>Q18+G24-K24+M24-O24</f>
        <v>18</v>
      </c>
      <c r="R24" s="64">
        <f>R18+H24-L24+N24-O24*VLOOKUP(F24,$X$2:$Y$7,2,FALSE())</f>
        <v>270</v>
      </c>
      <c r="S24" s="65"/>
    </row>
    <row r="25" spans="1:19" ht="15.75" customHeight="1" x14ac:dyDescent="0.2">
      <c r="A25" s="39"/>
      <c r="B25" s="25"/>
      <c r="C25" s="25"/>
      <c r="D25" s="25"/>
      <c r="E25" s="26"/>
      <c r="F25" s="27" t="s">
        <v>4</v>
      </c>
      <c r="G25" s="44">
        <v>11</v>
      </c>
      <c r="H25" s="29">
        <f>G25*VLOOKUP(F25,$X$2:$Y$7,2,FALSE())</f>
        <v>198</v>
      </c>
      <c r="I25" s="66"/>
      <c r="J25" s="46">
        <v>2984</v>
      </c>
      <c r="K25" s="47">
        <v>11</v>
      </c>
      <c r="L25" s="45">
        <f>K25*VLOOKUP(F25,$X$2:$Y$7,2,FALSE())</f>
        <v>198</v>
      </c>
      <c r="M25" s="34"/>
      <c r="N25" s="35"/>
      <c r="O25" s="34"/>
      <c r="P25" s="34"/>
      <c r="Q25" s="36">
        <f>Q19+G25-K25+M25-O25</f>
        <v>0</v>
      </c>
      <c r="R25" s="37">
        <f>R19+H25-L25+N25-O25*VLOOKUP(F25,$X$2:$Y$7,2,FALSE())</f>
        <v>0</v>
      </c>
      <c r="S25" s="38"/>
    </row>
    <row r="26" spans="1:19" ht="15" customHeight="1" x14ac:dyDescent="0.2">
      <c r="A26" s="67"/>
      <c r="B26" s="25"/>
      <c r="C26" s="25"/>
      <c r="D26" s="25"/>
      <c r="E26" s="26"/>
      <c r="F26" s="27" t="s">
        <v>8</v>
      </c>
      <c r="G26" s="44">
        <v>12</v>
      </c>
      <c r="H26" s="29">
        <f>G26*VLOOKUP(F26,$X$2:$Y$7,2,FALSE())</f>
        <v>204</v>
      </c>
      <c r="I26" s="68"/>
      <c r="J26" s="46">
        <v>2984</v>
      </c>
      <c r="K26" s="47">
        <v>12</v>
      </c>
      <c r="L26" s="45">
        <f>K26*VLOOKUP(F26,$X$2:$Y$7,2,FALSE())</f>
        <v>204</v>
      </c>
      <c r="M26" s="34"/>
      <c r="N26" s="35"/>
      <c r="O26" s="34"/>
      <c r="P26" s="34"/>
      <c r="Q26" s="36">
        <f>Q20+G26-K26+M26-O26</f>
        <v>0</v>
      </c>
      <c r="R26" s="37">
        <f>R20+H26-L26+N26-O26*VLOOKUP(F26,$X$2:$Y$7,2,FALSE())</f>
        <v>0</v>
      </c>
      <c r="S26" s="38"/>
    </row>
    <row r="27" spans="1:19" ht="15" customHeight="1" x14ac:dyDescent="0.2">
      <c r="A27" s="39"/>
      <c r="B27" s="25"/>
      <c r="C27" s="25"/>
      <c r="D27" s="25"/>
      <c r="E27" s="26"/>
      <c r="F27" s="27" t="s">
        <v>28</v>
      </c>
      <c r="G27" s="44">
        <v>121</v>
      </c>
      <c r="H27" s="29">
        <f>G27*VLOOKUP(F27,$X$2:$Y$7,2,FALSE())</f>
        <v>2057</v>
      </c>
      <c r="I27" s="66"/>
      <c r="J27" s="46">
        <v>2984</v>
      </c>
      <c r="K27" s="47">
        <v>116</v>
      </c>
      <c r="L27" s="45">
        <f>K27*VLOOKUP(F27,$X$2:$Y$7,2,FALSE())</f>
        <v>1972</v>
      </c>
      <c r="M27" s="34"/>
      <c r="N27" s="35"/>
      <c r="O27" s="34"/>
      <c r="P27" s="34"/>
      <c r="Q27" s="36">
        <f>Q21+G27-K27+M27-O27</f>
        <v>47</v>
      </c>
      <c r="R27" s="37">
        <f>R21+H27-L27+N27-O27*VLOOKUP(F27,$X$2:$Y$7,2,FALSE())</f>
        <v>799</v>
      </c>
      <c r="S27" s="38"/>
    </row>
    <row r="28" spans="1:19" ht="15" customHeight="1" x14ac:dyDescent="0.2">
      <c r="A28" s="39"/>
      <c r="B28" s="25"/>
      <c r="C28" s="25"/>
      <c r="D28" s="25"/>
      <c r="E28" s="26"/>
      <c r="F28" s="27" t="s">
        <v>31</v>
      </c>
      <c r="G28" s="44">
        <v>7</v>
      </c>
      <c r="H28" s="29">
        <f>G28*VLOOKUP(F28,$X$2:$Y$7,2,FALSE())</f>
        <v>665</v>
      </c>
      <c r="I28" s="66"/>
      <c r="J28" s="69"/>
      <c r="K28" s="47">
        <v>0</v>
      </c>
      <c r="L28" s="45">
        <f>K28*VLOOKUP(F28,$X$2:$Y$7,2,FALSE())</f>
        <v>0</v>
      </c>
      <c r="M28" s="34"/>
      <c r="N28" s="35"/>
      <c r="O28" s="34"/>
      <c r="P28" s="34"/>
      <c r="Q28" s="36">
        <f>Q22+G28-K28+M28-O28</f>
        <v>35</v>
      </c>
      <c r="R28" s="37">
        <f>R22+H28-L28+N28-O28*VLOOKUP(F28,$X$2:$Y$7,2,FALSE())</f>
        <v>3325</v>
      </c>
      <c r="S28" s="38"/>
    </row>
    <row r="29" spans="1:19" ht="15" customHeight="1" x14ac:dyDescent="0.2">
      <c r="A29" s="70"/>
      <c r="B29" s="71"/>
      <c r="C29" s="71"/>
      <c r="D29" s="72"/>
      <c r="E29" s="73"/>
      <c r="F29" s="74" t="s">
        <v>32</v>
      </c>
      <c r="G29" s="75"/>
      <c r="H29" s="76"/>
      <c r="I29" s="77"/>
      <c r="J29" s="78"/>
      <c r="K29" s="79"/>
      <c r="L29" s="80"/>
      <c r="M29" s="81"/>
      <c r="N29" s="82"/>
      <c r="O29" s="81"/>
      <c r="P29" s="81"/>
      <c r="Q29" s="83"/>
      <c r="R29" s="84"/>
      <c r="S29" s="85"/>
    </row>
    <row r="30" spans="1:19" ht="15.75" customHeight="1" x14ac:dyDescent="0.2">
      <c r="A30" s="24" t="s">
        <v>36</v>
      </c>
      <c r="B30" s="41">
        <v>40</v>
      </c>
      <c r="C30" s="41">
        <v>95</v>
      </c>
      <c r="D30" s="42">
        <f>B30*C30</f>
        <v>3800</v>
      </c>
      <c r="E30" s="26"/>
      <c r="F30" s="27" t="s">
        <v>3</v>
      </c>
      <c r="G30" s="44">
        <v>79</v>
      </c>
      <c r="H30" s="29">
        <f>G30*VLOOKUP(F30,$X$2:$Y$7,2,FALSE())</f>
        <v>1185</v>
      </c>
      <c r="I30" s="86" t="s">
        <v>36</v>
      </c>
      <c r="J30" s="46">
        <v>2986</v>
      </c>
      <c r="K30" s="47">
        <v>67</v>
      </c>
      <c r="L30" s="45">
        <f>K30*VLOOKUP(F30,$X$2:$Y$7,2,FALSE())</f>
        <v>1005</v>
      </c>
      <c r="M30" s="34"/>
      <c r="N30" s="35"/>
      <c r="O30" s="34"/>
      <c r="P30" s="34"/>
      <c r="Q30" s="36">
        <f>Q24+G30-K30+M30-O30</f>
        <v>30</v>
      </c>
      <c r="R30" s="37">
        <f>R24+H30-L30+N30-O30*VLOOKUP(F30,$X$2:$Y$7,2,FALSE())</f>
        <v>450</v>
      </c>
      <c r="S30" s="38"/>
    </row>
    <row r="31" spans="1:19" ht="15" customHeight="1" x14ac:dyDescent="0.2">
      <c r="A31" s="67"/>
      <c r="B31" s="25"/>
      <c r="C31" s="25"/>
      <c r="D31" s="25"/>
      <c r="E31" s="26"/>
      <c r="F31" s="27" t="s">
        <v>4</v>
      </c>
      <c r="G31" s="44">
        <v>22</v>
      </c>
      <c r="H31" s="29">
        <f>G31*VLOOKUP(F31,$X$2:$Y$7,2,FALSE())</f>
        <v>396</v>
      </c>
      <c r="I31" s="68"/>
      <c r="J31" s="46">
        <v>2986</v>
      </c>
      <c r="K31" s="47">
        <v>11</v>
      </c>
      <c r="L31" s="45">
        <f>K31*VLOOKUP(F31,$X$2:$Y$7,2,FALSE())</f>
        <v>198</v>
      </c>
      <c r="M31" s="34"/>
      <c r="N31" s="35"/>
      <c r="O31" s="34"/>
      <c r="P31" s="34"/>
      <c r="Q31" s="36">
        <f>Q25+G31-K31+M31-O31</f>
        <v>11</v>
      </c>
      <c r="R31" s="37">
        <f>R25+H31-L31+N31-O31*VLOOKUP(F31,$X$2:$Y$7,2,FALSE())</f>
        <v>198</v>
      </c>
      <c r="S31" s="38"/>
    </row>
    <row r="32" spans="1:19" ht="15" customHeight="1" x14ac:dyDescent="0.2">
      <c r="A32" s="39"/>
      <c r="B32" s="25"/>
      <c r="C32" s="25"/>
      <c r="D32" s="25"/>
      <c r="E32" s="26"/>
      <c r="F32" s="27" t="s">
        <v>8</v>
      </c>
      <c r="G32" s="44">
        <v>21</v>
      </c>
      <c r="H32" s="29">
        <f>G32*VLOOKUP(F32,$X$2:$Y$7,2,FALSE())</f>
        <v>357</v>
      </c>
      <c r="I32" s="66"/>
      <c r="J32" s="46">
        <v>2986</v>
      </c>
      <c r="K32" s="47">
        <v>9</v>
      </c>
      <c r="L32" s="45">
        <f>K32*VLOOKUP(F32,$X$2:$Y$7,2,FALSE())</f>
        <v>153</v>
      </c>
      <c r="M32" s="34"/>
      <c r="N32" s="35"/>
      <c r="O32" s="34"/>
      <c r="P32" s="34"/>
      <c r="Q32" s="36">
        <f>Q26+G32-K32+M32-O32</f>
        <v>12</v>
      </c>
      <c r="R32" s="37">
        <f>R26+H32-L32+N32-O32*VLOOKUP(F32,$X$2:$Y$7,2,FALSE())</f>
        <v>204</v>
      </c>
      <c r="S32" s="38"/>
    </row>
    <row r="33" spans="1:19" ht="15" customHeight="1" x14ac:dyDescent="0.2">
      <c r="A33" s="39"/>
      <c r="B33" s="25"/>
      <c r="C33" s="25"/>
      <c r="D33" s="25"/>
      <c r="E33" s="26"/>
      <c r="F33" s="27" t="s">
        <v>28</v>
      </c>
      <c r="G33" s="44">
        <v>83</v>
      </c>
      <c r="H33" s="29">
        <f>G33*VLOOKUP(F33,$X$2:$Y$7,2,FALSE())</f>
        <v>1411</v>
      </c>
      <c r="I33" s="66"/>
      <c r="J33" s="46">
        <v>2986</v>
      </c>
      <c r="K33" s="47">
        <v>95</v>
      </c>
      <c r="L33" s="45">
        <f>K33*VLOOKUP(F33,$X$2:$Y$7,2,FALSE())</f>
        <v>1615</v>
      </c>
      <c r="M33" s="34"/>
      <c r="N33" s="35"/>
      <c r="O33" s="34"/>
      <c r="P33" s="34"/>
      <c r="Q33" s="36">
        <f>Q27+G33-K33+M33-O33</f>
        <v>35</v>
      </c>
      <c r="R33" s="37">
        <f>R27+H33-L33+N33-O33*VLOOKUP(F33,$X$2:$Y$7,2,FALSE())</f>
        <v>595</v>
      </c>
      <c r="S33" s="38"/>
    </row>
    <row r="34" spans="1:19" ht="15" customHeight="1" x14ac:dyDescent="0.2">
      <c r="A34" s="39"/>
      <c r="B34" s="25"/>
      <c r="C34" s="25"/>
      <c r="D34" s="25"/>
      <c r="E34" s="26"/>
      <c r="F34" s="27" t="s">
        <v>31</v>
      </c>
      <c r="G34" s="44">
        <v>5</v>
      </c>
      <c r="H34" s="29">
        <f>G34*VLOOKUP(F34,$X$2:$Y$7,2,FALSE())</f>
        <v>475</v>
      </c>
      <c r="I34" s="66"/>
      <c r="J34" s="46" t="s">
        <v>37</v>
      </c>
      <c r="K34" s="47">
        <v>35</v>
      </c>
      <c r="L34" s="45">
        <f>K34*VLOOKUP(F34,$X$2:$Y$7,2,FALSE())</f>
        <v>3325</v>
      </c>
      <c r="M34" s="34"/>
      <c r="N34" s="35"/>
      <c r="O34" s="34"/>
      <c r="P34" s="34"/>
      <c r="Q34" s="36">
        <f>Q28+G34-K34+M34-O34</f>
        <v>5</v>
      </c>
      <c r="R34" s="37">
        <f>R28+H34-L34+N34-O34*VLOOKUP(F34,$X$2:$Y$7,2,FALSE())</f>
        <v>475</v>
      </c>
      <c r="S34" s="38"/>
    </row>
    <row r="35" spans="1:19" ht="15.75" customHeight="1" x14ac:dyDescent="0.2">
      <c r="A35" s="24"/>
      <c r="B35" s="41"/>
      <c r="C35" s="41"/>
      <c r="D35" s="42"/>
      <c r="E35" s="43"/>
      <c r="F35" s="27" t="s">
        <v>32</v>
      </c>
      <c r="G35" s="44"/>
      <c r="H35" s="29"/>
      <c r="I35" s="86"/>
      <c r="J35" s="46"/>
      <c r="K35" s="47"/>
      <c r="L35" s="45"/>
      <c r="M35" s="48"/>
      <c r="N35" s="49"/>
      <c r="O35" s="48"/>
      <c r="P35" s="48"/>
      <c r="Q35" s="36"/>
      <c r="R35" s="37"/>
      <c r="S35" s="38"/>
    </row>
    <row r="36" spans="1:19" ht="15" customHeight="1" x14ac:dyDescent="0.2">
      <c r="A36" s="50" t="s">
        <v>38</v>
      </c>
      <c r="B36" s="51">
        <v>40</v>
      </c>
      <c r="C36" s="51">
        <v>95</v>
      </c>
      <c r="D36" s="52">
        <f>B36*C36</f>
        <v>3800</v>
      </c>
      <c r="E36" s="53"/>
      <c r="F36" s="54" t="s">
        <v>3</v>
      </c>
      <c r="G36" s="55">
        <v>68</v>
      </c>
      <c r="H36" s="56">
        <f>G36*VLOOKUP(F36,$X$2:$Y$7,2,FALSE())</f>
        <v>1020</v>
      </c>
      <c r="I36" s="57" t="s">
        <v>38</v>
      </c>
      <c r="J36" s="58">
        <v>2992</v>
      </c>
      <c r="K36" s="59">
        <v>63</v>
      </c>
      <c r="L36" s="60">
        <f>K36*VLOOKUP(F36,$X$2:$Y$7,2,FALSE())</f>
        <v>945</v>
      </c>
      <c r="M36" s="61"/>
      <c r="N36" s="62"/>
      <c r="O36" s="61"/>
      <c r="P36" s="61"/>
      <c r="Q36" s="63">
        <f>Q30+G36-K36+M36-O36</f>
        <v>35</v>
      </c>
      <c r="R36" s="64">
        <f>R30+H36-L36+N36-O36*VLOOKUP(F36,$X$2:$Y$7,2,FALSE())</f>
        <v>525</v>
      </c>
      <c r="S36" s="65"/>
    </row>
    <row r="37" spans="1:19" ht="15" customHeight="1" x14ac:dyDescent="0.2">
      <c r="A37" s="39"/>
      <c r="B37" s="25"/>
      <c r="C37" s="25"/>
      <c r="D37" s="25"/>
      <c r="E37" s="26"/>
      <c r="F37" s="27" t="s">
        <v>4</v>
      </c>
      <c r="G37" s="44">
        <v>11</v>
      </c>
      <c r="H37" s="29">
        <f>G37*VLOOKUP(F37,$X$2:$Y$7,2,FALSE())</f>
        <v>198</v>
      </c>
      <c r="I37" s="66"/>
      <c r="J37" s="46">
        <v>2992</v>
      </c>
      <c r="K37" s="47">
        <v>11</v>
      </c>
      <c r="L37" s="45">
        <f>K37*VLOOKUP(F37,$X$2:$Y$7,2,FALSE())</f>
        <v>198</v>
      </c>
      <c r="M37" s="34"/>
      <c r="N37" s="35"/>
      <c r="O37" s="34"/>
      <c r="P37" s="34"/>
      <c r="Q37" s="36">
        <f>Q31+G37-K37+M37-O37</f>
        <v>11</v>
      </c>
      <c r="R37" s="37">
        <f>R31+H37-L37+N37-O37*VLOOKUP(F37,$X$2:$Y$7,2,FALSE())</f>
        <v>198</v>
      </c>
      <c r="S37" s="38"/>
    </row>
    <row r="38" spans="1:19" ht="15" customHeight="1" x14ac:dyDescent="0.2">
      <c r="A38" s="39"/>
      <c r="B38" s="25"/>
      <c r="C38" s="25"/>
      <c r="D38" s="25"/>
      <c r="E38" s="26"/>
      <c r="F38" s="27" t="s">
        <v>8</v>
      </c>
      <c r="G38" s="44">
        <v>12</v>
      </c>
      <c r="H38" s="29">
        <f>G38*VLOOKUP(F38,$X$2:$Y$7,2,FALSE())</f>
        <v>204</v>
      </c>
      <c r="I38" s="66"/>
      <c r="J38" s="46">
        <v>2992</v>
      </c>
      <c r="K38" s="47">
        <v>12</v>
      </c>
      <c r="L38" s="45">
        <f>K38*VLOOKUP(F38,$X$2:$Y$7,2,FALSE())</f>
        <v>204</v>
      </c>
      <c r="M38" s="34"/>
      <c r="N38" s="35"/>
      <c r="O38" s="34"/>
      <c r="P38" s="34"/>
      <c r="Q38" s="36">
        <f>Q32+G38-K38+M38-O38</f>
        <v>12</v>
      </c>
      <c r="R38" s="37">
        <f>R32+H38-L38+N38-O38*VLOOKUP(F38,$X$2:$Y$7,2,FALSE())</f>
        <v>204</v>
      </c>
      <c r="S38" s="38"/>
    </row>
    <row r="39" spans="1:19" ht="15" customHeight="1" x14ac:dyDescent="0.2">
      <c r="A39" s="39"/>
      <c r="B39" s="25"/>
      <c r="C39" s="25"/>
      <c r="D39" s="25"/>
      <c r="E39" s="26"/>
      <c r="F39" s="27" t="s">
        <v>28</v>
      </c>
      <c r="G39" s="44">
        <v>116</v>
      </c>
      <c r="H39" s="29">
        <f>G39*VLOOKUP(F39,$X$2:$Y$7,2,FALSE())</f>
        <v>1972</v>
      </c>
      <c r="I39" s="66"/>
      <c r="J39" s="46">
        <v>2992</v>
      </c>
      <c r="K39" s="47">
        <v>115</v>
      </c>
      <c r="L39" s="45">
        <f>K39*VLOOKUP(F39,$X$2:$Y$7,2,FALSE())</f>
        <v>1955</v>
      </c>
      <c r="M39" s="34"/>
      <c r="N39" s="35"/>
      <c r="O39" s="34"/>
      <c r="P39" s="34"/>
      <c r="Q39" s="36">
        <f>Q33+G39-K39+M39-O39</f>
        <v>36</v>
      </c>
      <c r="R39" s="37">
        <f>R33+H39-L39+N39-O39*VLOOKUP(F39,$X$2:$Y$7,2,FALSE())</f>
        <v>612</v>
      </c>
      <c r="S39" s="38"/>
    </row>
    <row r="40" spans="1:19" ht="15.75" customHeight="1" x14ac:dyDescent="0.2">
      <c r="A40" s="39"/>
      <c r="B40" s="25"/>
      <c r="C40" s="25"/>
      <c r="D40" s="25"/>
      <c r="E40" s="26"/>
      <c r="F40" s="27" t="s">
        <v>31</v>
      </c>
      <c r="G40" s="44">
        <v>4</v>
      </c>
      <c r="H40" s="29">
        <f>G40*VLOOKUP(F40,$X$2:$Y$7,2,FALSE())</f>
        <v>380</v>
      </c>
      <c r="I40" s="66"/>
      <c r="J40" s="69"/>
      <c r="K40" s="47">
        <v>0</v>
      </c>
      <c r="L40" s="45">
        <f>K40*VLOOKUP(F40,$X$2:$Y$7,2,FALSE())</f>
        <v>0</v>
      </c>
      <c r="M40" s="34"/>
      <c r="N40" s="35"/>
      <c r="O40" s="34"/>
      <c r="P40" s="34"/>
      <c r="Q40" s="36">
        <f>Q34+G40-K40+M40-O40</f>
        <v>9</v>
      </c>
      <c r="R40" s="37">
        <f>R34+H40-L40+N40-O40*VLOOKUP(F40,$X$2:$Y$7,2,FALSE())</f>
        <v>855</v>
      </c>
      <c r="S40" s="38"/>
    </row>
    <row r="41" spans="1:19" ht="15" customHeight="1" x14ac:dyDescent="0.2">
      <c r="A41" s="70"/>
      <c r="B41" s="71"/>
      <c r="C41" s="71"/>
      <c r="D41" s="72"/>
      <c r="E41" s="73"/>
      <c r="F41" s="74" t="s">
        <v>32</v>
      </c>
      <c r="G41" s="75"/>
      <c r="H41" s="76"/>
      <c r="I41" s="77"/>
      <c r="J41" s="78"/>
      <c r="K41" s="79"/>
      <c r="L41" s="80"/>
      <c r="M41" s="81"/>
      <c r="N41" s="82"/>
      <c r="O41" s="81"/>
      <c r="P41" s="81"/>
      <c r="Q41" s="83"/>
      <c r="R41" s="84"/>
      <c r="S41" s="85"/>
    </row>
    <row r="42" spans="1:19" ht="15" customHeight="1" x14ac:dyDescent="0.2">
      <c r="A42" s="24" t="s">
        <v>39</v>
      </c>
      <c r="B42" s="41">
        <v>60</v>
      </c>
      <c r="C42" s="41">
        <v>95</v>
      </c>
      <c r="D42" s="42">
        <f>B42*C42</f>
        <v>5700</v>
      </c>
      <c r="E42" s="26"/>
      <c r="F42" s="27" t="s">
        <v>3</v>
      </c>
      <c r="G42" s="44">
        <v>99</v>
      </c>
      <c r="H42" s="29">
        <f>G42*VLOOKUP(F42,$X$2:$Y$7,2,FALSE())</f>
        <v>1485</v>
      </c>
      <c r="I42" s="86" t="s">
        <v>39</v>
      </c>
      <c r="J42" s="46">
        <v>2994</v>
      </c>
      <c r="K42" s="47">
        <v>67</v>
      </c>
      <c r="L42" s="45">
        <f>K42*VLOOKUP(F42,$X$2:$Y$7,2,FALSE())</f>
        <v>1005</v>
      </c>
      <c r="M42" s="34"/>
      <c r="N42" s="35"/>
      <c r="O42" s="34"/>
      <c r="P42" s="34"/>
      <c r="Q42" s="36">
        <f>Q36+G42-K42+M42-O42</f>
        <v>67</v>
      </c>
      <c r="R42" s="37">
        <f>R36+H42-L42+N42-O42*VLOOKUP(F42,$X$2:$Y$7,2,FALSE())</f>
        <v>1005</v>
      </c>
      <c r="S42" s="38"/>
    </row>
    <row r="43" spans="1:19" ht="15" customHeight="1" x14ac:dyDescent="0.2">
      <c r="A43" s="39"/>
      <c r="B43" s="25"/>
      <c r="C43" s="25"/>
      <c r="D43" s="25"/>
      <c r="E43" s="26"/>
      <c r="F43" s="27" t="s">
        <v>4</v>
      </c>
      <c r="G43" s="44">
        <v>4</v>
      </c>
      <c r="H43" s="29">
        <f>G43*VLOOKUP(F43,$X$2:$Y$7,2,FALSE())</f>
        <v>72</v>
      </c>
      <c r="I43" s="66"/>
      <c r="J43" s="46">
        <v>2994</v>
      </c>
      <c r="K43" s="47">
        <v>11</v>
      </c>
      <c r="L43" s="45">
        <f>K43*VLOOKUP(F43,$X$2:$Y$7,2,FALSE())</f>
        <v>198</v>
      </c>
      <c r="M43" s="34"/>
      <c r="N43" s="35"/>
      <c r="O43" s="34"/>
      <c r="P43" s="34"/>
      <c r="Q43" s="36">
        <f>Q37+G43-K43+M43-O43</f>
        <v>4</v>
      </c>
      <c r="R43" s="37">
        <f>R37+H43-L43+N43-O43*VLOOKUP(F43,$X$2:$Y$7,2,FALSE())</f>
        <v>72</v>
      </c>
      <c r="S43" s="38"/>
    </row>
    <row r="44" spans="1:19" ht="15" customHeight="1" x14ac:dyDescent="0.2">
      <c r="A44" s="39"/>
      <c r="B44" s="25"/>
      <c r="C44" s="25"/>
      <c r="D44" s="25"/>
      <c r="E44" s="26"/>
      <c r="F44" s="27" t="s">
        <v>8</v>
      </c>
      <c r="G44" s="44">
        <v>9</v>
      </c>
      <c r="H44" s="29">
        <f>G44*VLOOKUP(F44,$X$2:$Y$7,2,FALSE())</f>
        <v>153</v>
      </c>
      <c r="I44" s="66"/>
      <c r="J44" s="46">
        <v>2994</v>
      </c>
      <c r="K44" s="47">
        <v>12</v>
      </c>
      <c r="L44" s="45">
        <f>K44*VLOOKUP(F44,$X$2:$Y$7,2,FALSE())</f>
        <v>204</v>
      </c>
      <c r="M44" s="34"/>
      <c r="N44" s="35"/>
      <c r="O44" s="34"/>
      <c r="P44" s="34"/>
      <c r="Q44" s="36">
        <f>Q38+G44-K44+M44-O44</f>
        <v>9</v>
      </c>
      <c r="R44" s="37">
        <f>R38+H44-L44+N44-O44*VLOOKUP(F44,$X$2:$Y$7,2,FALSE())</f>
        <v>153</v>
      </c>
      <c r="S44" s="38"/>
    </row>
    <row r="45" spans="1:19" ht="15.75" customHeight="1" x14ac:dyDescent="0.2">
      <c r="A45" s="39"/>
      <c r="B45" s="25"/>
      <c r="C45" s="25"/>
      <c r="D45" s="25"/>
      <c r="E45" s="26"/>
      <c r="F45" s="27" t="s">
        <v>28</v>
      </c>
      <c r="G45" s="44">
        <v>178</v>
      </c>
      <c r="H45" s="29">
        <f>G45*VLOOKUP(F45,$X$2:$Y$7,2,FALSE())</f>
        <v>3026</v>
      </c>
      <c r="I45" s="66"/>
      <c r="J45" s="46">
        <v>2994</v>
      </c>
      <c r="K45" s="47">
        <v>118</v>
      </c>
      <c r="L45" s="45">
        <f>K45*VLOOKUP(F45,$X$2:$Y$7,2,FALSE())</f>
        <v>2006</v>
      </c>
      <c r="M45" s="34"/>
      <c r="N45" s="35"/>
      <c r="O45" s="34"/>
      <c r="P45" s="34"/>
      <c r="Q45" s="36">
        <f>Q39+G45-K45+M45-O45</f>
        <v>96</v>
      </c>
      <c r="R45" s="37">
        <f>R39+H45-L45+N45-O45*VLOOKUP(F45,$X$2:$Y$7,2,FALSE())</f>
        <v>1632</v>
      </c>
      <c r="S45" s="38"/>
    </row>
    <row r="46" spans="1:19" ht="15" customHeight="1" x14ac:dyDescent="0.2">
      <c r="A46" s="67"/>
      <c r="B46" s="25"/>
      <c r="C46" s="25"/>
      <c r="D46" s="25"/>
      <c r="E46" s="26"/>
      <c r="F46" s="27" t="s">
        <v>31</v>
      </c>
      <c r="G46" s="44">
        <v>10</v>
      </c>
      <c r="H46" s="29">
        <f>G46*VLOOKUP(F46,$X$2:$Y$7,2,FALSE())</f>
        <v>950</v>
      </c>
      <c r="I46" s="68"/>
      <c r="J46" s="46" t="s">
        <v>40</v>
      </c>
      <c r="K46" s="47">
        <v>15</v>
      </c>
      <c r="L46" s="45">
        <f>K46*VLOOKUP(F46,$X$2:$Y$7,2,FALSE())</f>
        <v>1425</v>
      </c>
      <c r="M46" s="34"/>
      <c r="N46" s="35"/>
      <c r="O46" s="34"/>
      <c r="P46" s="34"/>
      <c r="Q46" s="36">
        <f>Q40+G46-K46+M46-O46</f>
        <v>4</v>
      </c>
      <c r="R46" s="37">
        <f>R40+H46-L46+N46-O46*VLOOKUP(F46,$X$2:$Y$7,2,FALSE())</f>
        <v>380</v>
      </c>
      <c r="S46" s="38"/>
    </row>
    <row r="47" spans="1:19" ht="15" customHeight="1" x14ac:dyDescent="0.2">
      <c r="A47" s="24"/>
      <c r="B47" s="41"/>
      <c r="C47" s="41"/>
      <c r="D47" s="42"/>
      <c r="E47" s="43"/>
      <c r="F47" s="27" t="s">
        <v>32</v>
      </c>
      <c r="G47" s="44"/>
      <c r="H47" s="29"/>
      <c r="I47" s="86"/>
      <c r="J47" s="46"/>
      <c r="K47" s="47"/>
      <c r="L47" s="45"/>
      <c r="M47" s="48"/>
      <c r="N47" s="49"/>
      <c r="O47" s="48"/>
      <c r="P47" s="48"/>
      <c r="Q47" s="36"/>
      <c r="R47" s="37"/>
      <c r="S47" s="38"/>
    </row>
    <row r="48" spans="1:19" ht="15" customHeight="1" x14ac:dyDescent="0.2">
      <c r="A48" s="50" t="s">
        <v>39</v>
      </c>
      <c r="B48" s="51">
        <v>5</v>
      </c>
      <c r="C48" s="51">
        <v>95</v>
      </c>
      <c r="D48" s="52">
        <f>B48*C48</f>
        <v>475</v>
      </c>
      <c r="E48" s="53"/>
      <c r="F48" s="54" t="s">
        <v>3</v>
      </c>
      <c r="G48" s="55">
        <v>4</v>
      </c>
      <c r="H48" s="56">
        <f>G48*VLOOKUP(F48,$X$2:$Y$7,2,FALSE())</f>
        <v>60</v>
      </c>
      <c r="I48" s="87"/>
      <c r="J48" s="88"/>
      <c r="K48" s="59">
        <v>0</v>
      </c>
      <c r="L48" s="60">
        <f>K48*VLOOKUP(F48,$X$2:$Y$7,2,FALSE())</f>
        <v>0</v>
      </c>
      <c r="M48" s="61"/>
      <c r="N48" s="62"/>
      <c r="O48" s="61"/>
      <c r="P48" s="61"/>
      <c r="Q48" s="63">
        <f>Q42+G48-K48+M48-O48</f>
        <v>71</v>
      </c>
      <c r="R48" s="64">
        <f>R42+H48-L48+N48-O48*VLOOKUP(F48,$X$2:$Y$7,2,FALSE())</f>
        <v>1065</v>
      </c>
      <c r="S48" s="65"/>
    </row>
    <row r="49" spans="1:19" ht="15" customHeight="1" x14ac:dyDescent="0.2">
      <c r="A49" s="39"/>
      <c r="B49" s="25"/>
      <c r="C49" s="25"/>
      <c r="D49" s="25"/>
      <c r="E49" s="26"/>
      <c r="F49" s="27" t="s">
        <v>4</v>
      </c>
      <c r="G49" s="44">
        <v>0</v>
      </c>
      <c r="H49" s="29">
        <f>G49*VLOOKUP(F49,$X$2:$Y$7,2,FALSE())</f>
        <v>0</v>
      </c>
      <c r="I49" s="66"/>
      <c r="J49" s="89"/>
      <c r="K49" s="47">
        <v>0</v>
      </c>
      <c r="L49" s="45">
        <f>K49*VLOOKUP(F49,$X$2:$Y$7,2,FALSE())</f>
        <v>0</v>
      </c>
      <c r="M49" s="34"/>
      <c r="N49" s="35"/>
      <c r="O49" s="34"/>
      <c r="P49" s="34"/>
      <c r="Q49" s="36">
        <f>Q43+G49-K49+M49-O49</f>
        <v>4</v>
      </c>
      <c r="R49" s="37">
        <f>R43+H49-L49+N49-O49*VLOOKUP(F49,$X$2:$Y$7,2,FALSE())</f>
        <v>72</v>
      </c>
      <c r="S49" s="38"/>
    </row>
    <row r="50" spans="1:19" ht="15.75" customHeight="1" x14ac:dyDescent="0.2">
      <c r="A50" s="39"/>
      <c r="B50" s="25"/>
      <c r="C50" s="25"/>
      <c r="D50" s="25"/>
      <c r="E50" s="26"/>
      <c r="F50" s="27" t="s">
        <v>8</v>
      </c>
      <c r="G50" s="44">
        <v>0</v>
      </c>
      <c r="H50" s="29">
        <f>G50*VLOOKUP(F50,$X$2:$Y$7,2,FALSE())</f>
        <v>0</v>
      </c>
      <c r="I50" s="66"/>
      <c r="J50" s="89"/>
      <c r="K50" s="47">
        <v>0</v>
      </c>
      <c r="L50" s="45">
        <f>K50*VLOOKUP(F50,$X$2:$Y$7,2,FALSE())</f>
        <v>0</v>
      </c>
      <c r="M50" s="34"/>
      <c r="N50" s="35"/>
      <c r="O50" s="34"/>
      <c r="P50" s="34"/>
      <c r="Q50" s="36">
        <f>Q44+G50-K50+M50-O50</f>
        <v>9</v>
      </c>
      <c r="R50" s="37">
        <f>R44+H50-L50+N50-O50*VLOOKUP(F50,$X$2:$Y$7,2,FALSE())</f>
        <v>153</v>
      </c>
      <c r="S50" s="38"/>
    </row>
    <row r="51" spans="1:19" ht="15" customHeight="1" x14ac:dyDescent="0.2">
      <c r="A51" s="67"/>
      <c r="B51" s="25"/>
      <c r="C51" s="25"/>
      <c r="D51" s="25"/>
      <c r="E51" s="26"/>
      <c r="F51" s="27" t="s">
        <v>28</v>
      </c>
      <c r="G51" s="44">
        <v>18</v>
      </c>
      <c r="H51" s="29">
        <f>G51*VLOOKUP(F51,$X$2:$Y$7,2,FALSE())</f>
        <v>306</v>
      </c>
      <c r="I51" s="68"/>
      <c r="J51" s="69"/>
      <c r="K51" s="47">
        <v>0</v>
      </c>
      <c r="L51" s="45">
        <f>K51*VLOOKUP(F51,$X$2:$Y$7,2,FALSE())</f>
        <v>0</v>
      </c>
      <c r="M51" s="34"/>
      <c r="N51" s="35"/>
      <c r="O51" s="34"/>
      <c r="P51" s="34"/>
      <c r="Q51" s="36">
        <f>Q45+G51-K51+M51-O51</f>
        <v>114</v>
      </c>
      <c r="R51" s="37">
        <f>R45+H51-L51+N51-O51*VLOOKUP(F51,$X$2:$Y$7,2,FALSE())</f>
        <v>1938</v>
      </c>
      <c r="S51" s="38"/>
    </row>
    <row r="52" spans="1:19" ht="15" customHeight="1" x14ac:dyDescent="0.2">
      <c r="A52" s="39"/>
      <c r="B52" s="25"/>
      <c r="C52" s="25"/>
      <c r="D52" s="25"/>
      <c r="E52" s="26"/>
      <c r="F52" s="27" t="s">
        <v>31</v>
      </c>
      <c r="G52" s="44">
        <v>1</v>
      </c>
      <c r="H52" s="29">
        <f>G52*VLOOKUP(F52,$X$2:$Y$7,2,FALSE())</f>
        <v>95</v>
      </c>
      <c r="I52" s="66"/>
      <c r="J52" s="69"/>
      <c r="K52" s="47">
        <v>0</v>
      </c>
      <c r="L52" s="45">
        <f>K52*VLOOKUP(F52,$X$2:$Y$7,2,FALSE())</f>
        <v>0</v>
      </c>
      <c r="M52" s="34"/>
      <c r="N52" s="35"/>
      <c r="O52" s="34"/>
      <c r="P52" s="34"/>
      <c r="Q52" s="36">
        <f>Q46+G52-K52+M52-O52</f>
        <v>5</v>
      </c>
      <c r="R52" s="37">
        <f>R46+H52-L52+N52-O52*VLOOKUP(F52,$X$2:$Y$7,2,FALSE())</f>
        <v>475</v>
      </c>
      <c r="S52" s="38"/>
    </row>
    <row r="53" spans="1:19" ht="15" customHeight="1" x14ac:dyDescent="0.2">
      <c r="A53" s="70"/>
      <c r="B53" s="71"/>
      <c r="C53" s="71"/>
      <c r="D53" s="72"/>
      <c r="E53" s="73"/>
      <c r="F53" s="74" t="s">
        <v>32</v>
      </c>
      <c r="G53" s="75"/>
      <c r="H53" s="76"/>
      <c r="I53" s="77"/>
      <c r="J53" s="78"/>
      <c r="K53" s="79"/>
      <c r="L53" s="80"/>
      <c r="M53" s="81"/>
      <c r="N53" s="82"/>
      <c r="O53" s="81"/>
      <c r="P53" s="81"/>
      <c r="Q53" s="83"/>
      <c r="R53" s="84"/>
      <c r="S53" s="85"/>
    </row>
    <row r="54" spans="1:19" ht="15" customHeight="1" x14ac:dyDescent="0.2">
      <c r="A54" s="24" t="s">
        <v>41</v>
      </c>
      <c r="B54" s="41">
        <v>0</v>
      </c>
      <c r="C54" s="25"/>
      <c r="D54" s="42">
        <f>B54*C54</f>
        <v>0</v>
      </c>
      <c r="E54" s="26"/>
      <c r="F54" s="27" t="s">
        <v>3</v>
      </c>
      <c r="G54" s="44">
        <v>0</v>
      </c>
      <c r="H54" s="29">
        <f>G54*VLOOKUP(F54,$X$2:$Y$7,2,FALSE())</f>
        <v>0</v>
      </c>
      <c r="I54" s="86" t="s">
        <v>41</v>
      </c>
      <c r="J54" s="46">
        <v>2996</v>
      </c>
      <c r="K54" s="47">
        <v>67</v>
      </c>
      <c r="L54" s="45">
        <f>K54*VLOOKUP(F54,$X$2:$Y$7,2,FALSE())</f>
        <v>1005</v>
      </c>
      <c r="M54" s="34"/>
      <c r="N54" s="35"/>
      <c r="O54" s="48">
        <v>1</v>
      </c>
      <c r="P54" s="34"/>
      <c r="Q54" s="36">
        <f>Q48+G54-K54+M54-O54</f>
        <v>3</v>
      </c>
      <c r="R54" s="37">
        <f>R48+H54-L54+N54-O54*VLOOKUP(F54,$X$2:$Y$7,2,FALSE())</f>
        <v>45</v>
      </c>
      <c r="S54" s="38"/>
    </row>
    <row r="55" spans="1:19" ht="15.75" customHeight="1" x14ac:dyDescent="0.2">
      <c r="A55" s="39"/>
      <c r="B55" s="25"/>
      <c r="C55" s="25"/>
      <c r="D55" s="25"/>
      <c r="E55" s="26"/>
      <c r="F55" s="27" t="s">
        <v>4</v>
      </c>
      <c r="G55" s="44">
        <v>0</v>
      </c>
      <c r="H55" s="29">
        <f>G55*VLOOKUP(F55,$X$2:$Y$7,2,FALSE())</f>
        <v>0</v>
      </c>
      <c r="I55" s="66"/>
      <c r="J55" s="46">
        <v>2996</v>
      </c>
      <c r="K55" s="47">
        <v>4</v>
      </c>
      <c r="L55" s="45">
        <f>K55*VLOOKUP(F55,$X$2:$Y$7,2,FALSE())</f>
        <v>72</v>
      </c>
      <c r="M55" s="34"/>
      <c r="N55" s="35"/>
      <c r="O55" s="34"/>
      <c r="P55" s="34"/>
      <c r="Q55" s="36">
        <f>Q49+G55-K55+M55-O55</f>
        <v>0</v>
      </c>
      <c r="R55" s="37">
        <f>R49+H55-L55+N55-O55*VLOOKUP(F55,$X$2:$Y$7,2,FALSE())</f>
        <v>0</v>
      </c>
      <c r="S55" s="38"/>
    </row>
    <row r="56" spans="1:19" ht="15" customHeight="1" x14ac:dyDescent="0.2">
      <c r="A56" s="67"/>
      <c r="B56" s="25"/>
      <c r="C56" s="25"/>
      <c r="D56" s="25"/>
      <c r="E56" s="26"/>
      <c r="F56" s="27" t="s">
        <v>8</v>
      </c>
      <c r="G56" s="44">
        <v>0</v>
      </c>
      <c r="H56" s="29">
        <f>G56*VLOOKUP(F56,$X$2:$Y$7,2,FALSE())</f>
        <v>0</v>
      </c>
      <c r="I56" s="68"/>
      <c r="J56" s="46">
        <v>2996</v>
      </c>
      <c r="K56" s="47">
        <v>9</v>
      </c>
      <c r="L56" s="45">
        <f>K56*VLOOKUP(F56,$X$2:$Y$7,2,FALSE())</f>
        <v>153</v>
      </c>
      <c r="M56" s="34"/>
      <c r="N56" s="35"/>
      <c r="O56" s="34"/>
      <c r="P56" s="34"/>
      <c r="Q56" s="36">
        <f>Q50+G56-K56+M56-O56</f>
        <v>0</v>
      </c>
      <c r="R56" s="37">
        <f>R50+H56-L56+N56-O56*VLOOKUP(F56,$X$2:$Y$7,2,FALSE())</f>
        <v>0</v>
      </c>
      <c r="S56" s="38"/>
    </row>
    <row r="57" spans="1:19" ht="15" customHeight="1" x14ac:dyDescent="0.2">
      <c r="A57" s="39"/>
      <c r="B57" s="25"/>
      <c r="C57" s="25"/>
      <c r="D57" s="25"/>
      <c r="E57" s="26"/>
      <c r="F57" s="27" t="s">
        <v>28</v>
      </c>
      <c r="G57" s="44">
        <v>0</v>
      </c>
      <c r="H57" s="29">
        <f>G57*VLOOKUP(F57,$X$2:$Y$7,2,FALSE())</f>
        <v>0</v>
      </c>
      <c r="I57" s="90"/>
      <c r="J57" s="46">
        <v>2996</v>
      </c>
      <c r="K57" s="47">
        <v>114</v>
      </c>
      <c r="L57" s="45">
        <f>K57*VLOOKUP(F57,$X$2:$Y$7,2,FALSE())</f>
        <v>1938</v>
      </c>
      <c r="M57" s="34"/>
      <c r="N57" s="35"/>
      <c r="O57" s="34"/>
      <c r="P57" s="34"/>
      <c r="Q57" s="36">
        <f>Q51+G57-K57+M57-O57</f>
        <v>0</v>
      </c>
      <c r="R57" s="37">
        <f>R51+H57-L57+N57-O57*VLOOKUP(F57,$X$2:$Y$7,2,FALSE())</f>
        <v>0</v>
      </c>
      <c r="S57" s="38"/>
    </row>
    <row r="58" spans="1:19" ht="15" customHeight="1" x14ac:dyDescent="0.2">
      <c r="A58" s="39"/>
      <c r="B58" s="25"/>
      <c r="C58" s="25"/>
      <c r="D58" s="25"/>
      <c r="E58" s="26"/>
      <c r="F58" s="27" t="s">
        <v>31</v>
      </c>
      <c r="G58" s="44">
        <v>0</v>
      </c>
      <c r="H58" s="29">
        <f>G58*VLOOKUP(F58,$X$2:$Y$7,2,FALSE())</f>
        <v>0</v>
      </c>
      <c r="I58" s="66"/>
      <c r="J58" s="69"/>
      <c r="K58" s="47">
        <v>0</v>
      </c>
      <c r="L58" s="45">
        <f>K58*VLOOKUP(F58,$X$2:$Y$7,2,FALSE())</f>
        <v>0</v>
      </c>
      <c r="M58" s="34"/>
      <c r="N58" s="35"/>
      <c r="O58" s="34"/>
      <c r="P58" s="34"/>
      <c r="Q58" s="36">
        <f>Q52+G58-K58+M58-O58</f>
        <v>5</v>
      </c>
      <c r="R58" s="37">
        <f>R52+H58-L58+N58-O58*VLOOKUP(F58,$X$2:$Y$7,2,FALSE())</f>
        <v>475</v>
      </c>
      <c r="S58" s="38"/>
    </row>
    <row r="59" spans="1:19" ht="15" customHeight="1" x14ac:dyDescent="0.2">
      <c r="A59" s="24"/>
      <c r="B59" s="41"/>
      <c r="C59" s="41"/>
      <c r="D59" s="42"/>
      <c r="E59" s="43"/>
      <c r="F59" s="27" t="s">
        <v>32</v>
      </c>
      <c r="G59" s="44"/>
      <c r="H59" s="29"/>
      <c r="I59" s="86"/>
      <c r="J59" s="46"/>
      <c r="K59" s="47"/>
      <c r="L59" s="45"/>
      <c r="M59" s="48"/>
      <c r="N59" s="49"/>
      <c r="O59" s="48"/>
      <c r="P59" s="48"/>
      <c r="Q59" s="36"/>
      <c r="R59" s="37"/>
      <c r="S59" s="38"/>
    </row>
    <row r="60" spans="1:19" ht="15.75" customHeight="1" x14ac:dyDescent="0.2">
      <c r="A60" s="50" t="s">
        <v>42</v>
      </c>
      <c r="B60" s="51">
        <v>50</v>
      </c>
      <c r="C60" s="51">
        <v>95</v>
      </c>
      <c r="D60" s="52">
        <f>B60*C60</f>
        <v>4750</v>
      </c>
      <c r="E60" s="53"/>
      <c r="F60" s="54" t="s">
        <v>3</v>
      </c>
      <c r="G60" s="55">
        <v>107</v>
      </c>
      <c r="H60" s="56">
        <f>G60*VLOOKUP(F60,$X$2:$Y$7,2,FALSE())</f>
        <v>1605</v>
      </c>
      <c r="I60" s="57" t="s">
        <v>42</v>
      </c>
      <c r="J60" s="58">
        <v>2998</v>
      </c>
      <c r="K60" s="59">
        <v>67</v>
      </c>
      <c r="L60" s="60">
        <f>K60*VLOOKUP(F60,$X$2:$Y$7,2,FALSE())</f>
        <v>1005</v>
      </c>
      <c r="M60" s="61"/>
      <c r="N60" s="62"/>
      <c r="O60" s="61"/>
      <c r="P60" s="61"/>
      <c r="Q60" s="63">
        <f>Q54+G60-K60+M60-O60</f>
        <v>43</v>
      </c>
      <c r="R60" s="64">
        <f>R54+H60-L60+N60-O60*VLOOKUP(F60,$X$2:$Y$7,2,FALSE())</f>
        <v>645</v>
      </c>
      <c r="S60" s="65"/>
    </row>
    <row r="61" spans="1:19" ht="15" customHeight="1" x14ac:dyDescent="0.2">
      <c r="A61" s="67"/>
      <c r="B61" s="25"/>
      <c r="C61" s="25"/>
      <c r="D61" s="25"/>
      <c r="E61" s="91"/>
      <c r="F61" s="27" t="s">
        <v>4</v>
      </c>
      <c r="G61" s="44">
        <v>11</v>
      </c>
      <c r="H61" s="29">
        <f>G61*VLOOKUP(F61,$X$2:$Y$7,2,FALSE())</f>
        <v>198</v>
      </c>
      <c r="I61" s="66"/>
      <c r="J61" s="58">
        <v>2998</v>
      </c>
      <c r="K61" s="47">
        <v>11</v>
      </c>
      <c r="L61" s="45">
        <f>K61*VLOOKUP(F61,$X$2:$Y$7,2,FALSE())</f>
        <v>198</v>
      </c>
      <c r="M61" s="34"/>
      <c r="N61" s="35"/>
      <c r="O61" s="34"/>
      <c r="P61" s="34"/>
      <c r="Q61" s="36">
        <f>Q55+G61-K61+M61-O61</f>
        <v>0</v>
      </c>
      <c r="R61" s="37">
        <f>R55+H61-L61+N61-O61*VLOOKUP(F61,$X$2:$Y$7,2,FALSE())</f>
        <v>0</v>
      </c>
      <c r="S61" s="38"/>
    </row>
    <row r="62" spans="1:19" ht="15" customHeight="1" x14ac:dyDescent="0.2">
      <c r="A62" s="39"/>
      <c r="B62" s="25"/>
      <c r="C62" s="25"/>
      <c r="D62" s="25"/>
      <c r="E62" s="26"/>
      <c r="F62" s="27" t="s">
        <v>8</v>
      </c>
      <c r="G62" s="44">
        <v>12</v>
      </c>
      <c r="H62" s="29">
        <f>G62*VLOOKUP(F62,$X$2:$Y$7,2,FALSE())</f>
        <v>204</v>
      </c>
      <c r="I62" s="66"/>
      <c r="J62" s="58">
        <v>2998</v>
      </c>
      <c r="K62" s="47">
        <v>12</v>
      </c>
      <c r="L62" s="45">
        <f>K62*VLOOKUP(F62,$X$2:$Y$7,2,FALSE())</f>
        <v>204</v>
      </c>
      <c r="M62" s="34"/>
      <c r="N62" s="35"/>
      <c r="O62" s="34"/>
      <c r="P62" s="34"/>
      <c r="Q62" s="36">
        <f>Q56+G62-K62+M62-O62</f>
        <v>0</v>
      </c>
      <c r="R62" s="37">
        <f>R56+H62-L62+N62-O62*VLOOKUP(F62,$X$2:$Y$7,2,FALSE())</f>
        <v>0</v>
      </c>
      <c r="S62" s="38"/>
    </row>
    <row r="63" spans="1:19" ht="15" customHeight="1" x14ac:dyDescent="0.2">
      <c r="A63" s="39"/>
      <c r="B63" s="25"/>
      <c r="C63" s="25"/>
      <c r="D63" s="25"/>
      <c r="E63" s="26"/>
      <c r="F63" s="27" t="s">
        <v>28</v>
      </c>
      <c r="G63" s="44">
        <v>88</v>
      </c>
      <c r="H63" s="29">
        <f>G63*VLOOKUP(F63,$X$2:$Y$7,2,FALSE())</f>
        <v>1496</v>
      </c>
      <c r="I63" s="66"/>
      <c r="J63" s="58">
        <v>2998</v>
      </c>
      <c r="K63" s="47">
        <v>28</v>
      </c>
      <c r="L63" s="45">
        <f>K63*VLOOKUP(F63,$X$2:$Y$7,2,FALSE())</f>
        <v>476</v>
      </c>
      <c r="M63" s="34"/>
      <c r="N63" s="35"/>
      <c r="O63" s="34"/>
      <c r="P63" s="34"/>
      <c r="Q63" s="36">
        <f>Q57+G63-K63+M63-O63</f>
        <v>60</v>
      </c>
      <c r="R63" s="37">
        <f>R57+H63-L63+N63-O63*VLOOKUP(F63,$X$2:$Y$7,2,FALSE())</f>
        <v>1020</v>
      </c>
      <c r="S63" s="38"/>
    </row>
    <row r="64" spans="1:19" ht="15" customHeight="1" x14ac:dyDescent="0.2">
      <c r="A64" s="39"/>
      <c r="B64" s="25"/>
      <c r="C64" s="25"/>
      <c r="D64" s="25"/>
      <c r="E64" s="26"/>
      <c r="F64" s="27" t="s">
        <v>31</v>
      </c>
      <c r="G64" s="44">
        <v>13.5</v>
      </c>
      <c r="H64" s="29">
        <f>G64*VLOOKUP(F64,$X$2:$Y$7,2,FALSE())</f>
        <v>1282.5</v>
      </c>
      <c r="I64" s="66"/>
      <c r="J64" s="89"/>
      <c r="K64" s="47">
        <v>0</v>
      </c>
      <c r="L64" s="45">
        <f>K64*VLOOKUP(F64,$X$2:$Y$7,2,FALSE())</f>
        <v>0</v>
      </c>
      <c r="M64" s="34"/>
      <c r="N64" s="35"/>
      <c r="O64" s="34"/>
      <c r="P64" s="34"/>
      <c r="Q64" s="36">
        <f>Q58+G64-K64+M64-O64</f>
        <v>18.5</v>
      </c>
      <c r="R64" s="37">
        <f>R58+H64-L64+N64-O64*VLOOKUP(F64,$X$2:$Y$7,2,FALSE())</f>
        <v>1757.5</v>
      </c>
      <c r="S64" s="38"/>
    </row>
    <row r="65" spans="1:19" ht="15.75" customHeight="1" x14ac:dyDescent="0.2">
      <c r="A65" s="70"/>
      <c r="B65" s="71"/>
      <c r="C65" s="71"/>
      <c r="D65" s="72"/>
      <c r="E65" s="73"/>
      <c r="F65" s="74" t="s">
        <v>32</v>
      </c>
      <c r="G65" s="75"/>
      <c r="H65" s="76"/>
      <c r="I65" s="77"/>
      <c r="J65" s="78"/>
      <c r="K65" s="79"/>
      <c r="L65" s="80"/>
      <c r="M65" s="81"/>
      <c r="N65" s="82"/>
      <c r="O65" s="81"/>
      <c r="P65" s="81"/>
      <c r="Q65" s="83"/>
      <c r="R65" s="84"/>
      <c r="S65" s="85"/>
    </row>
    <row r="66" spans="1:19" ht="15" customHeight="1" x14ac:dyDescent="0.2">
      <c r="A66" s="24" t="s">
        <v>43</v>
      </c>
      <c r="B66" s="41">
        <v>48</v>
      </c>
      <c r="C66" s="41">
        <v>95</v>
      </c>
      <c r="D66" s="42">
        <f>B66*C66</f>
        <v>4560</v>
      </c>
      <c r="E66" s="26"/>
      <c r="F66" s="27" t="s">
        <v>3</v>
      </c>
      <c r="G66" s="44">
        <v>68</v>
      </c>
      <c r="H66" s="29">
        <f>G66*VLOOKUP(F66,$X$2:$Y$7,2,FALSE())</f>
        <v>1020</v>
      </c>
      <c r="I66" s="86" t="s">
        <v>43</v>
      </c>
      <c r="J66" s="46">
        <v>3001</v>
      </c>
      <c r="K66" s="47">
        <v>67</v>
      </c>
      <c r="L66" s="45">
        <f>K66*VLOOKUP(F66,$X$2:$Y$7,2,FALSE())</f>
        <v>1005</v>
      </c>
      <c r="M66" s="34"/>
      <c r="N66" s="35"/>
      <c r="O66" s="34"/>
      <c r="P66" s="34"/>
      <c r="Q66" s="36">
        <f>Q60+G66-K66+M66-O66</f>
        <v>44</v>
      </c>
      <c r="R66" s="37">
        <f>R60+H66-L66+N66-O66*VLOOKUP(F66,$X$2:$Y$7,2,FALSE())</f>
        <v>660</v>
      </c>
      <c r="S66" s="38"/>
    </row>
    <row r="67" spans="1:19" ht="15" customHeight="1" x14ac:dyDescent="0.2">
      <c r="A67" s="39"/>
      <c r="B67" s="25"/>
      <c r="C67" s="25"/>
      <c r="D67" s="25"/>
      <c r="E67" s="26"/>
      <c r="F67" s="27" t="s">
        <v>4</v>
      </c>
      <c r="G67" s="44">
        <v>23</v>
      </c>
      <c r="H67" s="29">
        <f>G67*VLOOKUP(F67,$X$2:$Y$7,2,FALSE())</f>
        <v>414</v>
      </c>
      <c r="I67" s="66"/>
      <c r="J67" s="46">
        <v>3001</v>
      </c>
      <c r="K67" s="47">
        <v>11</v>
      </c>
      <c r="L67" s="45">
        <f>K67*VLOOKUP(F67,$X$2:$Y$7,2,FALSE())</f>
        <v>198</v>
      </c>
      <c r="M67" s="34"/>
      <c r="N67" s="35"/>
      <c r="O67" s="34"/>
      <c r="P67" s="34"/>
      <c r="Q67" s="36">
        <f>Q61+G67-K67+M67-O67</f>
        <v>12</v>
      </c>
      <c r="R67" s="37">
        <f>R61+H67-L67+N67-O67*VLOOKUP(F67,$X$2:$Y$7,2,FALSE())</f>
        <v>216</v>
      </c>
      <c r="S67" s="38"/>
    </row>
    <row r="68" spans="1:19" ht="15" customHeight="1" x14ac:dyDescent="0.2">
      <c r="A68" s="39"/>
      <c r="B68" s="25"/>
      <c r="C68" s="25"/>
      <c r="D68" s="25"/>
      <c r="E68" s="26"/>
      <c r="F68" s="27" t="s">
        <v>8</v>
      </c>
      <c r="G68" s="44">
        <v>23</v>
      </c>
      <c r="H68" s="29">
        <f>G68*VLOOKUP(F68,$X$2:$Y$7,2,FALSE())</f>
        <v>391</v>
      </c>
      <c r="I68" s="66"/>
      <c r="J68" s="46">
        <v>3001</v>
      </c>
      <c r="K68" s="47">
        <v>12</v>
      </c>
      <c r="L68" s="45">
        <f>K68*VLOOKUP(F68,$X$2:$Y$7,2,FALSE())</f>
        <v>204</v>
      </c>
      <c r="M68" s="34"/>
      <c r="N68" s="35"/>
      <c r="O68" s="34"/>
      <c r="P68" s="34"/>
      <c r="Q68" s="36">
        <f>Q62+G68-K68+M68-O68</f>
        <v>11</v>
      </c>
      <c r="R68" s="37">
        <f>R62+H68-L68+N68-O68*VLOOKUP(F68,$X$2:$Y$7,2,FALSE())</f>
        <v>187</v>
      </c>
      <c r="S68" s="38"/>
    </row>
    <row r="69" spans="1:19" ht="15" customHeight="1" x14ac:dyDescent="0.2">
      <c r="A69" s="39"/>
      <c r="B69" s="25"/>
      <c r="C69" s="25"/>
      <c r="D69" s="25"/>
      <c r="E69" s="26"/>
      <c r="F69" s="27" t="s">
        <v>28</v>
      </c>
      <c r="G69" s="44">
        <v>129</v>
      </c>
      <c r="H69" s="29">
        <f>G69*VLOOKUP(F69,$X$2:$Y$7,2,FALSE())</f>
        <v>2193</v>
      </c>
      <c r="I69" s="66"/>
      <c r="J69" s="46">
        <v>3001</v>
      </c>
      <c r="K69" s="47">
        <v>111</v>
      </c>
      <c r="L69" s="45">
        <f>K69*VLOOKUP(F69,$X$2:$Y$7,2,FALSE())</f>
        <v>1887</v>
      </c>
      <c r="M69" s="34"/>
      <c r="N69" s="35"/>
      <c r="O69" s="34"/>
      <c r="P69" s="34"/>
      <c r="Q69" s="36">
        <f>Q63+G69-K69+M69-O69</f>
        <v>78</v>
      </c>
      <c r="R69" s="37">
        <f>R63+H69-L69+N69-O69*VLOOKUP(F69,$X$2:$Y$7,2,FALSE())</f>
        <v>1326</v>
      </c>
      <c r="S69" s="38"/>
    </row>
    <row r="70" spans="1:19" ht="15" customHeight="1" x14ac:dyDescent="0.2">
      <c r="A70" s="39"/>
      <c r="B70" s="25"/>
      <c r="C70" s="25"/>
      <c r="D70" s="25"/>
      <c r="E70" s="26"/>
      <c r="F70" s="27" t="s">
        <v>31</v>
      </c>
      <c r="G70" s="44">
        <v>6.5</v>
      </c>
      <c r="H70" s="29">
        <f>G70*VLOOKUP(F70,$X$2:$Y$7,2,FALSE())</f>
        <v>617.5</v>
      </c>
      <c r="I70" s="66"/>
      <c r="J70" s="46" t="s">
        <v>44</v>
      </c>
      <c r="K70" s="47">
        <v>18</v>
      </c>
      <c r="L70" s="45">
        <f>K70*VLOOKUP(F70,$X$2:$Y$7,2,FALSE())</f>
        <v>1710</v>
      </c>
      <c r="M70" s="34"/>
      <c r="N70" s="35"/>
      <c r="O70" s="34"/>
      <c r="P70" s="34"/>
      <c r="Q70" s="36">
        <f>Q64+G70-K70+M70-O70</f>
        <v>7</v>
      </c>
      <c r="R70" s="37">
        <f>R64+H70-L70+N70-O70*VLOOKUP(F70,$X$2:$Y$7,2,FALSE())</f>
        <v>665</v>
      </c>
      <c r="S70" s="38"/>
    </row>
    <row r="71" spans="1:19" ht="15.75" customHeight="1" x14ac:dyDescent="0.2">
      <c r="A71" s="24"/>
      <c r="B71" s="41"/>
      <c r="C71" s="41"/>
      <c r="D71" s="42"/>
      <c r="E71" s="43"/>
      <c r="F71" s="27" t="s">
        <v>32</v>
      </c>
      <c r="G71" s="44"/>
      <c r="H71" s="29"/>
      <c r="I71" s="86"/>
      <c r="J71" s="46"/>
      <c r="K71" s="47"/>
      <c r="L71" s="45"/>
      <c r="M71" s="48"/>
      <c r="N71" s="49"/>
      <c r="O71" s="48"/>
      <c r="P71" s="48"/>
      <c r="Q71" s="36"/>
      <c r="R71" s="37"/>
      <c r="S71" s="38"/>
    </row>
    <row r="72" spans="1:19" ht="15" customHeight="1" x14ac:dyDescent="0.2">
      <c r="A72" s="50" t="s">
        <v>43</v>
      </c>
      <c r="B72" s="51">
        <v>22</v>
      </c>
      <c r="C72" s="51">
        <v>95</v>
      </c>
      <c r="D72" s="52">
        <f>B72*C72</f>
        <v>2090</v>
      </c>
      <c r="E72" s="92" t="s">
        <v>45</v>
      </c>
      <c r="F72" s="54" t="s">
        <v>3</v>
      </c>
      <c r="G72" s="55">
        <v>43</v>
      </c>
      <c r="H72" s="56">
        <f>G72*VLOOKUP(F72,$X$2:$Y$7,2,FALSE())</f>
        <v>645</v>
      </c>
      <c r="I72" s="93"/>
      <c r="J72" s="94"/>
      <c r="K72" s="95"/>
      <c r="L72" s="60">
        <f>K72*VLOOKUP(F72,$X$2:$Y$7,2,FALSE())</f>
        <v>0</v>
      </c>
      <c r="M72" s="61"/>
      <c r="N72" s="62"/>
      <c r="O72" s="61"/>
      <c r="P72" s="61"/>
      <c r="Q72" s="63">
        <f>Q66+G72-K72+M72-O72</f>
        <v>87</v>
      </c>
      <c r="R72" s="64">
        <f>R66+H72-L72+N72-O72*VLOOKUP(F72,$X$2:$Y$7,2,FALSE())</f>
        <v>1305</v>
      </c>
      <c r="S72" s="65"/>
    </row>
    <row r="73" spans="1:19" ht="15" customHeight="1" x14ac:dyDescent="0.2">
      <c r="A73" s="39"/>
      <c r="B73" s="25"/>
      <c r="C73" s="25"/>
      <c r="D73" s="25"/>
      <c r="E73" s="26"/>
      <c r="F73" s="27" t="s">
        <v>4</v>
      </c>
      <c r="G73" s="44">
        <v>0</v>
      </c>
      <c r="H73" s="29">
        <f>G73*VLOOKUP(F73,$X$2:$Y$7,2,FALSE())</f>
        <v>0</v>
      </c>
      <c r="I73" s="66"/>
      <c r="J73" s="69"/>
      <c r="K73" s="96"/>
      <c r="L73" s="45">
        <f>K73*VLOOKUP(F73,$X$2:$Y$7,2,FALSE())</f>
        <v>0</v>
      </c>
      <c r="M73" s="34"/>
      <c r="N73" s="35"/>
      <c r="O73" s="48">
        <v>1</v>
      </c>
      <c r="P73" s="34"/>
      <c r="Q73" s="36">
        <f>Q67+G73-K73+M73-O73</f>
        <v>11</v>
      </c>
      <c r="R73" s="37">
        <f>R67+H73-L73+N73-O73*VLOOKUP(F73,$X$2:$Y$7,2,FALSE())</f>
        <v>198</v>
      </c>
      <c r="S73" s="38"/>
    </row>
    <row r="74" spans="1:19" ht="15" customHeight="1" x14ac:dyDescent="0.2">
      <c r="A74" s="39"/>
      <c r="B74" s="25"/>
      <c r="C74" s="25"/>
      <c r="D74" s="25"/>
      <c r="E74" s="26"/>
      <c r="F74" s="27" t="s">
        <v>8</v>
      </c>
      <c r="G74" s="44">
        <v>0</v>
      </c>
      <c r="H74" s="29">
        <f>G74*VLOOKUP(F74,$X$2:$Y$7,2,FALSE())</f>
        <v>0</v>
      </c>
      <c r="I74" s="66"/>
      <c r="J74" s="69"/>
      <c r="K74" s="96"/>
      <c r="L74" s="45">
        <f>K74*VLOOKUP(F74,$X$2:$Y$7,2,FALSE())</f>
        <v>0</v>
      </c>
      <c r="M74" s="34"/>
      <c r="N74" s="35"/>
      <c r="O74" s="48">
        <v>1</v>
      </c>
      <c r="P74" s="34"/>
      <c r="Q74" s="36">
        <f>Q68+G74-K74+M74-O74</f>
        <v>10</v>
      </c>
      <c r="R74" s="37">
        <f>R68+H74-L74+N74-O74*VLOOKUP(F74,$X$2:$Y$7,2,FALSE())</f>
        <v>170</v>
      </c>
      <c r="S74" s="38"/>
    </row>
    <row r="75" spans="1:19" ht="15" customHeight="1" x14ac:dyDescent="0.2">
      <c r="A75" s="39"/>
      <c r="B75" s="25"/>
      <c r="C75" s="25"/>
      <c r="D75" s="25"/>
      <c r="E75" s="26"/>
      <c r="F75" s="27" t="s">
        <v>28</v>
      </c>
      <c r="G75" s="44">
        <v>72</v>
      </c>
      <c r="H75" s="29">
        <f>G75*VLOOKUP(F75,$X$2:$Y$7,2,FALSE())</f>
        <v>1224</v>
      </c>
      <c r="I75" s="66"/>
      <c r="J75" s="69"/>
      <c r="K75" s="96"/>
      <c r="L75" s="45">
        <f>K75*VLOOKUP(F75,$X$2:$Y$7,2,FALSE())</f>
        <v>0</v>
      </c>
      <c r="M75" s="34"/>
      <c r="N75" s="35"/>
      <c r="O75" s="34"/>
      <c r="P75" s="34"/>
      <c r="Q75" s="36">
        <f>Q69+G75-K75+M75-O75</f>
        <v>150</v>
      </c>
      <c r="R75" s="37">
        <f>R69+H75-L75+N75-O75*VLOOKUP(F75,$X$2:$Y$7,2,FALSE())</f>
        <v>2550</v>
      </c>
      <c r="S75" s="38"/>
    </row>
    <row r="76" spans="1:19" ht="15" customHeight="1" x14ac:dyDescent="0.2">
      <c r="A76" s="39"/>
      <c r="B76" s="25"/>
      <c r="C76" s="25"/>
      <c r="D76" s="25"/>
      <c r="E76" s="26"/>
      <c r="F76" s="27" t="s">
        <v>31</v>
      </c>
      <c r="G76" s="44">
        <v>3</v>
      </c>
      <c r="H76" s="29">
        <f>G76*VLOOKUP(F76,$X$2:$Y$7,2,FALSE())</f>
        <v>285</v>
      </c>
      <c r="I76" s="66"/>
      <c r="J76" s="69"/>
      <c r="K76" s="96"/>
      <c r="L76" s="45">
        <f>K76*VLOOKUP(F76,$X$2:$Y$7,2,FALSE())</f>
        <v>0</v>
      </c>
      <c r="M76" s="34"/>
      <c r="N76" s="35"/>
      <c r="O76" s="34"/>
      <c r="P76" s="34"/>
      <c r="Q76" s="97">
        <f>Q70+G76-K76+M76-O76</f>
        <v>10</v>
      </c>
      <c r="R76" s="37">
        <f>R70+H76-L76+N76-O76*VLOOKUP(F76,$X$2:$Y$7,2,FALSE())</f>
        <v>950</v>
      </c>
      <c r="S76" s="38"/>
    </row>
    <row r="77" spans="1:19" ht="15.75" customHeight="1" x14ac:dyDescent="0.2">
      <c r="A77" s="70"/>
      <c r="B77" s="71"/>
      <c r="C77" s="71"/>
      <c r="D77" s="72"/>
      <c r="E77" s="73"/>
      <c r="F77" s="74" t="s">
        <v>32</v>
      </c>
      <c r="G77" s="75"/>
      <c r="H77" s="76"/>
      <c r="I77" s="77"/>
      <c r="J77" s="78"/>
      <c r="K77" s="79"/>
      <c r="L77" s="80"/>
      <c r="M77" s="81"/>
      <c r="N77" s="82"/>
      <c r="O77" s="81"/>
      <c r="P77" s="81"/>
      <c r="Q77" s="83"/>
      <c r="R77" s="84"/>
      <c r="S77" s="85"/>
    </row>
    <row r="78" spans="1:19" ht="15" customHeight="1" x14ac:dyDescent="0.2">
      <c r="A78" s="24" t="s">
        <v>45</v>
      </c>
      <c r="B78" s="41">
        <v>70</v>
      </c>
      <c r="C78" s="41">
        <v>95</v>
      </c>
      <c r="D78" s="42">
        <f>B78*C78</f>
        <v>6650</v>
      </c>
      <c r="E78" s="92" t="s">
        <v>45</v>
      </c>
      <c r="F78" s="27" t="s">
        <v>3</v>
      </c>
      <c r="G78" s="44">
        <v>47</v>
      </c>
      <c r="H78" s="29">
        <f>G78*VLOOKUP(F78,$X$2:$Y$7,2,FALSE())</f>
        <v>705</v>
      </c>
      <c r="I78" s="86" t="s">
        <v>45</v>
      </c>
      <c r="J78" s="46">
        <v>3004</v>
      </c>
      <c r="K78" s="47">
        <v>67</v>
      </c>
      <c r="L78" s="45">
        <f>K78*VLOOKUP(F78,$X$2:$Y$7,2,FALSE())</f>
        <v>1005</v>
      </c>
      <c r="M78" s="98">
        <v>1</v>
      </c>
      <c r="N78" s="99">
        <v>7</v>
      </c>
      <c r="O78" s="34">
        <v>1</v>
      </c>
      <c r="P78" s="34"/>
      <c r="Q78" s="36">
        <f>Q72+G78-K78+M78-O78</f>
        <v>67</v>
      </c>
      <c r="R78" s="37">
        <f>R72+H78-L78+N78-O78*VLOOKUP(F78,$X$2:$Y$7,2,FALSE())</f>
        <v>997</v>
      </c>
      <c r="S78" s="38"/>
    </row>
    <row r="79" spans="1:19" ht="15" customHeight="1" x14ac:dyDescent="0.2">
      <c r="A79" s="39"/>
      <c r="B79" s="25"/>
      <c r="C79" s="25"/>
      <c r="D79" s="25"/>
      <c r="E79" s="26"/>
      <c r="F79" s="27" t="s">
        <v>4</v>
      </c>
      <c r="G79" s="44">
        <v>11</v>
      </c>
      <c r="H79" s="29">
        <f>G79*VLOOKUP(F79,$X$2:$Y$7,2,FALSE())</f>
        <v>198</v>
      </c>
      <c r="I79" s="66"/>
      <c r="J79" s="46">
        <v>3004</v>
      </c>
      <c r="K79" s="47">
        <v>11</v>
      </c>
      <c r="L79" s="45">
        <f>K79*VLOOKUP(F79,$X$2:$Y$7,2,FALSE())</f>
        <v>198</v>
      </c>
      <c r="M79" s="34"/>
      <c r="N79" s="100"/>
      <c r="O79" s="34"/>
      <c r="P79" s="34"/>
      <c r="Q79" s="36">
        <f>Q73+G79-K79+M79-O79</f>
        <v>11</v>
      </c>
      <c r="R79" s="37">
        <f>R73+H79-L79+N79-O79*VLOOKUP(F79,$X$2:$Y$7,2,FALSE())</f>
        <v>198</v>
      </c>
      <c r="S79" s="38"/>
    </row>
    <row r="80" spans="1:19" ht="15" customHeight="1" x14ac:dyDescent="0.2">
      <c r="A80" s="39"/>
      <c r="B80" s="25"/>
      <c r="C80" s="25"/>
      <c r="D80" s="25"/>
      <c r="E80" s="26"/>
      <c r="F80" s="27" t="s">
        <v>8</v>
      </c>
      <c r="G80" s="44">
        <v>12</v>
      </c>
      <c r="H80" s="29">
        <f>G80*VLOOKUP(F80,$X$2:$Y$7,2,FALSE())</f>
        <v>204</v>
      </c>
      <c r="I80" s="66"/>
      <c r="J80" s="46">
        <v>3004</v>
      </c>
      <c r="K80" s="47">
        <v>10</v>
      </c>
      <c r="L80" s="45">
        <f>K80*VLOOKUP(F80,$X$2:$Y$7,2,FALSE())</f>
        <v>170</v>
      </c>
      <c r="M80" s="34"/>
      <c r="N80" s="100"/>
      <c r="O80" s="34"/>
      <c r="P80" s="34"/>
      <c r="Q80" s="36">
        <f>Q74+G80-K80+M80-O80</f>
        <v>12</v>
      </c>
      <c r="R80" s="37">
        <f>R74+H80-L80+N80-O80*VLOOKUP(F80,$X$2:$Y$7,2,FALSE())</f>
        <v>204</v>
      </c>
      <c r="S80" s="38"/>
    </row>
    <row r="81" spans="1:19" ht="15" customHeight="1" x14ac:dyDescent="0.2">
      <c r="A81" s="39"/>
      <c r="B81" s="25"/>
      <c r="C81" s="25"/>
      <c r="D81" s="25"/>
      <c r="E81" s="26"/>
      <c r="F81" s="27" t="s">
        <v>28</v>
      </c>
      <c r="G81" s="44">
        <v>72</v>
      </c>
      <c r="H81" s="29">
        <f>G81*VLOOKUP(F81,$X$2:$Y$7,2,FALSE())</f>
        <v>1224</v>
      </c>
      <c r="I81" s="66"/>
      <c r="J81" s="46">
        <v>3004</v>
      </c>
      <c r="K81" s="47">
        <v>111</v>
      </c>
      <c r="L81" s="45">
        <f>K81*VLOOKUP(F81,$X$2:$Y$7,2,FALSE())</f>
        <v>1887</v>
      </c>
      <c r="M81" s="34">
        <v>1</v>
      </c>
      <c r="N81" s="49">
        <v>10</v>
      </c>
      <c r="O81" s="34">
        <v>1</v>
      </c>
      <c r="P81" s="34"/>
      <c r="Q81" s="36">
        <f>Q75+G81-K81+M81-O81</f>
        <v>111</v>
      </c>
      <c r="R81" s="37">
        <f>R75+H81-L81+N81-O81*VLOOKUP(F81,$X$2:$Y$7,2,FALSE())</f>
        <v>1880</v>
      </c>
      <c r="S81" s="38"/>
    </row>
    <row r="82" spans="1:19" ht="15.75" customHeight="1" x14ac:dyDescent="0.2">
      <c r="A82" s="39"/>
      <c r="B82" s="25"/>
      <c r="C82" s="25"/>
      <c r="D82" s="25"/>
      <c r="E82" s="26"/>
      <c r="F82" s="27" t="s">
        <v>31</v>
      </c>
      <c r="G82" s="44">
        <v>4</v>
      </c>
      <c r="H82" s="29">
        <f>G82*VLOOKUP(F82,$X$2:$Y$7,2,FALSE())</f>
        <v>380</v>
      </c>
      <c r="I82" s="66"/>
      <c r="J82" s="69"/>
      <c r="K82" s="96"/>
      <c r="L82" s="45">
        <f>K82*VLOOKUP(F82,$X$2:$Y$7,2,FALSE())</f>
        <v>0</v>
      </c>
      <c r="M82" s="34"/>
      <c r="N82" s="35"/>
      <c r="O82" s="34"/>
      <c r="P82" s="34"/>
      <c r="Q82" s="97">
        <f>Q76+G82-K82+M82-O82</f>
        <v>14</v>
      </c>
      <c r="R82" s="37">
        <f>R76+H82-L82+N82-O82*VLOOKUP(F82,$X$2:$Y$7,2,FALSE())</f>
        <v>1330</v>
      </c>
      <c r="S82" s="38"/>
    </row>
    <row r="83" spans="1:19" ht="15" customHeight="1" x14ac:dyDescent="0.2">
      <c r="A83" s="24"/>
      <c r="B83" s="41"/>
      <c r="C83" s="41"/>
      <c r="D83" s="42"/>
      <c r="E83" s="43"/>
      <c r="F83" s="27" t="s">
        <v>32</v>
      </c>
      <c r="G83" s="44"/>
      <c r="H83" s="29"/>
      <c r="I83" s="86"/>
      <c r="J83" s="46"/>
      <c r="K83" s="47"/>
      <c r="L83" s="45"/>
      <c r="M83" s="48"/>
      <c r="N83" s="49"/>
      <c r="O83" s="48"/>
      <c r="P83" s="48"/>
      <c r="Q83" s="36"/>
      <c r="R83" s="37"/>
      <c r="S83" s="38"/>
    </row>
    <row r="84" spans="1:19" ht="15" customHeight="1" x14ac:dyDescent="0.2">
      <c r="A84" s="50" t="s">
        <v>46</v>
      </c>
      <c r="B84" s="101"/>
      <c r="C84" s="101"/>
      <c r="D84" s="101"/>
      <c r="E84" s="53"/>
      <c r="F84" s="54" t="s">
        <v>3</v>
      </c>
      <c r="G84" s="55">
        <v>64</v>
      </c>
      <c r="H84" s="56">
        <f>G84*VLOOKUP(F84,$X$2:$Y$7,2,FALSE())</f>
        <v>960</v>
      </c>
      <c r="I84" s="57" t="s">
        <v>46</v>
      </c>
      <c r="J84" s="58">
        <v>3006</v>
      </c>
      <c r="K84" s="59">
        <v>67</v>
      </c>
      <c r="L84" s="60">
        <f>K84*VLOOKUP(F84,$X$2:$Y$7,2,FALSE())</f>
        <v>1005</v>
      </c>
      <c r="M84" s="98">
        <v>1</v>
      </c>
      <c r="N84" s="99">
        <v>9</v>
      </c>
      <c r="O84" s="99">
        <v>1</v>
      </c>
      <c r="P84" s="99"/>
      <c r="Q84" s="63">
        <f>Q78+G84-K84+M84-O84</f>
        <v>64</v>
      </c>
      <c r="R84" s="64">
        <f>R78+H84-L84+N84-O84*VLOOKUP(F84,$X$2:$Y$7,2,FALSE())</f>
        <v>946</v>
      </c>
      <c r="S84" s="65"/>
    </row>
    <row r="85" spans="1:19" ht="15" customHeight="1" x14ac:dyDescent="0.2">
      <c r="A85" s="39"/>
      <c r="B85" s="25"/>
      <c r="C85" s="25"/>
      <c r="D85" s="25"/>
      <c r="E85" s="26"/>
      <c r="F85" s="27" t="s">
        <v>4</v>
      </c>
      <c r="G85" s="44">
        <v>11</v>
      </c>
      <c r="H85" s="29">
        <f>G85*VLOOKUP(F85,$X$2:$Y$7,2,FALSE())</f>
        <v>198</v>
      </c>
      <c r="I85" s="66"/>
      <c r="J85" s="46">
        <v>3006</v>
      </c>
      <c r="K85" s="47">
        <v>11</v>
      </c>
      <c r="L85" s="45">
        <f>K85*VLOOKUP(F85,$X$2:$Y$7,2,FALSE())</f>
        <v>198</v>
      </c>
      <c r="M85" s="34"/>
      <c r="N85" s="49"/>
      <c r="O85" s="49"/>
      <c r="P85" s="49"/>
      <c r="Q85" s="36">
        <f>Q79+G85-K85+M85-O85</f>
        <v>11</v>
      </c>
      <c r="R85" s="37">
        <f>R79+H85-L85+N85-O85*VLOOKUP(F85,$X$2:$Y$7,2,FALSE())</f>
        <v>198</v>
      </c>
      <c r="S85" s="38"/>
    </row>
    <row r="86" spans="1:19" ht="15" customHeight="1" x14ac:dyDescent="0.2">
      <c r="A86" s="39"/>
      <c r="B86" s="25"/>
      <c r="C86" s="25"/>
      <c r="D86" s="25"/>
      <c r="E86" s="26"/>
      <c r="F86" s="27" t="s">
        <v>8</v>
      </c>
      <c r="G86" s="44">
        <v>12</v>
      </c>
      <c r="H86" s="29">
        <f>G86*VLOOKUP(F86,$X$2:$Y$7,2,FALSE())</f>
        <v>204</v>
      </c>
      <c r="I86" s="66"/>
      <c r="J86" s="46">
        <v>3006</v>
      </c>
      <c r="K86" s="47">
        <v>12</v>
      </c>
      <c r="L86" s="45">
        <f>K86*VLOOKUP(F86,$X$2:$Y$7,2,FALSE())</f>
        <v>204</v>
      </c>
      <c r="M86" s="34"/>
      <c r="N86" s="49"/>
      <c r="O86" s="49"/>
      <c r="P86" s="49"/>
      <c r="Q86" s="36">
        <f>Q80+G86-K86+M86-O86</f>
        <v>12</v>
      </c>
      <c r="R86" s="37">
        <f>R80+H86-L86+N86-O86*VLOOKUP(F86,$X$2:$Y$7,2,FALSE())</f>
        <v>204</v>
      </c>
      <c r="S86" s="38"/>
    </row>
    <row r="87" spans="1:19" ht="15" customHeight="1" x14ac:dyDescent="0.2">
      <c r="A87" s="39"/>
      <c r="B87" s="25"/>
      <c r="C87" s="25"/>
      <c r="D87" s="25"/>
      <c r="E87" s="26"/>
      <c r="F87" s="27" t="s">
        <v>28</v>
      </c>
      <c r="G87" s="44">
        <v>111</v>
      </c>
      <c r="H87" s="29">
        <f>G87*VLOOKUP(F87,$X$2:$Y$7,2,FALSE())</f>
        <v>1887</v>
      </c>
      <c r="I87" s="66"/>
      <c r="J87" s="46">
        <v>3006</v>
      </c>
      <c r="K87" s="47">
        <v>111</v>
      </c>
      <c r="L87" s="45">
        <f>K87*VLOOKUP(F87,$X$2:$Y$7,2,FALSE())</f>
        <v>1887</v>
      </c>
      <c r="M87" s="48">
        <v>9</v>
      </c>
      <c r="N87" s="49">
        <v>153</v>
      </c>
      <c r="O87" s="49"/>
      <c r="P87" s="49"/>
      <c r="Q87" s="36">
        <f>Q81+G87-K87+M87-O87</f>
        <v>120</v>
      </c>
      <c r="R87" s="37">
        <f>R81+H87-L87+N87-O87*VLOOKUP(F87,$X$2:$Y$7,2,FALSE())</f>
        <v>2033</v>
      </c>
      <c r="S87" s="38"/>
    </row>
    <row r="88" spans="1:19" ht="15.75" customHeight="1" x14ac:dyDescent="0.2">
      <c r="A88" s="39"/>
      <c r="B88" s="25"/>
      <c r="C88" s="25"/>
      <c r="D88" s="25"/>
      <c r="E88" s="26"/>
      <c r="F88" s="27" t="s">
        <v>31</v>
      </c>
      <c r="G88" s="44">
        <v>8</v>
      </c>
      <c r="H88" s="29">
        <f>G88*VLOOKUP(F88,$X$2:$Y$7,2,FALSE())</f>
        <v>760</v>
      </c>
      <c r="I88" s="66"/>
      <c r="J88" s="102" t="s">
        <v>47</v>
      </c>
      <c r="K88" s="103">
        <v>10</v>
      </c>
      <c r="L88" s="104">
        <f>K88*VLOOKUP(F88,$X$2:$Y$7,2,FALSE())</f>
        <v>950</v>
      </c>
      <c r="M88" s="34"/>
      <c r="N88" s="49"/>
      <c r="O88" s="49"/>
      <c r="P88" s="49"/>
      <c r="Q88" s="36">
        <f>Q82+G88-K88+M88-O88</f>
        <v>12</v>
      </c>
      <c r="R88" s="37">
        <f>R82+H88-L88+N88-O88*VLOOKUP(F88,$X$2:$Y$7,2,FALSE())</f>
        <v>1140</v>
      </c>
      <c r="S88" s="38" t="s">
        <v>48</v>
      </c>
    </row>
    <row r="89" spans="1:19" ht="15" customHeight="1" x14ac:dyDescent="0.2">
      <c r="A89" s="70"/>
      <c r="B89" s="71"/>
      <c r="C89" s="71"/>
      <c r="D89" s="72"/>
      <c r="E89" s="73"/>
      <c r="F89" s="74" t="s">
        <v>32</v>
      </c>
      <c r="G89" s="75"/>
      <c r="H89" s="76">
        <v>50</v>
      </c>
      <c r="I89" s="77"/>
      <c r="J89" s="78"/>
      <c r="K89" s="79"/>
      <c r="L89" s="80"/>
      <c r="M89" s="81"/>
      <c r="N89" s="82"/>
      <c r="O89" s="82"/>
      <c r="P89" s="82"/>
      <c r="Q89" s="83"/>
      <c r="R89" s="84"/>
      <c r="S89" s="85"/>
    </row>
    <row r="90" spans="1:19" ht="15" customHeight="1" x14ac:dyDescent="0.2">
      <c r="A90" s="24" t="s">
        <v>46</v>
      </c>
      <c r="B90" s="41">
        <v>40</v>
      </c>
      <c r="C90" s="41">
        <v>95</v>
      </c>
      <c r="D90" s="42">
        <f>B90*C90</f>
        <v>3800</v>
      </c>
      <c r="E90" s="92" t="s">
        <v>49</v>
      </c>
      <c r="F90" s="27" t="s">
        <v>3</v>
      </c>
      <c r="G90" s="44">
        <v>78</v>
      </c>
      <c r="H90" s="29">
        <f>G90*VLOOKUP(F90,$X$2:$Y$7,2,FALSE())</f>
        <v>1170</v>
      </c>
      <c r="I90" s="86" t="s">
        <v>49</v>
      </c>
      <c r="J90" s="46">
        <v>3008</v>
      </c>
      <c r="K90" s="47">
        <v>67</v>
      </c>
      <c r="L90" s="45">
        <f>K90*VLOOKUP(F90,$X$2:$Y$7,2,FALSE())</f>
        <v>1005</v>
      </c>
      <c r="M90" s="34"/>
      <c r="N90" s="49"/>
      <c r="O90" s="49"/>
      <c r="P90" s="49"/>
      <c r="Q90" s="36">
        <f>Q84+G90-K90+M90-O90</f>
        <v>75</v>
      </c>
      <c r="R90" s="37">
        <f>R84+H90-L90+N90-O90*VLOOKUP(F90,$X$2:$Y$7,2,FALSE())</f>
        <v>1111</v>
      </c>
      <c r="S90" s="38"/>
    </row>
    <row r="91" spans="1:19" ht="15" customHeight="1" x14ac:dyDescent="0.2">
      <c r="A91" s="39"/>
      <c r="B91" s="25"/>
      <c r="C91" s="25"/>
      <c r="D91" s="25"/>
      <c r="E91" s="26"/>
      <c r="F91" s="27" t="s">
        <v>4</v>
      </c>
      <c r="G91" s="44">
        <v>11</v>
      </c>
      <c r="H91" s="29">
        <f>G91*VLOOKUP(F91,$X$2:$Y$7,2,FALSE())</f>
        <v>198</v>
      </c>
      <c r="I91" s="66"/>
      <c r="J91" s="46">
        <v>3008</v>
      </c>
      <c r="K91" s="47">
        <v>11</v>
      </c>
      <c r="L91" s="45">
        <f>K91*VLOOKUP(F91,$X$2:$Y$7,2,FALSE())</f>
        <v>198</v>
      </c>
      <c r="M91" s="34"/>
      <c r="N91" s="49"/>
      <c r="O91" s="49"/>
      <c r="P91" s="49"/>
      <c r="Q91" s="36">
        <f>Q85+G91-K91+M91-O91</f>
        <v>11</v>
      </c>
      <c r="R91" s="37">
        <f>R85+H91-L91+N91-O91*VLOOKUP(F91,$X$2:$Y$7,2,FALSE())</f>
        <v>198</v>
      </c>
      <c r="S91" s="38"/>
    </row>
    <row r="92" spans="1:19" ht="15" customHeight="1" x14ac:dyDescent="0.2">
      <c r="A92" s="39"/>
      <c r="B92" s="25"/>
      <c r="C92" s="25"/>
      <c r="D92" s="25"/>
      <c r="E92" s="26"/>
      <c r="F92" s="27" t="s">
        <v>8</v>
      </c>
      <c r="G92" s="44">
        <v>12</v>
      </c>
      <c r="H92" s="29">
        <f>G92*VLOOKUP(F92,$X$2:$Y$7,2,FALSE())</f>
        <v>204</v>
      </c>
      <c r="I92" s="66"/>
      <c r="J92" s="46">
        <v>3008</v>
      </c>
      <c r="K92" s="47">
        <v>12</v>
      </c>
      <c r="L92" s="45">
        <f>K92*VLOOKUP(F92,$X$2:$Y$7,2,FALSE())</f>
        <v>204</v>
      </c>
      <c r="M92" s="34"/>
      <c r="N92" s="49"/>
      <c r="O92" s="49"/>
      <c r="P92" s="49"/>
      <c r="Q92" s="36">
        <f>Q86+G92-K92+M92-O92</f>
        <v>12</v>
      </c>
      <c r="R92" s="37">
        <f>R86+H92-L92+N92-O92*VLOOKUP(F92,$X$2:$Y$7,2,FALSE())</f>
        <v>204</v>
      </c>
      <c r="S92" s="38"/>
    </row>
    <row r="93" spans="1:19" ht="15.75" customHeight="1" x14ac:dyDescent="0.2">
      <c r="A93" s="39"/>
      <c r="B93" s="25"/>
      <c r="C93" s="25"/>
      <c r="D93" s="25"/>
      <c r="E93" s="26"/>
      <c r="F93" s="27" t="s">
        <v>28</v>
      </c>
      <c r="G93" s="44">
        <v>94</v>
      </c>
      <c r="H93" s="29">
        <f>G93*VLOOKUP(F93,$X$2:$Y$7,2,FALSE())</f>
        <v>1598</v>
      </c>
      <c r="I93" s="66"/>
      <c r="J93" s="46">
        <v>3008</v>
      </c>
      <c r="K93" s="47">
        <v>118</v>
      </c>
      <c r="L93" s="45">
        <f>K93*VLOOKUP(F93,$X$2:$Y$7,2,FALSE())</f>
        <v>2006</v>
      </c>
      <c r="M93" s="34"/>
      <c r="N93" s="49"/>
      <c r="O93" s="49"/>
      <c r="P93" s="49"/>
      <c r="Q93" s="36">
        <f>Q87+G93-K93+M93-O93</f>
        <v>96</v>
      </c>
      <c r="R93" s="37">
        <f>R87+H93-L93+N93-O93*VLOOKUP(F93,$X$2:$Y$7,2,FALSE())</f>
        <v>1625</v>
      </c>
      <c r="S93" s="38"/>
    </row>
    <row r="94" spans="1:19" ht="15" customHeight="1" x14ac:dyDescent="0.2">
      <c r="A94" s="105"/>
      <c r="B94" s="106"/>
      <c r="C94" s="106"/>
      <c r="D94" s="106"/>
      <c r="E94" s="107"/>
      <c r="F94" s="27" t="s">
        <v>31</v>
      </c>
      <c r="G94" s="44">
        <v>6.5</v>
      </c>
      <c r="H94" s="29">
        <f>G94*VLOOKUP(F94,$X$2:$Y$7,2,FALSE())</f>
        <v>617.5</v>
      </c>
      <c r="I94" s="108"/>
      <c r="J94" s="46" t="s">
        <v>47</v>
      </c>
      <c r="K94" s="47">
        <v>0.5</v>
      </c>
      <c r="L94" s="45">
        <f>K94*VLOOKUP(F94,$X$2:$Y$7,2,FALSE())</f>
        <v>47.5</v>
      </c>
      <c r="M94" s="109"/>
      <c r="N94" s="49"/>
      <c r="O94" s="49"/>
      <c r="P94" s="49"/>
      <c r="Q94" s="110">
        <f>Q88+G94-K94+M94-O94</f>
        <v>18</v>
      </c>
      <c r="R94" s="37">
        <f>R88+H94-L94+N94-O94*VLOOKUP(F94,$X$2:$Y$7,2,FALSE())</f>
        <v>1710</v>
      </c>
      <c r="S94" s="38"/>
    </row>
    <row r="95" spans="1:19" ht="15" customHeight="1" x14ac:dyDescent="0.2">
      <c r="A95" s="111"/>
      <c r="B95" s="41"/>
      <c r="C95" s="41"/>
      <c r="D95" s="42"/>
      <c r="E95" s="43"/>
      <c r="F95" s="27" t="s">
        <v>32</v>
      </c>
      <c r="G95" s="44"/>
      <c r="H95" s="29"/>
      <c r="I95" s="86"/>
      <c r="J95" s="46"/>
      <c r="K95" s="47"/>
      <c r="L95" s="45"/>
      <c r="M95" s="48"/>
      <c r="N95" s="49"/>
      <c r="O95" s="49"/>
      <c r="P95" s="49"/>
      <c r="Q95" s="36"/>
      <c r="R95" s="37"/>
      <c r="S95" s="112"/>
    </row>
    <row r="96" spans="1:19" ht="15" customHeight="1" x14ac:dyDescent="0.2">
      <c r="A96" s="50" t="s">
        <v>50</v>
      </c>
      <c r="B96" s="51">
        <v>80</v>
      </c>
      <c r="C96" s="51">
        <v>95</v>
      </c>
      <c r="D96" s="52">
        <f>+B96*C96</f>
        <v>7600</v>
      </c>
      <c r="E96" s="92" t="s">
        <v>51</v>
      </c>
      <c r="F96" s="54" t="s">
        <v>3</v>
      </c>
      <c r="G96" s="113"/>
      <c r="H96" s="56">
        <f>G96*VLOOKUP(F96,$X$2:$Y$7,2,FALSE())</f>
        <v>0</v>
      </c>
      <c r="I96" s="114"/>
      <c r="J96" s="58"/>
      <c r="K96" s="59"/>
      <c r="L96" s="60">
        <f>K96*VLOOKUP(F96,$X$2:$Y$7,2,FALSE())</f>
        <v>0</v>
      </c>
      <c r="M96" s="115"/>
      <c r="N96" s="99"/>
      <c r="O96" s="99"/>
      <c r="P96" s="99"/>
      <c r="Q96" s="63">
        <f>Q90+G96-K96+M96-O96</f>
        <v>75</v>
      </c>
      <c r="R96" s="64">
        <f>R90+H96-L96+N96-O96*VLOOKUP(F96,$X$2:$Y$7,2,FALSE())</f>
        <v>1111</v>
      </c>
      <c r="S96" s="116"/>
    </row>
    <row r="97" spans="1:19" ht="15" customHeight="1" x14ac:dyDescent="0.2">
      <c r="A97" s="111"/>
      <c r="B97" s="111"/>
      <c r="C97" s="111"/>
      <c r="D97" s="117"/>
      <c r="E97" s="43"/>
      <c r="F97" s="27" t="s">
        <v>4</v>
      </c>
      <c r="G97" s="118"/>
      <c r="H97" s="29">
        <f>G97*VLOOKUP(F97,$X$2:$Y$7,2,FALSE())</f>
        <v>0</v>
      </c>
      <c r="I97" s="119"/>
      <c r="J97" s="46"/>
      <c r="K97" s="47"/>
      <c r="L97" s="45">
        <f>K97*VLOOKUP(F97,$X$2:$Y$7,2,FALSE())</f>
        <v>0</v>
      </c>
      <c r="M97" s="120"/>
      <c r="N97" s="49"/>
      <c r="O97" s="49"/>
      <c r="P97" s="49"/>
      <c r="Q97" s="36">
        <f>Q91+G97-K97+M97-O97</f>
        <v>11</v>
      </c>
      <c r="R97" s="37">
        <f>R91+H97-L97+N97-O97*VLOOKUP(F97,$X$2:$Y$7,2,FALSE())</f>
        <v>198</v>
      </c>
      <c r="S97" s="112"/>
    </row>
    <row r="98" spans="1:19" ht="15" customHeight="1" x14ac:dyDescent="0.2">
      <c r="A98" s="111"/>
      <c r="B98" s="111"/>
      <c r="C98" s="111"/>
      <c r="D98" s="117"/>
      <c r="E98" s="121"/>
      <c r="F98" s="27" t="s">
        <v>8</v>
      </c>
      <c r="G98" s="118"/>
      <c r="H98" s="29">
        <f>G98*VLOOKUP(F98,$X$2:$Y$7,2,FALSE())</f>
        <v>0</v>
      </c>
      <c r="I98" s="119"/>
      <c r="J98" s="46"/>
      <c r="K98" s="47"/>
      <c r="L98" s="45">
        <f>K98*VLOOKUP(F98,$X$2:$Y$7,2,FALSE())</f>
        <v>0</v>
      </c>
      <c r="M98" s="120"/>
      <c r="N98" s="49"/>
      <c r="O98" s="49"/>
      <c r="P98" s="49"/>
      <c r="Q98" s="36">
        <f>Q92+G98-K98+M98-O98</f>
        <v>12</v>
      </c>
      <c r="R98" s="37">
        <f>R92+H98-L98+N98-O98*VLOOKUP(F98,$X$2:$Y$7,2,FALSE())</f>
        <v>204</v>
      </c>
      <c r="S98" s="112"/>
    </row>
    <row r="99" spans="1:19" ht="15" customHeight="1" x14ac:dyDescent="0.2">
      <c r="A99" s="111"/>
      <c r="B99" s="111"/>
      <c r="C99" s="111"/>
      <c r="D99" s="117"/>
      <c r="E99" s="121"/>
      <c r="F99" s="27" t="s">
        <v>28</v>
      </c>
      <c r="G99" s="118"/>
      <c r="H99" s="29">
        <f>G99*VLOOKUP(F99,$X$2:$Y$7,2,FALSE())</f>
        <v>0</v>
      </c>
      <c r="I99" s="119"/>
      <c r="J99" s="46"/>
      <c r="K99" s="47"/>
      <c r="L99" s="45">
        <f>K99*VLOOKUP(F99,$X$2:$Y$7,2,FALSE())</f>
        <v>0</v>
      </c>
      <c r="M99" s="120"/>
      <c r="N99" s="49"/>
      <c r="O99" s="49"/>
      <c r="P99" s="49"/>
      <c r="Q99" s="36">
        <f>Q93+G99-K99+M99-O99</f>
        <v>96</v>
      </c>
      <c r="R99" s="37">
        <f>R93+H99-L99+N99-O99*VLOOKUP(F99,$X$2:$Y$7,2,FALSE())</f>
        <v>1625</v>
      </c>
      <c r="S99" s="112"/>
    </row>
    <row r="100" spans="1:19" ht="15" customHeight="1" x14ac:dyDescent="0.2">
      <c r="A100" s="111"/>
      <c r="B100" s="111"/>
      <c r="C100" s="111"/>
      <c r="D100" s="117"/>
      <c r="E100" s="121"/>
      <c r="F100" s="27" t="s">
        <v>31</v>
      </c>
      <c r="G100" s="118"/>
      <c r="H100" s="29">
        <f>G100*VLOOKUP(F100,$X$2:$Y$7,2,FALSE())</f>
        <v>0</v>
      </c>
      <c r="I100" s="119"/>
      <c r="J100" s="46"/>
      <c r="K100" s="47"/>
      <c r="L100" s="45">
        <f>K100*VLOOKUP(F100,$X$2:$Y$7,2,FALSE())</f>
        <v>0</v>
      </c>
      <c r="M100" s="120"/>
      <c r="N100" s="49"/>
      <c r="O100" s="49"/>
      <c r="P100" s="49"/>
      <c r="Q100" s="36">
        <f>Q94+G100-K100+M100-O100</f>
        <v>18</v>
      </c>
      <c r="R100" s="37">
        <f>R94+H100-L100+N100-O100*VLOOKUP(F100,$X$2:$Y$7,2,FALSE())</f>
        <v>1710</v>
      </c>
      <c r="S100" s="112"/>
    </row>
    <row r="101" spans="1:19" ht="15" customHeight="1" x14ac:dyDescent="0.2">
      <c r="A101" s="70"/>
      <c r="B101" s="71"/>
      <c r="C101" s="71"/>
      <c r="D101" s="72"/>
      <c r="E101" s="73"/>
      <c r="F101" s="74" t="s">
        <v>32</v>
      </c>
      <c r="G101" s="75"/>
      <c r="H101" s="76"/>
      <c r="I101" s="77"/>
      <c r="J101" s="78"/>
      <c r="K101" s="79"/>
      <c r="L101" s="80"/>
      <c r="M101" s="81"/>
      <c r="N101" s="82"/>
      <c r="O101" s="82"/>
      <c r="P101" s="82"/>
      <c r="Q101" s="83"/>
      <c r="R101" s="84"/>
      <c r="S101" s="122"/>
    </row>
    <row r="102" spans="1:19" ht="15" customHeight="1" x14ac:dyDescent="0.2">
      <c r="A102" s="123"/>
      <c r="B102" s="123"/>
      <c r="C102" s="123"/>
      <c r="D102" s="124"/>
      <c r="E102" s="125"/>
      <c r="F102" s="54" t="s">
        <v>3</v>
      </c>
      <c r="G102" s="113"/>
      <c r="H102" s="56">
        <f>G102*VLOOKUP(F102,$X$2:$Y$7,2,FALSE())</f>
        <v>0</v>
      </c>
      <c r="I102" s="114"/>
      <c r="J102" s="58"/>
      <c r="K102" s="59"/>
      <c r="L102" s="60">
        <f>K102*VLOOKUP(F102,$X$2:$Y$7,2,FALSE())</f>
        <v>0</v>
      </c>
      <c r="M102" s="115"/>
      <c r="N102" s="49"/>
      <c r="O102" s="49"/>
      <c r="P102" s="49"/>
      <c r="Q102" s="63">
        <f>Q96+G102-K102+M102-O102</f>
        <v>75</v>
      </c>
      <c r="R102" s="64">
        <f>R96+H102-L102+N102-O102*VLOOKUP(F102,$X$2:$Y$7,2,FALSE())</f>
        <v>1111</v>
      </c>
      <c r="S102" s="116"/>
    </row>
    <row r="103" spans="1:19" ht="15" customHeight="1" x14ac:dyDescent="0.2">
      <c r="A103" s="111"/>
      <c r="B103" s="111"/>
      <c r="C103" s="111"/>
      <c r="D103" s="117"/>
      <c r="E103" s="121"/>
      <c r="F103" s="27" t="s">
        <v>4</v>
      </c>
      <c r="G103" s="118"/>
      <c r="H103" s="29">
        <f>G103*VLOOKUP(F103,$X$2:$Y$7,2,FALSE())</f>
        <v>0</v>
      </c>
      <c r="I103" s="119"/>
      <c r="J103" s="46"/>
      <c r="K103" s="47"/>
      <c r="L103" s="45">
        <f>K103*VLOOKUP(F103,$X$2:$Y$7,2,FALSE())</f>
        <v>0</v>
      </c>
      <c r="M103" s="120"/>
      <c r="N103" s="49"/>
      <c r="O103" s="49"/>
      <c r="P103" s="49"/>
      <c r="Q103" s="36">
        <f>Q97+G103-K103+M103-O103</f>
        <v>11</v>
      </c>
      <c r="R103" s="37">
        <f>R97+H103-L103+N103-O103*VLOOKUP(F103,$X$2:$Y$7,2,FALSE())</f>
        <v>198</v>
      </c>
      <c r="S103" s="112"/>
    </row>
    <row r="104" spans="1:19" ht="15" customHeight="1" x14ac:dyDescent="0.2">
      <c r="A104" s="111"/>
      <c r="B104" s="111"/>
      <c r="C104" s="111"/>
      <c r="D104" s="117"/>
      <c r="E104" s="121"/>
      <c r="F104" s="27" t="s">
        <v>8</v>
      </c>
      <c r="G104" s="118"/>
      <c r="H104" s="29">
        <f>G104*VLOOKUP(F104,$X$2:$Y$7,2,FALSE())</f>
        <v>0</v>
      </c>
      <c r="I104" s="119"/>
      <c r="J104" s="46"/>
      <c r="K104" s="47"/>
      <c r="L104" s="45">
        <f>K104*VLOOKUP(F104,$X$2:$Y$7,2,FALSE())</f>
        <v>0</v>
      </c>
      <c r="M104" s="120"/>
      <c r="N104" s="49"/>
      <c r="O104" s="49"/>
      <c r="P104" s="49"/>
      <c r="Q104" s="36">
        <f>Q98+G104-K104+M104-O104</f>
        <v>12</v>
      </c>
      <c r="R104" s="37">
        <f>R98+H104-L104+N104-O104*VLOOKUP(F104,$X$2:$Y$7,2,FALSE())</f>
        <v>204</v>
      </c>
      <c r="S104" s="112"/>
    </row>
    <row r="105" spans="1:19" ht="15" customHeight="1" x14ac:dyDescent="0.2">
      <c r="A105" s="111"/>
      <c r="B105" s="111"/>
      <c r="C105" s="111"/>
      <c r="D105" s="117"/>
      <c r="E105" s="121"/>
      <c r="F105" s="27" t="s">
        <v>28</v>
      </c>
      <c r="G105" s="118"/>
      <c r="H105" s="29">
        <f>G105*VLOOKUP(F105,$X$2:$Y$7,2,FALSE())</f>
        <v>0</v>
      </c>
      <c r="I105" s="119"/>
      <c r="J105" s="46"/>
      <c r="K105" s="47"/>
      <c r="L105" s="45">
        <f>K105*VLOOKUP(F105,$X$2:$Y$7,2,FALSE())</f>
        <v>0</v>
      </c>
      <c r="M105" s="120"/>
      <c r="N105" s="49"/>
      <c r="O105" s="49"/>
      <c r="P105" s="49"/>
      <c r="Q105" s="36">
        <f>Q99+G105-K105+M105-O105</f>
        <v>96</v>
      </c>
      <c r="R105" s="37">
        <f>R99+H105-L105+N105-O105*VLOOKUP(F105,$X$2:$Y$7,2,FALSE())</f>
        <v>1625</v>
      </c>
      <c r="S105" s="112"/>
    </row>
    <row r="106" spans="1:19" ht="15" customHeight="1" x14ac:dyDescent="0.2">
      <c r="A106" s="111"/>
      <c r="B106" s="111"/>
      <c r="C106" s="111"/>
      <c r="D106" s="117"/>
      <c r="E106" s="121"/>
      <c r="F106" s="27" t="s">
        <v>31</v>
      </c>
      <c r="G106" s="118"/>
      <c r="H106" s="29">
        <f>G106*VLOOKUP(F106,$X$2:$Y$7,2,FALSE())</f>
        <v>0</v>
      </c>
      <c r="I106" s="119"/>
      <c r="J106" s="46"/>
      <c r="K106" s="47"/>
      <c r="L106" s="45">
        <f>K106*VLOOKUP(F106,$X$2:$Y$7,2,FALSE())</f>
        <v>0</v>
      </c>
      <c r="M106" s="120"/>
      <c r="N106" s="49"/>
      <c r="O106" s="49"/>
      <c r="P106" s="49"/>
      <c r="Q106" s="36">
        <f>Q100+G106-K106+M106-O106</f>
        <v>18</v>
      </c>
      <c r="R106" s="37">
        <f>R100+H106-L106+N106-O106*VLOOKUP(F106,$X$2:$Y$7,2,FALSE())</f>
        <v>1710</v>
      </c>
      <c r="S106" s="112"/>
    </row>
    <row r="107" spans="1:19" ht="15" customHeight="1" x14ac:dyDescent="0.2">
      <c r="A107" s="24"/>
      <c r="B107" s="41"/>
      <c r="C107" s="41"/>
      <c r="D107" s="42"/>
      <c r="E107" s="43"/>
      <c r="F107" s="27" t="s">
        <v>32</v>
      </c>
      <c r="G107" s="44"/>
      <c r="H107" s="29"/>
      <c r="I107" s="86"/>
      <c r="J107" s="46"/>
      <c r="K107" s="47"/>
      <c r="L107" s="45"/>
      <c r="M107" s="48"/>
      <c r="N107" s="49"/>
      <c r="O107" s="49"/>
      <c r="P107" s="49"/>
      <c r="Q107" s="36"/>
      <c r="R107" s="37"/>
      <c r="S107" s="122"/>
    </row>
    <row r="108" spans="1:19" ht="15" customHeight="1" x14ac:dyDescent="0.2">
      <c r="A108" s="123"/>
      <c r="B108" s="123"/>
      <c r="C108" s="123"/>
      <c r="D108" s="124"/>
      <c r="E108" s="125"/>
      <c r="F108" s="54" t="s">
        <v>3</v>
      </c>
      <c r="G108" s="113"/>
      <c r="H108" s="56">
        <f>G108*VLOOKUP(F108,$X$2:$Y$7,2,FALSE())</f>
        <v>0</v>
      </c>
      <c r="I108" s="114"/>
      <c r="J108" s="58"/>
      <c r="K108" s="59"/>
      <c r="L108" s="60">
        <f>K108*VLOOKUP(F108,$X$2:$Y$7,2,FALSE())</f>
        <v>0</v>
      </c>
      <c r="M108" s="115"/>
      <c r="N108" s="115"/>
      <c r="O108" s="115"/>
      <c r="P108" s="115"/>
      <c r="Q108" s="63">
        <f>Q102+G108-K108+M108-O108</f>
        <v>75</v>
      </c>
      <c r="R108" s="64">
        <f>R102+H108-L108+N108-O108*VLOOKUP(F108,$X$2:$Y$7,2,FALSE())</f>
        <v>1111</v>
      </c>
      <c r="S108" s="116"/>
    </row>
    <row r="109" spans="1:19" ht="15" customHeight="1" x14ac:dyDescent="0.2">
      <c r="A109" s="111"/>
      <c r="B109" s="111"/>
      <c r="C109" s="111"/>
      <c r="D109" s="117"/>
      <c r="E109" s="121"/>
      <c r="F109" s="27" t="s">
        <v>4</v>
      </c>
      <c r="G109" s="118"/>
      <c r="H109" s="29">
        <f>G109*VLOOKUP(F109,$X$2:$Y$7,2,FALSE())</f>
        <v>0</v>
      </c>
      <c r="I109" s="119"/>
      <c r="J109" s="46"/>
      <c r="K109" s="47"/>
      <c r="L109" s="45">
        <f>K109*VLOOKUP(F109,$X$2:$Y$7,2,FALSE())</f>
        <v>0</v>
      </c>
      <c r="M109" s="120"/>
      <c r="N109" s="120"/>
      <c r="O109" s="120"/>
      <c r="P109" s="120"/>
      <c r="Q109" s="36">
        <f>Q103+G109-K109+M109-O109</f>
        <v>11</v>
      </c>
      <c r="R109" s="37">
        <f>R103+H109-L109+N109-O109*VLOOKUP(F109,$X$2:$Y$7,2,FALSE())</f>
        <v>198</v>
      </c>
      <c r="S109" s="112"/>
    </row>
    <row r="110" spans="1:19" ht="15" customHeight="1" x14ac:dyDescent="0.2">
      <c r="A110" s="111"/>
      <c r="B110" s="111"/>
      <c r="C110" s="111"/>
      <c r="D110" s="117"/>
      <c r="E110" s="121"/>
      <c r="F110" s="27" t="s">
        <v>8</v>
      </c>
      <c r="G110" s="118"/>
      <c r="H110" s="29">
        <f>G110*VLOOKUP(F110,$X$2:$Y$7,2,FALSE())</f>
        <v>0</v>
      </c>
      <c r="I110" s="119"/>
      <c r="J110" s="46"/>
      <c r="K110" s="47"/>
      <c r="L110" s="45">
        <f>K110*VLOOKUP(F110,$X$2:$Y$7,2,FALSE())</f>
        <v>0</v>
      </c>
      <c r="M110" s="120"/>
      <c r="N110" s="120"/>
      <c r="O110" s="120"/>
      <c r="P110" s="120"/>
      <c r="Q110" s="36">
        <f>Q104+G110-K110+M110-O110</f>
        <v>12</v>
      </c>
      <c r="R110" s="37">
        <f>R104+H110-L110+N110-O110*VLOOKUP(F110,$X$2:$Y$7,2,FALSE())</f>
        <v>204</v>
      </c>
      <c r="S110" s="112"/>
    </row>
    <row r="111" spans="1:19" ht="15" customHeight="1" x14ac:dyDescent="0.2">
      <c r="A111" s="111"/>
      <c r="B111" s="111"/>
      <c r="C111" s="111"/>
      <c r="D111" s="117"/>
      <c r="E111" s="121"/>
      <c r="F111" s="27" t="s">
        <v>28</v>
      </c>
      <c r="G111" s="118"/>
      <c r="H111" s="29">
        <f>G111*VLOOKUP(F111,$X$2:$Y$7,2,FALSE())</f>
        <v>0</v>
      </c>
      <c r="I111" s="119"/>
      <c r="J111" s="46"/>
      <c r="K111" s="47"/>
      <c r="L111" s="45">
        <f>K111*VLOOKUP(F111,$X$2:$Y$7,2,FALSE())</f>
        <v>0</v>
      </c>
      <c r="M111" s="120"/>
      <c r="N111" s="120"/>
      <c r="O111" s="120"/>
      <c r="P111" s="120"/>
      <c r="Q111" s="36">
        <f>Q105+G111-K111+M111-O111</f>
        <v>96</v>
      </c>
      <c r="R111" s="37">
        <f>R105+H111-L111+N111-O111*VLOOKUP(F111,$X$2:$Y$7,2,FALSE())</f>
        <v>1625</v>
      </c>
      <c r="S111" s="112"/>
    </row>
    <row r="112" spans="1:19" ht="15" customHeight="1" x14ac:dyDescent="0.2">
      <c r="A112" s="111"/>
      <c r="B112" s="111"/>
      <c r="C112" s="111"/>
      <c r="D112" s="117"/>
      <c r="E112" s="121"/>
      <c r="F112" s="27" t="s">
        <v>31</v>
      </c>
      <c r="G112" s="118"/>
      <c r="H112" s="29">
        <f>G112*VLOOKUP(F112,$X$2:$Y$7,2,FALSE())</f>
        <v>0</v>
      </c>
      <c r="I112" s="119"/>
      <c r="J112" s="46"/>
      <c r="K112" s="47"/>
      <c r="L112" s="45">
        <f>K112*VLOOKUP(F112,$X$2:$Y$7,2,FALSE())</f>
        <v>0</v>
      </c>
      <c r="M112" s="120"/>
      <c r="N112" s="120"/>
      <c r="O112" s="120"/>
      <c r="P112" s="120"/>
      <c r="Q112" s="36">
        <f>Q106+G112-K112+M112-O112</f>
        <v>18</v>
      </c>
      <c r="R112" s="37">
        <f>R106+H112-L112+N112-O112*VLOOKUP(F112,$X$2:$Y$7,2,FALSE())</f>
        <v>1710</v>
      </c>
      <c r="S112" s="112"/>
    </row>
    <row r="113" spans="1:19" ht="15" customHeight="1" x14ac:dyDescent="0.2">
      <c r="A113" s="24"/>
      <c r="B113" s="41"/>
      <c r="C113" s="41"/>
      <c r="D113" s="42"/>
      <c r="E113" s="43"/>
      <c r="F113" s="27" t="s">
        <v>32</v>
      </c>
      <c r="G113" s="44"/>
      <c r="H113" s="29"/>
      <c r="I113" s="86"/>
      <c r="J113" s="46"/>
      <c r="K113" s="47"/>
      <c r="L113" s="45"/>
      <c r="M113" s="48"/>
      <c r="N113" s="49"/>
      <c r="O113" s="48"/>
      <c r="P113" s="48"/>
      <c r="Q113" s="36"/>
      <c r="R113" s="37"/>
      <c r="S113" s="122"/>
    </row>
    <row r="114" spans="1:19" ht="15" customHeight="1" x14ac:dyDescent="0.2">
      <c r="A114" s="123"/>
      <c r="B114" s="123"/>
      <c r="C114" s="123"/>
      <c r="D114" s="124"/>
      <c r="E114" s="125"/>
      <c r="F114" s="54" t="s">
        <v>3</v>
      </c>
      <c r="G114" s="113"/>
      <c r="H114" s="56">
        <f>G114*VLOOKUP(F114,$X$2:$Y$7,2,FALSE())</f>
        <v>0</v>
      </c>
      <c r="I114" s="114"/>
      <c r="J114" s="58"/>
      <c r="K114" s="59"/>
      <c r="L114" s="60">
        <f>K114*VLOOKUP(F114,$X$2:$Y$7,2,FALSE())</f>
        <v>0</v>
      </c>
      <c r="M114" s="115"/>
      <c r="N114" s="115"/>
      <c r="O114" s="115"/>
      <c r="P114" s="115"/>
      <c r="Q114" s="63">
        <f>Q108+G114-K114+M114-O114</f>
        <v>75</v>
      </c>
      <c r="R114" s="64">
        <f>R108+H114-L114+N114-O114*VLOOKUP(F114,$X$2:$Y$7,2,FALSE())</f>
        <v>1111</v>
      </c>
      <c r="S114" s="116"/>
    </row>
    <row r="115" spans="1:19" ht="15" customHeight="1" x14ac:dyDescent="0.2">
      <c r="A115" s="111"/>
      <c r="B115" s="111"/>
      <c r="C115" s="111"/>
      <c r="D115" s="117"/>
      <c r="E115" s="121"/>
      <c r="F115" s="27" t="s">
        <v>4</v>
      </c>
      <c r="G115" s="118"/>
      <c r="H115" s="29">
        <f>G115*VLOOKUP(F115,$X$2:$Y$7,2,FALSE())</f>
        <v>0</v>
      </c>
      <c r="I115" s="119"/>
      <c r="J115" s="46"/>
      <c r="K115" s="47"/>
      <c r="L115" s="45">
        <f>K115*VLOOKUP(F115,$X$2:$Y$7,2,FALSE())</f>
        <v>0</v>
      </c>
      <c r="M115" s="120"/>
      <c r="N115" s="120"/>
      <c r="O115" s="120"/>
      <c r="P115" s="120"/>
      <c r="Q115" s="36">
        <f>Q109+G115-K115+M115-O115</f>
        <v>11</v>
      </c>
      <c r="R115" s="37">
        <f>R109+H115-L115+N115-O115*VLOOKUP(F115,$X$2:$Y$7,2,FALSE())</f>
        <v>198</v>
      </c>
      <c r="S115" s="112"/>
    </row>
    <row r="116" spans="1:19" ht="15" customHeight="1" x14ac:dyDescent="0.2">
      <c r="A116" s="111"/>
      <c r="B116" s="111"/>
      <c r="C116" s="111"/>
      <c r="D116" s="117"/>
      <c r="E116" s="121"/>
      <c r="F116" s="27" t="s">
        <v>8</v>
      </c>
      <c r="G116" s="118"/>
      <c r="H116" s="29">
        <f>G116*VLOOKUP(F116,$X$2:$Y$7,2,FALSE())</f>
        <v>0</v>
      </c>
      <c r="I116" s="119"/>
      <c r="J116" s="46"/>
      <c r="K116" s="47"/>
      <c r="L116" s="45">
        <f>K116*VLOOKUP(F116,$X$2:$Y$7,2,FALSE())</f>
        <v>0</v>
      </c>
      <c r="M116" s="120"/>
      <c r="N116" s="120"/>
      <c r="O116" s="120"/>
      <c r="P116" s="120"/>
      <c r="Q116" s="36">
        <f>Q110+G116-K116+M116-O116</f>
        <v>12</v>
      </c>
      <c r="R116" s="37">
        <f>R110+H116-L116+N116-O116*VLOOKUP(F116,$X$2:$Y$7,2,FALSE())</f>
        <v>204</v>
      </c>
      <c r="S116" s="112"/>
    </row>
    <row r="117" spans="1:19" ht="15" customHeight="1" x14ac:dyDescent="0.2">
      <c r="A117" s="111"/>
      <c r="B117" s="111"/>
      <c r="C117" s="111"/>
      <c r="D117" s="117"/>
      <c r="E117" s="121"/>
      <c r="F117" s="27" t="s">
        <v>28</v>
      </c>
      <c r="G117" s="118"/>
      <c r="H117" s="29">
        <f>G117*VLOOKUP(F117,$X$2:$Y$7,2,FALSE())</f>
        <v>0</v>
      </c>
      <c r="I117" s="119"/>
      <c r="J117" s="46"/>
      <c r="K117" s="47"/>
      <c r="L117" s="45">
        <f>K117*VLOOKUP(F117,$X$2:$Y$7,2,FALSE())</f>
        <v>0</v>
      </c>
      <c r="M117" s="120"/>
      <c r="N117" s="120"/>
      <c r="O117" s="120"/>
      <c r="P117" s="120"/>
      <c r="Q117" s="36">
        <f>Q111+G117-K117+M117-O117</f>
        <v>96</v>
      </c>
      <c r="R117" s="37">
        <f>R111+H117-L117+N117-O117*VLOOKUP(F117,$X$2:$Y$7,2,FALSE())</f>
        <v>1625</v>
      </c>
      <c r="S117" s="112"/>
    </row>
    <row r="118" spans="1:19" ht="15" customHeight="1" x14ac:dyDescent="0.2">
      <c r="A118" s="111"/>
      <c r="B118" s="111"/>
      <c r="C118" s="111"/>
      <c r="D118" s="117"/>
      <c r="E118" s="121"/>
      <c r="F118" s="27" t="s">
        <v>31</v>
      </c>
      <c r="G118" s="118"/>
      <c r="H118" s="29">
        <f>G118*VLOOKUP(F118,$X$2:$Y$7,2,FALSE())</f>
        <v>0</v>
      </c>
      <c r="I118" s="119"/>
      <c r="J118" s="46"/>
      <c r="K118" s="47"/>
      <c r="L118" s="45">
        <f>K118*VLOOKUP(F118,$X$2:$Y$7,2,FALSE())</f>
        <v>0</v>
      </c>
      <c r="M118" s="120"/>
      <c r="N118" s="120"/>
      <c r="O118" s="120"/>
      <c r="P118" s="120"/>
      <c r="Q118" s="36">
        <f>Q112+G118-K118+M118-O118</f>
        <v>18</v>
      </c>
      <c r="R118" s="37">
        <f>R112+H118-L118+N118-O118*VLOOKUP(F118,$X$2:$Y$7,2,FALSE())</f>
        <v>1710</v>
      </c>
      <c r="S118" s="112"/>
    </row>
    <row r="119" spans="1:19" ht="15" customHeight="1" x14ac:dyDescent="0.2">
      <c r="A119" s="24"/>
      <c r="B119" s="41"/>
      <c r="C119" s="41"/>
      <c r="D119" s="42"/>
      <c r="E119" s="43"/>
      <c r="F119" s="27" t="s">
        <v>32</v>
      </c>
      <c r="G119" s="44"/>
      <c r="H119" s="29"/>
      <c r="I119" s="86"/>
      <c r="J119" s="46"/>
      <c r="K119" s="47"/>
      <c r="L119" s="45"/>
      <c r="M119" s="48"/>
      <c r="N119" s="49"/>
      <c r="O119" s="48"/>
      <c r="P119" s="48"/>
      <c r="Q119" s="36"/>
      <c r="R119" s="37"/>
      <c r="S119" s="122"/>
    </row>
    <row r="120" spans="1:19" ht="15" customHeight="1" x14ac:dyDescent="0.2">
      <c r="A120" s="123"/>
      <c r="B120" s="123"/>
      <c r="C120" s="123"/>
      <c r="D120" s="124"/>
      <c r="E120" s="125"/>
      <c r="F120" s="54" t="s">
        <v>3</v>
      </c>
      <c r="G120" s="113"/>
      <c r="H120" s="56">
        <f>G120*VLOOKUP(F120,$X$2:$Y$7,2,FALSE())</f>
        <v>0</v>
      </c>
      <c r="I120" s="114"/>
      <c r="J120" s="58"/>
      <c r="K120" s="59"/>
      <c r="L120" s="60">
        <f>K120*VLOOKUP(F120,$X$2:$Y$7,2,FALSE())</f>
        <v>0</v>
      </c>
      <c r="M120" s="115"/>
      <c r="N120" s="115"/>
      <c r="O120" s="115"/>
      <c r="P120" s="115"/>
      <c r="Q120" s="63">
        <f>Q114+G120-K120+M120-O120</f>
        <v>75</v>
      </c>
      <c r="R120" s="64">
        <f>R114+H120-L120+N120-O120*VLOOKUP(F120,$X$2:$Y$7,2,FALSE())</f>
        <v>1111</v>
      </c>
      <c r="S120" s="116"/>
    </row>
    <row r="121" spans="1:19" ht="15" customHeight="1" x14ac:dyDescent="0.2">
      <c r="A121" s="111"/>
      <c r="B121" s="111"/>
      <c r="C121" s="111"/>
      <c r="D121" s="117"/>
      <c r="E121" s="121"/>
      <c r="F121" s="27" t="s">
        <v>4</v>
      </c>
      <c r="G121" s="118"/>
      <c r="H121" s="29">
        <f>G121*VLOOKUP(F121,$X$2:$Y$7,2,FALSE())</f>
        <v>0</v>
      </c>
      <c r="I121" s="119"/>
      <c r="J121" s="46"/>
      <c r="K121" s="47"/>
      <c r="L121" s="45">
        <f>K121*VLOOKUP(F121,$X$2:$Y$7,2,FALSE())</f>
        <v>0</v>
      </c>
      <c r="M121" s="120"/>
      <c r="N121" s="120"/>
      <c r="O121" s="120"/>
      <c r="P121" s="120"/>
      <c r="Q121" s="36">
        <f>Q115+G121-K121+M121-O121</f>
        <v>11</v>
      </c>
      <c r="R121" s="37">
        <f>R115+H121-L121+N121-O121*VLOOKUP(F121,$X$2:$Y$7,2,FALSE())</f>
        <v>198</v>
      </c>
      <c r="S121" s="112"/>
    </row>
    <row r="122" spans="1:19" ht="15" customHeight="1" x14ac:dyDescent="0.2">
      <c r="A122" s="111"/>
      <c r="B122" s="111"/>
      <c r="C122" s="111"/>
      <c r="D122" s="117"/>
      <c r="E122" s="121"/>
      <c r="F122" s="27" t="s">
        <v>8</v>
      </c>
      <c r="G122" s="118"/>
      <c r="H122" s="29">
        <f>G122*VLOOKUP(F122,$X$2:$Y$7,2,FALSE())</f>
        <v>0</v>
      </c>
      <c r="I122" s="119"/>
      <c r="J122" s="46"/>
      <c r="K122" s="47"/>
      <c r="L122" s="45">
        <f>K122*VLOOKUP(F122,$X$2:$Y$7,2,FALSE())</f>
        <v>0</v>
      </c>
      <c r="M122" s="120"/>
      <c r="N122" s="120"/>
      <c r="O122" s="120"/>
      <c r="P122" s="120"/>
      <c r="Q122" s="36">
        <f>Q116+G122-K122+M122-O122</f>
        <v>12</v>
      </c>
      <c r="R122" s="37">
        <f>R116+H122-L122+N122-O122*VLOOKUP(F122,$X$2:$Y$7,2,FALSE())</f>
        <v>204</v>
      </c>
      <c r="S122" s="112"/>
    </row>
    <row r="123" spans="1:19" ht="15" customHeight="1" x14ac:dyDescent="0.2">
      <c r="A123" s="111"/>
      <c r="B123" s="111"/>
      <c r="C123" s="111"/>
      <c r="D123" s="117"/>
      <c r="E123" s="121"/>
      <c r="F123" s="27" t="s">
        <v>28</v>
      </c>
      <c r="G123" s="118"/>
      <c r="H123" s="29">
        <f>G123*VLOOKUP(F123,$X$2:$Y$7,2,FALSE())</f>
        <v>0</v>
      </c>
      <c r="I123" s="119"/>
      <c r="J123" s="46"/>
      <c r="K123" s="47"/>
      <c r="L123" s="45">
        <f>K123*VLOOKUP(F123,$X$2:$Y$7,2,FALSE())</f>
        <v>0</v>
      </c>
      <c r="M123" s="120"/>
      <c r="N123" s="120"/>
      <c r="O123" s="120"/>
      <c r="P123" s="120"/>
      <c r="Q123" s="36">
        <f>Q117+G123-K123+M123-O123</f>
        <v>96</v>
      </c>
      <c r="R123" s="37">
        <f>R117+H123-L123+N123-O123*VLOOKUP(F123,$X$2:$Y$7,2,FALSE())</f>
        <v>1625</v>
      </c>
      <c r="S123" s="112"/>
    </row>
    <row r="124" spans="1:19" ht="15" customHeight="1" x14ac:dyDescent="0.2">
      <c r="A124" s="111"/>
      <c r="B124" s="111"/>
      <c r="C124" s="111"/>
      <c r="D124" s="117"/>
      <c r="E124" s="121"/>
      <c r="F124" s="27" t="s">
        <v>31</v>
      </c>
      <c r="G124" s="118"/>
      <c r="H124" s="29">
        <f>G124*VLOOKUP(F124,$X$2:$Y$7,2,FALSE())</f>
        <v>0</v>
      </c>
      <c r="I124" s="119"/>
      <c r="J124" s="46"/>
      <c r="K124" s="47"/>
      <c r="L124" s="45">
        <f>K124*VLOOKUP(F124,$X$2:$Y$7,2,FALSE())</f>
        <v>0</v>
      </c>
      <c r="M124" s="120"/>
      <c r="N124" s="120"/>
      <c r="O124" s="120"/>
      <c r="P124" s="120"/>
      <c r="Q124" s="36">
        <f>Q118+G124-K124+M124-O124</f>
        <v>18</v>
      </c>
      <c r="R124" s="37">
        <f>R118+H124-L124+N124-O124*VLOOKUP(F124,$X$2:$Y$7,2,FALSE())</f>
        <v>1710</v>
      </c>
      <c r="S124" s="112"/>
    </row>
    <row r="125" spans="1:19" ht="15" customHeight="1" x14ac:dyDescent="0.2">
      <c r="A125" s="24"/>
      <c r="B125" s="41"/>
      <c r="C125" s="41"/>
      <c r="D125" s="42"/>
      <c r="E125" s="43"/>
      <c r="F125" s="27" t="s">
        <v>32</v>
      </c>
      <c r="G125" s="44"/>
      <c r="H125" s="29"/>
      <c r="I125" s="86"/>
      <c r="J125" s="46"/>
      <c r="K125" s="47"/>
      <c r="L125" s="45"/>
      <c r="M125" s="48"/>
      <c r="N125" s="49"/>
      <c r="O125" s="48"/>
      <c r="P125" s="48"/>
      <c r="Q125" s="36"/>
      <c r="R125" s="37"/>
      <c r="S125" s="122"/>
    </row>
    <row r="126" spans="1:19" ht="15" customHeight="1" x14ac:dyDescent="0.2">
      <c r="A126" s="126"/>
      <c r="B126" s="127"/>
      <c r="C126" s="112"/>
      <c r="D126" s="127"/>
      <c r="E126" s="128"/>
      <c r="F126" s="54" t="s">
        <v>3</v>
      </c>
      <c r="G126" s="127"/>
      <c r="H126" s="56">
        <f>G126*VLOOKUP(F126,$X$2:$Y$7,2,FALSE())</f>
        <v>0</v>
      </c>
      <c r="I126" s="112"/>
      <c r="J126" s="129"/>
      <c r="K126" s="127"/>
      <c r="L126" s="60">
        <f>K126*VLOOKUP(F126,$X$2:$Y$7,2,FALSE())</f>
        <v>0</v>
      </c>
      <c r="M126" s="127"/>
      <c r="N126" s="127"/>
      <c r="O126" s="130"/>
      <c r="P126" s="112"/>
      <c r="Q126" s="63">
        <f>Q120+G126-K126+M126-O126</f>
        <v>75</v>
      </c>
      <c r="R126" s="64">
        <f>R120+H126-L126+N126-O126*VLOOKUP(F126,$X$2:$Y$7,2,FALSE())</f>
        <v>1111</v>
      </c>
      <c r="S126" s="112"/>
    </row>
    <row r="127" spans="1:19" ht="15" customHeight="1" x14ac:dyDescent="0.2">
      <c r="F127" s="54" t="s">
        <v>4</v>
      </c>
      <c r="H127" s="56">
        <f>G127*VLOOKUP(F127,$X$2:$Y$7,2,FALSE())</f>
        <v>0</v>
      </c>
      <c r="L127" s="60">
        <f>K127*VLOOKUP(F127,$X$2:$Y$7,2,FALSE())</f>
        <v>0</v>
      </c>
      <c r="Q127" s="63">
        <f>Q121+G127-K127+M127-O127</f>
        <v>11</v>
      </c>
      <c r="R127" s="64">
        <f>R121+H127-L127+N127-O127*VLOOKUP(F127,$X$2:$Y$7,2,FALSE())</f>
        <v>198</v>
      </c>
    </row>
    <row r="128" spans="1:19" ht="15" customHeight="1" x14ac:dyDescent="0.2">
      <c r="F128" s="54" t="s">
        <v>8</v>
      </c>
      <c r="H128" s="56">
        <f>G128*VLOOKUP(F128,$X$2:$Y$7,2,FALSE())</f>
        <v>0</v>
      </c>
      <c r="L128" s="60">
        <f>K128*VLOOKUP(F128,$X$2:$Y$7,2,FALSE())</f>
        <v>0</v>
      </c>
      <c r="Q128" s="63">
        <f>Q122+G128-K128+M128-O128</f>
        <v>12</v>
      </c>
      <c r="R128" s="64">
        <f>R122+H128-L128+N128-O128*VLOOKUP(F128,$X$2:$Y$7,2,FALSE())</f>
        <v>204</v>
      </c>
    </row>
    <row r="129" spans="6:18" ht="15" customHeight="1" x14ac:dyDescent="0.2">
      <c r="F129" s="54" t="s">
        <v>28</v>
      </c>
      <c r="H129" s="56">
        <f>G129*VLOOKUP(F129,$X$2:$Y$7,2,FALSE())</f>
        <v>0</v>
      </c>
      <c r="L129" s="60">
        <f>K129*VLOOKUP(F129,$X$2:$Y$7,2,FALSE())</f>
        <v>0</v>
      </c>
      <c r="Q129" s="63">
        <f>Q123+G129-K129+M129-O129</f>
        <v>96</v>
      </c>
      <c r="R129" s="64">
        <f>R123+H129-L129+N129-O129*VLOOKUP(F129,$X$2:$Y$7,2,FALSE())</f>
        <v>1625</v>
      </c>
    </row>
    <row r="130" spans="6:18" ht="15" customHeight="1" x14ac:dyDescent="0.2">
      <c r="F130" s="54" t="s">
        <v>31</v>
      </c>
      <c r="H130" s="56">
        <f>G130*VLOOKUP(F130,$X$2:$Y$7,2,FALSE())</f>
        <v>0</v>
      </c>
      <c r="L130" s="60">
        <f>K130*VLOOKUP(F130,$X$2:$Y$7,2,FALSE())</f>
        <v>0</v>
      </c>
      <c r="Q130" s="63">
        <f>Q124+G130-K130+M130-O130</f>
        <v>18</v>
      </c>
      <c r="R130" s="64">
        <f>R124+H130-L130+N130-O130*VLOOKUP(F130,$X$2:$Y$7,2,FALSE())</f>
        <v>1710</v>
      </c>
    </row>
    <row r="131" spans="6:18" ht="15" customHeight="1" x14ac:dyDescent="0.2">
      <c r="F131" s="27" t="s">
        <v>32</v>
      </c>
    </row>
    <row r="132" spans="6:18" ht="15" customHeight="1" x14ac:dyDescent="0.2">
      <c r="F132" s="54" t="s">
        <v>3</v>
      </c>
      <c r="H132" s="56">
        <f>G132*VLOOKUP(F132,$X$2:$Y$7,2,FALSE())</f>
        <v>0</v>
      </c>
      <c r="L132" s="60">
        <f>K132*VLOOKUP(F132,$X$2:$Y$7,2,FALSE())</f>
        <v>0</v>
      </c>
      <c r="Q132" s="63">
        <f>Q126+G132-K132+M132-O132</f>
        <v>75</v>
      </c>
      <c r="R132" s="64">
        <f>R126+H132-L132+N132-O132*VLOOKUP(F132,$X$2:$Y$7,2,FALSE())</f>
        <v>1111</v>
      </c>
    </row>
    <row r="133" spans="6:18" ht="15" customHeight="1" x14ac:dyDescent="0.2">
      <c r="F133" s="54" t="s">
        <v>4</v>
      </c>
      <c r="H133" s="56">
        <f>G133*VLOOKUP(F133,$X$2:$Y$7,2,FALSE())</f>
        <v>0</v>
      </c>
      <c r="L133" s="60">
        <f>K133*VLOOKUP(F133,$X$2:$Y$7,2,FALSE())</f>
        <v>0</v>
      </c>
      <c r="Q133" s="63">
        <f>Q127+G133-K133+M133-O133</f>
        <v>11</v>
      </c>
      <c r="R133" s="64">
        <f>R127+H133-L133+N133-O133*VLOOKUP(F133,$X$2:$Y$7,2,FALSE())</f>
        <v>198</v>
      </c>
    </row>
    <row r="134" spans="6:18" ht="15" customHeight="1" x14ac:dyDescent="0.2">
      <c r="F134" s="54" t="s">
        <v>8</v>
      </c>
      <c r="H134" s="56">
        <f>G134*VLOOKUP(F134,$X$2:$Y$7,2,FALSE())</f>
        <v>0</v>
      </c>
      <c r="L134" s="60">
        <f>K134*VLOOKUP(F134,$X$2:$Y$7,2,FALSE())</f>
        <v>0</v>
      </c>
      <c r="Q134" s="63">
        <f>Q128+G134-K134+M134-O134</f>
        <v>12</v>
      </c>
      <c r="R134" s="64">
        <f>R128+H134-L134+N134-O134*VLOOKUP(F134,$X$2:$Y$7,2,FALSE())</f>
        <v>204</v>
      </c>
    </row>
    <row r="135" spans="6:18" ht="15" customHeight="1" x14ac:dyDescent="0.2">
      <c r="F135" s="54" t="s">
        <v>28</v>
      </c>
      <c r="H135" s="56">
        <f>G135*VLOOKUP(F135,$X$2:$Y$7,2,FALSE())</f>
        <v>0</v>
      </c>
      <c r="L135" s="60">
        <f>K135*VLOOKUP(F135,$X$2:$Y$7,2,FALSE())</f>
        <v>0</v>
      </c>
      <c r="Q135" s="63">
        <f>Q129+G135-K135+M135-O135</f>
        <v>96</v>
      </c>
      <c r="R135" s="64">
        <f>R129+H135-L135+N135-O135*VLOOKUP(F135,$X$2:$Y$7,2,FALSE())</f>
        <v>1625</v>
      </c>
    </row>
    <row r="136" spans="6:18" ht="15" customHeight="1" x14ac:dyDescent="0.2">
      <c r="F136" s="54" t="s">
        <v>31</v>
      </c>
      <c r="H136" s="56">
        <f>G136*VLOOKUP(F136,$X$2:$Y$7,2,FALSE())</f>
        <v>0</v>
      </c>
      <c r="L136" s="60">
        <f>K136*VLOOKUP(F136,$X$2:$Y$7,2,FALSE())</f>
        <v>0</v>
      </c>
      <c r="Q136" s="63">
        <f>Q130+G136-K136+M136-O136</f>
        <v>18</v>
      </c>
      <c r="R136" s="64">
        <f>R130+H136-L136+N136-O136*VLOOKUP(F136,$X$2:$Y$7,2,FALSE())</f>
        <v>1710</v>
      </c>
    </row>
    <row r="137" spans="6:18" ht="15" customHeight="1" x14ac:dyDescent="0.2">
      <c r="F137" s="27" t="s">
        <v>32</v>
      </c>
    </row>
    <row r="138" spans="6:18" ht="15" customHeight="1" x14ac:dyDescent="0.2">
      <c r="F138" s="54" t="s">
        <v>3</v>
      </c>
      <c r="H138" s="56">
        <f>G138*VLOOKUP(F138,$X$2:$Y$7,2,FALSE())</f>
        <v>0</v>
      </c>
      <c r="L138" s="60">
        <f>K138*VLOOKUP(F138,$X$2:$Y$7,2,FALSE())</f>
        <v>0</v>
      </c>
      <c r="Q138" s="63">
        <f>Q132+G138-K138+M138-O138</f>
        <v>75</v>
      </c>
      <c r="R138" s="64">
        <f>R132+H138-L138+N138-O138*VLOOKUP(F138,$X$2:$Y$7,2,FALSE())</f>
        <v>1111</v>
      </c>
    </row>
    <row r="139" spans="6:18" ht="15" customHeight="1" x14ac:dyDescent="0.2">
      <c r="F139" s="54" t="s">
        <v>4</v>
      </c>
      <c r="H139" s="56">
        <f>G139*VLOOKUP(F139,$X$2:$Y$7,2,FALSE())</f>
        <v>0</v>
      </c>
      <c r="L139" s="60">
        <f>K139*VLOOKUP(F139,$X$2:$Y$7,2,FALSE())</f>
        <v>0</v>
      </c>
      <c r="Q139" s="63">
        <f>Q133+G139-K139+M139-O139</f>
        <v>11</v>
      </c>
      <c r="R139" s="64">
        <f>R133+H139-L139+N139-O139*VLOOKUP(F139,$X$2:$Y$7,2,FALSE())</f>
        <v>198</v>
      </c>
    </row>
    <row r="140" spans="6:18" ht="15" customHeight="1" x14ac:dyDescent="0.2">
      <c r="F140" s="54" t="s">
        <v>8</v>
      </c>
      <c r="H140" s="56">
        <f>G140*VLOOKUP(F140,$X$2:$Y$7,2,FALSE())</f>
        <v>0</v>
      </c>
      <c r="L140" s="60">
        <f>K140*VLOOKUP(F140,$X$2:$Y$7,2,FALSE())</f>
        <v>0</v>
      </c>
      <c r="Q140" s="63">
        <f>Q134+G140-K140+M140-O140</f>
        <v>12</v>
      </c>
      <c r="R140" s="64">
        <f>R134+H140-L140+N140-O140*VLOOKUP(F140,$X$2:$Y$7,2,FALSE())</f>
        <v>204</v>
      </c>
    </row>
    <row r="141" spans="6:18" ht="15" customHeight="1" x14ac:dyDescent="0.2">
      <c r="F141" s="54" t="s">
        <v>28</v>
      </c>
      <c r="H141" s="56">
        <f>G141*VLOOKUP(F141,$X$2:$Y$7,2,FALSE())</f>
        <v>0</v>
      </c>
      <c r="L141" s="60">
        <f>K141*VLOOKUP(F141,$X$2:$Y$7,2,FALSE())</f>
        <v>0</v>
      </c>
      <c r="Q141" s="63">
        <f>Q135+G141-K141+M141-O141</f>
        <v>96</v>
      </c>
      <c r="R141" s="64">
        <f>R135+H141-L141+N141-O141*VLOOKUP(F141,$X$2:$Y$7,2,FALSE())</f>
        <v>1625</v>
      </c>
    </row>
    <row r="142" spans="6:18" ht="15" customHeight="1" x14ac:dyDescent="0.2">
      <c r="F142" s="54" t="s">
        <v>31</v>
      </c>
      <c r="H142" s="56">
        <f>G142*VLOOKUP(F142,$X$2:$Y$7,2,FALSE())</f>
        <v>0</v>
      </c>
      <c r="L142" s="60">
        <f>K142*VLOOKUP(F142,$X$2:$Y$7,2,FALSE())</f>
        <v>0</v>
      </c>
      <c r="Q142" s="63">
        <f>Q136+G142-K142+M142-O142</f>
        <v>18</v>
      </c>
      <c r="R142" s="64">
        <f>R136+H142-L142+N142-O142*VLOOKUP(F142,$X$2:$Y$7,2,FALSE())</f>
        <v>1710</v>
      </c>
    </row>
    <row r="143" spans="6:18" ht="15" customHeight="1" x14ac:dyDescent="0.2">
      <c r="F143" s="27" t="s">
        <v>32</v>
      </c>
    </row>
    <row r="144" spans="6:18" ht="15" customHeight="1" x14ac:dyDescent="0.2">
      <c r="F144" s="54" t="s">
        <v>3</v>
      </c>
      <c r="H144" s="56">
        <f>G144*VLOOKUP(F144,$X$2:$Y$7,2,FALSE())</f>
        <v>0</v>
      </c>
      <c r="L144" s="60">
        <f>K144*VLOOKUP(F144,$X$2:$Y$7,2,FALSE())</f>
        <v>0</v>
      </c>
      <c r="Q144" s="63">
        <f>Q138+G144-K144+M144-O144</f>
        <v>75</v>
      </c>
      <c r="R144" s="64">
        <f>R138+H144-L144+N144-O144*VLOOKUP(F144,$X$2:$Y$7,2,FALSE())</f>
        <v>1111</v>
      </c>
    </row>
    <row r="145" spans="6:18" ht="15" customHeight="1" x14ac:dyDescent="0.2">
      <c r="F145" s="54" t="s">
        <v>4</v>
      </c>
      <c r="H145" s="56">
        <f>G145*VLOOKUP(F145,$X$2:$Y$7,2,FALSE())</f>
        <v>0</v>
      </c>
      <c r="L145" s="60">
        <f>K145*VLOOKUP(F145,$X$2:$Y$7,2,FALSE())</f>
        <v>0</v>
      </c>
      <c r="Q145" s="63">
        <f>Q139+G145-K145+M145-O145</f>
        <v>11</v>
      </c>
      <c r="R145" s="64">
        <f>R139+H145-L145+N145-O145*VLOOKUP(F145,$X$2:$Y$7,2,FALSE())</f>
        <v>198</v>
      </c>
    </row>
    <row r="146" spans="6:18" ht="15" customHeight="1" x14ac:dyDescent="0.2">
      <c r="F146" s="54" t="s">
        <v>8</v>
      </c>
      <c r="H146" s="56">
        <f>G146*VLOOKUP(F146,$X$2:$Y$7,2,FALSE())</f>
        <v>0</v>
      </c>
      <c r="L146" s="60">
        <f>K146*VLOOKUP(F146,$X$2:$Y$7,2,FALSE())</f>
        <v>0</v>
      </c>
      <c r="Q146" s="63">
        <f>Q140+G146-K146+M146-O146</f>
        <v>12</v>
      </c>
      <c r="R146" s="64">
        <f>R140+H146-L146+N146-O146*VLOOKUP(F146,$X$2:$Y$7,2,FALSE())</f>
        <v>204</v>
      </c>
    </row>
    <row r="147" spans="6:18" ht="15" customHeight="1" x14ac:dyDescent="0.2">
      <c r="F147" s="54" t="s">
        <v>28</v>
      </c>
      <c r="H147" s="56">
        <f>G147*VLOOKUP(F147,$X$2:$Y$7,2,FALSE())</f>
        <v>0</v>
      </c>
      <c r="L147" s="60">
        <f>K147*VLOOKUP(F147,$X$2:$Y$7,2,FALSE())</f>
        <v>0</v>
      </c>
      <c r="Q147" s="63">
        <f>Q141+G147-K147+M147-O147</f>
        <v>96</v>
      </c>
      <c r="R147" s="64">
        <f>R141+H147-L147+N147-O147*VLOOKUP(F147,$X$2:$Y$7,2,FALSE())</f>
        <v>1625</v>
      </c>
    </row>
    <row r="148" spans="6:18" ht="15" customHeight="1" x14ac:dyDescent="0.2">
      <c r="F148" s="54" t="s">
        <v>31</v>
      </c>
      <c r="H148" s="56">
        <f>G148*VLOOKUP(F148,$X$2:$Y$7,2,FALSE())</f>
        <v>0</v>
      </c>
      <c r="L148" s="60">
        <f>K148*VLOOKUP(F148,$X$2:$Y$7,2,FALSE())</f>
        <v>0</v>
      </c>
      <c r="Q148" s="63">
        <f>Q142+G148-K148+M148-O148</f>
        <v>18</v>
      </c>
      <c r="R148" s="64">
        <f>R142+H148-L148+N148-O148*VLOOKUP(F148,$X$2:$Y$7,2,FALSE())</f>
        <v>1710</v>
      </c>
    </row>
    <row r="149" spans="6:18" ht="15" customHeight="1" x14ac:dyDescent="0.2">
      <c r="F149" s="27" t="s">
        <v>32</v>
      </c>
    </row>
    <row r="150" spans="6:18" ht="15" customHeight="1" x14ac:dyDescent="0.2">
      <c r="F150" s="54" t="s">
        <v>3</v>
      </c>
      <c r="H150" s="56">
        <f>G150*VLOOKUP(F150,$X$2:$Y$7,2,FALSE())</f>
        <v>0</v>
      </c>
      <c r="L150" s="60">
        <f>K150*VLOOKUP(F150,$X$2:$Y$7,2,FALSE())</f>
        <v>0</v>
      </c>
      <c r="Q150" s="63">
        <f>Q144+G150-K150+M150-O150</f>
        <v>75</v>
      </c>
      <c r="R150" s="64">
        <f>R144+H150-L150+N150-O150*VLOOKUP(F150,$X$2:$Y$7,2,FALSE())</f>
        <v>1111</v>
      </c>
    </row>
    <row r="151" spans="6:18" ht="15" customHeight="1" x14ac:dyDescent="0.2">
      <c r="F151" s="54" t="s">
        <v>4</v>
      </c>
      <c r="H151" s="56">
        <f>G151*VLOOKUP(F151,$X$2:$Y$7,2,FALSE())</f>
        <v>0</v>
      </c>
      <c r="L151" s="60">
        <f>K151*VLOOKUP(F151,$X$2:$Y$7,2,FALSE())</f>
        <v>0</v>
      </c>
      <c r="Q151" s="63">
        <f>Q145+G151-K151+M151-O151</f>
        <v>11</v>
      </c>
      <c r="R151" s="64">
        <f>R145+H151-L151+N151-O151*VLOOKUP(F151,$X$2:$Y$7,2,FALSE())</f>
        <v>198</v>
      </c>
    </row>
    <row r="152" spans="6:18" ht="15" customHeight="1" x14ac:dyDescent="0.2">
      <c r="F152" s="54" t="s">
        <v>8</v>
      </c>
      <c r="H152" s="56">
        <f>G152*VLOOKUP(F152,$X$2:$Y$7,2,FALSE())</f>
        <v>0</v>
      </c>
      <c r="L152" s="60">
        <f>K152*VLOOKUP(F152,$X$2:$Y$7,2,FALSE())</f>
        <v>0</v>
      </c>
      <c r="Q152" s="63">
        <f>Q146+G152-K152+M152-O152</f>
        <v>12</v>
      </c>
      <c r="R152" s="64">
        <f>R146+H152-L152+N152-O152*VLOOKUP(F152,$X$2:$Y$7,2,FALSE())</f>
        <v>204</v>
      </c>
    </row>
    <row r="153" spans="6:18" ht="15" customHeight="1" x14ac:dyDescent="0.2">
      <c r="F153" s="54" t="s">
        <v>28</v>
      </c>
      <c r="H153" s="56">
        <f>G153*VLOOKUP(F153,$X$2:$Y$7,2,FALSE())</f>
        <v>0</v>
      </c>
      <c r="L153" s="60">
        <f>K153*VLOOKUP(F153,$X$2:$Y$7,2,FALSE())</f>
        <v>0</v>
      </c>
      <c r="Q153" s="63">
        <f>Q147+G153-K153+M153-O153</f>
        <v>96</v>
      </c>
      <c r="R153" s="64">
        <f>R147+H153-L153+N153-O153*VLOOKUP(F153,$X$2:$Y$7,2,FALSE())</f>
        <v>1625</v>
      </c>
    </row>
    <row r="154" spans="6:18" ht="15" customHeight="1" x14ac:dyDescent="0.2">
      <c r="F154" s="54" t="s">
        <v>31</v>
      </c>
      <c r="H154" s="56">
        <f>G154*VLOOKUP(F154,$X$2:$Y$7,2,FALSE())</f>
        <v>0</v>
      </c>
      <c r="L154" s="60">
        <f>K154*VLOOKUP(F154,$X$2:$Y$7,2,FALSE())</f>
        <v>0</v>
      </c>
      <c r="Q154" s="63">
        <f>Q148+G154-K154+M154-O154</f>
        <v>18</v>
      </c>
      <c r="R154" s="64">
        <f>R148+H154-L154+N154-O154*VLOOKUP(F154,$X$2:$Y$7,2,FALSE())</f>
        <v>1710</v>
      </c>
    </row>
    <row r="155" spans="6:18" ht="15" customHeight="1" x14ac:dyDescent="0.2">
      <c r="F155" s="27" t="s">
        <v>32</v>
      </c>
    </row>
    <row r="156" spans="6:18" ht="15" customHeight="1" x14ac:dyDescent="0.2">
      <c r="F156" s="54" t="s">
        <v>3</v>
      </c>
      <c r="H156" s="56">
        <f>G156*VLOOKUP(F156,$X$2:$Y$7,2,FALSE())</f>
        <v>0</v>
      </c>
      <c r="L156" s="60">
        <f>K156*VLOOKUP(F156,$X$2:$Y$7,2,FALSE())</f>
        <v>0</v>
      </c>
      <c r="Q156" s="63">
        <f>Q150+G156-K156+M156-O156</f>
        <v>75</v>
      </c>
      <c r="R156" s="64">
        <f>R150+H156-L156+N156-O156*VLOOKUP(F156,$X$2:$Y$7,2,FALSE())</f>
        <v>1111</v>
      </c>
    </row>
    <row r="157" spans="6:18" ht="15" customHeight="1" x14ac:dyDescent="0.2">
      <c r="F157" s="54" t="s">
        <v>4</v>
      </c>
      <c r="H157" s="56">
        <f>G157*VLOOKUP(F157,$X$2:$Y$7,2,FALSE())</f>
        <v>0</v>
      </c>
      <c r="L157" s="60">
        <f>K157*VLOOKUP(F157,$X$2:$Y$7,2,FALSE())</f>
        <v>0</v>
      </c>
      <c r="Q157" s="63">
        <f>Q151+G157-K157+M157-O157</f>
        <v>11</v>
      </c>
      <c r="R157" s="64">
        <f>R151+H157-L157+N157-O157*VLOOKUP(F157,$X$2:$Y$7,2,FALSE())</f>
        <v>198</v>
      </c>
    </row>
    <row r="158" spans="6:18" ht="15" customHeight="1" x14ac:dyDescent="0.2">
      <c r="F158" s="54" t="s">
        <v>8</v>
      </c>
      <c r="H158" s="56">
        <f>G158*VLOOKUP(F158,$X$2:$Y$7,2,FALSE())</f>
        <v>0</v>
      </c>
      <c r="L158" s="60">
        <f>K158*VLOOKUP(F158,$X$2:$Y$7,2,FALSE())</f>
        <v>0</v>
      </c>
      <c r="Q158" s="63">
        <f>Q152+G158-K158+M158-O158</f>
        <v>12</v>
      </c>
      <c r="R158" s="64">
        <f>R152+H158-L158+N158-O158*VLOOKUP(F158,$X$2:$Y$7,2,FALSE())</f>
        <v>204</v>
      </c>
    </row>
    <row r="159" spans="6:18" ht="15" customHeight="1" x14ac:dyDescent="0.2">
      <c r="F159" s="54" t="s">
        <v>28</v>
      </c>
      <c r="H159" s="56">
        <f>G159*VLOOKUP(F159,$X$2:$Y$7,2,FALSE())</f>
        <v>0</v>
      </c>
      <c r="L159" s="60">
        <f>K159*VLOOKUP(F159,$X$2:$Y$7,2,FALSE())</f>
        <v>0</v>
      </c>
      <c r="Q159" s="63">
        <f>Q153+G159-K159+M159-O159</f>
        <v>96</v>
      </c>
      <c r="R159" s="64">
        <f>R153+H159-L159+N159-O159*VLOOKUP(F159,$X$2:$Y$7,2,FALSE())</f>
        <v>1625</v>
      </c>
    </row>
    <row r="160" spans="6:18" ht="15" customHeight="1" x14ac:dyDescent="0.2">
      <c r="F160" s="54" t="s">
        <v>31</v>
      </c>
      <c r="H160" s="56">
        <f>G160*VLOOKUP(F160,$X$2:$Y$7,2,FALSE())</f>
        <v>0</v>
      </c>
      <c r="L160" s="60">
        <f>K160*VLOOKUP(F160,$X$2:$Y$7,2,FALSE())</f>
        <v>0</v>
      </c>
      <c r="Q160" s="63">
        <f>Q154+G160-K160+M160-O160</f>
        <v>18</v>
      </c>
      <c r="R160" s="64">
        <f>R154+H160-L160+N160-O160*VLOOKUP(F160,$X$2:$Y$7,2,FALSE())</f>
        <v>1710</v>
      </c>
    </row>
    <row r="161" spans="6:18" ht="15" customHeight="1" x14ac:dyDescent="0.2">
      <c r="F161" s="27" t="s">
        <v>32</v>
      </c>
    </row>
    <row r="162" spans="6:18" ht="15" customHeight="1" x14ac:dyDescent="0.2">
      <c r="F162" s="54" t="s">
        <v>3</v>
      </c>
      <c r="H162" s="56">
        <f>G162*VLOOKUP(F162,$X$2:$Y$7,2,FALSE())</f>
        <v>0</v>
      </c>
      <c r="L162" s="60">
        <f>K162*VLOOKUP(F162,$X$2:$Y$7,2,FALSE())</f>
        <v>0</v>
      </c>
      <c r="Q162" s="63">
        <f>Q156+G162-K162+M162-O162</f>
        <v>75</v>
      </c>
      <c r="R162" s="64">
        <f>R156+H162-L162+N162-O162*VLOOKUP(F162,$X$2:$Y$7,2,FALSE())</f>
        <v>1111</v>
      </c>
    </row>
    <row r="163" spans="6:18" ht="15" customHeight="1" x14ac:dyDescent="0.2">
      <c r="F163" s="54" t="s">
        <v>4</v>
      </c>
      <c r="H163" s="56">
        <f>G163*VLOOKUP(F163,$X$2:$Y$7,2,FALSE())</f>
        <v>0</v>
      </c>
      <c r="L163" s="60">
        <f>K163*VLOOKUP(F163,$X$2:$Y$7,2,FALSE())</f>
        <v>0</v>
      </c>
      <c r="Q163" s="63">
        <f>Q157+G163-K163+M163-O163</f>
        <v>11</v>
      </c>
      <c r="R163" s="64">
        <f>R157+H163-L163+N163-O163*VLOOKUP(F163,$X$2:$Y$7,2,FALSE())</f>
        <v>198</v>
      </c>
    </row>
    <row r="164" spans="6:18" ht="15" customHeight="1" x14ac:dyDescent="0.2">
      <c r="F164" s="54" t="s">
        <v>8</v>
      </c>
      <c r="H164" s="56">
        <f>G164*VLOOKUP(F164,$X$2:$Y$7,2,FALSE())</f>
        <v>0</v>
      </c>
      <c r="L164" s="60">
        <f>K164*VLOOKUP(F164,$X$2:$Y$7,2,FALSE())</f>
        <v>0</v>
      </c>
      <c r="Q164" s="63">
        <f>Q158+G164-K164+M164-O164</f>
        <v>12</v>
      </c>
      <c r="R164" s="64">
        <f>R158+H164-L164+N164-O164*VLOOKUP(F164,$X$2:$Y$7,2,FALSE())</f>
        <v>204</v>
      </c>
    </row>
    <row r="165" spans="6:18" ht="15" customHeight="1" x14ac:dyDescent="0.2">
      <c r="F165" s="54" t="s">
        <v>28</v>
      </c>
      <c r="H165" s="56">
        <f>G165*VLOOKUP(F165,$X$2:$Y$7,2,FALSE())</f>
        <v>0</v>
      </c>
      <c r="L165" s="60">
        <f>K165*VLOOKUP(F165,$X$2:$Y$7,2,FALSE())</f>
        <v>0</v>
      </c>
      <c r="Q165" s="63">
        <f>Q159+G165-K165+M165-O165</f>
        <v>96</v>
      </c>
      <c r="R165" s="64">
        <f>R159+H165-L165+N165-O165*VLOOKUP(F165,$X$2:$Y$7,2,FALSE())</f>
        <v>1625</v>
      </c>
    </row>
    <row r="166" spans="6:18" ht="15" customHeight="1" x14ac:dyDescent="0.2">
      <c r="F166" s="54" t="s">
        <v>31</v>
      </c>
      <c r="H166" s="56">
        <f>G166*VLOOKUP(F166,$X$2:$Y$7,2,FALSE())</f>
        <v>0</v>
      </c>
      <c r="L166" s="60">
        <f>K166*VLOOKUP(F166,$X$2:$Y$7,2,FALSE())</f>
        <v>0</v>
      </c>
      <c r="Q166" s="63">
        <f>Q160+G166-K166+M166-O166</f>
        <v>18</v>
      </c>
      <c r="R166" s="64">
        <f>R160+H166-L166+N166-O166*VLOOKUP(F166,$X$2:$Y$7,2,FALSE())</f>
        <v>1710</v>
      </c>
    </row>
    <row r="167" spans="6:18" ht="15" customHeight="1" x14ac:dyDescent="0.2">
      <c r="F167" s="27" t="s">
        <v>32</v>
      </c>
    </row>
    <row r="168" spans="6:18" ht="15" customHeight="1" x14ac:dyDescent="0.2">
      <c r="F168" s="54" t="s">
        <v>3</v>
      </c>
      <c r="H168" s="56">
        <f>G168*VLOOKUP(F168,$X$2:$Y$7,2,FALSE())</f>
        <v>0</v>
      </c>
      <c r="L168" s="60">
        <f>K168*VLOOKUP(F168,$X$2:$Y$7,2,FALSE())</f>
        <v>0</v>
      </c>
      <c r="Q168" s="63">
        <f>Q162+G168-K168+M168-O168</f>
        <v>75</v>
      </c>
      <c r="R168" s="64">
        <f>R162+H168-L168+N168-O168*VLOOKUP(F168,$X$2:$Y$7,2,FALSE())</f>
        <v>1111</v>
      </c>
    </row>
    <row r="169" spans="6:18" ht="15" customHeight="1" x14ac:dyDescent="0.2">
      <c r="F169" s="54" t="s">
        <v>4</v>
      </c>
      <c r="H169" s="56">
        <f>G169*VLOOKUP(F169,$X$2:$Y$7,2,FALSE())</f>
        <v>0</v>
      </c>
      <c r="L169" s="60">
        <f>K169*VLOOKUP(F169,$X$2:$Y$7,2,FALSE())</f>
        <v>0</v>
      </c>
      <c r="Q169" s="63">
        <f>Q163+G169-K169+M169-O169</f>
        <v>11</v>
      </c>
      <c r="R169" s="64">
        <f>R163+H169-L169+N169-O169*VLOOKUP(F169,$X$2:$Y$7,2,FALSE())</f>
        <v>198</v>
      </c>
    </row>
    <row r="170" spans="6:18" ht="15" customHeight="1" x14ac:dyDescent="0.2">
      <c r="F170" s="54" t="s">
        <v>8</v>
      </c>
      <c r="H170" s="56">
        <f>G170*VLOOKUP(F170,$X$2:$Y$7,2,FALSE())</f>
        <v>0</v>
      </c>
      <c r="L170" s="60">
        <f>K170*VLOOKUP(F170,$X$2:$Y$7,2,FALSE())</f>
        <v>0</v>
      </c>
      <c r="Q170" s="63">
        <f>Q164+G170-K170+M170-O170</f>
        <v>12</v>
      </c>
      <c r="R170" s="64">
        <f>R164+H170-L170+N170-O170*VLOOKUP(F170,$X$2:$Y$7,2,FALSE())</f>
        <v>204</v>
      </c>
    </row>
    <row r="171" spans="6:18" ht="15" customHeight="1" x14ac:dyDescent="0.2">
      <c r="F171" s="54" t="s">
        <v>28</v>
      </c>
      <c r="H171" s="56">
        <f>G171*VLOOKUP(F171,$X$2:$Y$7,2,FALSE())</f>
        <v>0</v>
      </c>
      <c r="L171" s="60">
        <f>K171*VLOOKUP(F171,$X$2:$Y$7,2,FALSE())</f>
        <v>0</v>
      </c>
      <c r="Q171" s="63">
        <f>Q165+G171-K171+M171-O171</f>
        <v>96</v>
      </c>
      <c r="R171" s="64">
        <f>R165+H171-L171+N171-O171*VLOOKUP(F171,$X$2:$Y$7,2,FALSE())</f>
        <v>1625</v>
      </c>
    </row>
    <row r="172" spans="6:18" ht="15" customHeight="1" x14ac:dyDescent="0.2">
      <c r="F172" s="54" t="s">
        <v>31</v>
      </c>
      <c r="H172" s="56">
        <f>G172*VLOOKUP(F172,$X$2:$Y$7,2,FALSE())</f>
        <v>0</v>
      </c>
      <c r="L172" s="60">
        <f>K172*VLOOKUP(F172,$X$2:$Y$7,2,FALSE())</f>
        <v>0</v>
      </c>
      <c r="Q172" s="63">
        <f>Q166+G172-K172+M172-O172</f>
        <v>18</v>
      </c>
      <c r="R172" s="64">
        <f>R166+H172-L172+N172-O172*VLOOKUP(F172,$X$2:$Y$7,2,FALSE())</f>
        <v>1710</v>
      </c>
    </row>
    <row r="173" spans="6:18" ht="15" customHeight="1" x14ac:dyDescent="0.2">
      <c r="F173" s="27" t="s">
        <v>32</v>
      </c>
    </row>
    <row r="174" spans="6:18" ht="15" customHeight="1" x14ac:dyDescent="0.2">
      <c r="F174" s="54" t="s">
        <v>3</v>
      </c>
      <c r="H174" s="56">
        <f>G174*VLOOKUP(F174,$X$2:$Y$7,2,FALSE())</f>
        <v>0</v>
      </c>
      <c r="L174" s="60">
        <f>K174*VLOOKUP(F174,$X$2:$Y$7,2,FALSE())</f>
        <v>0</v>
      </c>
      <c r="Q174" s="63">
        <f>Q168+G174-K174+M174-O174</f>
        <v>75</v>
      </c>
      <c r="R174" s="64">
        <f>R168+H174-L174+N174-O174*VLOOKUP(F174,$X$2:$Y$7,2,FALSE())</f>
        <v>1111</v>
      </c>
    </row>
    <row r="175" spans="6:18" ht="15" customHeight="1" x14ac:dyDescent="0.2">
      <c r="F175" s="54" t="s">
        <v>4</v>
      </c>
      <c r="H175" s="56">
        <f>G175*VLOOKUP(F175,$X$2:$Y$7,2,FALSE())</f>
        <v>0</v>
      </c>
      <c r="L175" s="60">
        <f>K175*VLOOKUP(F175,$X$2:$Y$7,2,FALSE())</f>
        <v>0</v>
      </c>
      <c r="Q175" s="63">
        <f>Q169+G175-K175+M175-O175</f>
        <v>11</v>
      </c>
      <c r="R175" s="64">
        <f>R169+H175-L175+N175-O175*VLOOKUP(F175,$X$2:$Y$7,2,FALSE())</f>
        <v>198</v>
      </c>
    </row>
    <row r="176" spans="6:18" ht="15" customHeight="1" x14ac:dyDescent="0.2">
      <c r="F176" s="54" t="s">
        <v>8</v>
      </c>
      <c r="H176" s="56">
        <f>G176*VLOOKUP(F176,$X$2:$Y$7,2,FALSE())</f>
        <v>0</v>
      </c>
      <c r="L176" s="60">
        <f>K176*VLOOKUP(F176,$X$2:$Y$7,2,FALSE())</f>
        <v>0</v>
      </c>
      <c r="Q176" s="63">
        <f>Q170+G176-K176+M176-O176</f>
        <v>12</v>
      </c>
      <c r="R176" s="64">
        <f>R170+H176-L176+N176-O176*VLOOKUP(F176,$X$2:$Y$7,2,FALSE())</f>
        <v>204</v>
      </c>
    </row>
    <row r="177" spans="6:18" ht="15" customHeight="1" x14ac:dyDescent="0.2">
      <c r="F177" s="54" t="s">
        <v>28</v>
      </c>
      <c r="H177" s="56">
        <f>G177*VLOOKUP(F177,$X$2:$Y$7,2,FALSE())</f>
        <v>0</v>
      </c>
      <c r="L177" s="60">
        <f>K177*VLOOKUP(F177,$X$2:$Y$7,2,FALSE())</f>
        <v>0</v>
      </c>
      <c r="Q177" s="63">
        <f>Q171+G177-K177+M177-O177</f>
        <v>96</v>
      </c>
      <c r="R177" s="64">
        <f>R171+H177-L177+N177-O177*VLOOKUP(F177,$X$2:$Y$7,2,FALSE())</f>
        <v>1625</v>
      </c>
    </row>
    <row r="178" spans="6:18" ht="15" customHeight="1" x14ac:dyDescent="0.2">
      <c r="F178" s="54" t="s">
        <v>31</v>
      </c>
      <c r="H178" s="56">
        <f>G178*VLOOKUP(F178,$X$2:$Y$7,2,FALSE())</f>
        <v>0</v>
      </c>
      <c r="L178" s="60">
        <f>K178*VLOOKUP(F178,$X$2:$Y$7,2,FALSE())</f>
        <v>0</v>
      </c>
      <c r="Q178" s="63">
        <f>Q172+G178-K178+M178-O178</f>
        <v>18</v>
      </c>
      <c r="R178" s="64">
        <f>R172+H178-L178+N178-O178*VLOOKUP(F178,$X$2:$Y$7,2,FALSE())</f>
        <v>1710</v>
      </c>
    </row>
    <row r="179" spans="6:18" ht="15" customHeight="1" x14ac:dyDescent="0.2">
      <c r="F179" s="27" t="s">
        <v>32</v>
      </c>
    </row>
    <row r="180" spans="6:18" ht="15" customHeight="1" x14ac:dyDescent="0.2">
      <c r="F180" s="54" t="s">
        <v>3</v>
      </c>
      <c r="H180" s="56">
        <f>G180*VLOOKUP(F180,$X$2:$Y$7,2,FALSE())</f>
        <v>0</v>
      </c>
      <c r="L180" s="60">
        <f>K180*VLOOKUP(F180,$X$2:$Y$7,2,FALSE())</f>
        <v>0</v>
      </c>
      <c r="Q180" s="63">
        <f>Q174+G180-K180+M180-O180</f>
        <v>75</v>
      </c>
      <c r="R180" s="64">
        <f>R174+H180-L180+N180-O180*VLOOKUP(F180,$X$2:$Y$7,2,FALSE())</f>
        <v>1111</v>
      </c>
    </row>
    <row r="181" spans="6:18" ht="15" customHeight="1" x14ac:dyDescent="0.2">
      <c r="F181" s="54" t="s">
        <v>4</v>
      </c>
      <c r="H181" s="56">
        <f>G181*VLOOKUP(F181,$X$2:$Y$7,2,FALSE())</f>
        <v>0</v>
      </c>
      <c r="L181" s="60">
        <f>K181*VLOOKUP(F181,$X$2:$Y$7,2,FALSE())</f>
        <v>0</v>
      </c>
      <c r="Q181" s="63">
        <f>Q175+G181-K181+M181-O181</f>
        <v>11</v>
      </c>
      <c r="R181" s="64">
        <f>R175+H181-L181+N181-O181*VLOOKUP(F181,$X$2:$Y$7,2,FALSE())</f>
        <v>198</v>
      </c>
    </row>
    <row r="182" spans="6:18" ht="15" customHeight="1" x14ac:dyDescent="0.2">
      <c r="F182" s="54" t="s">
        <v>8</v>
      </c>
      <c r="H182" s="56">
        <f>G182*VLOOKUP(F182,$X$2:$Y$7,2,FALSE())</f>
        <v>0</v>
      </c>
      <c r="L182" s="60">
        <f>K182*VLOOKUP(F182,$X$2:$Y$7,2,FALSE())</f>
        <v>0</v>
      </c>
      <c r="Q182" s="63">
        <f>Q176+G182-K182+M182-O182</f>
        <v>12</v>
      </c>
      <c r="R182" s="64">
        <f>R176+H182-L182+N182-O182*VLOOKUP(F182,$X$2:$Y$7,2,FALSE())</f>
        <v>204</v>
      </c>
    </row>
    <row r="183" spans="6:18" ht="15" customHeight="1" x14ac:dyDescent="0.2">
      <c r="F183" s="54" t="s">
        <v>28</v>
      </c>
      <c r="H183" s="56">
        <f>G183*VLOOKUP(F183,$X$2:$Y$7,2,FALSE())</f>
        <v>0</v>
      </c>
      <c r="L183" s="60">
        <f>K183*VLOOKUP(F183,$X$2:$Y$7,2,FALSE())</f>
        <v>0</v>
      </c>
      <c r="Q183" s="63">
        <f>Q177+G183-K183+M183-O183</f>
        <v>96</v>
      </c>
      <c r="R183" s="64">
        <f>R177+H183-L183+N183-O183*VLOOKUP(F183,$X$2:$Y$7,2,FALSE())</f>
        <v>1625</v>
      </c>
    </row>
    <row r="184" spans="6:18" ht="15" customHeight="1" x14ac:dyDescent="0.2">
      <c r="F184" s="54" t="s">
        <v>31</v>
      </c>
      <c r="H184" s="56">
        <f>G184*VLOOKUP(F184,$X$2:$Y$7,2,FALSE())</f>
        <v>0</v>
      </c>
      <c r="L184" s="60">
        <f>K184*VLOOKUP(F184,$X$2:$Y$7,2,FALSE())</f>
        <v>0</v>
      </c>
      <c r="Q184" s="63">
        <f>Q178+G184-K184+M184-O184</f>
        <v>18</v>
      </c>
      <c r="R184" s="64">
        <f>R178+H184-L184+N184-O184*VLOOKUP(F184,$X$2:$Y$7,2,FALSE())</f>
        <v>1710</v>
      </c>
    </row>
    <row r="185" spans="6:18" ht="15" customHeight="1" x14ac:dyDescent="0.2">
      <c r="F185" s="27" t="s">
        <v>32</v>
      </c>
    </row>
    <row r="186" spans="6:18" ht="15" customHeight="1" x14ac:dyDescent="0.2">
      <c r="F186" s="54" t="s">
        <v>3</v>
      </c>
      <c r="H186" s="56">
        <f>G186*VLOOKUP(F186,$X$2:$Y$7,2,FALSE())</f>
        <v>0</v>
      </c>
      <c r="L186" s="60">
        <f>K186*VLOOKUP(F186,$X$2:$Y$7,2,FALSE())</f>
        <v>0</v>
      </c>
      <c r="Q186" s="63">
        <f>Q180+G186-K186+M186-O186</f>
        <v>75</v>
      </c>
      <c r="R186" s="64">
        <f>R180+H186-L186+N186-O186*VLOOKUP(F186,$X$2:$Y$7,2,FALSE())</f>
        <v>1111</v>
      </c>
    </row>
    <row r="187" spans="6:18" ht="15" customHeight="1" x14ac:dyDescent="0.2">
      <c r="F187" s="54" t="s">
        <v>4</v>
      </c>
      <c r="H187" s="56">
        <f>G187*VLOOKUP(F187,$X$2:$Y$7,2,FALSE())</f>
        <v>0</v>
      </c>
      <c r="L187" s="60">
        <f>K187*VLOOKUP(F187,$X$2:$Y$7,2,FALSE())</f>
        <v>0</v>
      </c>
      <c r="Q187" s="63">
        <f>Q181+G187-K187+M187-O187</f>
        <v>11</v>
      </c>
      <c r="R187" s="64">
        <f>R181+H187-L187+N187-O187*VLOOKUP(F187,$X$2:$Y$7,2,FALSE())</f>
        <v>198</v>
      </c>
    </row>
    <row r="188" spans="6:18" ht="15" customHeight="1" x14ac:dyDescent="0.2">
      <c r="F188" s="54" t="s">
        <v>8</v>
      </c>
      <c r="H188" s="56">
        <f>G188*VLOOKUP(F188,$X$2:$Y$7,2,FALSE())</f>
        <v>0</v>
      </c>
      <c r="L188" s="60">
        <f>K188*VLOOKUP(F188,$X$2:$Y$7,2,FALSE())</f>
        <v>0</v>
      </c>
      <c r="Q188" s="63">
        <f>Q182+G188-K188+M188-O188</f>
        <v>12</v>
      </c>
      <c r="R188" s="64">
        <f>R182+H188-L188+N188-O188*VLOOKUP(F188,$X$2:$Y$7,2,FALSE())</f>
        <v>204</v>
      </c>
    </row>
    <row r="189" spans="6:18" ht="15" customHeight="1" x14ac:dyDescent="0.2">
      <c r="F189" s="54" t="s">
        <v>28</v>
      </c>
      <c r="H189" s="56">
        <f>G189*VLOOKUP(F189,$X$2:$Y$7,2,FALSE())</f>
        <v>0</v>
      </c>
      <c r="L189" s="60">
        <f>K189*VLOOKUP(F189,$X$2:$Y$7,2,FALSE())</f>
        <v>0</v>
      </c>
      <c r="Q189" s="63">
        <f>Q183+G189-K189+M189-O189</f>
        <v>96</v>
      </c>
      <c r="R189" s="64">
        <f>R183+H189-L189+N189-O189*VLOOKUP(F189,$X$2:$Y$7,2,FALSE())</f>
        <v>1625</v>
      </c>
    </row>
    <row r="190" spans="6:18" ht="15" customHeight="1" x14ac:dyDescent="0.2">
      <c r="F190" s="54" t="s">
        <v>31</v>
      </c>
      <c r="H190" s="56">
        <f>G190*VLOOKUP(F190,$X$2:$Y$7,2,FALSE())</f>
        <v>0</v>
      </c>
      <c r="L190" s="60">
        <f>K190*VLOOKUP(F190,$X$2:$Y$7,2,FALSE())</f>
        <v>0</v>
      </c>
      <c r="Q190" s="63">
        <f>Q184+G190-K190+M190-O190</f>
        <v>18</v>
      </c>
      <c r="R190" s="64">
        <f>R184+H190-L190+N190-O190*VLOOKUP(F190,$X$2:$Y$7,2,FALSE())</f>
        <v>1710</v>
      </c>
    </row>
    <row r="191" spans="6:18" ht="15" customHeight="1" x14ac:dyDescent="0.2">
      <c r="F191" s="27" t="s">
        <v>32</v>
      </c>
    </row>
    <row r="192" spans="6:18" ht="15" customHeight="1" x14ac:dyDescent="0.2">
      <c r="F192" s="54" t="s">
        <v>3</v>
      </c>
      <c r="H192" s="56">
        <f>G192*VLOOKUP(F192,$X$2:$Y$7,2,FALSE())</f>
        <v>0</v>
      </c>
      <c r="L192" s="60">
        <f>K192*VLOOKUP(F192,$X$2:$Y$7,2,FALSE())</f>
        <v>0</v>
      </c>
      <c r="Q192" s="63">
        <f>Q186+G192-K192+M192-O192</f>
        <v>75</v>
      </c>
      <c r="R192" s="64">
        <f>R186+H192-L192+N192-O192*VLOOKUP(F192,$X$2:$Y$7,2,FALSE())</f>
        <v>1111</v>
      </c>
    </row>
    <row r="193" spans="6:18" ht="15" customHeight="1" x14ac:dyDescent="0.2">
      <c r="F193" s="54" t="s">
        <v>4</v>
      </c>
      <c r="H193" s="56">
        <f>G193*VLOOKUP(F193,$X$2:$Y$7,2,FALSE())</f>
        <v>0</v>
      </c>
      <c r="L193" s="60">
        <f>K193*VLOOKUP(F193,$X$2:$Y$7,2,FALSE())</f>
        <v>0</v>
      </c>
      <c r="Q193" s="63">
        <f>Q187+G193-K193+M193-O193</f>
        <v>11</v>
      </c>
      <c r="R193" s="64">
        <f>R187+H193-L193+N193-O193*VLOOKUP(F193,$X$2:$Y$7,2,FALSE())</f>
        <v>198</v>
      </c>
    </row>
    <row r="194" spans="6:18" ht="15" customHeight="1" x14ac:dyDescent="0.2">
      <c r="F194" s="54" t="s">
        <v>8</v>
      </c>
      <c r="H194" s="56">
        <f>G194*VLOOKUP(F194,$X$2:$Y$7,2,FALSE())</f>
        <v>0</v>
      </c>
      <c r="L194" s="60">
        <f>K194*VLOOKUP(F194,$X$2:$Y$7,2,FALSE())</f>
        <v>0</v>
      </c>
      <c r="Q194" s="63">
        <f>Q188+G194-K194+M194-O194</f>
        <v>12</v>
      </c>
      <c r="R194" s="64">
        <f>R188+H194-L194+N194-O194*VLOOKUP(F194,$X$2:$Y$7,2,FALSE())</f>
        <v>204</v>
      </c>
    </row>
    <row r="195" spans="6:18" ht="15" customHeight="1" x14ac:dyDescent="0.2">
      <c r="F195" s="54" t="s">
        <v>28</v>
      </c>
      <c r="H195" s="56">
        <f>G195*VLOOKUP(F195,$X$2:$Y$7,2,FALSE())</f>
        <v>0</v>
      </c>
      <c r="L195" s="60">
        <f>K195*VLOOKUP(F195,$X$2:$Y$7,2,FALSE())</f>
        <v>0</v>
      </c>
      <c r="Q195" s="63">
        <f>Q189+G195-K195+M195-O195</f>
        <v>96</v>
      </c>
      <c r="R195" s="64">
        <f>R189+H195-L195+N195-O195*VLOOKUP(F195,$X$2:$Y$7,2,FALSE())</f>
        <v>1625</v>
      </c>
    </row>
    <row r="196" spans="6:18" ht="15" customHeight="1" x14ac:dyDescent="0.2">
      <c r="F196" s="54" t="s">
        <v>31</v>
      </c>
      <c r="H196" s="56">
        <f>G196*VLOOKUP(F196,$X$2:$Y$7,2,FALSE())</f>
        <v>0</v>
      </c>
      <c r="L196" s="60">
        <f>K196*VLOOKUP(F196,$X$2:$Y$7,2,FALSE())</f>
        <v>0</v>
      </c>
      <c r="Q196" s="63">
        <f>Q190+G196-K196+M196-O196</f>
        <v>18</v>
      </c>
      <c r="R196" s="64">
        <f>R190+H196-L196+N196-O196*VLOOKUP(F196,$X$2:$Y$7,2,FALSE())</f>
        <v>1710</v>
      </c>
    </row>
    <row r="197" spans="6:18" ht="15" customHeight="1" x14ac:dyDescent="0.2">
      <c r="F197" s="27" t="s">
        <v>32</v>
      </c>
    </row>
    <row r="198" spans="6:18" ht="15" customHeight="1" x14ac:dyDescent="0.2">
      <c r="F198" s="54" t="s">
        <v>3</v>
      </c>
      <c r="H198" s="56">
        <f>G198*VLOOKUP(F198,$X$2:$Y$7,2,FALSE())</f>
        <v>0</v>
      </c>
      <c r="L198" s="60">
        <f>K198*VLOOKUP(F198,$X$2:$Y$7,2,FALSE())</f>
        <v>0</v>
      </c>
      <c r="Q198" s="63">
        <f>Q192+G198-K198+M198-O198</f>
        <v>75</v>
      </c>
      <c r="R198" s="64">
        <f>R192+H198-L198+N198-O198*VLOOKUP(F198,$X$2:$Y$7,2,FALSE())</f>
        <v>1111</v>
      </c>
    </row>
    <row r="199" spans="6:18" ht="15" customHeight="1" x14ac:dyDescent="0.2">
      <c r="F199" s="54" t="s">
        <v>4</v>
      </c>
      <c r="H199" s="56">
        <f>G199*VLOOKUP(F199,$X$2:$Y$7,2,FALSE())</f>
        <v>0</v>
      </c>
      <c r="L199" s="60">
        <f>K199*VLOOKUP(F199,$X$2:$Y$7,2,FALSE())</f>
        <v>0</v>
      </c>
      <c r="Q199" s="63">
        <f>Q193+G199-K199+M199-O199</f>
        <v>11</v>
      </c>
      <c r="R199" s="64">
        <f>R193+H199-L199+N199-O199*VLOOKUP(F199,$X$2:$Y$7,2,FALSE())</f>
        <v>198</v>
      </c>
    </row>
    <row r="200" spans="6:18" ht="15" customHeight="1" x14ac:dyDescent="0.2">
      <c r="F200" s="54" t="s">
        <v>8</v>
      </c>
      <c r="H200" s="56">
        <f>G200*VLOOKUP(F200,$X$2:$Y$7,2,FALSE())</f>
        <v>0</v>
      </c>
      <c r="L200" s="60">
        <f>K200*VLOOKUP(F200,$X$2:$Y$7,2,FALSE())</f>
        <v>0</v>
      </c>
      <c r="Q200" s="63">
        <f>Q194+G200-K200+M200-O200</f>
        <v>12</v>
      </c>
      <c r="R200" s="64">
        <f>R194+H200-L200+N200-O200*VLOOKUP(F200,$X$2:$Y$7,2,FALSE())</f>
        <v>204</v>
      </c>
    </row>
    <row r="201" spans="6:18" ht="15" customHeight="1" x14ac:dyDescent="0.2">
      <c r="F201" s="54" t="s">
        <v>28</v>
      </c>
      <c r="H201" s="56">
        <f>G201*VLOOKUP(F201,$X$2:$Y$7,2,FALSE())</f>
        <v>0</v>
      </c>
      <c r="L201" s="60">
        <f>K201*VLOOKUP(F201,$X$2:$Y$7,2,FALSE())</f>
        <v>0</v>
      </c>
      <c r="Q201" s="63">
        <f>Q195+G201-K201+M201-O201</f>
        <v>96</v>
      </c>
      <c r="R201" s="64">
        <f>R195+H201-L201+N201-O201*VLOOKUP(F201,$X$2:$Y$7,2,FALSE())</f>
        <v>1625</v>
      </c>
    </row>
    <row r="202" spans="6:18" ht="15" customHeight="1" x14ac:dyDescent="0.2">
      <c r="F202" s="54" t="s">
        <v>31</v>
      </c>
      <c r="H202" s="56">
        <f>G202*VLOOKUP(F202,$X$2:$Y$7,2,FALSE())</f>
        <v>0</v>
      </c>
      <c r="L202" s="60">
        <f>K202*VLOOKUP(F202,$X$2:$Y$7,2,FALSE())</f>
        <v>0</v>
      </c>
      <c r="Q202" s="63">
        <f>Q196+G202-K202+M202-O202</f>
        <v>18</v>
      </c>
      <c r="R202" s="64">
        <f>R196+H202-L202+N202-O202*VLOOKUP(F202,$X$2:$Y$7,2,FALSE())</f>
        <v>1710</v>
      </c>
    </row>
    <row r="203" spans="6:18" ht="15" customHeight="1" x14ac:dyDescent="0.2">
      <c r="F203" s="27" t="s">
        <v>32</v>
      </c>
    </row>
    <row r="204" spans="6:18" ht="15" customHeight="1" x14ac:dyDescent="0.2">
      <c r="F204" s="54" t="s">
        <v>3</v>
      </c>
      <c r="H204" s="56">
        <f>G204*VLOOKUP(F204,$X$2:$Y$7,2,FALSE())</f>
        <v>0</v>
      </c>
      <c r="L204" s="60">
        <f>K204*VLOOKUP(F204,$X$2:$Y$7,2,FALSE())</f>
        <v>0</v>
      </c>
      <c r="Q204" s="63">
        <f>Q198+G204-K204+M204-O204</f>
        <v>75</v>
      </c>
      <c r="R204" s="64">
        <f>R198+H204-L204+N204-O204*VLOOKUP(F204,$X$2:$Y$7,2,FALSE())</f>
        <v>1111</v>
      </c>
    </row>
    <row r="205" spans="6:18" ht="15" customHeight="1" x14ac:dyDescent="0.2">
      <c r="F205" s="54" t="s">
        <v>4</v>
      </c>
      <c r="H205" s="56">
        <f>G205*VLOOKUP(F205,$X$2:$Y$7,2,FALSE())</f>
        <v>0</v>
      </c>
      <c r="L205" s="60">
        <f>K205*VLOOKUP(F205,$X$2:$Y$7,2,FALSE())</f>
        <v>0</v>
      </c>
      <c r="Q205" s="63">
        <f>Q199+G205-K205+M205-O205</f>
        <v>11</v>
      </c>
      <c r="R205" s="64">
        <f>R199+H205-L205+N205-O205*VLOOKUP(F205,$X$2:$Y$7,2,FALSE())</f>
        <v>198</v>
      </c>
    </row>
    <row r="206" spans="6:18" ht="15" customHeight="1" x14ac:dyDescent="0.2">
      <c r="F206" s="54" t="s">
        <v>8</v>
      </c>
      <c r="H206" s="56">
        <f>G206*VLOOKUP(F206,$X$2:$Y$7,2,FALSE())</f>
        <v>0</v>
      </c>
      <c r="L206" s="60">
        <f>K206*VLOOKUP(F206,$X$2:$Y$7,2,FALSE())</f>
        <v>0</v>
      </c>
      <c r="Q206" s="63">
        <f>Q200+G206-K206+M206-O206</f>
        <v>12</v>
      </c>
      <c r="R206" s="64">
        <f>R200+H206-L206+N206-O206*VLOOKUP(F206,$X$2:$Y$7,2,FALSE())</f>
        <v>204</v>
      </c>
    </row>
    <row r="207" spans="6:18" ht="15" customHeight="1" x14ac:dyDescent="0.2">
      <c r="F207" s="54" t="s">
        <v>28</v>
      </c>
      <c r="H207" s="56">
        <f>G207*VLOOKUP(F207,$X$2:$Y$7,2,FALSE())</f>
        <v>0</v>
      </c>
      <c r="L207" s="60">
        <f>K207*VLOOKUP(F207,$X$2:$Y$7,2,FALSE())</f>
        <v>0</v>
      </c>
      <c r="Q207" s="63">
        <f>Q201+G207-K207+M207-O207</f>
        <v>96</v>
      </c>
      <c r="R207" s="64">
        <f>R201+H207-L207+N207-O207*VLOOKUP(F207,$X$2:$Y$7,2,FALSE())</f>
        <v>1625</v>
      </c>
    </row>
    <row r="208" spans="6:18" ht="15" customHeight="1" x14ac:dyDescent="0.2">
      <c r="F208" s="54" t="s">
        <v>31</v>
      </c>
      <c r="H208" s="56">
        <f>G208*VLOOKUP(F208,$X$2:$Y$7,2,FALSE())</f>
        <v>0</v>
      </c>
      <c r="L208" s="60">
        <f>K208*VLOOKUP(F208,$X$2:$Y$7,2,FALSE())</f>
        <v>0</v>
      </c>
      <c r="Q208" s="63">
        <f>Q202+G208-K208+M208-O208</f>
        <v>18</v>
      </c>
      <c r="R208" s="64">
        <f>R202+H208-L208+N208-O208*VLOOKUP(F208,$X$2:$Y$7,2,FALSE())</f>
        <v>1710</v>
      </c>
    </row>
    <row r="209" spans="6:18" ht="15" customHeight="1" x14ac:dyDescent="0.2">
      <c r="F209" s="27" t="s">
        <v>32</v>
      </c>
    </row>
    <row r="210" spans="6:18" ht="15" customHeight="1" x14ac:dyDescent="0.2">
      <c r="F210" s="54" t="s">
        <v>3</v>
      </c>
      <c r="H210" s="56">
        <f>G210*VLOOKUP(F210,$X$2:$Y$7,2,FALSE())</f>
        <v>0</v>
      </c>
      <c r="L210" s="60">
        <f>K210*VLOOKUP(F210,$X$2:$Y$7,2,FALSE())</f>
        <v>0</v>
      </c>
      <c r="Q210" s="63">
        <f>Q204+G210-K210+M210-O210</f>
        <v>75</v>
      </c>
      <c r="R210" s="64">
        <f>R204+H210-L210+N210-O210*VLOOKUP(F210,$X$2:$Y$7,2,FALSE())</f>
        <v>1111</v>
      </c>
    </row>
    <row r="211" spans="6:18" ht="15" customHeight="1" x14ac:dyDescent="0.2">
      <c r="F211" s="54" t="s">
        <v>4</v>
      </c>
      <c r="H211" s="56">
        <f>G211*VLOOKUP(F211,$X$2:$Y$7,2,FALSE())</f>
        <v>0</v>
      </c>
      <c r="L211" s="60">
        <f>K211*VLOOKUP(F211,$X$2:$Y$7,2,FALSE())</f>
        <v>0</v>
      </c>
      <c r="Q211" s="63">
        <f>Q205+G211-K211+M211-O211</f>
        <v>11</v>
      </c>
      <c r="R211" s="64">
        <f>R205+H211-L211+N211-O211*VLOOKUP(F211,$X$2:$Y$7,2,FALSE())</f>
        <v>198</v>
      </c>
    </row>
    <row r="212" spans="6:18" ht="15" customHeight="1" x14ac:dyDescent="0.2">
      <c r="F212" s="54" t="s">
        <v>8</v>
      </c>
      <c r="H212" s="56">
        <f>G212*VLOOKUP(F212,$X$2:$Y$7,2,FALSE())</f>
        <v>0</v>
      </c>
      <c r="L212" s="60">
        <f>K212*VLOOKUP(F212,$X$2:$Y$7,2,FALSE())</f>
        <v>0</v>
      </c>
      <c r="Q212" s="63">
        <f>Q206+G212-K212+M212-O212</f>
        <v>12</v>
      </c>
      <c r="R212" s="64">
        <f>R206+H212-L212+N212-O212*VLOOKUP(F212,$X$2:$Y$7,2,FALSE())</f>
        <v>204</v>
      </c>
    </row>
    <row r="213" spans="6:18" ht="15" customHeight="1" x14ac:dyDescent="0.2">
      <c r="F213" s="54" t="s">
        <v>28</v>
      </c>
      <c r="H213" s="56">
        <f>G213*VLOOKUP(F213,$X$2:$Y$7,2,FALSE())</f>
        <v>0</v>
      </c>
      <c r="L213" s="60">
        <f>K213*VLOOKUP(F213,$X$2:$Y$7,2,FALSE())</f>
        <v>0</v>
      </c>
      <c r="Q213" s="63">
        <f>Q207+G213-K213+M213-O213</f>
        <v>96</v>
      </c>
      <c r="R213" s="64">
        <f>R207+H213-L213+N213-O213*VLOOKUP(F213,$X$2:$Y$7,2,FALSE())</f>
        <v>1625</v>
      </c>
    </row>
    <row r="214" spans="6:18" ht="15" customHeight="1" x14ac:dyDescent="0.2">
      <c r="F214" s="54" t="s">
        <v>31</v>
      </c>
      <c r="H214" s="56">
        <f>G214*VLOOKUP(F214,$X$2:$Y$7,2,FALSE())</f>
        <v>0</v>
      </c>
      <c r="L214" s="60">
        <f>K214*VLOOKUP(F214,$X$2:$Y$7,2,FALSE())</f>
        <v>0</v>
      </c>
      <c r="Q214" s="63">
        <f>Q208+G214-K214+M214-O214</f>
        <v>18</v>
      </c>
      <c r="R214" s="64">
        <f>R208+H214-L214+N214-O214*VLOOKUP(F214,$X$2:$Y$7,2,FALSE())</f>
        <v>1710</v>
      </c>
    </row>
    <row r="215" spans="6:18" ht="15" customHeight="1" x14ac:dyDescent="0.2">
      <c r="F215" s="27" t="s">
        <v>32</v>
      </c>
    </row>
    <row r="216" spans="6:18" ht="15" customHeight="1" x14ac:dyDescent="0.2">
      <c r="F216" s="54" t="s">
        <v>3</v>
      </c>
      <c r="H216" s="56">
        <f>G216*VLOOKUP(F216,$X$2:$Y$7,2,FALSE())</f>
        <v>0</v>
      </c>
      <c r="L216" s="60">
        <f>K216*VLOOKUP(F216,$X$2:$Y$7,2,FALSE())</f>
        <v>0</v>
      </c>
      <c r="Q216" s="63">
        <f>Q210+G216-K216+M216-O216</f>
        <v>75</v>
      </c>
      <c r="R216" s="64">
        <f>R210+H216-L216+N216-O216*VLOOKUP(F216,$X$2:$Y$7,2,FALSE())</f>
        <v>1111</v>
      </c>
    </row>
    <row r="217" spans="6:18" ht="15" customHeight="1" x14ac:dyDescent="0.2">
      <c r="F217" s="54" t="s">
        <v>4</v>
      </c>
      <c r="H217" s="56">
        <f>G217*VLOOKUP(F217,$X$2:$Y$7,2,FALSE())</f>
        <v>0</v>
      </c>
      <c r="L217" s="60">
        <f>K217*VLOOKUP(F217,$X$2:$Y$7,2,FALSE())</f>
        <v>0</v>
      </c>
      <c r="Q217" s="63">
        <f>Q211+G217-K217+M217-O217</f>
        <v>11</v>
      </c>
      <c r="R217" s="64">
        <f>R211+H217-L217+N217-O217*VLOOKUP(F217,$X$2:$Y$7,2,FALSE())</f>
        <v>198</v>
      </c>
    </row>
    <row r="218" spans="6:18" ht="15" customHeight="1" x14ac:dyDescent="0.2">
      <c r="F218" s="54" t="s">
        <v>8</v>
      </c>
      <c r="H218" s="56">
        <f>G218*VLOOKUP(F218,$X$2:$Y$7,2,FALSE())</f>
        <v>0</v>
      </c>
      <c r="L218" s="60">
        <f>K218*VLOOKUP(F218,$X$2:$Y$7,2,FALSE())</f>
        <v>0</v>
      </c>
      <c r="Q218" s="63">
        <f>Q212+G218-K218+M218-O218</f>
        <v>12</v>
      </c>
      <c r="R218" s="64">
        <f>R212+H218-L218+N218-O218*VLOOKUP(F218,$X$2:$Y$7,2,FALSE())</f>
        <v>204</v>
      </c>
    </row>
    <row r="219" spans="6:18" ht="15" customHeight="1" x14ac:dyDescent="0.2">
      <c r="F219" s="54" t="s">
        <v>28</v>
      </c>
      <c r="H219" s="56">
        <f>G219*VLOOKUP(F219,$X$2:$Y$7,2,FALSE())</f>
        <v>0</v>
      </c>
      <c r="L219" s="60">
        <f>K219*VLOOKUP(F219,$X$2:$Y$7,2,FALSE())</f>
        <v>0</v>
      </c>
      <c r="Q219" s="63">
        <f>Q213+G219-K219+M219-O219</f>
        <v>96</v>
      </c>
      <c r="R219" s="64">
        <f>R213+H219-L219+N219-O219*VLOOKUP(F219,$X$2:$Y$7,2,FALSE())</f>
        <v>1625</v>
      </c>
    </row>
    <row r="220" spans="6:18" ht="15" customHeight="1" x14ac:dyDescent="0.2">
      <c r="F220" s="54" t="s">
        <v>31</v>
      </c>
      <c r="H220" s="56">
        <f>G220*VLOOKUP(F220,$X$2:$Y$7,2,FALSE())</f>
        <v>0</v>
      </c>
      <c r="L220" s="60">
        <f>K220*VLOOKUP(F220,$X$2:$Y$7,2,FALSE())</f>
        <v>0</v>
      </c>
      <c r="Q220" s="63">
        <f>Q214+G220-K220+M220-O220</f>
        <v>18</v>
      </c>
      <c r="R220" s="64">
        <f>R214+H220-L220+N220-O220*VLOOKUP(F220,$X$2:$Y$7,2,FALSE())</f>
        <v>1710</v>
      </c>
    </row>
    <row r="221" spans="6:18" ht="15" customHeight="1" x14ac:dyDescent="0.2">
      <c r="F221" s="27" t="s">
        <v>32</v>
      </c>
    </row>
    <row r="222" spans="6:18" ht="15" customHeight="1" x14ac:dyDescent="0.2">
      <c r="F222" s="54" t="s">
        <v>3</v>
      </c>
      <c r="H222" s="56">
        <f>G222*VLOOKUP(F222,$X$2:$Y$7,2,FALSE())</f>
        <v>0</v>
      </c>
      <c r="L222" s="60">
        <f>K222*VLOOKUP(F222,$X$2:$Y$7,2,FALSE())</f>
        <v>0</v>
      </c>
      <c r="Q222" s="63">
        <f>Q216+G222-K222+M222-O222</f>
        <v>75</v>
      </c>
      <c r="R222" s="64">
        <f>R216+H222-L222+N222-O222*VLOOKUP(F222,$X$2:$Y$7,2,FALSE())</f>
        <v>1111</v>
      </c>
    </row>
    <row r="223" spans="6:18" ht="15" customHeight="1" x14ac:dyDescent="0.2">
      <c r="F223" s="54" t="s">
        <v>4</v>
      </c>
      <c r="H223" s="56">
        <f>G223*VLOOKUP(F223,$X$2:$Y$7,2,FALSE())</f>
        <v>0</v>
      </c>
      <c r="L223" s="60">
        <f>K223*VLOOKUP(F223,$X$2:$Y$7,2,FALSE())</f>
        <v>0</v>
      </c>
      <c r="Q223" s="63">
        <f>Q217+G223-K223+M223-O223</f>
        <v>11</v>
      </c>
      <c r="R223" s="64">
        <f>R217+H223-L223+N223-O223*VLOOKUP(F223,$X$2:$Y$7,2,FALSE())</f>
        <v>198</v>
      </c>
    </row>
    <row r="224" spans="6:18" ht="15" customHeight="1" x14ac:dyDescent="0.2">
      <c r="F224" s="54" t="s">
        <v>8</v>
      </c>
      <c r="H224" s="56">
        <f>G224*VLOOKUP(F224,$X$2:$Y$7,2,FALSE())</f>
        <v>0</v>
      </c>
      <c r="L224" s="60">
        <f>K224*VLOOKUP(F224,$X$2:$Y$7,2,FALSE())</f>
        <v>0</v>
      </c>
      <c r="Q224" s="63">
        <f>Q218+G224-K224+M224-O224</f>
        <v>12</v>
      </c>
      <c r="R224" s="64">
        <f>R218+H224-L224+N224-O224*VLOOKUP(F224,$X$2:$Y$7,2,FALSE())</f>
        <v>204</v>
      </c>
    </row>
    <row r="225" spans="6:18" ht="15" customHeight="1" x14ac:dyDescent="0.2">
      <c r="F225" s="54" t="s">
        <v>28</v>
      </c>
      <c r="H225" s="56">
        <f>G225*VLOOKUP(F225,$X$2:$Y$7,2,FALSE())</f>
        <v>0</v>
      </c>
      <c r="L225" s="60">
        <f>K225*VLOOKUP(F225,$X$2:$Y$7,2,FALSE())</f>
        <v>0</v>
      </c>
      <c r="Q225" s="63">
        <f>Q219+G225-K225+M225-O225</f>
        <v>96</v>
      </c>
      <c r="R225" s="64">
        <f>R219+H225-L225+N225-O225*VLOOKUP(F225,$X$2:$Y$7,2,FALSE())</f>
        <v>1625</v>
      </c>
    </row>
    <row r="226" spans="6:18" ht="15" customHeight="1" x14ac:dyDescent="0.2">
      <c r="F226" s="54" t="s">
        <v>31</v>
      </c>
      <c r="H226" s="56">
        <f>G226*VLOOKUP(F226,$X$2:$Y$7,2,FALSE())</f>
        <v>0</v>
      </c>
      <c r="L226" s="60">
        <f>K226*VLOOKUP(F226,$X$2:$Y$7,2,FALSE())</f>
        <v>0</v>
      </c>
      <c r="Q226" s="63">
        <f>Q220+G226-K226+M226-O226</f>
        <v>18</v>
      </c>
      <c r="R226" s="64">
        <f>R220+H226-L226+N226-O226*VLOOKUP(F226,$X$2:$Y$7,2,FALSE())</f>
        <v>1710</v>
      </c>
    </row>
    <row r="227" spans="6:18" ht="15" customHeight="1" x14ac:dyDescent="0.2">
      <c r="F227" s="27" t="s">
        <v>32</v>
      </c>
    </row>
    <row r="228" spans="6:18" ht="15" customHeight="1" x14ac:dyDescent="0.2">
      <c r="F228" s="54" t="s">
        <v>3</v>
      </c>
      <c r="H228" s="56">
        <f>G228*VLOOKUP(F228,$X$2:$Y$7,2,FALSE())</f>
        <v>0</v>
      </c>
      <c r="L228" s="60">
        <f>K228*VLOOKUP(F228,$X$2:$Y$7,2,FALSE())</f>
        <v>0</v>
      </c>
      <c r="Q228" s="63">
        <f>Q222+G228-K228+M228-O228</f>
        <v>75</v>
      </c>
      <c r="R228" s="64">
        <f>R222+H228-L228+N228-O228*VLOOKUP(F228,$X$2:$Y$7,2,FALSE())</f>
        <v>1111</v>
      </c>
    </row>
    <row r="229" spans="6:18" ht="15" customHeight="1" x14ac:dyDescent="0.2">
      <c r="F229" s="54" t="s">
        <v>4</v>
      </c>
      <c r="H229" s="56">
        <f>G229*VLOOKUP(F229,$X$2:$Y$7,2,FALSE())</f>
        <v>0</v>
      </c>
      <c r="L229" s="60">
        <f>K229*VLOOKUP(F229,$X$2:$Y$7,2,FALSE())</f>
        <v>0</v>
      </c>
      <c r="Q229" s="63">
        <f>Q223+G229-K229+M229-O229</f>
        <v>11</v>
      </c>
      <c r="R229" s="64">
        <f>R223+H229-L229+N229-O229*VLOOKUP(F229,$X$2:$Y$7,2,FALSE())</f>
        <v>198</v>
      </c>
    </row>
    <row r="230" spans="6:18" ht="15" customHeight="1" x14ac:dyDescent="0.2">
      <c r="F230" s="54" t="s">
        <v>8</v>
      </c>
      <c r="H230" s="56">
        <f>G230*VLOOKUP(F230,$X$2:$Y$7,2,FALSE())</f>
        <v>0</v>
      </c>
      <c r="L230" s="60">
        <f>K230*VLOOKUP(F230,$X$2:$Y$7,2,FALSE())</f>
        <v>0</v>
      </c>
      <c r="Q230" s="63">
        <f>Q224+G230-K230+M230-O230</f>
        <v>12</v>
      </c>
      <c r="R230" s="64">
        <f>R224+H230-L230+N230-O230*VLOOKUP(F230,$X$2:$Y$7,2,FALSE())</f>
        <v>204</v>
      </c>
    </row>
    <row r="231" spans="6:18" ht="15" customHeight="1" x14ac:dyDescent="0.2">
      <c r="F231" s="54" t="s">
        <v>28</v>
      </c>
      <c r="H231" s="56">
        <f>G231*VLOOKUP(F231,$X$2:$Y$7,2,FALSE())</f>
        <v>0</v>
      </c>
      <c r="L231" s="60">
        <f>K231*VLOOKUP(F231,$X$2:$Y$7,2,FALSE())</f>
        <v>0</v>
      </c>
      <c r="Q231" s="63">
        <f>Q225+G231-K231+M231-O231</f>
        <v>96</v>
      </c>
      <c r="R231" s="64">
        <f>R225+H231-L231+N231-O231*VLOOKUP(F231,$X$2:$Y$7,2,FALSE())</f>
        <v>1625</v>
      </c>
    </row>
    <row r="232" spans="6:18" ht="15" customHeight="1" x14ac:dyDescent="0.2">
      <c r="F232" s="54" t="s">
        <v>31</v>
      </c>
      <c r="H232" s="56">
        <f>G232*VLOOKUP(F232,$X$2:$Y$7,2,FALSE())</f>
        <v>0</v>
      </c>
      <c r="L232" s="60">
        <f>K232*VLOOKUP(F232,$X$2:$Y$7,2,FALSE())</f>
        <v>0</v>
      </c>
      <c r="Q232" s="63">
        <f>Q226+G232-K232+M232-O232</f>
        <v>18</v>
      </c>
      <c r="R232" s="64">
        <f>R226+H232-L232+N232-O232*VLOOKUP(F232,$X$2:$Y$7,2,FALSE())</f>
        <v>1710</v>
      </c>
    </row>
    <row r="233" spans="6:18" ht="15" customHeight="1" x14ac:dyDescent="0.2">
      <c r="F233" s="27" t="s">
        <v>32</v>
      </c>
    </row>
    <row r="234" spans="6:18" ht="15" customHeight="1" x14ac:dyDescent="0.2">
      <c r="F234" s="54" t="s">
        <v>3</v>
      </c>
      <c r="H234" s="56">
        <f>G234*VLOOKUP(F234,$X$2:$Y$7,2,FALSE())</f>
        <v>0</v>
      </c>
      <c r="L234" s="60">
        <f>K234*VLOOKUP(F234,$X$2:$Y$7,2,FALSE())</f>
        <v>0</v>
      </c>
      <c r="Q234" s="63">
        <f>Q228+G234-K234+M234-O234</f>
        <v>75</v>
      </c>
      <c r="R234" s="64">
        <f>R228+H234-L234+N234-O234*VLOOKUP(F234,$X$2:$Y$7,2,FALSE())</f>
        <v>1111</v>
      </c>
    </row>
    <row r="235" spans="6:18" ht="15" customHeight="1" x14ac:dyDescent="0.2">
      <c r="F235" s="54" t="s">
        <v>4</v>
      </c>
      <c r="H235" s="56">
        <f>G235*VLOOKUP(F235,$X$2:$Y$7,2,FALSE())</f>
        <v>0</v>
      </c>
      <c r="L235" s="60">
        <f>K235*VLOOKUP(F235,$X$2:$Y$7,2,FALSE())</f>
        <v>0</v>
      </c>
      <c r="Q235" s="63">
        <f>Q229+G235-K235+M235-O235</f>
        <v>11</v>
      </c>
      <c r="R235" s="64">
        <f>R229+H235-L235+N235-O235*VLOOKUP(F235,$X$2:$Y$7,2,FALSE())</f>
        <v>198</v>
      </c>
    </row>
    <row r="236" spans="6:18" ht="15" customHeight="1" x14ac:dyDescent="0.2">
      <c r="F236" s="54" t="s">
        <v>8</v>
      </c>
      <c r="H236" s="56">
        <f>G236*VLOOKUP(F236,$X$2:$Y$7,2,FALSE())</f>
        <v>0</v>
      </c>
      <c r="L236" s="60">
        <f>K236*VLOOKUP(F236,$X$2:$Y$7,2,FALSE())</f>
        <v>0</v>
      </c>
      <c r="Q236" s="63">
        <f>Q230+G236-K236+M236-O236</f>
        <v>12</v>
      </c>
      <c r="R236" s="64">
        <f>R230+H236-L236+N236-O236*VLOOKUP(F236,$X$2:$Y$7,2,FALSE())</f>
        <v>204</v>
      </c>
    </row>
    <row r="237" spans="6:18" ht="15" customHeight="1" x14ac:dyDescent="0.2">
      <c r="F237" s="54" t="s">
        <v>28</v>
      </c>
      <c r="H237" s="56">
        <f>G237*VLOOKUP(F237,$X$2:$Y$7,2,FALSE())</f>
        <v>0</v>
      </c>
      <c r="L237" s="60">
        <f>K237*VLOOKUP(F237,$X$2:$Y$7,2,FALSE())</f>
        <v>0</v>
      </c>
      <c r="Q237" s="63">
        <f>Q231+G237-K237+M237-O237</f>
        <v>96</v>
      </c>
      <c r="R237" s="64">
        <f>R231+H237-L237+N237-O237*VLOOKUP(F237,$X$2:$Y$7,2,FALSE())</f>
        <v>1625</v>
      </c>
    </row>
    <row r="238" spans="6:18" ht="15" customHeight="1" x14ac:dyDescent="0.2">
      <c r="F238" s="54" t="s">
        <v>31</v>
      </c>
      <c r="H238" s="56">
        <f>G238*VLOOKUP(F238,$X$2:$Y$7,2,FALSE())</f>
        <v>0</v>
      </c>
      <c r="L238" s="60">
        <f>K238*VLOOKUP(F238,$X$2:$Y$7,2,FALSE())</f>
        <v>0</v>
      </c>
      <c r="Q238" s="63">
        <f>Q232+G238-K238+M238-O238</f>
        <v>18</v>
      </c>
      <c r="R238" s="64">
        <f>R232+H238-L238+N238-O238*VLOOKUP(F238,$X$2:$Y$7,2,FALSE())</f>
        <v>1710</v>
      </c>
    </row>
    <row r="239" spans="6:18" ht="15" customHeight="1" x14ac:dyDescent="0.2">
      <c r="F239" s="27" t="s">
        <v>32</v>
      </c>
    </row>
    <row r="240" spans="6:18" ht="15" customHeight="1" x14ac:dyDescent="0.2">
      <c r="F240" s="54" t="s">
        <v>3</v>
      </c>
      <c r="H240" s="56">
        <f>G240*VLOOKUP(F240,$X$2:$Y$7,2,FALSE())</f>
        <v>0</v>
      </c>
      <c r="L240" s="60">
        <f>K240*VLOOKUP(F240,$X$2:$Y$7,2,FALSE())</f>
        <v>0</v>
      </c>
      <c r="Q240" s="63">
        <f>Q234+G240-K240+M240-O240</f>
        <v>75</v>
      </c>
      <c r="R240" s="64">
        <f>R234+H240-L240+N240-O240*VLOOKUP(F240,$X$2:$Y$7,2,FALSE())</f>
        <v>1111</v>
      </c>
    </row>
    <row r="241" spans="1:18" ht="15" customHeight="1" x14ac:dyDescent="0.2">
      <c r="F241" s="54" t="s">
        <v>4</v>
      </c>
      <c r="H241" s="56">
        <f>G241*VLOOKUP(F241,$X$2:$Y$7,2,FALSE())</f>
        <v>0</v>
      </c>
      <c r="L241" s="60">
        <f>K241*VLOOKUP(F241,$X$2:$Y$7,2,FALSE())</f>
        <v>0</v>
      </c>
      <c r="Q241" s="63">
        <f>Q235+G241-K241+M241-O241</f>
        <v>11</v>
      </c>
      <c r="R241" s="64">
        <f>R235+H241-L241+N241-O241*VLOOKUP(F241,$X$2:$Y$7,2,FALSE())</f>
        <v>198</v>
      </c>
    </row>
    <row r="242" spans="1:18" ht="15" customHeight="1" x14ac:dyDescent="0.2">
      <c r="F242" s="54" t="s">
        <v>8</v>
      </c>
      <c r="H242" s="56">
        <f>G242*VLOOKUP(F242,$X$2:$Y$7,2,FALSE())</f>
        <v>0</v>
      </c>
      <c r="L242" s="60">
        <f>K242*VLOOKUP(F242,$X$2:$Y$7,2,FALSE())</f>
        <v>0</v>
      </c>
      <c r="Q242" s="63">
        <f>Q236+G242-K242+M242-O242</f>
        <v>12</v>
      </c>
      <c r="R242" s="64">
        <f>R236+H242-L242+N242-O242*VLOOKUP(F242,$X$2:$Y$7,2,FALSE())</f>
        <v>204</v>
      </c>
    </row>
    <row r="243" spans="1:18" ht="15" customHeight="1" x14ac:dyDescent="0.2">
      <c r="F243" s="54" t="s">
        <v>28</v>
      </c>
      <c r="H243" s="56">
        <f>G243*VLOOKUP(F243,$X$2:$Y$7,2,FALSE())</f>
        <v>0</v>
      </c>
      <c r="L243" s="60">
        <f>K243*VLOOKUP(F243,$X$2:$Y$7,2,FALSE())</f>
        <v>0</v>
      </c>
      <c r="Q243" s="63">
        <f>Q237+G243-K243+M243-O243</f>
        <v>96</v>
      </c>
      <c r="R243" s="64">
        <f>R237+H243-L243+N243-O243*VLOOKUP(F243,$X$2:$Y$7,2,FALSE())</f>
        <v>1625</v>
      </c>
    </row>
    <row r="244" spans="1:18" ht="15" customHeight="1" x14ac:dyDescent="0.2">
      <c r="F244" s="54" t="s">
        <v>31</v>
      </c>
      <c r="H244" s="56">
        <f>G244*VLOOKUP(F244,$X$2:$Y$7,2,FALSE())</f>
        <v>0</v>
      </c>
      <c r="L244" s="60">
        <f>K244*VLOOKUP(F244,$X$2:$Y$7,2,FALSE())</f>
        <v>0</v>
      </c>
      <c r="Q244" s="63">
        <f>Q238+G244-K244+M244-O244</f>
        <v>18</v>
      </c>
      <c r="R244" s="64">
        <f>R238+H244-L244+N244-O244*VLOOKUP(F244,$X$2:$Y$7,2,FALSE())</f>
        <v>1710</v>
      </c>
    </row>
    <row r="245" spans="1:18" ht="15" customHeight="1" x14ac:dyDescent="0.2">
      <c r="F245" s="27" t="s">
        <v>32</v>
      </c>
    </row>
    <row r="246" spans="1:18" ht="15" customHeight="1" x14ac:dyDescent="0.2">
      <c r="A246" s="126" t="s">
        <v>52</v>
      </c>
      <c r="B246" s="127">
        <f>SUM(B6:B245)</f>
        <v>565</v>
      </c>
      <c r="D246" s="127">
        <f>SUM(D6:D245)</f>
        <v>53675</v>
      </c>
      <c r="G246" s="127">
        <f>SUM(G6:G245)</f>
        <v>2486.5</v>
      </c>
      <c r="H246" s="127">
        <f>SUM(H6:H245)</f>
        <v>46688.5</v>
      </c>
      <c r="K246" s="127">
        <f>SUM(K6:K245)</f>
        <v>2315.5</v>
      </c>
      <c r="L246" s="127">
        <f>SUM(L6:L245)</f>
        <v>44011.5</v>
      </c>
      <c r="M246" s="127">
        <f>SUM(M6:M245)</f>
        <v>12</v>
      </c>
      <c r="N246" s="127">
        <f>SUM(N6:N245)</f>
        <v>179</v>
      </c>
      <c r="O246" s="130">
        <f>SUM(O6:O245)</f>
        <v>6</v>
      </c>
    </row>
  </sheetData>
  <mergeCells count="3">
    <mergeCell ref="X1:Y1"/>
    <mergeCell ref="E4:H4"/>
    <mergeCell ref="I4:L4"/>
  </mergeCells>
  <pageMargins left="0.7" right="0.7" top="0.75" bottom="0.75" header="0.511811023622047" footer="0.511811023622047"/>
  <pageSetup paperSize="9" scale="90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0"/>
  <sheetViews>
    <sheetView showGridLines="0" zoomScaleNormal="100" workbookViewId="0">
      <pane ySplit="5" topLeftCell="A20" activePane="bottomLeft" state="frozen"/>
      <selection pane="bottomLeft" activeCell="F46" sqref="F46"/>
    </sheetView>
  </sheetViews>
  <sheetFormatPr baseColWidth="10" defaultColWidth="8.6640625" defaultRowHeight="15" x14ac:dyDescent="0.2"/>
  <cols>
    <col min="1" max="1" width="20" customWidth="1"/>
    <col min="2" max="2" width="28" customWidth="1"/>
    <col min="3" max="4" width="13" customWidth="1"/>
    <col min="5" max="5" width="30" customWidth="1"/>
    <col min="6" max="7" width="12" customWidth="1"/>
  </cols>
  <sheetData>
    <row r="1" spans="1:10" ht="21.75" customHeight="1" x14ac:dyDescent="0.2">
      <c r="A1" s="2" t="s">
        <v>53</v>
      </c>
      <c r="B1" s="2"/>
      <c r="C1" s="2"/>
      <c r="D1" s="2"/>
      <c r="E1" s="2"/>
      <c r="F1" s="2"/>
      <c r="G1" s="131"/>
      <c r="H1" s="131"/>
      <c r="I1" s="131"/>
      <c r="J1" s="131"/>
    </row>
    <row r="2" spans="1:10" x14ac:dyDescent="0.2">
      <c r="A2" s="1" t="s">
        <v>54</v>
      </c>
      <c r="B2" s="1"/>
      <c r="C2" s="1"/>
      <c r="D2" s="1"/>
      <c r="E2" s="1"/>
      <c r="F2" s="1"/>
      <c r="G2" s="131"/>
      <c r="H2" s="131"/>
      <c r="I2" s="131"/>
      <c r="J2" s="131"/>
    </row>
    <row r="3" spans="1:10" x14ac:dyDescent="0.2">
      <c r="A3" s="131"/>
      <c r="B3" s="131"/>
      <c r="C3" s="131"/>
      <c r="D3" s="131"/>
      <c r="E3" s="131"/>
      <c r="F3" s="131"/>
      <c r="G3" s="131"/>
      <c r="H3" s="131"/>
      <c r="I3" s="131"/>
      <c r="J3" s="131"/>
    </row>
    <row r="4" spans="1:10" ht="30" customHeight="1" x14ac:dyDescent="0.2">
      <c r="A4" s="131"/>
      <c r="B4" s="131"/>
      <c r="C4" s="132" t="s">
        <v>55</v>
      </c>
      <c r="D4" s="133" t="s">
        <v>56</v>
      </c>
      <c r="E4" s="131"/>
      <c r="F4" s="131"/>
      <c r="G4" s="131"/>
      <c r="H4" s="131"/>
      <c r="I4" s="131"/>
      <c r="J4" s="131"/>
    </row>
    <row r="5" spans="1:10" x14ac:dyDescent="0.2">
      <c r="A5" s="134" t="s">
        <v>57</v>
      </c>
      <c r="B5" s="134" t="s">
        <v>58</v>
      </c>
      <c r="C5" s="134" t="s">
        <v>59</v>
      </c>
      <c r="D5" s="134" t="s">
        <v>60</v>
      </c>
      <c r="E5" s="134" t="s">
        <v>61</v>
      </c>
      <c r="F5" s="134" t="s">
        <v>62</v>
      </c>
      <c r="G5" s="131"/>
      <c r="H5" s="131"/>
      <c r="I5" s="131"/>
      <c r="J5" s="131"/>
    </row>
    <row r="6" spans="1:10" x14ac:dyDescent="0.2">
      <c r="A6" s="135" t="str">
        <f>PROCESO!A6</f>
        <v>SAB 11-07</v>
      </c>
      <c r="B6" s="135" t="s">
        <v>63</v>
      </c>
      <c r="C6" s="136"/>
      <c r="D6" s="136"/>
      <c r="E6" s="135" t="s">
        <v>64</v>
      </c>
      <c r="F6" s="136">
        <f>SUM(PROCESO!R6:R9)</f>
        <v>239</v>
      </c>
      <c r="G6" s="131"/>
      <c r="H6" s="131"/>
      <c r="I6" s="131"/>
      <c r="J6" s="131"/>
    </row>
    <row r="7" spans="1:10" x14ac:dyDescent="0.2">
      <c r="A7" s="137" t="str">
        <f>IF(PROCESO!D12&gt;0,IF(PROCESO!A12="","",PROCESO!A12&amp;IF(COUNTIF(PROCESO!$A$6:A11,PROCESO!A12)&gt;0," (Ped."&amp;(COUNTIF(PROCESO!$A$6:A11,PROCESO!A12)+1)&amp;")","")),"")</f>
        <v>DOM 12-07</v>
      </c>
      <c r="B7" s="137" t="str">
        <f>IF(PROCESO!D12&gt;0,"INGRESO (compra)","")</f>
        <v>INGRESO (compra)</v>
      </c>
      <c r="C7" s="138">
        <f>IF(PROCESO!D12&gt;0,PROCESO!D12,"")</f>
        <v>2850</v>
      </c>
      <c r="D7" s="138"/>
      <c r="E7" s="137" t="str">
        <f>IF(PROCESO!D12&gt;0,PROCESO!B12&amp;" sacos x "&amp;PROCESO!C12&amp;" kg","")</f>
        <v>30 sacos x 95 kg</v>
      </c>
      <c r="F7" s="138">
        <f>IF(PROCESO!D12&gt;0,LOOKUP(9.99E+307,F$6:F6)+N(C7)-N(D7),"")</f>
        <v>3089</v>
      </c>
      <c r="G7" s="131"/>
      <c r="H7" s="131"/>
      <c r="I7" s="131"/>
      <c r="J7" s="131"/>
    </row>
    <row r="8" spans="1:10" x14ac:dyDescent="0.2">
      <c r="A8" s="139" t="str">
        <f>IF(N(PROCESO!H16)&gt;0,IF(PROCESO!A12="","",PROCESO!A12&amp;IF(COUNTIF(PROCESO!$A$6:A11,PROCESO!A12)&gt;0," (Ped."&amp;(COUNTIF(PROCESO!$A$6:A11,PROCESO!A12)+1)&amp;")","")),"")</f>
        <v>DOM 12-07</v>
      </c>
      <c r="B8" s="139" t="str">
        <f>IF(N(PROCESO!H16)&gt;0,"CHANCHO (proceso)","")</f>
        <v>CHANCHO (proceso)</v>
      </c>
      <c r="C8" s="140"/>
      <c r="D8" s="140">
        <f>IF(N(PROCESO!H16)&gt;0,N(PROCESO!H16),"")</f>
        <v>570</v>
      </c>
      <c r="E8" s="139" t="str">
        <f>IF(N(PROCESO!H16)&gt;0,PROCESO!G16&amp;" sacos x 95 kg","")</f>
        <v>6 sacos x 95 kg</v>
      </c>
      <c r="F8" s="140">
        <f>IF(N(PROCESO!H16)&gt;0,LOOKUP(9.99E+307,F$6:F7)+N(C8)-N(D8),"")</f>
        <v>2519</v>
      </c>
      <c r="G8" s="131"/>
      <c r="H8" s="131"/>
      <c r="I8" s="131"/>
      <c r="J8" s="131"/>
    </row>
    <row r="9" spans="1:10" x14ac:dyDescent="0.2">
      <c r="A9" s="141" t="str">
        <f>IF(IF(PROCESO!J12&lt;&gt;"",PROCESO!J12,IF(PROCESO!J13&lt;&gt;"",PROCESO!J13,IF(PROCESO!J14&lt;&gt;"",PROCESO!J14,IF(PROCESO!J15&lt;&gt;"",PROCESO!J15,""))))&lt;&gt;"",IF(PROCESO!A12="","",PROCESO!A12&amp;IF(COUNTIF(PROCESO!$A$6:A11,PROCESO!A12)&gt;0," (Ped."&amp;(COUNTIF(PROCESO!$A$6:A11,PROCESO!A12)+1)&amp;")","")),"")</f>
        <v>DOM 12-07</v>
      </c>
      <c r="B9" s="141" t="str">
        <f>IF(IF(PROCESO!J12&lt;&gt;"",PROCESO!J12,IF(PROCESO!J13&lt;&gt;"",PROCESO!J13,IF(PROCESO!J14&lt;&gt;"",PROCESO!J14,IF(PROCESO!J15&lt;&gt;"",PROCESO!J15,""))))&lt;&gt;"","ENVÍO Guía "&amp;IF(PROCESO!J12&lt;&gt;"",PROCESO!J12,IF(PROCESO!J13&lt;&gt;"",PROCESO!J13,IF(PROCESO!J14&lt;&gt;"",PROCESO!J14,IF(PROCESO!J15&lt;&gt;"",PROCESO!J15,"")))),"")</f>
        <v>ENVÍO Guía 2977</v>
      </c>
      <c r="C9" s="142"/>
      <c r="D9" s="142">
        <f>IF(IF(PROCESO!J12&lt;&gt;"",PROCESO!J12,IF(PROCESO!J13&lt;&gt;"",PROCESO!J13,IF(PROCESO!J14&lt;&gt;"",PROCESO!J14,IF(PROCESO!J15&lt;&gt;"",PROCESO!J15,""))))&lt;&gt;"",SUMIF(PROCESO!J12:J15,IF(PROCESO!J12&lt;&gt;"",PROCESO!J12,IF(PROCESO!J13&lt;&gt;"",PROCESO!J13,IF(PROCESO!J14&lt;&gt;"",PROCESO!J14,IF(PROCESO!J15&lt;&gt;"",PROCESO!J15,"")))),PROCESO!L12:L15),"")</f>
        <v>2121</v>
      </c>
      <c r="E9" s="141" t="str">
        <f>IF(IF(PROCESO!J12&lt;&gt;"",PROCESO!J12,IF(PROCESO!J13&lt;&gt;"",PROCESO!J13,IF(PROCESO!J14&lt;&gt;"",PROCESO!J14,IF(PROCESO!J15&lt;&gt;"",PROCESO!J15,""))))&lt;&gt;"","G-"&amp;IF(PROCESO!J12&lt;&gt;"",PROCESO!J12,IF(PROCESO!J13&lt;&gt;"",PROCESO!J13,IF(PROCESO!J14&lt;&gt;"",PROCESO!J14,IF(PROCESO!J15&lt;&gt;"",PROCESO!J15,"")))),"")</f>
        <v>G-2977</v>
      </c>
      <c r="F9" s="142">
        <f>IF(IF(PROCESO!J12&lt;&gt;"",PROCESO!J12,IF(PROCESO!J13&lt;&gt;"",PROCESO!J13,IF(PROCESO!J14&lt;&gt;"",PROCESO!J14,IF(PROCESO!J15&lt;&gt;"",PROCESO!J15,""))))&lt;&gt;"",LOOKUP(9.99E+307,F$6:F8)+N(C9)-N(D9),"")</f>
        <v>398</v>
      </c>
      <c r="G9" s="131"/>
      <c r="H9" s="131"/>
      <c r="I9" s="131"/>
      <c r="J9" s="131"/>
    </row>
    <row r="10" spans="1:10" x14ac:dyDescent="0.2">
      <c r="A10" s="137" t="str">
        <f>IF(PROCESO!D18&gt;0,IF(PROCESO!A18="","",PROCESO!A18&amp;IF(COUNTIF(PROCESO!$A$6:A17,PROCESO!A18)&gt;0," (Ped."&amp;(COUNTIF(PROCESO!$A$6:A17,PROCESO!A18)+1)&amp;")","")),"")</f>
        <v>LUN 13-07</v>
      </c>
      <c r="B10" s="137" t="str">
        <f>IF(PROCESO!D18&gt;0,"INGRESO (compra)","")</f>
        <v>INGRESO (compra)</v>
      </c>
      <c r="C10" s="138">
        <f>IF(PROCESO!D18&gt;0,PROCESO!D18,"")</f>
        <v>3800</v>
      </c>
      <c r="D10" s="138"/>
      <c r="E10" s="137" t="str">
        <f>IF(PROCESO!D18&gt;0,PROCESO!B18&amp;" sacos x "&amp;PROCESO!C18&amp;" kg","")</f>
        <v>40 sacos x 95 kg</v>
      </c>
      <c r="F10" s="138">
        <f>IF(PROCESO!D18&gt;0,LOOKUP(9.99E+307,F$6:F9)+N(C10)-N(D10),"")</f>
        <v>4198</v>
      </c>
      <c r="G10" s="131"/>
      <c r="H10" s="131"/>
      <c r="I10" s="131"/>
      <c r="J10" s="131"/>
    </row>
    <row r="11" spans="1:10" x14ac:dyDescent="0.2">
      <c r="A11" s="139" t="str">
        <f>IF(N(PROCESO!H22)&gt;0,IF(PROCESO!A18="","",PROCESO!A18&amp;IF(COUNTIF(PROCESO!$A$6:A17,PROCESO!A18)&gt;0," (Ped."&amp;(COUNTIF(PROCESO!$A$6:A17,PROCESO!A18)+1)&amp;")","")),"")</f>
        <v>LUN 13-07</v>
      </c>
      <c r="B11" s="139" t="str">
        <f>IF(N(PROCESO!H22)&gt;0,"CHANCHO (proceso)","")</f>
        <v>CHANCHO (proceso)</v>
      </c>
      <c r="C11" s="140"/>
      <c r="D11" s="140">
        <f>IF(N(PROCESO!H22)&gt;0,N(PROCESO!H22),"")</f>
        <v>190</v>
      </c>
      <c r="E11" s="139" t="str">
        <f>IF(N(PROCESO!H22)&gt;0,PROCESO!G22&amp;" sacos x 95 kg","")</f>
        <v>2 sacos x 95 kg</v>
      </c>
      <c r="F11" s="140">
        <f>IF(N(PROCESO!H22)&gt;0,LOOKUP(9.99E+307,F$6:F10)+N(C11)-N(D11),"")</f>
        <v>4008</v>
      </c>
      <c r="G11" s="131"/>
      <c r="H11" s="131"/>
      <c r="I11" s="131"/>
      <c r="J11" s="131"/>
    </row>
    <row r="12" spans="1:10" x14ac:dyDescent="0.2">
      <c r="A12" s="141" t="str">
        <f>IF(IF(PROCESO!J18&lt;&gt;"",PROCESO!J18,IF(PROCESO!J19&lt;&gt;"",PROCESO!J19,IF(PROCESO!J20&lt;&gt;"",PROCESO!J20,IF(PROCESO!J21&lt;&gt;"",PROCESO!J21,""))))&lt;&gt;"",IF(PROCESO!A18="","",PROCESO!A18&amp;IF(COUNTIF(PROCESO!$A$6:A17,PROCESO!A18)&gt;0," (Ped."&amp;(COUNTIF(PROCESO!$A$6:A17,PROCESO!A18)+1)&amp;")","")),"")</f>
        <v>LUN 13-07</v>
      </c>
      <c r="B12" s="141" t="str">
        <f>IF(IF(PROCESO!J18&lt;&gt;"",PROCESO!J18,IF(PROCESO!J19&lt;&gt;"",PROCESO!J19,IF(PROCESO!J20&lt;&gt;"",PROCESO!J20,IF(PROCESO!J21&lt;&gt;"",PROCESO!J21,""))))&lt;&gt;"","ENVÍO Guía "&amp;IF(PROCESO!J18&lt;&gt;"",PROCESO!J18,IF(PROCESO!J19&lt;&gt;"",PROCESO!J19,IF(PROCESO!J20&lt;&gt;"",PROCESO!J20,IF(PROCESO!J21&lt;&gt;"",PROCESO!J21,"")))),"")</f>
        <v>ENVÍO Guía 2980</v>
      </c>
      <c r="C12" s="142"/>
      <c r="D12" s="142">
        <f>IF(IF(PROCESO!J18&lt;&gt;"",PROCESO!J18,IF(PROCESO!J19&lt;&gt;"",PROCESO!J19,IF(PROCESO!J20&lt;&gt;"",PROCESO!J20,IF(PROCESO!J21&lt;&gt;"",PROCESO!J21,""))))&lt;&gt;"",SUMIF(PROCESO!J18:J21,IF(PROCESO!J18&lt;&gt;"",PROCESO!J18,IF(PROCESO!J19&lt;&gt;"",PROCESO!J19,IF(PROCESO!J20&lt;&gt;"",PROCESO!J20,IF(PROCESO!J21&lt;&gt;"",PROCESO!J21,"")))),PROCESO!L18:L21),"")</f>
        <v>3056</v>
      </c>
      <c r="E12" s="141" t="str">
        <f>IF(IF(PROCESO!J18&lt;&gt;"",PROCESO!J18,IF(PROCESO!J19&lt;&gt;"",PROCESO!J19,IF(PROCESO!J20&lt;&gt;"",PROCESO!J20,IF(PROCESO!J21&lt;&gt;"",PROCESO!J21,""))))&lt;&gt;"","G-"&amp;IF(PROCESO!J18&lt;&gt;"",PROCESO!J18,IF(PROCESO!J19&lt;&gt;"",PROCESO!J19,IF(PROCESO!J20&lt;&gt;"",PROCESO!J20,IF(PROCESO!J21&lt;&gt;"",PROCESO!J21,"")))),"")</f>
        <v>G-2980</v>
      </c>
      <c r="F12" s="142">
        <f>IF(IF(PROCESO!J18&lt;&gt;"",PROCESO!J18,IF(PROCESO!J19&lt;&gt;"",PROCESO!J19,IF(PROCESO!J20&lt;&gt;"",PROCESO!J20,IF(PROCESO!J21&lt;&gt;"",PROCESO!J21,""))))&lt;&gt;"",LOOKUP(9.99E+307,F$6:F11)+N(C12)-N(D12),"")</f>
        <v>952</v>
      </c>
      <c r="G12" s="131"/>
      <c r="H12" s="131"/>
      <c r="I12" s="131"/>
      <c r="J12" s="131"/>
    </row>
    <row r="13" spans="1:10" x14ac:dyDescent="0.2">
      <c r="A13" s="137" t="str">
        <f>IF(PROCESO!D24&gt;0,IF(PROCESO!A24="","",PROCESO!A24&amp;IF(COUNTIF(PROCESO!$A$6:A23,PROCESO!A24)&gt;0," (Ped."&amp;(COUNTIF(PROCESO!$A$6:A23,PROCESO!A24)+1)&amp;")","")),"")</f>
        <v>MAR 14-07</v>
      </c>
      <c r="B13" s="137" t="str">
        <f>IF(PROCESO!D24&gt;0,"INGRESO (compra)","")</f>
        <v>INGRESO (compra)</v>
      </c>
      <c r="C13" s="138">
        <f>IF(PROCESO!D24&gt;0,PROCESO!D24,"")</f>
        <v>3800</v>
      </c>
      <c r="D13" s="138"/>
      <c r="E13" s="137" t="str">
        <f>IF(PROCESO!D24&gt;0,PROCESO!B24&amp;" sacos x "&amp;PROCESO!C24&amp;" kg","")</f>
        <v>40 sacos x 95 kg</v>
      </c>
      <c r="F13" s="138">
        <f>IF(PROCESO!D24&gt;0,LOOKUP(9.99E+307,F$6:F12)+N(C13)-N(D13),"")</f>
        <v>4752</v>
      </c>
      <c r="G13" s="131"/>
      <c r="H13" s="131"/>
      <c r="I13" s="131"/>
      <c r="J13" s="131"/>
    </row>
    <row r="14" spans="1:10" x14ac:dyDescent="0.2">
      <c r="A14" s="139" t="str">
        <f>IF(N(PROCESO!H28)&gt;0,IF(PROCESO!A24="","",PROCESO!A24&amp;IF(COUNTIF(PROCESO!$A$6:A23,PROCESO!A24)&gt;0," (Ped."&amp;(COUNTIF(PROCESO!$A$6:A23,PROCESO!A24)+1)&amp;")","")),"")</f>
        <v>MAR 14-07</v>
      </c>
      <c r="B14" s="139" t="str">
        <f>IF(N(PROCESO!H28)&gt;0,"CHANCHO (proceso)","")</f>
        <v>CHANCHO (proceso)</v>
      </c>
      <c r="C14" s="140"/>
      <c r="D14" s="140">
        <f>IF(N(PROCESO!H28)&gt;0,N(PROCESO!H28),"")</f>
        <v>665</v>
      </c>
      <c r="E14" s="139" t="str">
        <f>IF(N(PROCESO!H28)&gt;0,PROCESO!G28&amp;" sacos x 95 kg","")</f>
        <v>7 sacos x 95 kg</v>
      </c>
      <c r="F14" s="140">
        <f>IF(N(PROCESO!H28)&gt;0,LOOKUP(9.99E+307,F$6:F13)+N(C14)-N(D14),"")</f>
        <v>4087</v>
      </c>
      <c r="G14" s="131"/>
      <c r="H14" s="131"/>
      <c r="I14" s="131"/>
      <c r="J14" s="131"/>
    </row>
    <row r="15" spans="1:10" x14ac:dyDescent="0.2">
      <c r="A15" s="141" t="str">
        <f>IF(IF(PROCESO!J24&lt;&gt;"",PROCESO!J24,IF(PROCESO!J25&lt;&gt;"",PROCESO!J25,IF(PROCESO!J26&lt;&gt;"",PROCESO!J26,IF(PROCESO!J27&lt;&gt;"",PROCESO!J27,""))))&lt;&gt;"",IF(PROCESO!A24="","",PROCESO!A24&amp;IF(COUNTIF(PROCESO!$A$6:A23,PROCESO!A24)&gt;0," (Ped."&amp;(COUNTIF(PROCESO!$A$6:A23,PROCESO!A24)+1)&amp;")","")),"")</f>
        <v>MAR 14-07</v>
      </c>
      <c r="B15" s="141" t="str">
        <f>IF(IF(PROCESO!J24&lt;&gt;"",PROCESO!J24,IF(PROCESO!J25&lt;&gt;"",PROCESO!J25,IF(PROCESO!J26&lt;&gt;"",PROCESO!J26,IF(PROCESO!J27&lt;&gt;"",PROCESO!J27,""))))&lt;&gt;"","ENVÍO Guía "&amp;IF(PROCESO!J24&lt;&gt;"",PROCESO!J24,IF(PROCESO!J25&lt;&gt;"",PROCESO!J25,IF(PROCESO!J26&lt;&gt;"",PROCESO!J26,IF(PROCESO!J27&lt;&gt;"",PROCESO!J27,"")))),"")</f>
        <v>ENVÍO Guía 2984</v>
      </c>
      <c r="C15" s="142"/>
      <c r="D15" s="142">
        <f>IF(IF(PROCESO!J24&lt;&gt;"",PROCESO!J24,IF(PROCESO!J25&lt;&gt;"",PROCESO!J25,IF(PROCESO!J26&lt;&gt;"",PROCESO!J26,IF(PROCESO!J27&lt;&gt;"",PROCESO!J27,""))))&lt;&gt;"",SUMIF(PROCESO!J24:J27,IF(PROCESO!J24&lt;&gt;"",PROCESO!J24,IF(PROCESO!J25&lt;&gt;"",PROCESO!J25,IF(PROCESO!J26&lt;&gt;"",PROCESO!J26,IF(PROCESO!J27&lt;&gt;"",PROCESO!J27,"")))),PROCESO!L24:L27),"")</f>
        <v>3379</v>
      </c>
      <c r="E15" s="141" t="str">
        <f>IF(IF(PROCESO!J24&lt;&gt;"",PROCESO!J24,IF(PROCESO!J25&lt;&gt;"",PROCESO!J25,IF(PROCESO!J26&lt;&gt;"",PROCESO!J26,IF(PROCESO!J27&lt;&gt;"",PROCESO!J27,""))))&lt;&gt;"","G-"&amp;IF(PROCESO!J24&lt;&gt;"",PROCESO!J24,IF(PROCESO!J25&lt;&gt;"",PROCESO!J25,IF(PROCESO!J26&lt;&gt;"",PROCESO!J26,IF(PROCESO!J27&lt;&gt;"",PROCESO!J27,"")))),"")</f>
        <v>G-2984</v>
      </c>
      <c r="F15" s="142">
        <f>IF(IF(PROCESO!J24&lt;&gt;"",PROCESO!J24,IF(PROCESO!J25&lt;&gt;"",PROCESO!J25,IF(PROCESO!J26&lt;&gt;"",PROCESO!J26,IF(PROCESO!J27&lt;&gt;"",PROCESO!J27,""))))&lt;&gt;"",LOOKUP(9.99E+307,F$6:F14)+N(C15)-N(D15),"")</f>
        <v>708</v>
      </c>
      <c r="G15" s="131"/>
      <c r="H15" s="131"/>
      <c r="I15" s="131"/>
      <c r="J15" s="131"/>
    </row>
    <row r="16" spans="1:10" x14ac:dyDescent="0.2">
      <c r="A16" s="137" t="str">
        <f>IF(PROCESO!D30&gt;0,IF(PROCESO!A30="","",PROCESO!A30&amp;IF(COUNTIF(PROCESO!$A$6:A29,PROCESO!A30)&gt;0," (Ped."&amp;(COUNTIF(PROCESO!$A$6:A29,PROCESO!A30)+1)&amp;")","")),"")</f>
        <v>MIE 15-07</v>
      </c>
      <c r="B16" s="137" t="str">
        <f>IF(PROCESO!D30&gt;0,"INGRESO (compra)","")</f>
        <v>INGRESO (compra)</v>
      </c>
      <c r="C16" s="138">
        <f>IF(PROCESO!D30&gt;0,PROCESO!D30,"")</f>
        <v>3800</v>
      </c>
      <c r="D16" s="138"/>
      <c r="E16" s="137" t="str">
        <f>IF(PROCESO!D30&gt;0,PROCESO!B30&amp;" sacos x "&amp;PROCESO!C30&amp;" kg","")</f>
        <v>40 sacos x 95 kg</v>
      </c>
      <c r="F16" s="138">
        <f>IF(PROCESO!D30&gt;0,LOOKUP(9.99E+307,F$6:F15)+N(C16)-N(D16),"")</f>
        <v>4508</v>
      </c>
      <c r="G16" s="131"/>
      <c r="H16" s="131"/>
      <c r="I16" s="131"/>
      <c r="J16" s="131"/>
    </row>
    <row r="17" spans="1:10" x14ac:dyDescent="0.2">
      <c r="A17" s="139" t="str">
        <f>IF(N(PROCESO!H34)&gt;0,IF(PROCESO!A30="","",PROCESO!A30&amp;IF(COUNTIF(PROCESO!$A$6:A29,PROCESO!A30)&gt;0," (Ped."&amp;(COUNTIF(PROCESO!$A$6:A29,PROCESO!A30)+1)&amp;")","")),"")</f>
        <v>MIE 15-07</v>
      </c>
      <c r="B17" s="139" t="str">
        <f>IF(N(PROCESO!H34)&gt;0,"CHANCHO (proceso)","")</f>
        <v>CHANCHO (proceso)</v>
      </c>
      <c r="C17" s="140"/>
      <c r="D17" s="140">
        <f>IF(N(PROCESO!H34)&gt;0,N(PROCESO!H34),"")</f>
        <v>475</v>
      </c>
      <c r="E17" s="139" t="str">
        <f>IF(N(PROCESO!H34)&gt;0,PROCESO!G34&amp;" sacos x 95 kg","")</f>
        <v>5 sacos x 95 kg</v>
      </c>
      <c r="F17" s="140">
        <f>IF(N(PROCESO!H34)&gt;0,LOOKUP(9.99E+307,F$6:F16)+N(C17)-N(D17),"")</f>
        <v>4033</v>
      </c>
      <c r="G17" s="131"/>
      <c r="H17" s="131"/>
      <c r="I17" s="131"/>
      <c r="J17" s="131"/>
    </row>
    <row r="18" spans="1:10" x14ac:dyDescent="0.2">
      <c r="A18" s="141" t="str">
        <f>IF(IF(PROCESO!J30&lt;&gt;"",PROCESO!J30,IF(PROCESO!J31&lt;&gt;"",PROCESO!J31,IF(PROCESO!J32&lt;&gt;"",PROCESO!J32,IF(PROCESO!J33&lt;&gt;"",PROCESO!J33,""))))&lt;&gt;"",IF(PROCESO!A30="","",PROCESO!A30&amp;IF(COUNTIF(PROCESO!$A$6:A29,PROCESO!A30)&gt;0," (Ped."&amp;(COUNTIF(PROCESO!$A$6:A29,PROCESO!A30)+1)&amp;")","")),"")</f>
        <v>MIE 15-07</v>
      </c>
      <c r="B18" s="141" t="str">
        <f>IF(IF(PROCESO!J30&lt;&gt;"",PROCESO!J30,IF(PROCESO!J31&lt;&gt;"",PROCESO!J31,IF(PROCESO!J32&lt;&gt;"",PROCESO!J32,IF(PROCESO!J33&lt;&gt;"",PROCESO!J33,""))))&lt;&gt;"","ENVÍO Guía "&amp;IF(PROCESO!J30&lt;&gt;"",PROCESO!J30,IF(PROCESO!J31&lt;&gt;"",PROCESO!J31,IF(PROCESO!J32&lt;&gt;"",PROCESO!J32,IF(PROCESO!J33&lt;&gt;"",PROCESO!J33,"")))),"")</f>
        <v>ENVÍO Guía 2986</v>
      </c>
      <c r="C18" s="142"/>
      <c r="D18" s="142">
        <f>IF(IF(PROCESO!J30&lt;&gt;"",PROCESO!J30,IF(PROCESO!J31&lt;&gt;"",PROCESO!J31,IF(PROCESO!J32&lt;&gt;"",PROCESO!J32,IF(PROCESO!J33&lt;&gt;"",PROCESO!J33,""))))&lt;&gt;"",SUMIF(PROCESO!J30:J33,IF(PROCESO!J30&lt;&gt;"",PROCESO!J30,IF(PROCESO!J31&lt;&gt;"",PROCESO!J31,IF(PROCESO!J32&lt;&gt;"",PROCESO!J32,IF(PROCESO!J33&lt;&gt;"",PROCESO!J33,"")))),PROCESO!L30:L33),"")</f>
        <v>2971</v>
      </c>
      <c r="E18" s="141" t="str">
        <f>IF(IF(PROCESO!J30&lt;&gt;"",PROCESO!J30,IF(PROCESO!J31&lt;&gt;"",PROCESO!J31,IF(PROCESO!J32&lt;&gt;"",PROCESO!J32,IF(PROCESO!J33&lt;&gt;"",PROCESO!J33,""))))&lt;&gt;"","G-"&amp;IF(PROCESO!J30&lt;&gt;"",PROCESO!J30,IF(PROCESO!J31&lt;&gt;"",PROCESO!J31,IF(PROCESO!J32&lt;&gt;"",PROCESO!J32,IF(PROCESO!J33&lt;&gt;"",PROCESO!J33,"")))),"")</f>
        <v>G-2986</v>
      </c>
      <c r="F18" s="142">
        <f>IF(IF(PROCESO!J30&lt;&gt;"",PROCESO!J30,IF(PROCESO!J31&lt;&gt;"",PROCESO!J31,IF(PROCESO!J32&lt;&gt;"",PROCESO!J32,IF(PROCESO!J33&lt;&gt;"",PROCESO!J33,""))))&lt;&gt;"",LOOKUP(9.99E+307,F$6:F17)+N(C18)-N(D18),"")</f>
        <v>1062</v>
      </c>
      <c r="G18" s="131"/>
      <c r="H18" s="131"/>
      <c r="I18" s="131"/>
      <c r="J18" s="131"/>
    </row>
    <row r="19" spans="1:10" x14ac:dyDescent="0.2">
      <c r="A19" s="137" t="str">
        <f>IF(PROCESO!D36&gt;0,IF(PROCESO!A36="","",PROCESO!A36&amp;IF(COUNTIF(PROCESO!$A$6:A35,PROCESO!A36)&gt;0," (Ped."&amp;(COUNTIF(PROCESO!$A$6:A35,PROCESO!A36)+1)&amp;")","")),"")</f>
        <v>JUE 16-07</v>
      </c>
      <c r="B19" s="137" t="str">
        <f>IF(PROCESO!D36&gt;0,"INGRESO (compra)","")</f>
        <v>INGRESO (compra)</v>
      </c>
      <c r="C19" s="138">
        <f>IF(PROCESO!D36&gt;0,PROCESO!D36,"")</f>
        <v>3800</v>
      </c>
      <c r="D19" s="138"/>
      <c r="E19" s="137" t="str">
        <f>IF(PROCESO!D36&gt;0,PROCESO!B36&amp;" sacos x "&amp;PROCESO!C36&amp;" kg","")</f>
        <v>40 sacos x 95 kg</v>
      </c>
      <c r="F19" s="138">
        <f>IF(PROCESO!D36&gt;0,LOOKUP(9.99E+307,F$6:F18)+N(C19)-N(D19),"")</f>
        <v>4862</v>
      </c>
      <c r="G19" s="131"/>
      <c r="H19" s="131"/>
      <c r="I19" s="131"/>
      <c r="J19" s="131"/>
    </row>
    <row r="20" spans="1:10" x14ac:dyDescent="0.2">
      <c r="A20" s="139" t="str">
        <f>IF(N(PROCESO!H40)&gt;0,IF(PROCESO!A36="","",PROCESO!A36&amp;IF(COUNTIF(PROCESO!$A$6:A35,PROCESO!A36)&gt;0," (Ped."&amp;(COUNTIF(PROCESO!$A$6:A35,PROCESO!A36)+1)&amp;")","")),"")</f>
        <v>JUE 16-07</v>
      </c>
      <c r="B20" s="139" t="str">
        <f>IF(N(PROCESO!H40)&gt;0,"CHANCHO (proceso)","")</f>
        <v>CHANCHO (proceso)</v>
      </c>
      <c r="C20" s="140"/>
      <c r="D20" s="140">
        <f>IF(N(PROCESO!H40)&gt;0,N(PROCESO!H40),"")</f>
        <v>380</v>
      </c>
      <c r="E20" s="139" t="str">
        <f>IF(N(PROCESO!H40)&gt;0,PROCESO!G40&amp;" sacos x 95 kg","")</f>
        <v>4 sacos x 95 kg</v>
      </c>
      <c r="F20" s="140">
        <f>IF(N(PROCESO!H40)&gt;0,LOOKUP(9.99E+307,F$6:F19)+N(C20)-N(D20),"")</f>
        <v>4482</v>
      </c>
      <c r="G20" s="131"/>
      <c r="H20" s="131"/>
      <c r="I20" s="131"/>
      <c r="J20" s="131"/>
    </row>
    <row r="21" spans="1:10" x14ac:dyDescent="0.2">
      <c r="A21" s="141" t="str">
        <f>IF(IF(PROCESO!J36&lt;&gt;"",PROCESO!J36,IF(PROCESO!J37&lt;&gt;"",PROCESO!J37,IF(PROCESO!J38&lt;&gt;"",PROCESO!J38,IF(PROCESO!J39&lt;&gt;"",PROCESO!J39,""))))&lt;&gt;"",IF(PROCESO!A36="","",PROCESO!A36&amp;IF(COUNTIF(PROCESO!$A$6:A35,PROCESO!A36)&gt;0," (Ped."&amp;(COUNTIF(PROCESO!$A$6:A35,PROCESO!A36)+1)&amp;")","")),"")</f>
        <v>JUE 16-07</v>
      </c>
      <c r="B21" s="141" t="str">
        <f>IF(IF(PROCESO!J36&lt;&gt;"",PROCESO!J36,IF(PROCESO!J37&lt;&gt;"",PROCESO!J37,IF(PROCESO!J38&lt;&gt;"",PROCESO!J38,IF(PROCESO!J39&lt;&gt;"",PROCESO!J39,""))))&lt;&gt;"","ENVÍO Guía "&amp;IF(PROCESO!J36&lt;&gt;"",PROCESO!J36,IF(PROCESO!J37&lt;&gt;"",PROCESO!J37,IF(PROCESO!J38&lt;&gt;"",PROCESO!J38,IF(PROCESO!J39&lt;&gt;"",PROCESO!J39,"")))),"")</f>
        <v>ENVÍO Guía 2992</v>
      </c>
      <c r="C21" s="142"/>
      <c r="D21" s="142">
        <f>IF(IF(PROCESO!J36&lt;&gt;"",PROCESO!J36,IF(PROCESO!J37&lt;&gt;"",PROCESO!J37,IF(PROCESO!J38&lt;&gt;"",PROCESO!J38,IF(PROCESO!J39&lt;&gt;"",PROCESO!J39,""))))&lt;&gt;"",SUMIF(PROCESO!J36:J39,IF(PROCESO!J36&lt;&gt;"",PROCESO!J36,IF(PROCESO!J37&lt;&gt;"",PROCESO!J37,IF(PROCESO!J38&lt;&gt;"",PROCESO!J38,IF(PROCESO!J39&lt;&gt;"",PROCESO!J39,"")))),PROCESO!L36:L39),"")</f>
        <v>3302</v>
      </c>
      <c r="E21" s="141" t="str">
        <f>IF(IF(PROCESO!J36&lt;&gt;"",PROCESO!J36,IF(PROCESO!J37&lt;&gt;"",PROCESO!J37,IF(PROCESO!J38&lt;&gt;"",PROCESO!J38,IF(PROCESO!J39&lt;&gt;"",PROCESO!J39,""))))&lt;&gt;"","G-"&amp;IF(PROCESO!J36&lt;&gt;"",PROCESO!J36,IF(PROCESO!J37&lt;&gt;"",PROCESO!J37,IF(PROCESO!J38&lt;&gt;"",PROCESO!J38,IF(PROCESO!J39&lt;&gt;"",PROCESO!J39,"")))),"")</f>
        <v>G-2992</v>
      </c>
      <c r="F21" s="142">
        <f>IF(IF(PROCESO!J36&lt;&gt;"",PROCESO!J36,IF(PROCESO!J37&lt;&gt;"",PROCESO!J37,IF(PROCESO!J38&lt;&gt;"",PROCESO!J38,IF(PROCESO!J39&lt;&gt;"",PROCESO!J39,""))))&lt;&gt;"",LOOKUP(9.99E+307,F$6:F20)+N(C21)-N(D21),"")</f>
        <v>1180</v>
      </c>
      <c r="G21" s="131"/>
      <c r="H21" s="131"/>
      <c r="I21" s="131"/>
      <c r="J21" s="131"/>
    </row>
    <row r="22" spans="1:10" x14ac:dyDescent="0.2">
      <c r="A22" s="137" t="str">
        <f>IF(PROCESO!D42&gt;0,IF(PROCESO!A42="","",PROCESO!A42&amp;IF(COUNTIF(PROCESO!$A$6:A41,PROCESO!A42)&gt;0," (Ped."&amp;(COUNTIF(PROCESO!$A$6:A41,PROCESO!A42)+1)&amp;")","")),"")</f>
        <v>VIE 17-07</v>
      </c>
      <c r="B22" s="137" t="str">
        <f>IF(PROCESO!D42&gt;0,"INGRESO (compra)","")</f>
        <v>INGRESO (compra)</v>
      </c>
      <c r="C22" s="138">
        <f>IF(PROCESO!D42&gt;0,PROCESO!D42,"")</f>
        <v>5700</v>
      </c>
      <c r="D22" s="138"/>
      <c r="E22" s="137" t="str">
        <f>IF(PROCESO!D42&gt;0,PROCESO!B42&amp;" sacos x "&amp;PROCESO!C42&amp;" kg","")</f>
        <v>60 sacos x 95 kg</v>
      </c>
      <c r="F22" s="138">
        <f>IF(PROCESO!D42&gt;0,LOOKUP(9.99E+307,F$6:F21)+N(C22)-N(D22),"")</f>
        <v>6880</v>
      </c>
      <c r="G22" s="131"/>
      <c r="H22" s="131"/>
      <c r="I22" s="131"/>
      <c r="J22" s="131"/>
    </row>
    <row r="23" spans="1:10" x14ac:dyDescent="0.2">
      <c r="A23" s="139" t="str">
        <f>IF(N(PROCESO!H46)&gt;0,IF(PROCESO!A42="","",PROCESO!A42&amp;IF(COUNTIF(PROCESO!$A$6:A41,PROCESO!A42)&gt;0," (Ped."&amp;(COUNTIF(PROCESO!$A$6:A41,PROCESO!A42)+1)&amp;")","")),"")</f>
        <v>VIE 17-07</v>
      </c>
      <c r="B23" s="139" t="str">
        <f>IF(N(PROCESO!H46)&gt;0,"CHANCHO (proceso)","")</f>
        <v>CHANCHO (proceso)</v>
      </c>
      <c r="C23" s="140"/>
      <c r="D23" s="140">
        <f>IF(N(PROCESO!H46)&gt;0,N(PROCESO!H46),"")</f>
        <v>950</v>
      </c>
      <c r="E23" s="139" t="str">
        <f>IF(N(PROCESO!H46)&gt;0,PROCESO!G46&amp;" sacos x 95 kg","")</f>
        <v>10 sacos x 95 kg</v>
      </c>
      <c r="F23" s="140">
        <f>IF(N(PROCESO!H46)&gt;0,LOOKUP(9.99E+307,F$6:F22)+N(C23)-N(D23),"")</f>
        <v>5930</v>
      </c>
      <c r="G23" s="131"/>
      <c r="H23" s="131"/>
      <c r="I23" s="131"/>
      <c r="J23" s="131"/>
    </row>
    <row r="24" spans="1:10" x14ac:dyDescent="0.2">
      <c r="A24" s="141" t="str">
        <f>IF(IF(PROCESO!J42&lt;&gt;"",PROCESO!J42,IF(PROCESO!J43&lt;&gt;"",PROCESO!J43,IF(PROCESO!J44&lt;&gt;"",PROCESO!J44,IF(PROCESO!J45&lt;&gt;"",PROCESO!J45,""))))&lt;&gt;"",IF(PROCESO!A42="","",PROCESO!A42&amp;IF(COUNTIF(PROCESO!$A$6:A41,PROCESO!A42)&gt;0," (Ped."&amp;(COUNTIF(PROCESO!$A$6:A41,PROCESO!A42)+1)&amp;")","")),"")</f>
        <v>VIE 17-07</v>
      </c>
      <c r="B24" s="141" t="str">
        <f>IF(IF(PROCESO!J42&lt;&gt;"",PROCESO!J42,IF(PROCESO!J43&lt;&gt;"",PROCESO!J43,IF(PROCESO!J44&lt;&gt;"",PROCESO!J44,IF(PROCESO!J45&lt;&gt;"",PROCESO!J45,""))))&lt;&gt;"","ENVÍO Guía "&amp;IF(PROCESO!J42&lt;&gt;"",PROCESO!J42,IF(PROCESO!J43&lt;&gt;"",PROCESO!J43,IF(PROCESO!J44&lt;&gt;"",PROCESO!J44,IF(PROCESO!J45&lt;&gt;"",PROCESO!J45,"")))),"")</f>
        <v>ENVÍO Guía 2994</v>
      </c>
      <c r="C24" s="142"/>
      <c r="D24" s="142">
        <f>IF(IF(PROCESO!J42&lt;&gt;"",PROCESO!J42,IF(PROCESO!J43&lt;&gt;"",PROCESO!J43,IF(PROCESO!J44&lt;&gt;"",PROCESO!J44,IF(PROCESO!J45&lt;&gt;"",PROCESO!J45,""))))&lt;&gt;"",SUMIF(PROCESO!J42:J45,IF(PROCESO!J42&lt;&gt;"",PROCESO!J42,IF(PROCESO!J43&lt;&gt;"",PROCESO!J43,IF(PROCESO!J44&lt;&gt;"",PROCESO!J44,IF(PROCESO!J45&lt;&gt;"",PROCESO!J45,"")))),PROCESO!L42:L45),"")</f>
        <v>3413</v>
      </c>
      <c r="E24" s="141" t="str">
        <f>IF(IF(PROCESO!J42&lt;&gt;"",PROCESO!J42,IF(PROCESO!J43&lt;&gt;"",PROCESO!J43,IF(PROCESO!J44&lt;&gt;"",PROCESO!J44,IF(PROCESO!J45&lt;&gt;"",PROCESO!J45,""))))&lt;&gt;"","G-"&amp;IF(PROCESO!J42&lt;&gt;"",PROCESO!J42,IF(PROCESO!J43&lt;&gt;"",PROCESO!J43,IF(PROCESO!J44&lt;&gt;"",PROCESO!J44,IF(PROCESO!J45&lt;&gt;"",PROCESO!J45,"")))),"")</f>
        <v>G-2994</v>
      </c>
      <c r="F24" s="142">
        <f>IF(IF(PROCESO!J42&lt;&gt;"",PROCESO!J42,IF(PROCESO!J43&lt;&gt;"",PROCESO!J43,IF(PROCESO!J44&lt;&gt;"",PROCESO!J44,IF(PROCESO!J45&lt;&gt;"",PROCESO!J45,""))))&lt;&gt;"",LOOKUP(9.99E+307,F$6:F23)+N(C24)-N(D24),"")</f>
        <v>2517</v>
      </c>
      <c r="G24" s="131"/>
      <c r="H24" s="131"/>
      <c r="I24" s="131"/>
      <c r="J24" s="131"/>
    </row>
    <row r="25" spans="1:10" x14ac:dyDescent="0.2">
      <c r="A25" s="137" t="str">
        <f>IF(PROCESO!D48&gt;0,IF(PROCESO!A48="","",PROCESO!A48&amp;IF(COUNTIF(PROCESO!$A$6:A47,PROCESO!A48)&gt;0," (Ped."&amp;(COUNTIF(PROCESO!$A$6:A47,PROCESO!A48)+1)&amp;")","")),"")</f>
        <v>VIE 17-07 (Ped.2)</v>
      </c>
      <c r="B25" s="137" t="str">
        <f>IF(PROCESO!D48&gt;0,"INGRESO (compra)","")</f>
        <v>INGRESO (compra)</v>
      </c>
      <c r="C25" s="138">
        <f>IF(PROCESO!D48&gt;0,PROCESO!D48,"")</f>
        <v>475</v>
      </c>
      <c r="D25" s="138"/>
      <c r="E25" s="137" t="str">
        <f>IF(PROCESO!D48&gt;0,PROCESO!B48&amp;" sacos x "&amp;PROCESO!C48&amp;" kg","")</f>
        <v>5 sacos x 95 kg</v>
      </c>
      <c r="F25" s="138">
        <f>IF(PROCESO!D48&gt;0,LOOKUP(9.99E+307,F$6:F24)+N(C25)-N(D25),"")</f>
        <v>2992</v>
      </c>
      <c r="G25" s="131"/>
      <c r="H25" s="131"/>
      <c r="I25" s="131"/>
      <c r="J25" s="131"/>
    </row>
    <row r="26" spans="1:10" x14ac:dyDescent="0.2">
      <c r="A26" s="139" t="str">
        <f>IF(N(PROCESO!H52)&gt;0,IF(PROCESO!A48="","",PROCESO!A48&amp;IF(COUNTIF(PROCESO!$A$6:A47,PROCESO!A48)&gt;0," (Ped."&amp;(COUNTIF(PROCESO!$A$6:A47,PROCESO!A48)+1)&amp;")","")),"")</f>
        <v>VIE 17-07 (Ped.2)</v>
      </c>
      <c r="B26" s="139" t="str">
        <f>IF(N(PROCESO!H52)&gt;0,"CHANCHO (proceso)","")</f>
        <v>CHANCHO (proceso)</v>
      </c>
      <c r="C26" s="140"/>
      <c r="D26" s="140">
        <f>IF(N(PROCESO!H52)&gt;0,N(PROCESO!H52),"")</f>
        <v>95</v>
      </c>
      <c r="E26" s="139" t="str">
        <f>IF(N(PROCESO!H52)&gt;0,PROCESO!G52&amp;" sacos x 95 kg","")</f>
        <v>1 sacos x 95 kg</v>
      </c>
      <c r="F26" s="140">
        <f>IF(N(PROCESO!H52)&gt;0,LOOKUP(9.99E+307,F$6:F25)+N(C26)-N(D26),"")</f>
        <v>2897</v>
      </c>
      <c r="G26" s="131"/>
      <c r="H26" s="131"/>
      <c r="I26" s="131"/>
      <c r="J26" s="131"/>
    </row>
    <row r="27" spans="1:10" x14ac:dyDescent="0.2">
      <c r="A27" s="141" t="str">
        <f>IF(IF(PROCESO!J54&lt;&gt;"",PROCESO!J54,IF(PROCESO!J55&lt;&gt;"",PROCESO!J55,IF(PROCESO!J56&lt;&gt;"",PROCESO!J56,IF(PROCESO!J57&lt;&gt;"",PROCESO!J57,""))))&lt;&gt;"",IF(PROCESO!A54="","",PROCESO!A54&amp;IF(COUNTIF(PROCESO!$A$6:A53,PROCESO!A54)&gt;0," (Ped."&amp;(COUNTIF(PROCESO!$A$6:A53,PROCESO!A54)+1)&amp;")","")),"")</f>
        <v>SAB 18-07</v>
      </c>
      <c r="B27" s="141" t="str">
        <f>IF(IF(PROCESO!J54&lt;&gt;"",PROCESO!J54,IF(PROCESO!J55&lt;&gt;"",PROCESO!J55,IF(PROCESO!J56&lt;&gt;"",PROCESO!J56,IF(PROCESO!J57&lt;&gt;"",PROCESO!J57,""))))&lt;&gt;"","ENVÍO Guía "&amp;IF(PROCESO!J54&lt;&gt;"",PROCESO!J54,IF(PROCESO!J55&lt;&gt;"",PROCESO!J55,IF(PROCESO!J56&lt;&gt;"",PROCESO!J56,IF(PROCESO!J57&lt;&gt;"",PROCESO!J57,"")))),"")</f>
        <v>ENVÍO Guía 2996</v>
      </c>
      <c r="C27" s="142"/>
      <c r="D27" s="142">
        <f>IF(IF(PROCESO!J54&lt;&gt;"",PROCESO!J54,IF(PROCESO!J55&lt;&gt;"",PROCESO!J55,IF(PROCESO!J56&lt;&gt;"",PROCESO!J56,IF(PROCESO!J57&lt;&gt;"",PROCESO!J57,""))))&lt;&gt;"",SUMIF(PROCESO!J54:J57,IF(PROCESO!J54&lt;&gt;"",PROCESO!J54,IF(PROCESO!J55&lt;&gt;"",PROCESO!J55,IF(PROCESO!J56&lt;&gt;"",PROCESO!J56,IF(PROCESO!J57&lt;&gt;"",PROCESO!J57,"")))),PROCESO!L54:L57),"")</f>
        <v>3168</v>
      </c>
      <c r="E27" s="141" t="str">
        <f>IF(IF(PROCESO!J54&lt;&gt;"",PROCESO!J54,IF(PROCESO!J55&lt;&gt;"",PROCESO!J55,IF(PROCESO!J56&lt;&gt;"",PROCESO!J56,IF(PROCESO!J57&lt;&gt;"",PROCESO!J57,""))))&lt;&gt;"","G-"&amp;IF(PROCESO!J54&lt;&gt;"",PROCESO!J54,IF(PROCESO!J55&lt;&gt;"",PROCESO!J55,IF(PROCESO!J56&lt;&gt;"",PROCESO!J56,IF(PROCESO!J57&lt;&gt;"",PROCESO!J57,"")))),"")</f>
        <v>G-2996</v>
      </c>
      <c r="F27" s="142">
        <f>IF(IF(PROCESO!J54&lt;&gt;"",PROCESO!J54,IF(PROCESO!J55&lt;&gt;"",PROCESO!J55,IF(PROCESO!J56&lt;&gt;"",PROCESO!J56,IF(PROCESO!J57&lt;&gt;"",PROCESO!J57,""))))&lt;&gt;"",LOOKUP(9.99E+307,F$6:F26)+N(C27)-N(D27),"")</f>
        <v>-271</v>
      </c>
      <c r="G27" s="131"/>
      <c r="H27" s="131"/>
      <c r="I27" s="131"/>
      <c r="J27" s="131"/>
    </row>
    <row r="28" spans="1:10" x14ac:dyDescent="0.2">
      <c r="A28" s="137" t="str">
        <f>IF(PROCESO!D60&gt;0,IF(PROCESO!A60="","",PROCESO!A60&amp;IF(COUNTIF(PROCESO!$A$6:A59,PROCESO!A60)&gt;0," (Ped."&amp;(COUNTIF(PROCESO!$A$6:A59,PROCESO!A60)+1)&amp;")","")),"")</f>
        <v>DOM 19-07</v>
      </c>
      <c r="B28" s="137" t="str">
        <f>IF(PROCESO!D60&gt;0,"INGRESO (compra)","")</f>
        <v>INGRESO (compra)</v>
      </c>
      <c r="C28" s="138">
        <f>IF(PROCESO!D60&gt;0,PROCESO!D60,"")</f>
        <v>4750</v>
      </c>
      <c r="D28" s="138"/>
      <c r="E28" s="137" t="str">
        <f>IF(PROCESO!D60&gt;0,PROCESO!B60&amp;" sacos x "&amp;PROCESO!C60&amp;" kg","")</f>
        <v>50 sacos x 95 kg</v>
      </c>
      <c r="F28" s="138">
        <f>IF(PROCESO!D60&gt;0,LOOKUP(9.99E+307,F$6:F27)+N(C28)-N(D28),"")</f>
        <v>4479</v>
      </c>
      <c r="G28" s="131"/>
      <c r="H28" s="131"/>
      <c r="I28" s="131"/>
      <c r="J28" s="131"/>
    </row>
    <row r="29" spans="1:10" x14ac:dyDescent="0.2">
      <c r="A29" s="139" t="str">
        <f>IF(N(PROCESO!H64)&gt;0,IF(PROCESO!A60="","",PROCESO!A60&amp;IF(COUNTIF(PROCESO!$A$6:A59,PROCESO!A60)&gt;0," (Ped."&amp;(COUNTIF(PROCESO!$A$6:A59,PROCESO!A60)+1)&amp;")","")),"")</f>
        <v>DOM 19-07</v>
      </c>
      <c r="B29" s="139" t="str">
        <f>IF(N(PROCESO!H64)&gt;0,"CHANCHO (proceso)","")</f>
        <v>CHANCHO (proceso)</v>
      </c>
      <c r="C29" s="140"/>
      <c r="D29" s="140">
        <f>IF(N(PROCESO!H64)&gt;0,N(PROCESO!H64),"")</f>
        <v>1282.5</v>
      </c>
      <c r="E29" s="139" t="str">
        <f>IF(N(PROCESO!H64)&gt;0,PROCESO!G64&amp;" sacos x 95 kg","")</f>
        <v>13.5 sacos x 95 kg</v>
      </c>
      <c r="F29" s="140">
        <f>IF(N(PROCESO!H64)&gt;0,LOOKUP(9.99E+307,F$6:F28)+N(C29)-N(D29),"")</f>
        <v>3196.5</v>
      </c>
      <c r="G29" s="131"/>
      <c r="H29" s="131"/>
      <c r="I29" s="131"/>
      <c r="J29" s="131"/>
    </row>
    <row r="30" spans="1:10" x14ac:dyDescent="0.2">
      <c r="A30" s="141" t="str">
        <f>IF(IF(PROCESO!J60&lt;&gt;"",PROCESO!J60,IF(PROCESO!J61&lt;&gt;"",PROCESO!J61,IF(PROCESO!J62&lt;&gt;"",PROCESO!J62,IF(PROCESO!J63&lt;&gt;"",PROCESO!J63,""))))&lt;&gt;"",IF(PROCESO!A60="","",PROCESO!A60&amp;IF(COUNTIF(PROCESO!$A$6:A59,PROCESO!A60)&gt;0," (Ped."&amp;(COUNTIF(PROCESO!$A$6:A59,PROCESO!A60)+1)&amp;")","")),"")</f>
        <v>DOM 19-07</v>
      </c>
      <c r="B30" s="141" t="str">
        <f>IF(IF(PROCESO!J60&lt;&gt;"",PROCESO!J60,IF(PROCESO!J61&lt;&gt;"",PROCESO!J61,IF(PROCESO!J62&lt;&gt;"",PROCESO!J62,IF(PROCESO!J63&lt;&gt;"",PROCESO!J63,""))))&lt;&gt;"","ENVÍO Guía "&amp;IF(PROCESO!J60&lt;&gt;"",PROCESO!J60,IF(PROCESO!J61&lt;&gt;"",PROCESO!J61,IF(PROCESO!J62&lt;&gt;"",PROCESO!J62,IF(PROCESO!J63&lt;&gt;"",PROCESO!J63,"")))),"")</f>
        <v>ENVÍO Guía 2998</v>
      </c>
      <c r="C30" s="142"/>
      <c r="D30" s="142">
        <f>IF(IF(PROCESO!J60&lt;&gt;"",PROCESO!J60,IF(PROCESO!J61&lt;&gt;"",PROCESO!J61,IF(PROCESO!J62&lt;&gt;"",PROCESO!J62,IF(PROCESO!J63&lt;&gt;"",PROCESO!J63,""))))&lt;&gt;"",SUMIF(PROCESO!J60:J63,IF(PROCESO!J60&lt;&gt;"",PROCESO!J60,IF(PROCESO!J61&lt;&gt;"",PROCESO!J61,IF(PROCESO!J62&lt;&gt;"",PROCESO!J62,IF(PROCESO!J63&lt;&gt;"",PROCESO!J63,"")))),PROCESO!L60:L63),"")</f>
        <v>1883</v>
      </c>
      <c r="E30" s="141" t="str">
        <f>IF(IF(PROCESO!J60&lt;&gt;"",PROCESO!J60,IF(PROCESO!J61&lt;&gt;"",PROCESO!J61,IF(PROCESO!J62&lt;&gt;"",PROCESO!J62,IF(PROCESO!J63&lt;&gt;"",PROCESO!J63,""))))&lt;&gt;"","G-"&amp;IF(PROCESO!J60&lt;&gt;"",PROCESO!J60,IF(PROCESO!J61&lt;&gt;"",PROCESO!J61,IF(PROCESO!J62&lt;&gt;"",PROCESO!J62,IF(PROCESO!J63&lt;&gt;"",PROCESO!J63,"")))),"")</f>
        <v>G-2998</v>
      </c>
      <c r="F30" s="142">
        <f>IF(IF(PROCESO!J60&lt;&gt;"",PROCESO!J60,IF(PROCESO!J61&lt;&gt;"",PROCESO!J61,IF(PROCESO!J62&lt;&gt;"",PROCESO!J62,IF(PROCESO!J63&lt;&gt;"",PROCESO!J63,""))))&lt;&gt;"",LOOKUP(9.99E+307,F$6:F29)+N(C30)-N(D30),"")</f>
        <v>1313.5</v>
      </c>
      <c r="G30" s="131"/>
      <c r="H30" s="131"/>
      <c r="I30" s="131"/>
      <c r="J30" s="131"/>
    </row>
    <row r="31" spans="1:10" x14ac:dyDescent="0.2">
      <c r="A31" s="137" t="str">
        <f>IF(PROCESO!D66&gt;0,IF(PROCESO!A66="","",PROCESO!A66&amp;IF(COUNTIF(PROCESO!$A$6:A65,PROCESO!A66)&gt;0," (Ped."&amp;(COUNTIF(PROCESO!$A$6:A65,PROCESO!A66)+1)&amp;")","")),"")</f>
        <v>LUN 20-07</v>
      </c>
      <c r="B31" s="137" t="str">
        <f>IF(PROCESO!D66&gt;0,"INGRESO (compra)","")</f>
        <v>INGRESO (compra)</v>
      </c>
      <c r="C31" s="138">
        <f>IF(PROCESO!D66&gt;0,PROCESO!D66,"")</f>
        <v>4560</v>
      </c>
      <c r="D31" s="138"/>
      <c r="E31" s="137" t="str">
        <f>IF(PROCESO!D66&gt;0,PROCESO!B66&amp;" sacos x "&amp;PROCESO!C66&amp;" kg","")</f>
        <v>48 sacos x 95 kg</v>
      </c>
      <c r="F31" s="138">
        <f>IF(PROCESO!D66&gt;0,LOOKUP(9.99E+307,F$6:F30)+N(C31)-N(D31),"")</f>
        <v>5873.5</v>
      </c>
      <c r="G31" s="131"/>
      <c r="H31" s="131"/>
      <c r="I31" s="131"/>
      <c r="J31" s="131"/>
    </row>
    <row r="32" spans="1:10" x14ac:dyDescent="0.2">
      <c r="A32" s="139" t="str">
        <f>IF(N(PROCESO!H70)&gt;0,IF(PROCESO!A66="","",PROCESO!A66&amp;IF(COUNTIF(PROCESO!$A$6:A65,PROCESO!A66)&gt;0," (Ped."&amp;(COUNTIF(PROCESO!$A$6:A65,PROCESO!A66)+1)&amp;")","")),"")</f>
        <v>LUN 20-07</v>
      </c>
      <c r="B32" s="139" t="str">
        <f>IF(N(PROCESO!H70)&gt;0,"CHANCHO (proceso)","")</f>
        <v>CHANCHO (proceso)</v>
      </c>
      <c r="C32" s="140"/>
      <c r="D32" s="140">
        <f>IF(N(PROCESO!H70)&gt;0,N(PROCESO!H70),"")</f>
        <v>617.5</v>
      </c>
      <c r="E32" s="139" t="str">
        <f>IF(N(PROCESO!H70)&gt;0,PROCESO!G70&amp;" sacos x 95 kg","")</f>
        <v>6.5 sacos x 95 kg</v>
      </c>
      <c r="F32" s="140">
        <f>IF(N(PROCESO!H70)&gt;0,LOOKUP(9.99E+307,F$6:F31)+N(C32)-N(D32),"")</f>
        <v>5256</v>
      </c>
      <c r="G32" s="131"/>
      <c r="H32" s="131"/>
      <c r="I32" s="131"/>
      <c r="J32" s="131"/>
    </row>
    <row r="33" spans="1:10" x14ac:dyDescent="0.2">
      <c r="A33" s="141" t="str">
        <f>IF(IF(PROCESO!J66&lt;&gt;"",PROCESO!J66,IF(PROCESO!J67&lt;&gt;"",PROCESO!J67,IF(PROCESO!J68&lt;&gt;"",PROCESO!J68,IF(PROCESO!J69&lt;&gt;"",PROCESO!J69,""))))&lt;&gt;"",IF(PROCESO!A66="","",PROCESO!A66&amp;IF(COUNTIF(PROCESO!$A$6:A65,PROCESO!A66)&gt;0," (Ped."&amp;(COUNTIF(PROCESO!$A$6:A65,PROCESO!A66)+1)&amp;")","")),"")</f>
        <v>LUN 20-07</v>
      </c>
      <c r="B33" s="141" t="str">
        <f>IF(IF(PROCESO!J66&lt;&gt;"",PROCESO!J66,IF(PROCESO!J67&lt;&gt;"",PROCESO!J67,IF(PROCESO!J68&lt;&gt;"",PROCESO!J68,IF(PROCESO!J69&lt;&gt;"",PROCESO!J69,""))))&lt;&gt;"","ENVÍO Guía "&amp;IF(PROCESO!J66&lt;&gt;"",PROCESO!J66,IF(PROCESO!J67&lt;&gt;"",PROCESO!J67,IF(PROCESO!J68&lt;&gt;"",PROCESO!J68,IF(PROCESO!J69&lt;&gt;"",PROCESO!J69,"")))),"")</f>
        <v>ENVÍO Guía 3001</v>
      </c>
      <c r="C33" s="142"/>
      <c r="D33" s="142">
        <f>IF(IF(PROCESO!J66&lt;&gt;"",PROCESO!J66,IF(PROCESO!J67&lt;&gt;"",PROCESO!J67,IF(PROCESO!J68&lt;&gt;"",PROCESO!J68,IF(PROCESO!J69&lt;&gt;"",PROCESO!J69,""))))&lt;&gt;"",SUMIF(PROCESO!J66:J69,IF(PROCESO!J66&lt;&gt;"",PROCESO!J66,IF(PROCESO!J67&lt;&gt;"",PROCESO!J67,IF(PROCESO!J68&lt;&gt;"",PROCESO!J68,IF(PROCESO!J69&lt;&gt;"",PROCESO!J69,"")))),PROCESO!L66:L69),"")</f>
        <v>3294</v>
      </c>
      <c r="E33" s="141" t="str">
        <f>IF(IF(PROCESO!J66&lt;&gt;"",PROCESO!J66,IF(PROCESO!J67&lt;&gt;"",PROCESO!J67,IF(PROCESO!J68&lt;&gt;"",PROCESO!J68,IF(PROCESO!J69&lt;&gt;"",PROCESO!J69,""))))&lt;&gt;"","G-"&amp;IF(PROCESO!J66&lt;&gt;"",PROCESO!J66,IF(PROCESO!J67&lt;&gt;"",PROCESO!J67,IF(PROCESO!J68&lt;&gt;"",PROCESO!J68,IF(PROCESO!J69&lt;&gt;"",PROCESO!J69,"")))),"")</f>
        <v>G-3001</v>
      </c>
      <c r="F33" s="142">
        <f>IF(IF(PROCESO!J66&lt;&gt;"",PROCESO!J66,IF(PROCESO!J67&lt;&gt;"",PROCESO!J67,IF(PROCESO!J68&lt;&gt;"",PROCESO!J68,IF(PROCESO!J69&lt;&gt;"",PROCESO!J69,""))))&lt;&gt;"",LOOKUP(9.99E+307,F$6:F32)+N(C33)-N(D33),"")</f>
        <v>1962</v>
      </c>
      <c r="G33" s="131"/>
      <c r="H33" s="131"/>
      <c r="I33" s="131"/>
      <c r="J33" s="131"/>
    </row>
    <row r="34" spans="1:10" x14ac:dyDescent="0.2">
      <c r="A34" s="137" t="str">
        <f>IF(PROCESO!D72&gt;0,IF(PROCESO!A72="","",PROCESO!A72&amp;IF(COUNTIF(PROCESO!$A$6:A71,PROCESO!A72)&gt;0," (Ped."&amp;(COUNTIF(PROCESO!$A$6:A71,PROCESO!A72)+1)&amp;")","")),"")</f>
        <v>LUN 20-07 (Ped.2)</v>
      </c>
      <c r="B34" s="137" t="str">
        <f>IF(PROCESO!D72&gt;0,"INGRESO (compra)","")</f>
        <v>INGRESO (compra)</v>
      </c>
      <c r="C34" s="138">
        <f>IF(PROCESO!D72&gt;0,PROCESO!D72,"")</f>
        <v>2090</v>
      </c>
      <c r="D34" s="138"/>
      <c r="E34" s="137" t="str">
        <f>IF(PROCESO!D72&gt;0,PROCESO!B72&amp;" sacos x "&amp;PROCESO!C72&amp;" kg","")</f>
        <v>22 sacos x 95 kg</v>
      </c>
      <c r="F34" s="138">
        <f>IF(PROCESO!D72&gt;0,LOOKUP(9.99E+307,F$6:F33)+N(C34)-N(D34),"")</f>
        <v>4052</v>
      </c>
      <c r="G34" s="131"/>
      <c r="H34" s="131"/>
      <c r="I34" s="131"/>
      <c r="J34" s="131"/>
    </row>
    <row r="35" spans="1:10" x14ac:dyDescent="0.2">
      <c r="A35" s="139" t="str">
        <f>IF(N(PROCESO!H76)&gt;0,IF(PROCESO!A72="","",PROCESO!A72&amp;IF(COUNTIF(PROCESO!$A$6:A71,PROCESO!A72)&gt;0," (Ped."&amp;(COUNTIF(PROCESO!$A$6:A71,PROCESO!A72)+1)&amp;")","")),"")</f>
        <v>LUN 20-07 (Ped.2)</v>
      </c>
      <c r="B35" s="139" t="str">
        <f>IF(N(PROCESO!H76)&gt;0,"CHANCHO (proceso)","")</f>
        <v>CHANCHO (proceso)</v>
      </c>
      <c r="C35" s="140"/>
      <c r="D35" s="140">
        <f>IF(N(PROCESO!H76)&gt;0,N(PROCESO!H76),"")</f>
        <v>285</v>
      </c>
      <c r="E35" s="139" t="str">
        <f>IF(N(PROCESO!H76)&gt;0,PROCESO!G76&amp;" sacos x 95 kg","")</f>
        <v>3 sacos x 95 kg</v>
      </c>
      <c r="F35" s="140">
        <f>IF(N(PROCESO!H76)&gt;0,LOOKUP(9.99E+307,F$6:F34)+N(C35)-N(D35),"")</f>
        <v>3767</v>
      </c>
      <c r="G35" s="131"/>
      <c r="H35" s="131"/>
      <c r="I35" s="131"/>
      <c r="J35" s="131"/>
    </row>
    <row r="36" spans="1:10" x14ac:dyDescent="0.2">
      <c r="A36" s="137" t="str">
        <f>IF(PROCESO!D78&gt;0,IF(PROCESO!A78="","",PROCESO!A78&amp;IF(COUNTIF(PROCESO!$A$6:A77,PROCESO!A78)&gt;0," (Ped."&amp;(COUNTIF(PROCESO!$A$6:A77,PROCESO!A78)+1)&amp;")","")),"")</f>
        <v>MAR 21-07</v>
      </c>
      <c r="B36" s="137" t="str">
        <f>IF(PROCESO!D78&gt;0,"INGRESO (compra)","")</f>
        <v>INGRESO (compra)</v>
      </c>
      <c r="C36" s="138">
        <f>IF(PROCESO!D78&gt;0,PROCESO!D78,"")</f>
        <v>6650</v>
      </c>
      <c r="D36" s="138"/>
      <c r="E36" s="137" t="str">
        <f>IF(PROCESO!D78&gt;0,PROCESO!B78&amp;" sacos x "&amp;PROCESO!C78&amp;" kg","")</f>
        <v>70 sacos x 95 kg</v>
      </c>
      <c r="F36" s="138">
        <f>IF(PROCESO!D78&gt;0,LOOKUP(9.99E+307,F$6:F35)+N(C36)-N(D36),"")</f>
        <v>10417</v>
      </c>
      <c r="G36" s="131"/>
      <c r="H36" s="131"/>
      <c r="I36" s="131"/>
      <c r="J36" s="131"/>
    </row>
    <row r="37" spans="1:10" x14ac:dyDescent="0.2">
      <c r="A37" s="139" t="str">
        <f>IF(N(PROCESO!H82)&gt;0,IF(PROCESO!A78="","",PROCESO!A78&amp;IF(COUNTIF(PROCESO!$A$6:A77,PROCESO!A78)&gt;0," (Ped."&amp;(COUNTIF(PROCESO!$A$6:A77,PROCESO!A78)+1)&amp;")","")),"")</f>
        <v>MAR 21-07</v>
      </c>
      <c r="B37" s="139" t="str">
        <f>IF(N(PROCESO!H82)&gt;0,"CHANCHO (proceso)","")</f>
        <v>CHANCHO (proceso)</v>
      </c>
      <c r="C37" s="140"/>
      <c r="D37" s="140">
        <f>IF(N(PROCESO!H82)&gt;0,N(PROCESO!H82),"")</f>
        <v>380</v>
      </c>
      <c r="E37" s="139" t="str">
        <f>IF(N(PROCESO!H82)&gt;0,PROCESO!G82&amp;" sacos x 95 kg","")</f>
        <v>4 sacos x 95 kg</v>
      </c>
      <c r="F37" s="140">
        <f>IF(N(PROCESO!H82)&gt;0,LOOKUP(9.99E+307,F$6:F36)+N(C37)-N(D37),"")</f>
        <v>10037</v>
      </c>
      <c r="G37" s="131"/>
      <c r="H37" s="131"/>
      <c r="I37" s="131"/>
      <c r="J37" s="131"/>
    </row>
    <row r="38" spans="1:10" x14ac:dyDescent="0.2">
      <c r="A38" s="141" t="str">
        <f>IF(IF(PROCESO!J78&lt;&gt;"",PROCESO!J78,IF(PROCESO!J79&lt;&gt;"",PROCESO!J79,IF(PROCESO!J80&lt;&gt;"",PROCESO!J80,IF(PROCESO!J81&lt;&gt;"",PROCESO!J81,""))))&lt;&gt;"",IF(PROCESO!A78="","",PROCESO!A78&amp;IF(COUNTIF(PROCESO!$A$6:A77,PROCESO!A78)&gt;0," (Ped."&amp;(COUNTIF(PROCESO!$A$6:A77,PROCESO!A78)+1)&amp;")","")),"")</f>
        <v>MAR 21-07</v>
      </c>
      <c r="B38" s="141" t="str">
        <f>IF(IF(PROCESO!J78&lt;&gt;"",PROCESO!J78,IF(PROCESO!J79&lt;&gt;"",PROCESO!J79,IF(PROCESO!J80&lt;&gt;"",PROCESO!J80,IF(PROCESO!J81&lt;&gt;"",PROCESO!J81,""))))&lt;&gt;"","ENVÍO Guía "&amp;IF(PROCESO!J78&lt;&gt;"",PROCESO!J78,IF(PROCESO!J79&lt;&gt;"",PROCESO!J79,IF(PROCESO!J80&lt;&gt;"",PROCESO!J80,IF(PROCESO!J81&lt;&gt;"",PROCESO!J81,"")))),"")</f>
        <v>ENVÍO Guía 3004</v>
      </c>
      <c r="C38" s="142"/>
      <c r="D38" s="142">
        <f>IF(IF(PROCESO!J78&lt;&gt;"",PROCESO!J78,IF(PROCESO!J79&lt;&gt;"",PROCESO!J79,IF(PROCESO!J80&lt;&gt;"",PROCESO!J80,IF(PROCESO!J81&lt;&gt;"",PROCESO!J81,""))))&lt;&gt;"",SUMIF(PROCESO!J78:J81,IF(PROCESO!J78&lt;&gt;"",PROCESO!J78,IF(PROCESO!J79&lt;&gt;"",PROCESO!J79,IF(PROCESO!J80&lt;&gt;"",PROCESO!J80,IF(PROCESO!J81&lt;&gt;"",PROCESO!J81,"")))),PROCESO!L78:L81),"")</f>
        <v>3260</v>
      </c>
      <c r="E38" s="141" t="str">
        <f>IF(IF(PROCESO!J78&lt;&gt;"",PROCESO!J78,IF(PROCESO!J79&lt;&gt;"",PROCESO!J79,IF(PROCESO!J80&lt;&gt;"",PROCESO!J80,IF(PROCESO!J81&lt;&gt;"",PROCESO!J81,""))))&lt;&gt;"","G-"&amp;IF(PROCESO!J78&lt;&gt;"",PROCESO!J78,IF(PROCESO!J79&lt;&gt;"",PROCESO!J79,IF(PROCESO!J80&lt;&gt;"",PROCESO!J80,IF(PROCESO!J81&lt;&gt;"",PROCESO!J81,"")))),"")</f>
        <v>G-3004</v>
      </c>
      <c r="F38" s="142">
        <f>IF(IF(PROCESO!J78&lt;&gt;"",PROCESO!J78,IF(PROCESO!J79&lt;&gt;"",PROCESO!J79,IF(PROCESO!J80&lt;&gt;"",PROCESO!J80,IF(PROCESO!J81&lt;&gt;"",PROCESO!J81,""))))&lt;&gt;"",LOOKUP(9.99E+307,F$6:F37)+N(C38)-N(D38),"")</f>
        <v>6777</v>
      </c>
      <c r="G38" s="131"/>
      <c r="H38" s="131"/>
      <c r="I38" s="131"/>
      <c r="J38" s="131"/>
    </row>
    <row r="39" spans="1:10" x14ac:dyDescent="0.2">
      <c r="A39" s="143" t="str">
        <f>IF(OR(SUM(PROCESO!M78:M81)&gt;0,SUM(PROCESO!N78:N81)&gt;0),IF(PROCESO!A78="","",PROCESO!A78&amp;IF(COUNTIF(PROCESO!$A$6:A77,PROCESO!A78)&gt;0," (Ped."&amp;(COUNTIF(PROCESO!$A$6:A77,PROCESO!A78)+1)&amp;")","")),"")</f>
        <v>MAR 21-07</v>
      </c>
      <c r="B39" s="143" t="str">
        <f>IF(OR(SUM(PROCESO!M78:M81)&gt;0,SUM(PROCESO!N78:N81)&gt;0),"REPROCESO (devolución)","")</f>
        <v>REPROCESO (devolución)</v>
      </c>
      <c r="C39" s="144">
        <f>IF(OR(SUM(PROCESO!M78:M81)&gt;0,SUM(PROCESO!N78:N81)&gt;0),SUM(PROCESO!N78:N81),"")</f>
        <v>17</v>
      </c>
      <c r="D39" s="144"/>
      <c r="E39" s="143" t="str">
        <f>IF(OR(SUM(PROCESO!M78:M81)&gt;0,SUM(PROCESO!N78:N81)&gt;0),IF(SUM(PROCESO!M78:M81)&gt;0,SUM(PROCESO!M78:M81)&amp;" jabas devueltas · merma "&amp;TEXT((PROCESO!M78*15+PROCESO!M79*18+PROCESO!M80*17+PROCESO!M81*17)-SUM(PROCESO!N78:N81),"+#,##0;-#,##0;0")&amp;" kg",""),"")</f>
        <v>2 jabas devueltas · merma +15 kg</v>
      </c>
      <c r="F39" s="144">
        <f>IF(OR(SUM(PROCESO!M78:M81)&gt;0,SUM(PROCESO!N78:N81)&gt;0),LOOKUP(9.99E+307,F$6:F38)+N(C39)-N(D39),"")</f>
        <v>6794</v>
      </c>
      <c r="G39" s="131"/>
      <c r="H39" s="131"/>
      <c r="I39" s="131"/>
      <c r="J39" s="131"/>
    </row>
    <row r="40" spans="1:10" x14ac:dyDescent="0.2">
      <c r="A40" s="139" t="str">
        <f>IF(N(PROCESO!H88)&gt;0,IF(PROCESO!A84="","",PROCESO!A84&amp;IF(COUNTIF(PROCESO!$A$6:A83,PROCESO!A84)&gt;0," (Ped."&amp;(COUNTIF(PROCESO!$A$6:A83,PROCESO!A84)+1)&amp;")","")),"")</f>
        <v>MIE 22-07</v>
      </c>
      <c r="B40" s="139" t="str">
        <f>IF(N(PROCESO!H88)&gt;0,"CHANCHO (proceso)","")</f>
        <v>CHANCHO (proceso)</v>
      </c>
      <c r="C40" s="140"/>
      <c r="D40" s="140">
        <f>IF(N(PROCESO!H88)&gt;0,N(PROCESO!H88),"")</f>
        <v>760</v>
      </c>
      <c r="E40" s="139" t="str">
        <f>IF(N(PROCESO!H88)&gt;0,PROCESO!G88&amp;" sacos x 95 kg","")</f>
        <v>8 sacos x 95 kg</v>
      </c>
      <c r="F40" s="140">
        <f>IF(N(PROCESO!H88)&gt;0,LOOKUP(9.99E+307,F$6:F39)+N(C40)-N(D40),"")</f>
        <v>6034</v>
      </c>
      <c r="G40" s="131"/>
      <c r="H40" s="131"/>
      <c r="I40" s="131"/>
      <c r="J40" s="131"/>
    </row>
    <row r="41" spans="1:10" x14ac:dyDescent="0.2">
      <c r="A41" s="145" t="str">
        <f>IF(N(PROCESO!H89)&gt;0,IF(PROCESO!A84="","",PROCESO!A84&amp;IF(COUNTIF(PROCESO!$A$6:A83,PROCESO!A84)&gt;0," (Ped."&amp;(COUNTIF(PROCESO!$A$6:A83,PROCESO!A84)+1)&amp;")","")),"")</f>
        <v>MIE 22-07</v>
      </c>
      <c r="B41" s="145" t="str">
        <f>IF(N(PROCESO!H89)&gt;0,"MALOGRADO","")</f>
        <v>MALOGRADO</v>
      </c>
      <c r="C41" s="146"/>
      <c r="D41" s="146">
        <f>IF(N(PROCESO!H89)&gt;0,N(PROCESO!H89),"")</f>
        <v>50</v>
      </c>
      <c r="E41" s="145"/>
      <c r="F41" s="146">
        <f>IF(N(PROCESO!H89)&gt;0,LOOKUP(9.99E+307,F$6:F40)+N(C41)-N(D41),"")</f>
        <v>5984</v>
      </c>
      <c r="G41" s="131"/>
      <c r="H41" s="131"/>
      <c r="I41" s="131"/>
      <c r="J41" s="131"/>
    </row>
    <row r="42" spans="1:10" x14ac:dyDescent="0.2">
      <c r="A42" s="141" t="str">
        <f>IF(IF(PROCESO!J84&lt;&gt;"",PROCESO!J84,IF(PROCESO!J85&lt;&gt;"",PROCESO!J85,IF(PROCESO!J86&lt;&gt;"",PROCESO!J86,IF(PROCESO!J87&lt;&gt;"",PROCESO!J87,""))))&lt;&gt;"",IF(PROCESO!A84="","",PROCESO!A84&amp;IF(COUNTIF(PROCESO!$A$6:A83,PROCESO!A84)&gt;0," (Ped."&amp;(COUNTIF(PROCESO!$A$6:A83,PROCESO!A84)+1)&amp;")","")),"")</f>
        <v>MIE 22-07</v>
      </c>
      <c r="B42" s="141" t="str">
        <f>IF(IF(PROCESO!J84&lt;&gt;"",PROCESO!J84,IF(PROCESO!J85&lt;&gt;"",PROCESO!J85,IF(PROCESO!J86&lt;&gt;"",PROCESO!J86,IF(PROCESO!J87&lt;&gt;"",PROCESO!J87,""))))&lt;&gt;"","ENVÍO Guía "&amp;IF(PROCESO!J84&lt;&gt;"",PROCESO!J84,IF(PROCESO!J85&lt;&gt;"",PROCESO!J85,IF(PROCESO!J86&lt;&gt;"",PROCESO!J86,IF(PROCESO!J87&lt;&gt;"",PROCESO!J87,"")))),"")</f>
        <v>ENVÍO Guía 3006</v>
      </c>
      <c r="C42" s="142"/>
      <c r="D42" s="142">
        <f>IF(IF(PROCESO!J84&lt;&gt;"",PROCESO!J84,IF(PROCESO!J85&lt;&gt;"",PROCESO!J85,IF(PROCESO!J86&lt;&gt;"",PROCESO!J86,IF(PROCESO!J87&lt;&gt;"",PROCESO!J87,""))))&lt;&gt;"",SUMIF(PROCESO!J84:J87,IF(PROCESO!J84&lt;&gt;"",PROCESO!J84,IF(PROCESO!J85&lt;&gt;"",PROCESO!J85,IF(PROCESO!J86&lt;&gt;"",PROCESO!J86,IF(PROCESO!J87&lt;&gt;"",PROCESO!J87,"")))),PROCESO!L84:L87),"")</f>
        <v>3294</v>
      </c>
      <c r="E42" s="141" t="str">
        <f>IF(IF(PROCESO!J84&lt;&gt;"",PROCESO!J84,IF(PROCESO!J85&lt;&gt;"",PROCESO!J85,IF(PROCESO!J86&lt;&gt;"",PROCESO!J86,IF(PROCESO!J87&lt;&gt;"",PROCESO!J87,""))))&lt;&gt;"","G-"&amp;IF(PROCESO!J84&lt;&gt;"",PROCESO!J84,IF(PROCESO!J85&lt;&gt;"",PROCESO!J85,IF(PROCESO!J86&lt;&gt;"",PROCESO!J86,IF(PROCESO!J87&lt;&gt;"",PROCESO!J87,"")))),"")</f>
        <v>G-3006</v>
      </c>
      <c r="F42" s="142">
        <f>IF(IF(PROCESO!J84&lt;&gt;"",PROCESO!J84,IF(PROCESO!J85&lt;&gt;"",PROCESO!J85,IF(PROCESO!J86&lt;&gt;"",PROCESO!J86,IF(PROCESO!J87&lt;&gt;"",PROCESO!J87,""))))&lt;&gt;"",LOOKUP(9.99E+307,F$6:F41)+N(C42)-N(D42),"")</f>
        <v>2690</v>
      </c>
      <c r="G42" s="131"/>
      <c r="H42" s="131"/>
      <c r="I42" s="131"/>
      <c r="J42" s="131"/>
    </row>
    <row r="43" spans="1:10" x14ac:dyDescent="0.2">
      <c r="A43" s="143" t="str">
        <f>IF(OR(SUM(PROCESO!M84:M87)&gt;0,SUM(PROCESO!N84:N87)&gt;0),IF(PROCESO!A84="","",PROCESO!A84&amp;IF(COUNTIF(PROCESO!$A$6:A83,PROCESO!A84)&gt;0," (Ped."&amp;(COUNTIF(PROCESO!$A$6:A83,PROCESO!A84)+1)&amp;")","")),"")</f>
        <v>MIE 22-07</v>
      </c>
      <c r="B43" s="143" t="str">
        <f>IF(OR(SUM(PROCESO!M84:M87)&gt;0,SUM(PROCESO!N84:N87)&gt;0),"REPROCESO (devolución)","")</f>
        <v>REPROCESO (devolución)</v>
      </c>
      <c r="C43" s="144">
        <f>IF(OR(SUM(PROCESO!M84:M87)&gt;0,SUM(PROCESO!N84:N87)&gt;0),SUM(PROCESO!N84:N87),"")</f>
        <v>162</v>
      </c>
      <c r="D43" s="144"/>
      <c r="E43" s="143" t="str">
        <f>IF(OR(SUM(PROCESO!M84:M87)&gt;0,SUM(PROCESO!N84:N87)&gt;0),IF(SUM(PROCESO!M84:M87)&gt;0,SUM(PROCESO!M84:M87)&amp;" jabas devueltas · merma "&amp;TEXT((PROCESO!M84*15+PROCESO!M85*18+PROCESO!M86*17+PROCESO!M87*17)-SUM(PROCESO!N84:N87),"+#,##0;-#,##0;0")&amp;" kg",""),"")</f>
        <v>10 jabas devueltas · merma +6 kg</v>
      </c>
      <c r="F43" s="144">
        <f>IF(OR(SUM(PROCESO!M84:M87)&gt;0,SUM(PROCESO!N84:N87)&gt;0),LOOKUP(9.99E+307,F$6:F42)+N(C43)-N(D43),"")</f>
        <v>2852</v>
      </c>
      <c r="G43" s="131"/>
      <c r="H43" s="131"/>
      <c r="I43" s="131"/>
      <c r="J43" s="131"/>
    </row>
    <row r="44" spans="1:10" x14ac:dyDescent="0.2">
      <c r="A44" s="137" t="str">
        <f>IF(PROCESO!D90&gt;0,IF(PROCESO!A90="","",PROCESO!A90&amp;IF(COUNTIF(PROCESO!$A$6:A89,PROCESO!A90)&gt;0," (Ped."&amp;(COUNTIF(PROCESO!$A$6:A89,PROCESO!A90)+1)&amp;")","")),"")</f>
        <v>MIE 22-07 (Ped.2)</v>
      </c>
      <c r="B44" s="137" t="str">
        <f>IF(PROCESO!D90&gt;0,"INGRESO (compra)","")</f>
        <v>INGRESO (compra)</v>
      </c>
      <c r="C44" s="138">
        <f>IF(PROCESO!D90&gt;0,PROCESO!D90,"")</f>
        <v>3800</v>
      </c>
      <c r="D44" s="138"/>
      <c r="E44" s="137" t="str">
        <f>IF(PROCESO!D90&gt;0,PROCESO!B90&amp;" sacos x "&amp;PROCESO!C90&amp;" kg","")</f>
        <v>40 sacos x 95 kg</v>
      </c>
      <c r="F44" s="138">
        <f>IF(PROCESO!D90&gt;0,LOOKUP(9.99E+307,F$6:F43)+N(C44)-N(D44),"")</f>
        <v>6652</v>
      </c>
      <c r="G44" s="131"/>
      <c r="H44" s="131"/>
      <c r="I44" s="131"/>
      <c r="J44" s="131"/>
    </row>
    <row r="45" spans="1:10" x14ac:dyDescent="0.2">
      <c r="A45" s="139" t="str">
        <f>IF(N(PROCESO!H94)&gt;0,IF(PROCESO!A90="","",PROCESO!A90&amp;IF(COUNTIF(PROCESO!$A$6:A89,PROCESO!A90)&gt;0," (Ped."&amp;(COUNTIF(PROCESO!$A$6:A89,PROCESO!A90)+1)&amp;")","")),"")</f>
        <v>MIE 22-07 (Ped.2)</v>
      </c>
      <c r="B45" s="139" t="str">
        <f>IF(N(PROCESO!H94)&gt;0,"CHANCHO (proceso)","")</f>
        <v>CHANCHO (proceso)</v>
      </c>
      <c r="C45" s="140"/>
      <c r="D45" s="140">
        <f>IF(N(PROCESO!H94)&gt;0,N(PROCESO!H94),"")</f>
        <v>617.5</v>
      </c>
      <c r="E45" s="139" t="str">
        <f>IF(N(PROCESO!H94)&gt;0,PROCESO!G94&amp;" sacos x 95 kg","")</f>
        <v>6.5 sacos x 95 kg</v>
      </c>
      <c r="F45" s="140">
        <f>IF(N(PROCESO!H94)&gt;0,LOOKUP(9.99E+307,F$6:F44)+N(C45)-N(D45),"")</f>
        <v>6034.5</v>
      </c>
      <c r="G45" s="131"/>
      <c r="H45" s="131"/>
      <c r="I45" s="131"/>
      <c r="J45" s="131"/>
    </row>
    <row r="46" spans="1:10" x14ac:dyDescent="0.2">
      <c r="A46" s="141" t="str">
        <f>IF(IF(PROCESO!J90&lt;&gt;"",PROCESO!J90,IF(PROCESO!J91&lt;&gt;"",PROCESO!J91,IF(PROCESO!J92&lt;&gt;"",PROCESO!J92,IF(PROCESO!J93&lt;&gt;"",PROCESO!J93,""))))&lt;&gt;"",IF(PROCESO!A90="","",PROCESO!A90&amp;IF(COUNTIF(PROCESO!$A$6:A89,PROCESO!A90)&gt;0," (Ped."&amp;(COUNTIF(PROCESO!$A$6:A89,PROCESO!A90)+1)&amp;")","")),"")</f>
        <v>MIE 22-07 (Ped.2)</v>
      </c>
      <c r="B46" s="141" t="str">
        <f>IF(IF(PROCESO!J90&lt;&gt;"",PROCESO!J90,IF(PROCESO!J91&lt;&gt;"",PROCESO!J91,IF(PROCESO!J92&lt;&gt;"",PROCESO!J92,IF(PROCESO!J93&lt;&gt;"",PROCESO!J93,""))))&lt;&gt;"","ENVÍO Guía "&amp;IF(PROCESO!J90&lt;&gt;"",PROCESO!J90,IF(PROCESO!J91&lt;&gt;"",PROCESO!J91,IF(PROCESO!J92&lt;&gt;"",PROCESO!J92,IF(PROCESO!J93&lt;&gt;"",PROCESO!J93,"")))),"")</f>
        <v>ENVÍO Guía 3008</v>
      </c>
      <c r="C46" s="142"/>
      <c r="D46" s="142">
        <f>IF(IF(PROCESO!J90&lt;&gt;"",PROCESO!J90,IF(PROCESO!J91&lt;&gt;"",PROCESO!J91,IF(PROCESO!J92&lt;&gt;"",PROCESO!J92,IF(PROCESO!J93&lt;&gt;"",PROCESO!J93,""))))&lt;&gt;"",SUMIF(PROCESO!J90:J93,IF(PROCESO!J90&lt;&gt;"",PROCESO!J90,IF(PROCESO!J91&lt;&gt;"",PROCESO!J91,IF(PROCESO!J92&lt;&gt;"",PROCESO!J92,IF(PROCESO!J93&lt;&gt;"",PROCESO!J93,"")))),PROCESO!L90:L93),"")</f>
        <v>3413</v>
      </c>
      <c r="E46" s="141" t="str">
        <f>IF(IF(PROCESO!J90&lt;&gt;"",PROCESO!J90,IF(PROCESO!J91&lt;&gt;"",PROCESO!J91,IF(PROCESO!J92&lt;&gt;"",PROCESO!J92,IF(PROCESO!J93&lt;&gt;"",PROCESO!J93,""))))&lt;&gt;"","G-"&amp;IF(PROCESO!J90&lt;&gt;"",PROCESO!J90,IF(PROCESO!J91&lt;&gt;"",PROCESO!J91,IF(PROCESO!J92&lt;&gt;"",PROCESO!J92,IF(PROCESO!J93&lt;&gt;"",PROCESO!J93,"")))),"")</f>
        <v>G-3008</v>
      </c>
      <c r="F46" s="142">
        <f>IF(IF(PROCESO!J90&lt;&gt;"",PROCESO!J90,IF(PROCESO!J91&lt;&gt;"",PROCESO!J91,IF(PROCESO!J92&lt;&gt;"",PROCESO!J92,IF(PROCESO!J93&lt;&gt;"",PROCESO!J93,""))))&lt;&gt;"",LOOKUP(9.99E+307,F$6:F45)+N(C46)-N(D46),"")</f>
        <v>2621.5</v>
      </c>
      <c r="G46" s="131"/>
      <c r="H46" s="131"/>
      <c r="I46" s="131"/>
      <c r="J46" s="131"/>
    </row>
    <row r="47" spans="1:10" x14ac:dyDescent="0.2">
      <c r="A47" s="137" t="str">
        <f>IF(PROCESO!D96&gt;0,IF(PROCESO!A96="","",PROCESO!A96&amp;IF(COUNTIF(PROCESO!$A$6:A95,PROCESO!A96)&gt;0," (Ped."&amp;(COUNTIF(PROCESO!$A$6:A95,PROCESO!A96)+1)&amp;")","")),"")</f>
        <v>JUE 24-7</v>
      </c>
      <c r="B47" s="137" t="str">
        <f>IF(PROCESO!D96&gt;0,"INGRESO (compra)","")</f>
        <v>INGRESO (compra)</v>
      </c>
      <c r="C47" s="138">
        <f>IF(PROCESO!D96&gt;0,PROCESO!D96,"")</f>
        <v>7600</v>
      </c>
      <c r="D47" s="138"/>
      <c r="E47" s="137" t="str">
        <f>IF(PROCESO!D96&gt;0,PROCESO!B96&amp;" sacos x "&amp;PROCESO!C96&amp;" kg","")</f>
        <v>80 sacos x 95 kg</v>
      </c>
      <c r="F47" s="138">
        <f>IF(PROCESO!D96&gt;0,LOOKUP(9.99E+307,F$6:F46)+N(C47)-N(D47),"")</f>
        <v>10221.5</v>
      </c>
      <c r="G47" s="131"/>
      <c r="H47" s="131"/>
      <c r="I47" s="131"/>
      <c r="J47" s="131"/>
    </row>
    <row r="48" spans="1:10" x14ac:dyDescent="0.2">
      <c r="A48" s="147" t="str">
        <f>IF(PROCESO!D102&gt;0,IF(PROCESO!A102="","",PROCESO!A102&amp;IF(COUNTIF(PROCESO!$A$6:A101,PROCESO!A102)&gt;0," (Ped."&amp;(COUNTIF(PROCESO!$A$6:A101,PROCESO!A102)+1)&amp;")","")),"")</f>
        <v/>
      </c>
      <c r="B48" s="147" t="str">
        <f>IF(PROCESO!D102&gt;0,"INGRESO (compra)","")</f>
        <v/>
      </c>
      <c r="C48" s="148" t="str">
        <f>IF(PROCESO!D102&gt;0,PROCESO!D102,"")</f>
        <v/>
      </c>
      <c r="D48" s="148"/>
      <c r="E48" s="147" t="str">
        <f>IF(PROCESO!D102&gt;0,PROCESO!B102&amp;" sacos x "&amp;PROCESO!C102&amp;" kg","")</f>
        <v/>
      </c>
      <c r="F48" s="148" t="str">
        <f>IF(PROCESO!D102&gt;0,LOOKUP(9.99E+307,F$6:F47)+N(C48)-N(D48),"")</f>
        <v/>
      </c>
      <c r="G48" s="131"/>
      <c r="H48" s="131"/>
      <c r="I48" s="131"/>
      <c r="J48" s="131"/>
    </row>
    <row r="49" spans="1:10" x14ac:dyDescent="0.2">
      <c r="A49" s="149" t="str">
        <f>IF(N(PROCESO!H106)&gt;0,IF(PROCESO!A102="","",PROCESO!A102&amp;IF(COUNTIF(PROCESO!$A$6:A101,PROCESO!A102)&gt;0," (Ped."&amp;(COUNTIF(PROCESO!$A$6:A101,PROCESO!A102)+1)&amp;")","")),"")</f>
        <v/>
      </c>
      <c r="B49" s="149" t="str">
        <f>IF(N(PROCESO!H106)&gt;0,"CHANCHO (proceso)","")</f>
        <v/>
      </c>
      <c r="C49" s="150"/>
      <c r="D49" s="150" t="str">
        <f>IF(N(PROCESO!H106)&gt;0,N(PROCESO!H106),"")</f>
        <v/>
      </c>
      <c r="E49" s="149" t="str">
        <f>IF(N(PROCESO!H106)&gt;0,PROCESO!G106&amp;" sacos x 95 kg","")</f>
        <v/>
      </c>
      <c r="F49" s="150" t="str">
        <f>IF(N(PROCESO!H106)&gt;0,LOOKUP(9.99E+307,F$6:F48)+N(C49)-N(D49),"")</f>
        <v/>
      </c>
      <c r="G49" s="131"/>
      <c r="H49" s="131"/>
      <c r="I49" s="131"/>
      <c r="J49" s="131"/>
    </row>
    <row r="50" spans="1:10" x14ac:dyDescent="0.2">
      <c r="A50" s="151" t="str">
        <f>IF(N(PROCESO!H107)&gt;0,IF(PROCESO!A102="","",PROCESO!A102&amp;IF(COUNTIF(PROCESO!$A$6:A101,PROCESO!A102)&gt;0," (Ped."&amp;(COUNTIF(PROCESO!$A$6:A101,PROCESO!A102)+1)&amp;")","")),"")</f>
        <v/>
      </c>
      <c r="B50" s="151" t="str">
        <f>IF(N(PROCESO!H107)&gt;0,"MALOGRADO","")</f>
        <v/>
      </c>
      <c r="C50" s="152"/>
      <c r="D50" s="152" t="str">
        <f>IF(N(PROCESO!H107)&gt;0,N(PROCESO!H107),"")</f>
        <v/>
      </c>
      <c r="E50" s="151"/>
      <c r="F50" s="152" t="str">
        <f>IF(N(PROCESO!H107)&gt;0,LOOKUP(9.99E+307,F$6:F49)+N(C50)-N(D50),"")</f>
        <v/>
      </c>
      <c r="G50" s="131"/>
      <c r="H50" s="131"/>
      <c r="I50" s="131"/>
      <c r="J50" s="131"/>
    </row>
    <row r="51" spans="1:10" x14ac:dyDescent="0.2">
      <c r="A51" s="153" t="str">
        <f>IF(IF(PROCESO!J102&lt;&gt;"",PROCESO!J102,IF(PROCESO!J103&lt;&gt;"",PROCESO!J103,IF(PROCESO!J104&lt;&gt;"",PROCESO!J104,IF(PROCESO!J105&lt;&gt;"",PROCESO!J105,""))))&lt;&gt;"",IF(PROCESO!A102="","",PROCESO!A102&amp;IF(COUNTIF(PROCESO!$A$6:A101,PROCESO!A102)&gt;0," (Ped."&amp;(COUNTIF(PROCESO!$A$6:A101,PROCESO!A102)+1)&amp;")","")),"")</f>
        <v/>
      </c>
      <c r="B51" s="153" t="str">
        <f>IF(IF(PROCESO!J102&lt;&gt;"",PROCESO!J102,IF(PROCESO!J103&lt;&gt;"",PROCESO!J103,IF(PROCESO!J104&lt;&gt;"",PROCESO!J104,IF(PROCESO!J105&lt;&gt;"",PROCESO!J105,""))))&lt;&gt;"","ENVÍO Guía "&amp;IF(PROCESO!J102&lt;&gt;"",PROCESO!J102,IF(PROCESO!J103&lt;&gt;"",PROCESO!J103,IF(PROCESO!J104&lt;&gt;"",PROCESO!J104,IF(PROCESO!J105&lt;&gt;"",PROCESO!J105,"")))),"")</f>
        <v/>
      </c>
      <c r="C51" s="154"/>
      <c r="D51" s="154" t="str">
        <f>IF(IF(PROCESO!J102&lt;&gt;"",PROCESO!J102,IF(PROCESO!J103&lt;&gt;"",PROCESO!J103,IF(PROCESO!J104&lt;&gt;"",PROCESO!J104,IF(PROCESO!J105&lt;&gt;"",PROCESO!J105,""))))&lt;&gt;"",SUMIF(PROCESO!J102:J105,IF(PROCESO!J102&lt;&gt;"",PROCESO!J102,IF(PROCESO!J103&lt;&gt;"",PROCESO!J103,IF(PROCESO!J104&lt;&gt;"",PROCESO!J104,IF(PROCESO!J105&lt;&gt;"",PROCESO!J105,"")))),PROCESO!L102:L105),"")</f>
        <v/>
      </c>
      <c r="E51" s="153" t="str">
        <f>IF(IF(PROCESO!J102&lt;&gt;"",PROCESO!J102,IF(PROCESO!J103&lt;&gt;"",PROCESO!J103,IF(PROCESO!J104&lt;&gt;"",PROCESO!J104,IF(PROCESO!J105&lt;&gt;"",PROCESO!J105,""))))&lt;&gt;"","G-"&amp;IF(PROCESO!J102&lt;&gt;"",PROCESO!J102,IF(PROCESO!J103&lt;&gt;"",PROCESO!J103,IF(PROCESO!J104&lt;&gt;"",PROCESO!J104,IF(PROCESO!J105&lt;&gt;"",PROCESO!J105,"")))),"")</f>
        <v/>
      </c>
      <c r="F51" s="154" t="str">
        <f>IF(IF(PROCESO!J102&lt;&gt;"",PROCESO!J102,IF(PROCESO!J103&lt;&gt;"",PROCESO!J103,IF(PROCESO!J104&lt;&gt;"",PROCESO!J104,IF(PROCESO!J105&lt;&gt;"",PROCESO!J105,""))))&lt;&gt;"",LOOKUP(9.99E+307,F$6:F50)+N(C51)-N(D51),"")</f>
        <v/>
      </c>
      <c r="G51" s="131"/>
      <c r="H51" s="131"/>
      <c r="I51" s="131"/>
      <c r="J51" s="131"/>
    </row>
    <row r="52" spans="1:10" x14ac:dyDescent="0.2">
      <c r="A52" s="155" t="str">
        <f>IF(OR(SUM(PROCESO!M102:M105)&gt;0,SUM(PROCESO!N102:N105)&gt;0),IF(PROCESO!A102="","",PROCESO!A102&amp;IF(COUNTIF(PROCESO!$A$6:A101,PROCESO!A102)&gt;0," (Ped."&amp;(COUNTIF(PROCESO!$A$6:A101,PROCESO!A102)+1)&amp;")","")),"")</f>
        <v/>
      </c>
      <c r="B52" s="155" t="str">
        <f>IF(OR(SUM(PROCESO!M102:M105)&gt;0,SUM(PROCESO!N102:N105)&gt;0),"REPROCESO (devolución)","")</f>
        <v/>
      </c>
      <c r="C52" s="156" t="str">
        <f>IF(OR(SUM(PROCESO!M102:M105)&gt;0,SUM(PROCESO!N102:N105)&gt;0),SUM(PROCESO!N102:N105),"")</f>
        <v/>
      </c>
      <c r="D52" s="156"/>
      <c r="E52" s="155" t="str">
        <f>IF(OR(SUM(PROCESO!M102:M105)&gt;0,SUM(PROCESO!N102:N105)&gt;0),IF(SUM(PROCESO!M102:M105)&gt;0,SUM(PROCESO!M102:M105)&amp;" jabas devueltas · merma "&amp;TEXT((PROCESO!M102*15+PROCESO!M103*18+PROCESO!M104*17+PROCESO!M105*17)-SUM(PROCESO!N102:N105),"+#,##0;-#,##0;0")&amp;" kg",""),"")</f>
        <v/>
      </c>
      <c r="F52" s="156" t="str">
        <f>IF(OR(SUM(PROCESO!M102:M105)&gt;0,SUM(PROCESO!N102:N105)&gt;0),LOOKUP(9.99E+307,F$6:F51)+N(C52)-N(D52),"")</f>
        <v/>
      </c>
      <c r="G52" s="131"/>
      <c r="H52" s="131"/>
      <c r="I52" s="131"/>
      <c r="J52" s="131"/>
    </row>
    <row r="53" spans="1:10" x14ac:dyDescent="0.2">
      <c r="A53" s="147" t="str">
        <f>IF(PROCESO!D108&gt;0,IF(PROCESO!A108="","",PROCESO!A108&amp;IF(COUNTIF(PROCESO!$A$6:A107,PROCESO!A108)&gt;0," (Ped."&amp;(COUNTIF(PROCESO!$A$6:A107,PROCESO!A108)+1)&amp;")","")),"")</f>
        <v/>
      </c>
      <c r="B53" s="147" t="str">
        <f>IF(PROCESO!D108&gt;0,"INGRESO (compra)","")</f>
        <v/>
      </c>
      <c r="C53" s="148" t="str">
        <f>IF(PROCESO!D108&gt;0,PROCESO!D108,"")</f>
        <v/>
      </c>
      <c r="D53" s="148"/>
      <c r="E53" s="147" t="str">
        <f>IF(PROCESO!D108&gt;0,PROCESO!B108&amp;" sacos x "&amp;PROCESO!C108&amp;" kg","")</f>
        <v/>
      </c>
      <c r="F53" s="148" t="str">
        <f>IF(PROCESO!D108&gt;0,LOOKUP(9.99E+307,F$6:F52)+N(C53)-N(D53),"")</f>
        <v/>
      </c>
      <c r="G53" s="131"/>
      <c r="H53" s="131"/>
      <c r="I53" s="131"/>
      <c r="J53" s="131"/>
    </row>
    <row r="54" spans="1:10" x14ac:dyDescent="0.2">
      <c r="A54" s="149" t="str">
        <f>IF(N(PROCESO!H112)&gt;0,IF(PROCESO!A108="","",PROCESO!A108&amp;IF(COUNTIF(PROCESO!$A$6:A107,PROCESO!A108)&gt;0," (Ped."&amp;(COUNTIF(PROCESO!$A$6:A107,PROCESO!A108)+1)&amp;")","")),"")</f>
        <v/>
      </c>
      <c r="B54" s="149" t="str">
        <f>IF(N(PROCESO!H112)&gt;0,"CHANCHO (proceso)","")</f>
        <v/>
      </c>
      <c r="C54" s="150"/>
      <c r="D54" s="150" t="str">
        <f>IF(N(PROCESO!H112)&gt;0,N(PROCESO!H112),"")</f>
        <v/>
      </c>
      <c r="E54" s="149" t="str">
        <f>IF(N(PROCESO!H112)&gt;0,PROCESO!G112&amp;" sacos x 95 kg","")</f>
        <v/>
      </c>
      <c r="F54" s="150" t="str">
        <f>IF(N(PROCESO!H112)&gt;0,LOOKUP(9.99E+307,F$6:F53)+N(C54)-N(D54),"")</f>
        <v/>
      </c>
      <c r="G54" s="131"/>
      <c r="H54" s="131"/>
      <c r="I54" s="131"/>
      <c r="J54" s="131"/>
    </row>
    <row r="55" spans="1:10" x14ac:dyDescent="0.2">
      <c r="A55" s="151" t="str">
        <f>IF(N(PROCESO!H113)&gt;0,IF(PROCESO!A108="","",PROCESO!A108&amp;IF(COUNTIF(PROCESO!$A$6:A107,PROCESO!A108)&gt;0," (Ped."&amp;(COUNTIF(PROCESO!$A$6:A107,PROCESO!A108)+1)&amp;")","")),"")</f>
        <v/>
      </c>
      <c r="B55" s="151" t="str">
        <f>IF(N(PROCESO!H113)&gt;0,"MALOGRADO","")</f>
        <v/>
      </c>
      <c r="C55" s="152"/>
      <c r="D55" s="152" t="str">
        <f>IF(N(PROCESO!H113)&gt;0,N(PROCESO!H113),"")</f>
        <v/>
      </c>
      <c r="E55" s="151"/>
      <c r="F55" s="152" t="str">
        <f>IF(N(PROCESO!H113)&gt;0,LOOKUP(9.99E+307,F$6:F54)+N(C55)-N(D55),"")</f>
        <v/>
      </c>
      <c r="G55" s="131"/>
      <c r="H55" s="131"/>
      <c r="I55" s="131"/>
      <c r="J55" s="131"/>
    </row>
    <row r="56" spans="1:10" x14ac:dyDescent="0.2">
      <c r="A56" s="153" t="str">
        <f>IF(IF(PROCESO!J108&lt;&gt;"",PROCESO!J108,IF(PROCESO!J109&lt;&gt;"",PROCESO!J109,IF(PROCESO!J110&lt;&gt;"",PROCESO!J110,IF(PROCESO!J111&lt;&gt;"",PROCESO!J111,""))))&lt;&gt;"",IF(PROCESO!A108="","",PROCESO!A108&amp;IF(COUNTIF(PROCESO!$A$6:A107,PROCESO!A108)&gt;0," (Ped."&amp;(COUNTIF(PROCESO!$A$6:A107,PROCESO!A108)+1)&amp;")","")),"")</f>
        <v/>
      </c>
      <c r="B56" s="153" t="str">
        <f>IF(IF(PROCESO!J108&lt;&gt;"",PROCESO!J108,IF(PROCESO!J109&lt;&gt;"",PROCESO!J109,IF(PROCESO!J110&lt;&gt;"",PROCESO!J110,IF(PROCESO!J111&lt;&gt;"",PROCESO!J111,""))))&lt;&gt;"","ENVÍO Guía "&amp;IF(PROCESO!J108&lt;&gt;"",PROCESO!J108,IF(PROCESO!J109&lt;&gt;"",PROCESO!J109,IF(PROCESO!J110&lt;&gt;"",PROCESO!J110,IF(PROCESO!J111&lt;&gt;"",PROCESO!J111,"")))),"")</f>
        <v/>
      </c>
      <c r="C56" s="154"/>
      <c r="D56" s="154" t="str">
        <f>IF(IF(PROCESO!J108&lt;&gt;"",PROCESO!J108,IF(PROCESO!J109&lt;&gt;"",PROCESO!J109,IF(PROCESO!J110&lt;&gt;"",PROCESO!J110,IF(PROCESO!J111&lt;&gt;"",PROCESO!J111,""))))&lt;&gt;"",SUMIF(PROCESO!J108:J111,IF(PROCESO!J108&lt;&gt;"",PROCESO!J108,IF(PROCESO!J109&lt;&gt;"",PROCESO!J109,IF(PROCESO!J110&lt;&gt;"",PROCESO!J110,IF(PROCESO!J111&lt;&gt;"",PROCESO!J111,"")))),PROCESO!L108:L111),"")</f>
        <v/>
      </c>
      <c r="E56" s="153" t="str">
        <f>IF(IF(PROCESO!J108&lt;&gt;"",PROCESO!J108,IF(PROCESO!J109&lt;&gt;"",PROCESO!J109,IF(PROCESO!J110&lt;&gt;"",PROCESO!J110,IF(PROCESO!J111&lt;&gt;"",PROCESO!J111,""))))&lt;&gt;"","G-"&amp;IF(PROCESO!J108&lt;&gt;"",PROCESO!J108,IF(PROCESO!J109&lt;&gt;"",PROCESO!J109,IF(PROCESO!J110&lt;&gt;"",PROCESO!J110,IF(PROCESO!J111&lt;&gt;"",PROCESO!J111,"")))),"")</f>
        <v/>
      </c>
      <c r="F56" s="154" t="str">
        <f>IF(IF(PROCESO!J108&lt;&gt;"",PROCESO!J108,IF(PROCESO!J109&lt;&gt;"",PROCESO!J109,IF(PROCESO!J110&lt;&gt;"",PROCESO!J110,IF(PROCESO!J111&lt;&gt;"",PROCESO!J111,""))))&lt;&gt;"",LOOKUP(9.99E+307,F$6:F55)+N(C56)-N(D56),"")</f>
        <v/>
      </c>
      <c r="G56" s="131"/>
      <c r="H56" s="131"/>
      <c r="I56" s="131"/>
      <c r="J56" s="131"/>
    </row>
    <row r="57" spans="1:10" x14ac:dyDescent="0.2">
      <c r="A57" s="155" t="str">
        <f>IF(OR(SUM(PROCESO!M108:M111)&gt;0,SUM(PROCESO!N108:N111)&gt;0),IF(PROCESO!A108="","",PROCESO!A108&amp;IF(COUNTIF(PROCESO!$A$6:A107,PROCESO!A108)&gt;0," (Ped."&amp;(COUNTIF(PROCESO!$A$6:A107,PROCESO!A108)+1)&amp;")","")),"")</f>
        <v/>
      </c>
      <c r="B57" s="155" t="str">
        <f>IF(OR(SUM(PROCESO!M108:M111)&gt;0,SUM(PROCESO!N108:N111)&gt;0),"REPROCESO (devolución)","")</f>
        <v/>
      </c>
      <c r="C57" s="156" t="str">
        <f>IF(OR(SUM(PROCESO!M108:M111)&gt;0,SUM(PROCESO!N108:N111)&gt;0),SUM(PROCESO!N108:N111),"")</f>
        <v/>
      </c>
      <c r="D57" s="156"/>
      <c r="E57" s="155" t="str">
        <f>IF(OR(SUM(PROCESO!M108:M111)&gt;0,SUM(PROCESO!N108:N111)&gt;0),IF(SUM(PROCESO!M108:M111)&gt;0,SUM(PROCESO!M108:M111)&amp;" jabas devueltas · merma "&amp;TEXT((PROCESO!M108*15+PROCESO!M109*18+PROCESO!M110*17+PROCESO!M111*17)-SUM(PROCESO!N108:N111),"+#,##0;-#,##0;0")&amp;" kg",""),"")</f>
        <v/>
      </c>
      <c r="F57" s="156" t="str">
        <f>IF(OR(SUM(PROCESO!M108:M111)&gt;0,SUM(PROCESO!N108:N111)&gt;0),LOOKUP(9.99E+307,F$6:F56)+N(C57)-N(D57),"")</f>
        <v/>
      </c>
      <c r="G57" s="131"/>
      <c r="H57" s="131"/>
      <c r="I57" s="131"/>
      <c r="J57" s="131"/>
    </row>
    <row r="58" spans="1:10" x14ac:dyDescent="0.2">
      <c r="A58" s="147" t="str">
        <f>IF(PROCESO!D114&gt;0,IF(PROCESO!A114="","",PROCESO!A114&amp;IF(COUNTIF(PROCESO!$A$6:A113,PROCESO!A114)&gt;0," (Ped."&amp;(COUNTIF(PROCESO!$A$6:A113,PROCESO!A114)+1)&amp;")","")),"")</f>
        <v/>
      </c>
      <c r="B58" s="147" t="str">
        <f>IF(PROCESO!D114&gt;0,"INGRESO (compra)","")</f>
        <v/>
      </c>
      <c r="C58" s="148" t="str">
        <f>IF(PROCESO!D114&gt;0,PROCESO!D114,"")</f>
        <v/>
      </c>
      <c r="D58" s="148"/>
      <c r="E58" s="147" t="str">
        <f>IF(PROCESO!D114&gt;0,PROCESO!B114&amp;" sacos x "&amp;PROCESO!C114&amp;" kg","")</f>
        <v/>
      </c>
      <c r="F58" s="148" t="str">
        <f>IF(PROCESO!D114&gt;0,LOOKUP(9.99E+307,F$6:F57)+N(C58)-N(D58),"")</f>
        <v/>
      </c>
      <c r="G58" s="131"/>
      <c r="H58" s="131"/>
      <c r="I58" s="131"/>
      <c r="J58" s="131"/>
    </row>
    <row r="59" spans="1:10" x14ac:dyDescent="0.2">
      <c r="A59" s="149" t="str">
        <f>IF(N(PROCESO!H118)&gt;0,IF(PROCESO!A114="","",PROCESO!A114&amp;IF(COUNTIF(PROCESO!$A$6:A113,PROCESO!A114)&gt;0," (Ped."&amp;(COUNTIF(PROCESO!$A$6:A113,PROCESO!A114)+1)&amp;")","")),"")</f>
        <v/>
      </c>
      <c r="B59" s="149" t="str">
        <f>IF(N(PROCESO!H118)&gt;0,"CHANCHO (proceso)","")</f>
        <v/>
      </c>
      <c r="C59" s="150"/>
      <c r="D59" s="150" t="str">
        <f>IF(N(PROCESO!H118)&gt;0,N(PROCESO!H118),"")</f>
        <v/>
      </c>
      <c r="E59" s="149" t="str">
        <f>IF(N(PROCESO!H118)&gt;0,PROCESO!G118&amp;" sacos x 95 kg","")</f>
        <v/>
      </c>
      <c r="F59" s="150" t="str">
        <f>IF(N(PROCESO!H118)&gt;0,LOOKUP(9.99E+307,F$6:F58)+N(C59)-N(D59),"")</f>
        <v/>
      </c>
      <c r="G59" s="131"/>
      <c r="H59" s="131"/>
      <c r="I59" s="131"/>
      <c r="J59" s="131"/>
    </row>
    <row r="60" spans="1:10" x14ac:dyDescent="0.2">
      <c r="A60" s="151" t="str">
        <f>IF(N(PROCESO!H119)&gt;0,IF(PROCESO!A114="","",PROCESO!A114&amp;IF(COUNTIF(PROCESO!$A$6:A113,PROCESO!A114)&gt;0," (Ped."&amp;(COUNTIF(PROCESO!$A$6:A113,PROCESO!A114)+1)&amp;")","")),"")</f>
        <v/>
      </c>
      <c r="B60" s="151" t="str">
        <f>IF(N(PROCESO!H119)&gt;0,"MALOGRADO","")</f>
        <v/>
      </c>
      <c r="C60" s="152"/>
      <c r="D60" s="152" t="str">
        <f>IF(N(PROCESO!H119)&gt;0,N(PROCESO!H119),"")</f>
        <v/>
      </c>
      <c r="E60" s="151"/>
      <c r="F60" s="152" t="str">
        <f>IF(N(PROCESO!H119)&gt;0,LOOKUP(9.99E+307,F$6:F59)+N(C60)-N(D60),"")</f>
        <v/>
      </c>
      <c r="G60" s="131"/>
      <c r="H60" s="131"/>
      <c r="I60" s="131"/>
      <c r="J60" s="131"/>
    </row>
    <row r="61" spans="1:10" x14ac:dyDescent="0.2">
      <c r="A61" s="153" t="str">
        <f>IF(IF(PROCESO!J114&lt;&gt;"",PROCESO!J114,IF(PROCESO!J115&lt;&gt;"",PROCESO!J115,IF(PROCESO!J116&lt;&gt;"",PROCESO!J116,IF(PROCESO!J117&lt;&gt;"",PROCESO!J117,""))))&lt;&gt;"",IF(PROCESO!A114="","",PROCESO!A114&amp;IF(COUNTIF(PROCESO!$A$6:A113,PROCESO!A114)&gt;0," (Ped."&amp;(COUNTIF(PROCESO!$A$6:A113,PROCESO!A114)+1)&amp;")","")),"")</f>
        <v/>
      </c>
      <c r="B61" s="153" t="str">
        <f>IF(IF(PROCESO!J114&lt;&gt;"",PROCESO!J114,IF(PROCESO!J115&lt;&gt;"",PROCESO!J115,IF(PROCESO!J116&lt;&gt;"",PROCESO!J116,IF(PROCESO!J117&lt;&gt;"",PROCESO!J117,""))))&lt;&gt;"","ENVÍO Guía "&amp;IF(PROCESO!J114&lt;&gt;"",PROCESO!J114,IF(PROCESO!J115&lt;&gt;"",PROCESO!J115,IF(PROCESO!J116&lt;&gt;"",PROCESO!J116,IF(PROCESO!J117&lt;&gt;"",PROCESO!J117,"")))),"")</f>
        <v/>
      </c>
      <c r="C61" s="154"/>
      <c r="D61" s="154" t="str">
        <f>IF(IF(PROCESO!J114&lt;&gt;"",PROCESO!J114,IF(PROCESO!J115&lt;&gt;"",PROCESO!J115,IF(PROCESO!J116&lt;&gt;"",PROCESO!J116,IF(PROCESO!J117&lt;&gt;"",PROCESO!J117,""))))&lt;&gt;"",SUMIF(PROCESO!J114:J117,IF(PROCESO!J114&lt;&gt;"",PROCESO!J114,IF(PROCESO!J115&lt;&gt;"",PROCESO!J115,IF(PROCESO!J116&lt;&gt;"",PROCESO!J116,IF(PROCESO!J117&lt;&gt;"",PROCESO!J117,"")))),PROCESO!L114:L117),"")</f>
        <v/>
      </c>
      <c r="E61" s="153" t="str">
        <f>IF(IF(PROCESO!J114&lt;&gt;"",PROCESO!J114,IF(PROCESO!J115&lt;&gt;"",PROCESO!J115,IF(PROCESO!J116&lt;&gt;"",PROCESO!J116,IF(PROCESO!J117&lt;&gt;"",PROCESO!J117,""))))&lt;&gt;"","G-"&amp;IF(PROCESO!J114&lt;&gt;"",PROCESO!J114,IF(PROCESO!J115&lt;&gt;"",PROCESO!J115,IF(PROCESO!J116&lt;&gt;"",PROCESO!J116,IF(PROCESO!J117&lt;&gt;"",PROCESO!J117,"")))),"")</f>
        <v/>
      </c>
      <c r="F61" s="154" t="str">
        <f>IF(IF(PROCESO!J114&lt;&gt;"",PROCESO!J114,IF(PROCESO!J115&lt;&gt;"",PROCESO!J115,IF(PROCESO!J116&lt;&gt;"",PROCESO!J116,IF(PROCESO!J117&lt;&gt;"",PROCESO!J117,""))))&lt;&gt;"",LOOKUP(9.99E+307,F$6:F60)+N(C61)-N(D61),"")</f>
        <v/>
      </c>
      <c r="G61" s="131"/>
      <c r="H61" s="131"/>
      <c r="I61" s="131"/>
      <c r="J61" s="131"/>
    </row>
    <row r="62" spans="1:10" x14ac:dyDescent="0.2">
      <c r="A62" s="155" t="str">
        <f>IF(OR(SUM(PROCESO!M114:M117)&gt;0,SUM(PROCESO!N114:N117)&gt;0),IF(PROCESO!A114="","",PROCESO!A114&amp;IF(COUNTIF(PROCESO!$A$6:A113,PROCESO!A114)&gt;0," (Ped."&amp;(COUNTIF(PROCESO!$A$6:A113,PROCESO!A114)+1)&amp;")","")),"")</f>
        <v/>
      </c>
      <c r="B62" s="155" t="str">
        <f>IF(OR(SUM(PROCESO!M114:M117)&gt;0,SUM(PROCESO!N114:N117)&gt;0),"REPROCESO (devolución)","")</f>
        <v/>
      </c>
      <c r="C62" s="156" t="str">
        <f>IF(OR(SUM(PROCESO!M114:M117)&gt;0,SUM(PROCESO!N114:N117)&gt;0),SUM(PROCESO!N114:N117),"")</f>
        <v/>
      </c>
      <c r="D62" s="156"/>
      <c r="E62" s="155" t="str">
        <f>IF(OR(SUM(PROCESO!M114:M117)&gt;0,SUM(PROCESO!N114:N117)&gt;0),IF(SUM(PROCESO!M114:M117)&gt;0,SUM(PROCESO!M114:M117)&amp;" jabas devueltas · merma "&amp;TEXT((PROCESO!M114*15+PROCESO!M115*18+PROCESO!M116*17+PROCESO!M117*17)-SUM(PROCESO!N114:N117),"+#,##0;-#,##0;0")&amp;" kg",""),"")</f>
        <v/>
      </c>
      <c r="F62" s="156" t="str">
        <f>IF(OR(SUM(PROCESO!M114:M117)&gt;0,SUM(PROCESO!N114:N117)&gt;0),LOOKUP(9.99E+307,F$6:F61)+N(C62)-N(D62),"")</f>
        <v/>
      </c>
      <c r="G62" s="131"/>
      <c r="H62" s="131"/>
      <c r="I62" s="131"/>
      <c r="J62" s="131"/>
    </row>
    <row r="63" spans="1:10" x14ac:dyDescent="0.2">
      <c r="A63" s="147" t="str">
        <f>IF(PROCESO!D120&gt;0,IF(PROCESO!A120="","",PROCESO!A120&amp;IF(COUNTIF(PROCESO!$A$6:A119,PROCESO!A120)&gt;0," (Ped."&amp;(COUNTIF(PROCESO!$A$6:A119,PROCESO!A120)+1)&amp;")","")),"")</f>
        <v/>
      </c>
      <c r="B63" s="147" t="str">
        <f>IF(PROCESO!D120&gt;0,"INGRESO (compra)","")</f>
        <v/>
      </c>
      <c r="C63" s="148" t="str">
        <f>IF(PROCESO!D120&gt;0,PROCESO!D120,"")</f>
        <v/>
      </c>
      <c r="D63" s="148"/>
      <c r="E63" s="147" t="str">
        <f>IF(PROCESO!D120&gt;0,PROCESO!B120&amp;" sacos x "&amp;PROCESO!C120&amp;" kg","")</f>
        <v/>
      </c>
      <c r="F63" s="148" t="str">
        <f>IF(PROCESO!D120&gt;0,LOOKUP(9.99E+307,F$6:F62)+N(C63)-N(D63),"")</f>
        <v/>
      </c>
      <c r="G63" s="131"/>
      <c r="H63" s="131"/>
      <c r="I63" s="131"/>
      <c r="J63" s="131"/>
    </row>
    <row r="64" spans="1:10" x14ac:dyDescent="0.2">
      <c r="A64" s="149" t="str">
        <f>IF(N(PROCESO!H124)&gt;0,IF(PROCESO!A120="","",PROCESO!A120&amp;IF(COUNTIF(PROCESO!$A$6:A119,PROCESO!A120)&gt;0," (Ped."&amp;(COUNTIF(PROCESO!$A$6:A119,PROCESO!A120)+1)&amp;")","")),"")</f>
        <v/>
      </c>
      <c r="B64" s="149" t="str">
        <f>IF(N(PROCESO!H124)&gt;0,"CHANCHO (proceso)","")</f>
        <v/>
      </c>
      <c r="C64" s="150"/>
      <c r="D64" s="150" t="str">
        <f>IF(N(PROCESO!H124)&gt;0,N(PROCESO!H124),"")</f>
        <v/>
      </c>
      <c r="E64" s="149" t="str">
        <f>IF(N(PROCESO!H124)&gt;0,PROCESO!G124&amp;" sacos x 95 kg","")</f>
        <v/>
      </c>
      <c r="F64" s="150" t="str">
        <f>IF(N(PROCESO!H124)&gt;0,LOOKUP(9.99E+307,F$6:F63)+N(C64)-N(D64),"")</f>
        <v/>
      </c>
      <c r="G64" s="131"/>
      <c r="H64" s="131"/>
      <c r="I64" s="131"/>
      <c r="J64" s="131"/>
    </row>
    <row r="65" spans="1:10" x14ac:dyDescent="0.2">
      <c r="A65" s="151" t="str">
        <f>IF(N(PROCESO!H125)&gt;0,IF(PROCESO!A120="","",PROCESO!A120&amp;IF(COUNTIF(PROCESO!$A$6:A119,PROCESO!A120)&gt;0," (Ped."&amp;(COUNTIF(PROCESO!$A$6:A119,PROCESO!A120)+1)&amp;")","")),"")</f>
        <v/>
      </c>
      <c r="B65" s="151" t="str">
        <f>IF(N(PROCESO!H125)&gt;0,"MALOGRADO","")</f>
        <v/>
      </c>
      <c r="C65" s="152"/>
      <c r="D65" s="152" t="str">
        <f>IF(N(PROCESO!H125)&gt;0,N(PROCESO!H125),"")</f>
        <v/>
      </c>
      <c r="E65" s="151"/>
      <c r="F65" s="152" t="str">
        <f>IF(N(PROCESO!H125)&gt;0,LOOKUP(9.99E+307,F$6:F64)+N(C65)-N(D65),"")</f>
        <v/>
      </c>
      <c r="G65" s="131"/>
      <c r="H65" s="131"/>
      <c r="I65" s="131"/>
      <c r="J65" s="131"/>
    </row>
    <row r="66" spans="1:10" x14ac:dyDescent="0.2">
      <c r="A66" s="153" t="str">
        <f>IF(IF(PROCESO!J120&lt;&gt;"",PROCESO!J120,IF(PROCESO!J121&lt;&gt;"",PROCESO!J121,IF(PROCESO!J122&lt;&gt;"",PROCESO!J122,IF(PROCESO!J123&lt;&gt;"",PROCESO!J123,""))))&lt;&gt;"",IF(PROCESO!A120="","",PROCESO!A120&amp;IF(COUNTIF(PROCESO!$A$6:A119,PROCESO!A120)&gt;0," (Ped."&amp;(COUNTIF(PROCESO!$A$6:A119,PROCESO!A120)+1)&amp;")","")),"")</f>
        <v/>
      </c>
      <c r="B66" s="153" t="str">
        <f>IF(IF(PROCESO!J120&lt;&gt;"",PROCESO!J120,IF(PROCESO!J121&lt;&gt;"",PROCESO!J121,IF(PROCESO!J122&lt;&gt;"",PROCESO!J122,IF(PROCESO!J123&lt;&gt;"",PROCESO!J123,""))))&lt;&gt;"","ENVÍO Guía "&amp;IF(PROCESO!J120&lt;&gt;"",PROCESO!J120,IF(PROCESO!J121&lt;&gt;"",PROCESO!J121,IF(PROCESO!J122&lt;&gt;"",PROCESO!J122,IF(PROCESO!J123&lt;&gt;"",PROCESO!J123,"")))),"")</f>
        <v/>
      </c>
      <c r="C66" s="154"/>
      <c r="D66" s="154" t="str">
        <f>IF(IF(PROCESO!J120&lt;&gt;"",PROCESO!J120,IF(PROCESO!J121&lt;&gt;"",PROCESO!J121,IF(PROCESO!J122&lt;&gt;"",PROCESO!J122,IF(PROCESO!J123&lt;&gt;"",PROCESO!J123,""))))&lt;&gt;"",SUMIF(PROCESO!J120:J123,IF(PROCESO!J120&lt;&gt;"",PROCESO!J120,IF(PROCESO!J121&lt;&gt;"",PROCESO!J121,IF(PROCESO!J122&lt;&gt;"",PROCESO!J122,IF(PROCESO!J123&lt;&gt;"",PROCESO!J123,"")))),PROCESO!L120:L123),"")</f>
        <v/>
      </c>
      <c r="E66" s="153" t="str">
        <f>IF(IF(PROCESO!J120&lt;&gt;"",PROCESO!J120,IF(PROCESO!J121&lt;&gt;"",PROCESO!J121,IF(PROCESO!J122&lt;&gt;"",PROCESO!J122,IF(PROCESO!J123&lt;&gt;"",PROCESO!J123,""))))&lt;&gt;"","G-"&amp;IF(PROCESO!J120&lt;&gt;"",PROCESO!J120,IF(PROCESO!J121&lt;&gt;"",PROCESO!J121,IF(PROCESO!J122&lt;&gt;"",PROCESO!J122,IF(PROCESO!J123&lt;&gt;"",PROCESO!J123,"")))),"")</f>
        <v/>
      </c>
      <c r="F66" s="154" t="str">
        <f>IF(IF(PROCESO!J120&lt;&gt;"",PROCESO!J120,IF(PROCESO!J121&lt;&gt;"",PROCESO!J121,IF(PROCESO!J122&lt;&gt;"",PROCESO!J122,IF(PROCESO!J123&lt;&gt;"",PROCESO!J123,""))))&lt;&gt;"",LOOKUP(9.99E+307,F$6:F65)+N(C66)-N(D66),"")</f>
        <v/>
      </c>
      <c r="G66" s="131"/>
      <c r="H66" s="131"/>
      <c r="I66" s="131"/>
      <c r="J66" s="131"/>
    </row>
    <row r="67" spans="1:10" x14ac:dyDescent="0.2">
      <c r="A67" s="155" t="str">
        <f>IF(OR(SUM(PROCESO!M120:M123)&gt;0,SUM(PROCESO!N120:N123)&gt;0),IF(PROCESO!A120="","",PROCESO!A120&amp;IF(COUNTIF(PROCESO!$A$6:A119,PROCESO!A120)&gt;0," (Ped."&amp;(COUNTIF(PROCESO!$A$6:A119,PROCESO!A120)+1)&amp;")","")),"")</f>
        <v/>
      </c>
      <c r="B67" s="155" t="str">
        <f>IF(OR(SUM(PROCESO!M120:M123)&gt;0,SUM(PROCESO!N120:N123)&gt;0),"REPROCESO (devolución)","")</f>
        <v/>
      </c>
      <c r="C67" s="156" t="str">
        <f>IF(OR(SUM(PROCESO!M120:M123)&gt;0,SUM(PROCESO!N120:N123)&gt;0),SUM(PROCESO!N120:N123),"")</f>
        <v/>
      </c>
      <c r="D67" s="156"/>
      <c r="E67" s="155" t="str">
        <f>IF(OR(SUM(PROCESO!M120:M123)&gt;0,SUM(PROCESO!N120:N123)&gt;0),IF(SUM(PROCESO!M120:M123)&gt;0,SUM(PROCESO!M120:M123)&amp;" jabas devueltas · merma "&amp;TEXT((PROCESO!M120*15+PROCESO!M121*18+PROCESO!M122*17+PROCESO!M123*17)-SUM(PROCESO!N120:N123),"+#,##0;-#,##0;0")&amp;" kg",""),"")</f>
        <v/>
      </c>
      <c r="F67" s="156" t="str">
        <f>IF(OR(SUM(PROCESO!M120:M123)&gt;0,SUM(PROCESO!N120:N123)&gt;0),LOOKUP(9.99E+307,F$6:F66)+N(C67)-N(D67),"")</f>
        <v/>
      </c>
      <c r="G67" s="131"/>
      <c r="H67" s="131"/>
      <c r="I67" s="131"/>
      <c r="J67" s="131"/>
    </row>
    <row r="68" spans="1:10" x14ac:dyDescent="0.2">
      <c r="A68" s="147" t="str">
        <f>IF(PROCESO!D126&gt;0,IF(PROCESO!A126="","",PROCESO!A126&amp;IF(COUNTIF(PROCESO!$A$6:A125,PROCESO!A126)&gt;0," (Ped."&amp;(COUNTIF(PROCESO!$A$6:A125,PROCESO!A126)+1)&amp;")","")),"")</f>
        <v/>
      </c>
      <c r="B68" s="147" t="str">
        <f>IF(PROCESO!D126&gt;0,"INGRESO (compra)","")</f>
        <v/>
      </c>
      <c r="C68" s="148" t="str">
        <f>IF(PROCESO!D126&gt;0,PROCESO!D126,"")</f>
        <v/>
      </c>
      <c r="D68" s="148"/>
      <c r="E68" s="147" t="str">
        <f>IF(PROCESO!D126&gt;0,PROCESO!B126&amp;" sacos x "&amp;PROCESO!C126&amp;" kg","")</f>
        <v/>
      </c>
      <c r="F68" s="148" t="str">
        <f>IF(PROCESO!D126&gt;0,LOOKUP(9.99E+307,F$6:F67)+N(C68)-N(D68),"")</f>
        <v/>
      </c>
      <c r="G68" s="131"/>
      <c r="H68" s="131"/>
      <c r="I68" s="131"/>
      <c r="J68" s="131"/>
    </row>
    <row r="69" spans="1:10" x14ac:dyDescent="0.2">
      <c r="A69" s="149" t="str">
        <f>IF(N(PROCESO!H130)&gt;0,IF(PROCESO!A126="","",PROCESO!A126&amp;IF(COUNTIF(PROCESO!$A$6:A125,PROCESO!A126)&gt;0," (Ped."&amp;(COUNTIF(PROCESO!$A$6:A125,PROCESO!A126)+1)&amp;")","")),"")</f>
        <v/>
      </c>
      <c r="B69" s="149" t="str">
        <f>IF(N(PROCESO!H130)&gt;0,"CHANCHO (proceso)","")</f>
        <v/>
      </c>
      <c r="C69" s="150"/>
      <c r="D69" s="150" t="str">
        <f>IF(N(PROCESO!H130)&gt;0,N(PROCESO!H130),"")</f>
        <v/>
      </c>
      <c r="E69" s="149" t="str">
        <f>IF(N(PROCESO!H130)&gt;0,PROCESO!G130&amp;" sacos x 95 kg","")</f>
        <v/>
      </c>
      <c r="F69" s="150" t="str">
        <f>IF(N(PROCESO!H130)&gt;0,LOOKUP(9.99E+307,F$6:F68)+N(C69)-N(D69),"")</f>
        <v/>
      </c>
      <c r="G69" s="131"/>
      <c r="H69" s="131"/>
      <c r="I69" s="131"/>
      <c r="J69" s="131"/>
    </row>
    <row r="70" spans="1:10" x14ac:dyDescent="0.2">
      <c r="A70" s="151" t="str">
        <f>IF(N(PROCESO!H131)&gt;0,IF(PROCESO!A126="","",PROCESO!A126&amp;IF(COUNTIF(PROCESO!$A$6:A125,PROCESO!A126)&gt;0," (Ped."&amp;(COUNTIF(PROCESO!$A$6:A125,PROCESO!A126)+1)&amp;")","")),"")</f>
        <v/>
      </c>
      <c r="B70" s="151" t="str">
        <f>IF(N(PROCESO!H131)&gt;0,"MALOGRADO","")</f>
        <v/>
      </c>
      <c r="C70" s="152"/>
      <c r="D70" s="152" t="str">
        <f>IF(N(PROCESO!H131)&gt;0,N(PROCESO!H131),"")</f>
        <v/>
      </c>
      <c r="E70" s="151"/>
      <c r="F70" s="152" t="str">
        <f>IF(N(PROCESO!H131)&gt;0,LOOKUP(9.99E+307,F$6:F69)+N(C70)-N(D70),"")</f>
        <v/>
      </c>
      <c r="G70" s="131"/>
      <c r="H70" s="131"/>
      <c r="I70" s="131"/>
      <c r="J70" s="131"/>
    </row>
    <row r="71" spans="1:10" x14ac:dyDescent="0.2">
      <c r="A71" s="153" t="str">
        <f>IF(IF(PROCESO!J126&lt;&gt;"",PROCESO!J126,IF(PROCESO!J127&lt;&gt;"",PROCESO!J127,IF(PROCESO!J128&lt;&gt;"",PROCESO!J128,IF(PROCESO!J129&lt;&gt;"",PROCESO!J129,""))))&lt;&gt;"",IF(PROCESO!A126="","",PROCESO!A126&amp;IF(COUNTIF(PROCESO!$A$6:A125,PROCESO!A126)&gt;0," (Ped."&amp;(COUNTIF(PROCESO!$A$6:A125,PROCESO!A126)+1)&amp;")","")),"")</f>
        <v/>
      </c>
      <c r="B71" s="153" t="str">
        <f>IF(IF(PROCESO!J126&lt;&gt;"",PROCESO!J126,IF(PROCESO!J127&lt;&gt;"",PROCESO!J127,IF(PROCESO!J128&lt;&gt;"",PROCESO!J128,IF(PROCESO!J129&lt;&gt;"",PROCESO!J129,""))))&lt;&gt;"","ENVÍO Guía "&amp;IF(PROCESO!J126&lt;&gt;"",PROCESO!J126,IF(PROCESO!J127&lt;&gt;"",PROCESO!J127,IF(PROCESO!J128&lt;&gt;"",PROCESO!J128,IF(PROCESO!J129&lt;&gt;"",PROCESO!J129,"")))),"")</f>
        <v/>
      </c>
      <c r="C71" s="154"/>
      <c r="D71" s="154" t="str">
        <f>IF(IF(PROCESO!J126&lt;&gt;"",PROCESO!J126,IF(PROCESO!J127&lt;&gt;"",PROCESO!J127,IF(PROCESO!J128&lt;&gt;"",PROCESO!J128,IF(PROCESO!J129&lt;&gt;"",PROCESO!J129,""))))&lt;&gt;"",SUMIF(PROCESO!J126:J129,IF(PROCESO!J126&lt;&gt;"",PROCESO!J126,IF(PROCESO!J127&lt;&gt;"",PROCESO!J127,IF(PROCESO!J128&lt;&gt;"",PROCESO!J128,IF(PROCESO!J129&lt;&gt;"",PROCESO!J129,"")))),PROCESO!L126:L129),"")</f>
        <v/>
      </c>
      <c r="E71" s="153" t="str">
        <f>IF(IF(PROCESO!J126&lt;&gt;"",PROCESO!J126,IF(PROCESO!J127&lt;&gt;"",PROCESO!J127,IF(PROCESO!J128&lt;&gt;"",PROCESO!J128,IF(PROCESO!J129&lt;&gt;"",PROCESO!J129,""))))&lt;&gt;"","G-"&amp;IF(PROCESO!J126&lt;&gt;"",PROCESO!J126,IF(PROCESO!J127&lt;&gt;"",PROCESO!J127,IF(PROCESO!J128&lt;&gt;"",PROCESO!J128,IF(PROCESO!J129&lt;&gt;"",PROCESO!J129,"")))),"")</f>
        <v/>
      </c>
      <c r="F71" s="154" t="str">
        <f>IF(IF(PROCESO!J126&lt;&gt;"",PROCESO!J126,IF(PROCESO!J127&lt;&gt;"",PROCESO!J127,IF(PROCESO!J128&lt;&gt;"",PROCESO!J128,IF(PROCESO!J129&lt;&gt;"",PROCESO!J129,""))))&lt;&gt;"",LOOKUP(9.99E+307,F$6:F70)+N(C71)-N(D71),"")</f>
        <v/>
      </c>
      <c r="G71" s="131"/>
      <c r="H71" s="131"/>
      <c r="I71" s="131"/>
      <c r="J71" s="131"/>
    </row>
    <row r="72" spans="1:10" x14ac:dyDescent="0.2">
      <c r="A72" s="155" t="str">
        <f>IF(OR(SUM(PROCESO!M126:M129)&gt;0,SUM(PROCESO!N126:N129)&gt;0),IF(PROCESO!A126="","",PROCESO!A126&amp;IF(COUNTIF(PROCESO!$A$6:A125,PROCESO!A126)&gt;0," (Ped."&amp;(COUNTIF(PROCESO!$A$6:A125,PROCESO!A126)+1)&amp;")","")),"")</f>
        <v/>
      </c>
      <c r="B72" s="155" t="str">
        <f>IF(OR(SUM(PROCESO!M126:M129)&gt;0,SUM(PROCESO!N126:N129)&gt;0),"REPROCESO (devolución)","")</f>
        <v/>
      </c>
      <c r="C72" s="156" t="str">
        <f>IF(OR(SUM(PROCESO!M126:M129)&gt;0,SUM(PROCESO!N126:N129)&gt;0),SUM(PROCESO!N126:N129),"")</f>
        <v/>
      </c>
      <c r="D72" s="156"/>
      <c r="E72" s="155" t="str">
        <f>IF(OR(SUM(PROCESO!M126:M129)&gt;0,SUM(PROCESO!N126:N129)&gt;0),IF(SUM(PROCESO!M126:M129)&gt;0,SUM(PROCESO!M126:M129)&amp;" jabas devueltas · merma "&amp;TEXT((PROCESO!M126*15+PROCESO!M127*18+PROCESO!M128*17+PROCESO!M129*17)-SUM(PROCESO!N126:N129),"+#,##0;-#,##0;0")&amp;" kg",""),"")</f>
        <v/>
      </c>
      <c r="F72" s="156" t="str">
        <f>IF(OR(SUM(PROCESO!M126:M129)&gt;0,SUM(PROCESO!N126:N129)&gt;0),LOOKUP(9.99E+307,F$6:F71)+N(C72)-N(D72),"")</f>
        <v/>
      </c>
      <c r="G72" s="131"/>
      <c r="H72" s="131"/>
      <c r="I72" s="131"/>
      <c r="J72" s="131"/>
    </row>
    <row r="73" spans="1:10" x14ac:dyDescent="0.2">
      <c r="A73" s="147" t="str">
        <f>IF(PROCESO!D132&gt;0,IF(PROCESO!A132="","",PROCESO!A132&amp;IF(COUNTIF(PROCESO!$A$6:A131,PROCESO!A132)&gt;0," (Ped."&amp;(COUNTIF(PROCESO!$A$6:A131,PROCESO!A132)+1)&amp;")","")),"")</f>
        <v/>
      </c>
      <c r="B73" s="147" t="str">
        <f>IF(PROCESO!D132&gt;0,"INGRESO (compra)","")</f>
        <v/>
      </c>
      <c r="C73" s="148" t="str">
        <f>IF(PROCESO!D132&gt;0,PROCESO!D132,"")</f>
        <v/>
      </c>
      <c r="D73" s="148"/>
      <c r="E73" s="147" t="str">
        <f>IF(PROCESO!D132&gt;0,PROCESO!B132&amp;" sacos x "&amp;PROCESO!C132&amp;" kg","")</f>
        <v/>
      </c>
      <c r="F73" s="148" t="str">
        <f>IF(PROCESO!D132&gt;0,LOOKUP(9.99E+307,F$6:F72)+N(C73)-N(D73),"")</f>
        <v/>
      </c>
      <c r="G73" s="131"/>
      <c r="H73" s="131"/>
      <c r="I73" s="131"/>
      <c r="J73" s="131"/>
    </row>
    <row r="74" spans="1:10" x14ac:dyDescent="0.2">
      <c r="A74" s="149" t="str">
        <f>IF(N(PROCESO!H136)&gt;0,IF(PROCESO!A132="","",PROCESO!A132&amp;IF(COUNTIF(PROCESO!$A$6:A131,PROCESO!A132)&gt;0," (Ped."&amp;(COUNTIF(PROCESO!$A$6:A131,PROCESO!A132)+1)&amp;")","")),"")</f>
        <v/>
      </c>
      <c r="B74" s="149" t="str">
        <f>IF(N(PROCESO!H136)&gt;0,"CHANCHO (proceso)","")</f>
        <v/>
      </c>
      <c r="C74" s="150"/>
      <c r="D74" s="150" t="str">
        <f>IF(N(PROCESO!H136)&gt;0,N(PROCESO!H136),"")</f>
        <v/>
      </c>
      <c r="E74" s="149" t="str">
        <f>IF(N(PROCESO!H136)&gt;0,PROCESO!G136&amp;" sacos x 95 kg","")</f>
        <v/>
      </c>
      <c r="F74" s="150" t="str">
        <f>IF(N(PROCESO!H136)&gt;0,LOOKUP(9.99E+307,F$6:F73)+N(C74)-N(D74),"")</f>
        <v/>
      </c>
      <c r="G74" s="131"/>
      <c r="H74" s="131"/>
      <c r="I74" s="131"/>
      <c r="J74" s="131"/>
    </row>
    <row r="75" spans="1:10" x14ac:dyDescent="0.2">
      <c r="A75" s="151" t="str">
        <f>IF(N(PROCESO!H137)&gt;0,IF(PROCESO!A132="","",PROCESO!A132&amp;IF(COUNTIF(PROCESO!$A$6:A131,PROCESO!A132)&gt;0," (Ped."&amp;(COUNTIF(PROCESO!$A$6:A131,PROCESO!A132)+1)&amp;")","")),"")</f>
        <v/>
      </c>
      <c r="B75" s="151" t="str">
        <f>IF(N(PROCESO!H137)&gt;0,"MALOGRADO","")</f>
        <v/>
      </c>
      <c r="C75" s="152"/>
      <c r="D75" s="152" t="str">
        <f>IF(N(PROCESO!H137)&gt;0,N(PROCESO!H137),"")</f>
        <v/>
      </c>
      <c r="E75" s="151"/>
      <c r="F75" s="152" t="str">
        <f>IF(N(PROCESO!H137)&gt;0,LOOKUP(9.99E+307,F$6:F74)+N(C75)-N(D75),"")</f>
        <v/>
      </c>
      <c r="G75" s="131"/>
      <c r="H75" s="131"/>
      <c r="I75" s="131"/>
      <c r="J75" s="131"/>
    </row>
    <row r="76" spans="1:10" x14ac:dyDescent="0.2">
      <c r="A76" s="153" t="str">
        <f>IF(IF(PROCESO!J132&lt;&gt;"",PROCESO!J132,IF(PROCESO!J133&lt;&gt;"",PROCESO!J133,IF(PROCESO!J134&lt;&gt;"",PROCESO!J134,IF(PROCESO!J135&lt;&gt;"",PROCESO!J135,""))))&lt;&gt;"",IF(PROCESO!A132="","",PROCESO!A132&amp;IF(COUNTIF(PROCESO!$A$6:A131,PROCESO!A132)&gt;0," (Ped."&amp;(COUNTIF(PROCESO!$A$6:A131,PROCESO!A132)+1)&amp;")","")),"")</f>
        <v/>
      </c>
      <c r="B76" s="153" t="str">
        <f>IF(IF(PROCESO!J132&lt;&gt;"",PROCESO!J132,IF(PROCESO!J133&lt;&gt;"",PROCESO!J133,IF(PROCESO!J134&lt;&gt;"",PROCESO!J134,IF(PROCESO!J135&lt;&gt;"",PROCESO!J135,""))))&lt;&gt;"","ENVÍO Guía "&amp;IF(PROCESO!J132&lt;&gt;"",PROCESO!J132,IF(PROCESO!J133&lt;&gt;"",PROCESO!J133,IF(PROCESO!J134&lt;&gt;"",PROCESO!J134,IF(PROCESO!J135&lt;&gt;"",PROCESO!J135,"")))),"")</f>
        <v/>
      </c>
      <c r="C76" s="154"/>
      <c r="D76" s="154" t="str">
        <f>IF(IF(PROCESO!J132&lt;&gt;"",PROCESO!J132,IF(PROCESO!J133&lt;&gt;"",PROCESO!J133,IF(PROCESO!J134&lt;&gt;"",PROCESO!J134,IF(PROCESO!J135&lt;&gt;"",PROCESO!J135,""))))&lt;&gt;"",SUMIF(PROCESO!J132:J135,IF(PROCESO!J132&lt;&gt;"",PROCESO!J132,IF(PROCESO!J133&lt;&gt;"",PROCESO!J133,IF(PROCESO!J134&lt;&gt;"",PROCESO!J134,IF(PROCESO!J135&lt;&gt;"",PROCESO!J135,"")))),PROCESO!L132:L135),"")</f>
        <v/>
      </c>
      <c r="E76" s="153" t="str">
        <f>IF(IF(PROCESO!J132&lt;&gt;"",PROCESO!J132,IF(PROCESO!J133&lt;&gt;"",PROCESO!J133,IF(PROCESO!J134&lt;&gt;"",PROCESO!J134,IF(PROCESO!J135&lt;&gt;"",PROCESO!J135,""))))&lt;&gt;"","G-"&amp;IF(PROCESO!J132&lt;&gt;"",PROCESO!J132,IF(PROCESO!J133&lt;&gt;"",PROCESO!J133,IF(PROCESO!J134&lt;&gt;"",PROCESO!J134,IF(PROCESO!J135&lt;&gt;"",PROCESO!J135,"")))),"")</f>
        <v/>
      </c>
      <c r="F76" s="154" t="str">
        <f>IF(IF(PROCESO!J132&lt;&gt;"",PROCESO!J132,IF(PROCESO!J133&lt;&gt;"",PROCESO!J133,IF(PROCESO!J134&lt;&gt;"",PROCESO!J134,IF(PROCESO!J135&lt;&gt;"",PROCESO!J135,""))))&lt;&gt;"",LOOKUP(9.99E+307,F$6:F75)+N(C76)-N(D76),"")</f>
        <v/>
      </c>
      <c r="G76" s="131"/>
      <c r="H76" s="131"/>
      <c r="I76" s="131"/>
      <c r="J76" s="131"/>
    </row>
    <row r="77" spans="1:10" x14ac:dyDescent="0.2">
      <c r="A77" s="155" t="str">
        <f>IF(OR(SUM(PROCESO!M132:M135)&gt;0,SUM(PROCESO!N132:N135)&gt;0),IF(PROCESO!A132="","",PROCESO!A132&amp;IF(COUNTIF(PROCESO!$A$6:A131,PROCESO!A132)&gt;0," (Ped."&amp;(COUNTIF(PROCESO!$A$6:A131,PROCESO!A132)+1)&amp;")","")),"")</f>
        <v/>
      </c>
      <c r="B77" s="155" t="str">
        <f>IF(OR(SUM(PROCESO!M132:M135)&gt;0,SUM(PROCESO!N132:N135)&gt;0),"REPROCESO (devolución)","")</f>
        <v/>
      </c>
      <c r="C77" s="156" t="str">
        <f>IF(OR(SUM(PROCESO!M132:M135)&gt;0,SUM(PROCESO!N132:N135)&gt;0),SUM(PROCESO!N132:N135),"")</f>
        <v/>
      </c>
      <c r="D77" s="156"/>
      <c r="E77" s="155" t="str">
        <f>IF(OR(SUM(PROCESO!M132:M135)&gt;0,SUM(PROCESO!N132:N135)&gt;0),IF(SUM(PROCESO!M132:M135)&gt;0,SUM(PROCESO!M132:M135)&amp;" jabas devueltas · merma "&amp;TEXT((PROCESO!M132*15+PROCESO!M133*18+PROCESO!M134*17+PROCESO!M135*17)-SUM(PROCESO!N132:N135),"+#,##0;-#,##0;0")&amp;" kg",""),"")</f>
        <v/>
      </c>
      <c r="F77" s="156" t="str">
        <f>IF(OR(SUM(PROCESO!M132:M135)&gt;0,SUM(PROCESO!N132:N135)&gt;0),LOOKUP(9.99E+307,F$6:F76)+N(C77)-N(D77),"")</f>
        <v/>
      </c>
      <c r="G77" s="131"/>
      <c r="H77" s="131"/>
      <c r="I77" s="131"/>
      <c r="J77" s="131"/>
    </row>
    <row r="78" spans="1:10" x14ac:dyDescent="0.2">
      <c r="A78" s="147" t="str">
        <f>IF(PROCESO!D138&gt;0,IF(PROCESO!A138="","",PROCESO!A138&amp;IF(COUNTIF(PROCESO!$A$6:A137,PROCESO!A138)&gt;0," (Ped."&amp;(COUNTIF(PROCESO!$A$6:A137,PROCESO!A138)+1)&amp;")","")),"")</f>
        <v/>
      </c>
      <c r="B78" s="147" t="str">
        <f>IF(PROCESO!D138&gt;0,"INGRESO (compra)","")</f>
        <v/>
      </c>
      <c r="C78" s="148" t="str">
        <f>IF(PROCESO!D138&gt;0,PROCESO!D138,"")</f>
        <v/>
      </c>
      <c r="D78" s="148"/>
      <c r="E78" s="147" t="str">
        <f>IF(PROCESO!D138&gt;0,PROCESO!B138&amp;" sacos x "&amp;PROCESO!C138&amp;" kg","")</f>
        <v/>
      </c>
      <c r="F78" s="148" t="str">
        <f>IF(PROCESO!D138&gt;0,LOOKUP(9.99E+307,F$6:F77)+N(C78)-N(D78),"")</f>
        <v/>
      </c>
      <c r="G78" s="131"/>
      <c r="H78" s="131"/>
      <c r="I78" s="131"/>
      <c r="J78" s="131"/>
    </row>
    <row r="79" spans="1:10" x14ac:dyDescent="0.2">
      <c r="A79" s="149" t="str">
        <f>IF(N(PROCESO!H142)&gt;0,IF(PROCESO!A138="","",PROCESO!A138&amp;IF(COUNTIF(PROCESO!$A$6:A137,PROCESO!A138)&gt;0," (Ped."&amp;(COUNTIF(PROCESO!$A$6:A137,PROCESO!A138)+1)&amp;")","")),"")</f>
        <v/>
      </c>
      <c r="B79" s="149" t="str">
        <f>IF(N(PROCESO!H142)&gt;0,"CHANCHO (proceso)","")</f>
        <v/>
      </c>
      <c r="C79" s="150"/>
      <c r="D79" s="150" t="str">
        <f>IF(N(PROCESO!H142)&gt;0,N(PROCESO!H142),"")</f>
        <v/>
      </c>
      <c r="E79" s="149" t="str">
        <f>IF(N(PROCESO!H142)&gt;0,PROCESO!G142&amp;" sacos x 95 kg","")</f>
        <v/>
      </c>
      <c r="F79" s="150" t="str">
        <f>IF(N(PROCESO!H142)&gt;0,LOOKUP(9.99E+307,F$6:F78)+N(C79)-N(D79),"")</f>
        <v/>
      </c>
      <c r="G79" s="131"/>
      <c r="H79" s="131"/>
      <c r="I79" s="131"/>
      <c r="J79" s="131"/>
    </row>
    <row r="80" spans="1:10" x14ac:dyDescent="0.2">
      <c r="A80" s="151" t="str">
        <f>IF(N(PROCESO!H143)&gt;0,IF(PROCESO!A138="","",PROCESO!A138&amp;IF(COUNTIF(PROCESO!$A$6:A137,PROCESO!A138)&gt;0," (Ped."&amp;(COUNTIF(PROCESO!$A$6:A137,PROCESO!A138)+1)&amp;")","")),"")</f>
        <v/>
      </c>
      <c r="B80" s="151" t="str">
        <f>IF(N(PROCESO!H143)&gt;0,"MALOGRADO","")</f>
        <v/>
      </c>
      <c r="C80" s="152"/>
      <c r="D80" s="152" t="str">
        <f>IF(N(PROCESO!H143)&gt;0,N(PROCESO!H143),"")</f>
        <v/>
      </c>
      <c r="E80" s="151"/>
      <c r="F80" s="152" t="str">
        <f>IF(N(PROCESO!H143)&gt;0,LOOKUP(9.99E+307,F$6:F79)+N(C80)-N(D80),"")</f>
        <v/>
      </c>
      <c r="G80" s="131"/>
      <c r="H80" s="131"/>
      <c r="I80" s="131"/>
      <c r="J80" s="131"/>
    </row>
    <row r="81" spans="1:10" x14ac:dyDescent="0.2">
      <c r="A81" s="153" t="str">
        <f>IF(IF(PROCESO!J138&lt;&gt;"",PROCESO!J138,IF(PROCESO!J139&lt;&gt;"",PROCESO!J139,IF(PROCESO!J140&lt;&gt;"",PROCESO!J140,IF(PROCESO!J141&lt;&gt;"",PROCESO!J141,""))))&lt;&gt;"",IF(PROCESO!A138="","",PROCESO!A138&amp;IF(COUNTIF(PROCESO!$A$6:A137,PROCESO!A138)&gt;0," (Ped."&amp;(COUNTIF(PROCESO!$A$6:A137,PROCESO!A138)+1)&amp;")","")),"")</f>
        <v/>
      </c>
      <c r="B81" s="153" t="str">
        <f>IF(IF(PROCESO!J138&lt;&gt;"",PROCESO!J138,IF(PROCESO!J139&lt;&gt;"",PROCESO!J139,IF(PROCESO!J140&lt;&gt;"",PROCESO!J140,IF(PROCESO!J141&lt;&gt;"",PROCESO!J141,""))))&lt;&gt;"","ENVÍO Guía "&amp;IF(PROCESO!J138&lt;&gt;"",PROCESO!J138,IF(PROCESO!J139&lt;&gt;"",PROCESO!J139,IF(PROCESO!J140&lt;&gt;"",PROCESO!J140,IF(PROCESO!J141&lt;&gt;"",PROCESO!J141,"")))),"")</f>
        <v/>
      </c>
      <c r="C81" s="154"/>
      <c r="D81" s="154" t="str">
        <f>IF(IF(PROCESO!J138&lt;&gt;"",PROCESO!J138,IF(PROCESO!J139&lt;&gt;"",PROCESO!J139,IF(PROCESO!J140&lt;&gt;"",PROCESO!J140,IF(PROCESO!J141&lt;&gt;"",PROCESO!J141,""))))&lt;&gt;"",SUMIF(PROCESO!J138:J141,IF(PROCESO!J138&lt;&gt;"",PROCESO!J138,IF(PROCESO!J139&lt;&gt;"",PROCESO!J139,IF(PROCESO!J140&lt;&gt;"",PROCESO!J140,IF(PROCESO!J141&lt;&gt;"",PROCESO!J141,"")))),PROCESO!L138:L141),"")</f>
        <v/>
      </c>
      <c r="E81" s="153" t="str">
        <f>IF(IF(PROCESO!J138&lt;&gt;"",PROCESO!J138,IF(PROCESO!J139&lt;&gt;"",PROCESO!J139,IF(PROCESO!J140&lt;&gt;"",PROCESO!J140,IF(PROCESO!J141&lt;&gt;"",PROCESO!J141,""))))&lt;&gt;"","G-"&amp;IF(PROCESO!J138&lt;&gt;"",PROCESO!J138,IF(PROCESO!J139&lt;&gt;"",PROCESO!J139,IF(PROCESO!J140&lt;&gt;"",PROCESO!J140,IF(PROCESO!J141&lt;&gt;"",PROCESO!J141,"")))),"")</f>
        <v/>
      </c>
      <c r="F81" s="154" t="str">
        <f>IF(IF(PROCESO!J138&lt;&gt;"",PROCESO!J138,IF(PROCESO!J139&lt;&gt;"",PROCESO!J139,IF(PROCESO!J140&lt;&gt;"",PROCESO!J140,IF(PROCESO!J141&lt;&gt;"",PROCESO!J141,""))))&lt;&gt;"",LOOKUP(9.99E+307,F$6:F80)+N(C81)-N(D81),"")</f>
        <v/>
      </c>
      <c r="G81" s="131"/>
      <c r="H81" s="131"/>
      <c r="I81" s="131"/>
      <c r="J81" s="131"/>
    </row>
    <row r="82" spans="1:10" x14ac:dyDescent="0.2">
      <c r="A82" s="155" t="str">
        <f>IF(OR(SUM(PROCESO!M138:M141)&gt;0,SUM(PROCESO!N138:N141)&gt;0),IF(PROCESO!A138="","",PROCESO!A138&amp;IF(COUNTIF(PROCESO!$A$6:A137,PROCESO!A138)&gt;0," (Ped."&amp;(COUNTIF(PROCESO!$A$6:A137,PROCESO!A138)+1)&amp;")","")),"")</f>
        <v/>
      </c>
      <c r="B82" s="155" t="str">
        <f>IF(OR(SUM(PROCESO!M138:M141)&gt;0,SUM(PROCESO!N138:N141)&gt;0),"REPROCESO (devolución)","")</f>
        <v/>
      </c>
      <c r="C82" s="156" t="str">
        <f>IF(OR(SUM(PROCESO!M138:M141)&gt;0,SUM(PROCESO!N138:N141)&gt;0),SUM(PROCESO!N138:N141),"")</f>
        <v/>
      </c>
      <c r="D82" s="156"/>
      <c r="E82" s="155" t="str">
        <f>IF(OR(SUM(PROCESO!M138:M141)&gt;0,SUM(PROCESO!N138:N141)&gt;0),IF(SUM(PROCESO!M138:M141)&gt;0,SUM(PROCESO!M138:M141)&amp;" jabas devueltas · merma "&amp;TEXT((PROCESO!M138*15+PROCESO!M139*18+PROCESO!M140*17+PROCESO!M141*17)-SUM(PROCESO!N138:N141),"+#,##0;-#,##0;0")&amp;" kg",""),"")</f>
        <v/>
      </c>
      <c r="F82" s="156" t="str">
        <f>IF(OR(SUM(PROCESO!M138:M141)&gt;0,SUM(PROCESO!N138:N141)&gt;0),LOOKUP(9.99E+307,F$6:F81)+N(C82)-N(D82),"")</f>
        <v/>
      </c>
      <c r="G82" s="131"/>
      <c r="H82" s="131"/>
      <c r="I82" s="131"/>
      <c r="J82" s="131"/>
    </row>
    <row r="83" spans="1:10" x14ac:dyDescent="0.2">
      <c r="A83" s="147" t="str">
        <f>IF(PROCESO!D144&gt;0,IF(PROCESO!A144="","",PROCESO!A144&amp;IF(COUNTIF(PROCESO!$A$6:A143,PROCESO!A144)&gt;0," (Ped."&amp;(COUNTIF(PROCESO!$A$6:A143,PROCESO!A144)+1)&amp;")","")),"")</f>
        <v/>
      </c>
      <c r="B83" s="147" t="str">
        <f>IF(PROCESO!D144&gt;0,"INGRESO (compra)","")</f>
        <v/>
      </c>
      <c r="C83" s="148" t="str">
        <f>IF(PROCESO!D144&gt;0,PROCESO!D144,"")</f>
        <v/>
      </c>
      <c r="D83" s="148"/>
      <c r="E83" s="147" t="str">
        <f>IF(PROCESO!D144&gt;0,PROCESO!B144&amp;" sacos x "&amp;PROCESO!C144&amp;" kg","")</f>
        <v/>
      </c>
      <c r="F83" s="148" t="str">
        <f>IF(PROCESO!D144&gt;0,LOOKUP(9.99E+307,F$6:F82)+N(C83)-N(D83),"")</f>
        <v/>
      </c>
      <c r="G83" s="131"/>
      <c r="H83" s="131"/>
      <c r="I83" s="131"/>
      <c r="J83" s="131"/>
    </row>
    <row r="84" spans="1:10" x14ac:dyDescent="0.2">
      <c r="A84" s="149" t="str">
        <f>IF(N(PROCESO!H148)&gt;0,IF(PROCESO!A144="","",PROCESO!A144&amp;IF(COUNTIF(PROCESO!$A$6:A143,PROCESO!A144)&gt;0," (Ped."&amp;(COUNTIF(PROCESO!$A$6:A143,PROCESO!A144)+1)&amp;")","")),"")</f>
        <v/>
      </c>
      <c r="B84" s="149" t="str">
        <f>IF(N(PROCESO!H148)&gt;0,"CHANCHO (proceso)","")</f>
        <v/>
      </c>
      <c r="C84" s="150"/>
      <c r="D84" s="150" t="str">
        <f>IF(N(PROCESO!H148)&gt;0,N(PROCESO!H148),"")</f>
        <v/>
      </c>
      <c r="E84" s="149" t="str">
        <f>IF(N(PROCESO!H148)&gt;0,PROCESO!G148&amp;" sacos x 95 kg","")</f>
        <v/>
      </c>
      <c r="F84" s="150" t="str">
        <f>IF(N(PROCESO!H148)&gt;0,LOOKUP(9.99E+307,F$6:F83)+N(C84)-N(D84),"")</f>
        <v/>
      </c>
      <c r="G84" s="131"/>
      <c r="H84" s="131"/>
      <c r="I84" s="131"/>
      <c r="J84" s="131"/>
    </row>
    <row r="85" spans="1:10" x14ac:dyDescent="0.2">
      <c r="A85" s="151" t="str">
        <f>IF(N(PROCESO!H149)&gt;0,IF(PROCESO!A144="","",PROCESO!A144&amp;IF(COUNTIF(PROCESO!$A$6:A143,PROCESO!A144)&gt;0," (Ped."&amp;(COUNTIF(PROCESO!$A$6:A143,PROCESO!A144)+1)&amp;")","")),"")</f>
        <v/>
      </c>
      <c r="B85" s="151" t="str">
        <f>IF(N(PROCESO!H149)&gt;0,"MALOGRADO","")</f>
        <v/>
      </c>
      <c r="C85" s="152"/>
      <c r="D85" s="152" t="str">
        <f>IF(N(PROCESO!H149)&gt;0,N(PROCESO!H149),"")</f>
        <v/>
      </c>
      <c r="E85" s="151"/>
      <c r="F85" s="152" t="str">
        <f>IF(N(PROCESO!H149)&gt;0,LOOKUP(9.99E+307,F$6:F84)+N(C85)-N(D85),"")</f>
        <v/>
      </c>
      <c r="G85" s="131"/>
      <c r="H85" s="131"/>
      <c r="I85" s="131"/>
      <c r="J85" s="131"/>
    </row>
    <row r="86" spans="1:10" x14ac:dyDescent="0.2">
      <c r="A86" s="153" t="str">
        <f>IF(IF(PROCESO!J144&lt;&gt;"",PROCESO!J144,IF(PROCESO!J145&lt;&gt;"",PROCESO!J145,IF(PROCESO!J146&lt;&gt;"",PROCESO!J146,IF(PROCESO!J147&lt;&gt;"",PROCESO!J147,""))))&lt;&gt;"",IF(PROCESO!A144="","",PROCESO!A144&amp;IF(COUNTIF(PROCESO!$A$6:A143,PROCESO!A144)&gt;0," (Ped."&amp;(COUNTIF(PROCESO!$A$6:A143,PROCESO!A144)+1)&amp;")","")),"")</f>
        <v/>
      </c>
      <c r="B86" s="153" t="str">
        <f>IF(IF(PROCESO!J144&lt;&gt;"",PROCESO!J144,IF(PROCESO!J145&lt;&gt;"",PROCESO!J145,IF(PROCESO!J146&lt;&gt;"",PROCESO!J146,IF(PROCESO!J147&lt;&gt;"",PROCESO!J147,""))))&lt;&gt;"","ENVÍO Guía "&amp;IF(PROCESO!J144&lt;&gt;"",PROCESO!J144,IF(PROCESO!J145&lt;&gt;"",PROCESO!J145,IF(PROCESO!J146&lt;&gt;"",PROCESO!J146,IF(PROCESO!J147&lt;&gt;"",PROCESO!J147,"")))),"")</f>
        <v/>
      </c>
      <c r="C86" s="154"/>
      <c r="D86" s="154" t="str">
        <f>IF(IF(PROCESO!J144&lt;&gt;"",PROCESO!J144,IF(PROCESO!J145&lt;&gt;"",PROCESO!J145,IF(PROCESO!J146&lt;&gt;"",PROCESO!J146,IF(PROCESO!J147&lt;&gt;"",PROCESO!J147,""))))&lt;&gt;"",SUMIF(PROCESO!J144:J147,IF(PROCESO!J144&lt;&gt;"",PROCESO!J144,IF(PROCESO!J145&lt;&gt;"",PROCESO!J145,IF(PROCESO!J146&lt;&gt;"",PROCESO!J146,IF(PROCESO!J147&lt;&gt;"",PROCESO!J147,"")))),PROCESO!L144:L147),"")</f>
        <v/>
      </c>
      <c r="E86" s="153" t="str">
        <f>IF(IF(PROCESO!J144&lt;&gt;"",PROCESO!J144,IF(PROCESO!J145&lt;&gt;"",PROCESO!J145,IF(PROCESO!J146&lt;&gt;"",PROCESO!J146,IF(PROCESO!J147&lt;&gt;"",PROCESO!J147,""))))&lt;&gt;"","G-"&amp;IF(PROCESO!J144&lt;&gt;"",PROCESO!J144,IF(PROCESO!J145&lt;&gt;"",PROCESO!J145,IF(PROCESO!J146&lt;&gt;"",PROCESO!J146,IF(PROCESO!J147&lt;&gt;"",PROCESO!J147,"")))),"")</f>
        <v/>
      </c>
      <c r="F86" s="154" t="str">
        <f>IF(IF(PROCESO!J144&lt;&gt;"",PROCESO!J144,IF(PROCESO!J145&lt;&gt;"",PROCESO!J145,IF(PROCESO!J146&lt;&gt;"",PROCESO!J146,IF(PROCESO!J147&lt;&gt;"",PROCESO!J147,""))))&lt;&gt;"",LOOKUP(9.99E+307,F$6:F85)+N(C86)-N(D86),"")</f>
        <v/>
      </c>
      <c r="G86" s="131"/>
      <c r="H86" s="131"/>
      <c r="I86" s="131"/>
      <c r="J86" s="131"/>
    </row>
    <row r="87" spans="1:10" x14ac:dyDescent="0.2">
      <c r="A87" s="155" t="str">
        <f>IF(OR(SUM(PROCESO!M144:M147)&gt;0,SUM(PROCESO!N144:N147)&gt;0),IF(PROCESO!A144="","",PROCESO!A144&amp;IF(COUNTIF(PROCESO!$A$6:A143,PROCESO!A144)&gt;0," (Ped."&amp;(COUNTIF(PROCESO!$A$6:A143,PROCESO!A144)+1)&amp;")","")),"")</f>
        <v/>
      </c>
      <c r="B87" s="155" t="str">
        <f>IF(OR(SUM(PROCESO!M144:M147)&gt;0,SUM(PROCESO!N144:N147)&gt;0),"REPROCESO (devolución)","")</f>
        <v/>
      </c>
      <c r="C87" s="156" t="str">
        <f>IF(OR(SUM(PROCESO!M144:M147)&gt;0,SUM(PROCESO!N144:N147)&gt;0),SUM(PROCESO!N144:N147),"")</f>
        <v/>
      </c>
      <c r="D87" s="156"/>
      <c r="E87" s="155" t="str">
        <f>IF(OR(SUM(PROCESO!M144:M147)&gt;0,SUM(PROCESO!N144:N147)&gt;0),IF(SUM(PROCESO!M144:M147)&gt;0,SUM(PROCESO!M144:M147)&amp;" jabas devueltas · merma "&amp;TEXT((PROCESO!M144*15+PROCESO!M145*18+PROCESO!M146*17+PROCESO!M147*17)-SUM(PROCESO!N144:N147),"+#,##0;-#,##0;0")&amp;" kg",""),"")</f>
        <v/>
      </c>
      <c r="F87" s="156" t="str">
        <f>IF(OR(SUM(PROCESO!M144:M147)&gt;0,SUM(PROCESO!N144:N147)&gt;0),LOOKUP(9.99E+307,F$6:F86)+N(C87)-N(D87),"")</f>
        <v/>
      </c>
      <c r="G87" s="131"/>
      <c r="H87" s="131"/>
      <c r="I87" s="131"/>
      <c r="J87" s="131"/>
    </row>
    <row r="88" spans="1:10" x14ac:dyDescent="0.2">
      <c r="A88" s="147" t="str">
        <f>IF(PROCESO!D150&gt;0,IF(PROCESO!A150="","",PROCESO!A150&amp;IF(COUNTIF(PROCESO!$A$6:A149,PROCESO!A150)&gt;0," (Ped."&amp;(COUNTIF(PROCESO!$A$6:A149,PROCESO!A150)+1)&amp;")","")),"")</f>
        <v/>
      </c>
      <c r="B88" s="147" t="str">
        <f>IF(PROCESO!D150&gt;0,"INGRESO (compra)","")</f>
        <v/>
      </c>
      <c r="C88" s="148" t="str">
        <f>IF(PROCESO!D150&gt;0,PROCESO!D150,"")</f>
        <v/>
      </c>
      <c r="D88" s="148"/>
      <c r="E88" s="147" t="str">
        <f>IF(PROCESO!D150&gt;0,PROCESO!B150&amp;" sacos x "&amp;PROCESO!C150&amp;" kg","")</f>
        <v/>
      </c>
      <c r="F88" s="148" t="str">
        <f>IF(PROCESO!D150&gt;0,LOOKUP(9.99E+307,F$6:F87)+N(C88)-N(D88),"")</f>
        <v/>
      </c>
      <c r="G88" s="131"/>
      <c r="H88" s="131"/>
      <c r="I88" s="131"/>
      <c r="J88" s="131"/>
    </row>
    <row r="89" spans="1:10" x14ac:dyDescent="0.2">
      <c r="A89" s="149" t="str">
        <f>IF(N(PROCESO!H154)&gt;0,IF(PROCESO!A150="","",PROCESO!A150&amp;IF(COUNTIF(PROCESO!$A$6:A149,PROCESO!A150)&gt;0," (Ped."&amp;(COUNTIF(PROCESO!$A$6:A149,PROCESO!A150)+1)&amp;")","")),"")</f>
        <v/>
      </c>
      <c r="B89" s="149" t="str">
        <f>IF(N(PROCESO!H154)&gt;0,"CHANCHO (proceso)","")</f>
        <v/>
      </c>
      <c r="C89" s="150"/>
      <c r="D89" s="150" t="str">
        <f>IF(N(PROCESO!H154)&gt;0,N(PROCESO!H154),"")</f>
        <v/>
      </c>
      <c r="E89" s="149" t="str">
        <f>IF(N(PROCESO!H154)&gt;0,PROCESO!G154&amp;" sacos x 95 kg","")</f>
        <v/>
      </c>
      <c r="F89" s="150" t="str">
        <f>IF(N(PROCESO!H154)&gt;0,LOOKUP(9.99E+307,F$6:F88)+N(C89)-N(D89),"")</f>
        <v/>
      </c>
      <c r="G89" s="131"/>
      <c r="H89" s="131"/>
      <c r="I89" s="131"/>
      <c r="J89" s="131"/>
    </row>
    <row r="90" spans="1:10" x14ac:dyDescent="0.2">
      <c r="A90" s="151" t="str">
        <f>IF(N(PROCESO!H155)&gt;0,IF(PROCESO!A150="","",PROCESO!A150&amp;IF(COUNTIF(PROCESO!$A$6:A149,PROCESO!A150)&gt;0," (Ped."&amp;(COUNTIF(PROCESO!$A$6:A149,PROCESO!A150)+1)&amp;")","")),"")</f>
        <v/>
      </c>
      <c r="B90" s="151" t="str">
        <f>IF(N(PROCESO!H155)&gt;0,"MALOGRADO","")</f>
        <v/>
      </c>
      <c r="C90" s="152"/>
      <c r="D90" s="152" t="str">
        <f>IF(N(PROCESO!H155)&gt;0,N(PROCESO!H155),"")</f>
        <v/>
      </c>
      <c r="E90" s="151"/>
      <c r="F90" s="152" t="str">
        <f>IF(N(PROCESO!H155)&gt;0,LOOKUP(9.99E+307,F$6:F89)+N(C90)-N(D90),"")</f>
        <v/>
      </c>
      <c r="G90" s="131"/>
      <c r="H90" s="131"/>
      <c r="I90" s="131"/>
      <c r="J90" s="131"/>
    </row>
    <row r="91" spans="1:10" x14ac:dyDescent="0.2">
      <c r="A91" s="153" t="str">
        <f>IF(IF(PROCESO!J150&lt;&gt;"",PROCESO!J150,IF(PROCESO!J151&lt;&gt;"",PROCESO!J151,IF(PROCESO!J152&lt;&gt;"",PROCESO!J152,IF(PROCESO!J153&lt;&gt;"",PROCESO!J153,""))))&lt;&gt;"",IF(PROCESO!A150="","",PROCESO!A150&amp;IF(COUNTIF(PROCESO!$A$6:A149,PROCESO!A150)&gt;0," (Ped."&amp;(COUNTIF(PROCESO!$A$6:A149,PROCESO!A150)+1)&amp;")","")),"")</f>
        <v/>
      </c>
      <c r="B91" s="153" t="str">
        <f>IF(IF(PROCESO!J150&lt;&gt;"",PROCESO!J150,IF(PROCESO!J151&lt;&gt;"",PROCESO!J151,IF(PROCESO!J152&lt;&gt;"",PROCESO!J152,IF(PROCESO!J153&lt;&gt;"",PROCESO!J153,""))))&lt;&gt;"","ENVÍO Guía "&amp;IF(PROCESO!J150&lt;&gt;"",PROCESO!J150,IF(PROCESO!J151&lt;&gt;"",PROCESO!J151,IF(PROCESO!J152&lt;&gt;"",PROCESO!J152,IF(PROCESO!J153&lt;&gt;"",PROCESO!J153,"")))),"")</f>
        <v/>
      </c>
      <c r="C91" s="154"/>
      <c r="D91" s="154" t="str">
        <f>IF(IF(PROCESO!J150&lt;&gt;"",PROCESO!J150,IF(PROCESO!J151&lt;&gt;"",PROCESO!J151,IF(PROCESO!J152&lt;&gt;"",PROCESO!J152,IF(PROCESO!J153&lt;&gt;"",PROCESO!J153,""))))&lt;&gt;"",SUMIF(PROCESO!J150:J153,IF(PROCESO!J150&lt;&gt;"",PROCESO!J150,IF(PROCESO!J151&lt;&gt;"",PROCESO!J151,IF(PROCESO!J152&lt;&gt;"",PROCESO!J152,IF(PROCESO!J153&lt;&gt;"",PROCESO!J153,"")))),PROCESO!L150:L153),"")</f>
        <v/>
      </c>
      <c r="E91" s="153" t="str">
        <f>IF(IF(PROCESO!J150&lt;&gt;"",PROCESO!J150,IF(PROCESO!J151&lt;&gt;"",PROCESO!J151,IF(PROCESO!J152&lt;&gt;"",PROCESO!J152,IF(PROCESO!J153&lt;&gt;"",PROCESO!J153,""))))&lt;&gt;"","G-"&amp;IF(PROCESO!J150&lt;&gt;"",PROCESO!J150,IF(PROCESO!J151&lt;&gt;"",PROCESO!J151,IF(PROCESO!J152&lt;&gt;"",PROCESO!J152,IF(PROCESO!J153&lt;&gt;"",PROCESO!J153,"")))),"")</f>
        <v/>
      </c>
      <c r="F91" s="154" t="str">
        <f>IF(IF(PROCESO!J150&lt;&gt;"",PROCESO!J150,IF(PROCESO!J151&lt;&gt;"",PROCESO!J151,IF(PROCESO!J152&lt;&gt;"",PROCESO!J152,IF(PROCESO!J153&lt;&gt;"",PROCESO!J153,""))))&lt;&gt;"",LOOKUP(9.99E+307,F$6:F90)+N(C91)-N(D91),"")</f>
        <v/>
      </c>
      <c r="G91" s="131"/>
      <c r="H91" s="131"/>
      <c r="I91" s="131"/>
      <c r="J91" s="131"/>
    </row>
    <row r="92" spans="1:10" x14ac:dyDescent="0.2">
      <c r="A92" s="155" t="str">
        <f>IF(OR(SUM(PROCESO!M150:M153)&gt;0,SUM(PROCESO!N150:N153)&gt;0),IF(PROCESO!A150="","",PROCESO!A150&amp;IF(COUNTIF(PROCESO!$A$6:A149,PROCESO!A150)&gt;0," (Ped."&amp;(COUNTIF(PROCESO!$A$6:A149,PROCESO!A150)+1)&amp;")","")),"")</f>
        <v/>
      </c>
      <c r="B92" s="155" t="str">
        <f>IF(OR(SUM(PROCESO!M150:M153)&gt;0,SUM(PROCESO!N150:N153)&gt;0),"REPROCESO (devolución)","")</f>
        <v/>
      </c>
      <c r="C92" s="156" t="str">
        <f>IF(OR(SUM(PROCESO!M150:M153)&gt;0,SUM(PROCESO!N150:N153)&gt;0),SUM(PROCESO!N150:N153),"")</f>
        <v/>
      </c>
      <c r="D92" s="156"/>
      <c r="E92" s="155" t="str">
        <f>IF(OR(SUM(PROCESO!M150:M153)&gt;0,SUM(PROCESO!N150:N153)&gt;0),IF(SUM(PROCESO!M150:M153)&gt;0,SUM(PROCESO!M150:M153)&amp;" jabas devueltas · merma "&amp;TEXT((PROCESO!M150*15+PROCESO!M151*18+PROCESO!M152*17+PROCESO!M153*17)-SUM(PROCESO!N150:N153),"+#,##0;-#,##0;0")&amp;" kg",""),"")</f>
        <v/>
      </c>
      <c r="F92" s="156" t="str">
        <f>IF(OR(SUM(PROCESO!M150:M153)&gt;0,SUM(PROCESO!N150:N153)&gt;0),LOOKUP(9.99E+307,F$6:F91)+N(C92)-N(D92),"")</f>
        <v/>
      </c>
      <c r="G92" s="131"/>
      <c r="H92" s="131"/>
      <c r="I92" s="131"/>
      <c r="J92" s="131"/>
    </row>
    <row r="93" spans="1:10" x14ac:dyDescent="0.2">
      <c r="A93" s="147" t="str">
        <f>IF(PROCESO!D156&gt;0,IF(PROCESO!A156="","",PROCESO!A156&amp;IF(COUNTIF(PROCESO!$A$6:A155,PROCESO!A156)&gt;0," (Ped."&amp;(COUNTIF(PROCESO!$A$6:A155,PROCESO!A156)+1)&amp;")","")),"")</f>
        <v/>
      </c>
      <c r="B93" s="147" t="str">
        <f>IF(PROCESO!D156&gt;0,"INGRESO (compra)","")</f>
        <v/>
      </c>
      <c r="C93" s="148" t="str">
        <f>IF(PROCESO!D156&gt;0,PROCESO!D156,"")</f>
        <v/>
      </c>
      <c r="D93" s="148"/>
      <c r="E93" s="147" t="str">
        <f>IF(PROCESO!D156&gt;0,PROCESO!B156&amp;" sacos x "&amp;PROCESO!C156&amp;" kg","")</f>
        <v/>
      </c>
      <c r="F93" s="148" t="str">
        <f>IF(PROCESO!D156&gt;0,LOOKUP(9.99E+307,F$6:F92)+N(C93)-N(D93),"")</f>
        <v/>
      </c>
      <c r="G93" s="131"/>
      <c r="H93" s="131"/>
      <c r="I93" s="131"/>
      <c r="J93" s="131"/>
    </row>
    <row r="94" spans="1:10" x14ac:dyDescent="0.2">
      <c r="A94" s="149" t="str">
        <f>IF(N(PROCESO!H160)&gt;0,IF(PROCESO!A156="","",PROCESO!A156&amp;IF(COUNTIF(PROCESO!$A$6:A155,PROCESO!A156)&gt;0," (Ped."&amp;(COUNTIF(PROCESO!$A$6:A155,PROCESO!A156)+1)&amp;")","")),"")</f>
        <v/>
      </c>
      <c r="B94" s="149" t="str">
        <f>IF(N(PROCESO!H160)&gt;0,"CHANCHO (proceso)","")</f>
        <v/>
      </c>
      <c r="C94" s="150"/>
      <c r="D94" s="150" t="str">
        <f>IF(N(PROCESO!H160)&gt;0,N(PROCESO!H160),"")</f>
        <v/>
      </c>
      <c r="E94" s="149" t="str">
        <f>IF(N(PROCESO!H160)&gt;0,PROCESO!G160&amp;" sacos x 95 kg","")</f>
        <v/>
      </c>
      <c r="F94" s="150" t="str">
        <f>IF(N(PROCESO!H160)&gt;0,LOOKUP(9.99E+307,F$6:F93)+N(C94)-N(D94),"")</f>
        <v/>
      </c>
      <c r="G94" s="131"/>
      <c r="H94" s="131"/>
      <c r="I94" s="131"/>
      <c r="J94" s="131"/>
    </row>
    <row r="95" spans="1:10" x14ac:dyDescent="0.2">
      <c r="A95" s="151" t="str">
        <f>IF(N(PROCESO!H161)&gt;0,IF(PROCESO!A156="","",PROCESO!A156&amp;IF(COUNTIF(PROCESO!$A$6:A155,PROCESO!A156)&gt;0," (Ped."&amp;(COUNTIF(PROCESO!$A$6:A155,PROCESO!A156)+1)&amp;")","")),"")</f>
        <v/>
      </c>
      <c r="B95" s="151" t="str">
        <f>IF(N(PROCESO!H161)&gt;0,"MALOGRADO","")</f>
        <v/>
      </c>
      <c r="C95" s="152"/>
      <c r="D95" s="152" t="str">
        <f>IF(N(PROCESO!H161)&gt;0,N(PROCESO!H161),"")</f>
        <v/>
      </c>
      <c r="E95" s="151"/>
      <c r="F95" s="152" t="str">
        <f>IF(N(PROCESO!H161)&gt;0,LOOKUP(9.99E+307,F$6:F94)+N(C95)-N(D95),"")</f>
        <v/>
      </c>
      <c r="G95" s="131"/>
      <c r="H95" s="131"/>
      <c r="I95" s="131"/>
      <c r="J95" s="131"/>
    </row>
    <row r="96" spans="1:10" x14ac:dyDescent="0.2">
      <c r="A96" s="153" t="str">
        <f>IF(IF(PROCESO!J156&lt;&gt;"",PROCESO!J156,IF(PROCESO!J157&lt;&gt;"",PROCESO!J157,IF(PROCESO!J158&lt;&gt;"",PROCESO!J158,IF(PROCESO!J159&lt;&gt;"",PROCESO!J159,""))))&lt;&gt;"",IF(PROCESO!A156="","",PROCESO!A156&amp;IF(COUNTIF(PROCESO!$A$6:A155,PROCESO!A156)&gt;0," (Ped."&amp;(COUNTIF(PROCESO!$A$6:A155,PROCESO!A156)+1)&amp;")","")),"")</f>
        <v/>
      </c>
      <c r="B96" s="153" t="str">
        <f>IF(IF(PROCESO!J156&lt;&gt;"",PROCESO!J156,IF(PROCESO!J157&lt;&gt;"",PROCESO!J157,IF(PROCESO!J158&lt;&gt;"",PROCESO!J158,IF(PROCESO!J159&lt;&gt;"",PROCESO!J159,""))))&lt;&gt;"","ENVÍO Guía "&amp;IF(PROCESO!J156&lt;&gt;"",PROCESO!J156,IF(PROCESO!J157&lt;&gt;"",PROCESO!J157,IF(PROCESO!J158&lt;&gt;"",PROCESO!J158,IF(PROCESO!J159&lt;&gt;"",PROCESO!J159,"")))),"")</f>
        <v/>
      </c>
      <c r="C96" s="154"/>
      <c r="D96" s="154" t="str">
        <f>IF(IF(PROCESO!J156&lt;&gt;"",PROCESO!J156,IF(PROCESO!J157&lt;&gt;"",PROCESO!J157,IF(PROCESO!J158&lt;&gt;"",PROCESO!J158,IF(PROCESO!J159&lt;&gt;"",PROCESO!J159,""))))&lt;&gt;"",SUMIF(PROCESO!J156:J159,IF(PROCESO!J156&lt;&gt;"",PROCESO!J156,IF(PROCESO!J157&lt;&gt;"",PROCESO!J157,IF(PROCESO!J158&lt;&gt;"",PROCESO!J158,IF(PROCESO!J159&lt;&gt;"",PROCESO!J159,"")))),PROCESO!L156:L159),"")</f>
        <v/>
      </c>
      <c r="E96" s="153" t="str">
        <f>IF(IF(PROCESO!J156&lt;&gt;"",PROCESO!J156,IF(PROCESO!J157&lt;&gt;"",PROCESO!J157,IF(PROCESO!J158&lt;&gt;"",PROCESO!J158,IF(PROCESO!J159&lt;&gt;"",PROCESO!J159,""))))&lt;&gt;"","G-"&amp;IF(PROCESO!J156&lt;&gt;"",PROCESO!J156,IF(PROCESO!J157&lt;&gt;"",PROCESO!J157,IF(PROCESO!J158&lt;&gt;"",PROCESO!J158,IF(PROCESO!J159&lt;&gt;"",PROCESO!J159,"")))),"")</f>
        <v/>
      </c>
      <c r="F96" s="154" t="str">
        <f>IF(IF(PROCESO!J156&lt;&gt;"",PROCESO!J156,IF(PROCESO!J157&lt;&gt;"",PROCESO!J157,IF(PROCESO!J158&lt;&gt;"",PROCESO!J158,IF(PROCESO!J159&lt;&gt;"",PROCESO!J159,""))))&lt;&gt;"",LOOKUP(9.99E+307,F$6:F95)+N(C96)-N(D96),"")</f>
        <v/>
      </c>
      <c r="G96" s="131"/>
      <c r="H96" s="131"/>
      <c r="I96" s="131"/>
      <c r="J96" s="131"/>
    </row>
    <row r="97" spans="1:10" x14ac:dyDescent="0.2">
      <c r="A97" s="155" t="str">
        <f>IF(OR(SUM(PROCESO!M156:M159)&gt;0,SUM(PROCESO!N156:N159)&gt;0),IF(PROCESO!A156="","",PROCESO!A156&amp;IF(COUNTIF(PROCESO!$A$6:A155,PROCESO!A156)&gt;0," (Ped."&amp;(COUNTIF(PROCESO!$A$6:A155,PROCESO!A156)+1)&amp;")","")),"")</f>
        <v/>
      </c>
      <c r="B97" s="155" t="str">
        <f>IF(OR(SUM(PROCESO!M156:M159)&gt;0,SUM(PROCESO!N156:N159)&gt;0),"REPROCESO (devolución)","")</f>
        <v/>
      </c>
      <c r="C97" s="156" t="str">
        <f>IF(OR(SUM(PROCESO!M156:M159)&gt;0,SUM(PROCESO!N156:N159)&gt;0),SUM(PROCESO!N156:N159),"")</f>
        <v/>
      </c>
      <c r="D97" s="156"/>
      <c r="E97" s="155" t="str">
        <f>IF(OR(SUM(PROCESO!M156:M159)&gt;0,SUM(PROCESO!N156:N159)&gt;0),IF(SUM(PROCESO!M156:M159)&gt;0,SUM(PROCESO!M156:M159)&amp;" jabas devueltas · merma "&amp;TEXT((PROCESO!M156*15+PROCESO!M157*18+PROCESO!M158*17+PROCESO!M159*17)-SUM(PROCESO!N156:N159),"+#,##0;-#,##0;0")&amp;" kg",""),"")</f>
        <v/>
      </c>
      <c r="F97" s="156" t="str">
        <f>IF(OR(SUM(PROCESO!M156:M159)&gt;0,SUM(PROCESO!N156:N159)&gt;0),LOOKUP(9.99E+307,F$6:F96)+N(C97)-N(D97),"")</f>
        <v/>
      </c>
      <c r="G97" s="131"/>
      <c r="H97" s="131"/>
      <c r="I97" s="131"/>
      <c r="J97" s="131"/>
    </row>
    <row r="98" spans="1:10" x14ac:dyDescent="0.2">
      <c r="A98" s="147" t="str">
        <f>IF(PROCESO!D162&gt;0,IF(PROCESO!A162="","",PROCESO!A162&amp;IF(COUNTIF(PROCESO!$A$6:A161,PROCESO!A162)&gt;0," (Ped."&amp;(COUNTIF(PROCESO!$A$6:A161,PROCESO!A162)+1)&amp;")","")),"")</f>
        <v/>
      </c>
      <c r="B98" s="147" t="str">
        <f>IF(PROCESO!D162&gt;0,"INGRESO (compra)","")</f>
        <v/>
      </c>
      <c r="C98" s="148" t="str">
        <f>IF(PROCESO!D162&gt;0,PROCESO!D162,"")</f>
        <v/>
      </c>
      <c r="D98" s="148"/>
      <c r="E98" s="147" t="str">
        <f>IF(PROCESO!D162&gt;0,PROCESO!B162&amp;" sacos x "&amp;PROCESO!C162&amp;" kg","")</f>
        <v/>
      </c>
      <c r="F98" s="148" t="str">
        <f>IF(PROCESO!D162&gt;0,LOOKUP(9.99E+307,F$6:F97)+N(C98)-N(D98),"")</f>
        <v/>
      </c>
      <c r="G98" s="131"/>
      <c r="H98" s="131"/>
      <c r="I98" s="131"/>
      <c r="J98" s="131"/>
    </row>
    <row r="99" spans="1:10" x14ac:dyDescent="0.2">
      <c r="A99" s="149" t="str">
        <f>IF(N(PROCESO!H166)&gt;0,IF(PROCESO!A162="","",PROCESO!A162&amp;IF(COUNTIF(PROCESO!$A$6:A161,PROCESO!A162)&gt;0," (Ped."&amp;(COUNTIF(PROCESO!$A$6:A161,PROCESO!A162)+1)&amp;")","")),"")</f>
        <v/>
      </c>
      <c r="B99" s="149" t="str">
        <f>IF(N(PROCESO!H166)&gt;0,"CHANCHO (proceso)","")</f>
        <v/>
      </c>
      <c r="C99" s="150"/>
      <c r="D99" s="150" t="str">
        <f>IF(N(PROCESO!H166)&gt;0,N(PROCESO!H166),"")</f>
        <v/>
      </c>
      <c r="E99" s="149" t="str">
        <f>IF(N(PROCESO!H166)&gt;0,PROCESO!G166&amp;" sacos x 95 kg","")</f>
        <v/>
      </c>
      <c r="F99" s="150" t="str">
        <f>IF(N(PROCESO!H166)&gt;0,LOOKUP(9.99E+307,F$6:F98)+N(C99)-N(D99),"")</f>
        <v/>
      </c>
      <c r="G99" s="131"/>
      <c r="H99" s="131"/>
      <c r="I99" s="131"/>
      <c r="J99" s="131"/>
    </row>
    <row r="100" spans="1:10" x14ac:dyDescent="0.2">
      <c r="A100" s="151" t="str">
        <f>IF(N(PROCESO!H167)&gt;0,IF(PROCESO!A162="","",PROCESO!A162&amp;IF(COUNTIF(PROCESO!$A$6:A161,PROCESO!A162)&gt;0," (Ped."&amp;(COUNTIF(PROCESO!$A$6:A161,PROCESO!A162)+1)&amp;")","")),"")</f>
        <v/>
      </c>
      <c r="B100" s="151" t="str">
        <f>IF(N(PROCESO!H167)&gt;0,"MALOGRADO","")</f>
        <v/>
      </c>
      <c r="C100" s="152"/>
      <c r="D100" s="152" t="str">
        <f>IF(N(PROCESO!H167)&gt;0,N(PROCESO!H167),"")</f>
        <v/>
      </c>
      <c r="E100" s="151"/>
      <c r="F100" s="152" t="str">
        <f>IF(N(PROCESO!H167)&gt;0,LOOKUP(9.99E+307,F$6:F99)+N(C100)-N(D100),"")</f>
        <v/>
      </c>
      <c r="G100" s="131"/>
      <c r="H100" s="131"/>
      <c r="I100" s="131"/>
      <c r="J100" s="131"/>
    </row>
    <row r="101" spans="1:10" x14ac:dyDescent="0.2">
      <c r="A101" s="153" t="str">
        <f>IF(IF(PROCESO!J162&lt;&gt;"",PROCESO!J162,IF(PROCESO!J163&lt;&gt;"",PROCESO!J163,IF(PROCESO!J164&lt;&gt;"",PROCESO!J164,IF(PROCESO!J165&lt;&gt;"",PROCESO!J165,""))))&lt;&gt;"",IF(PROCESO!A162="","",PROCESO!A162&amp;IF(COUNTIF(PROCESO!$A$6:A161,PROCESO!A162)&gt;0," (Ped."&amp;(COUNTIF(PROCESO!$A$6:A161,PROCESO!A162)+1)&amp;")","")),"")</f>
        <v/>
      </c>
      <c r="B101" s="153" t="str">
        <f>IF(IF(PROCESO!J162&lt;&gt;"",PROCESO!J162,IF(PROCESO!J163&lt;&gt;"",PROCESO!J163,IF(PROCESO!J164&lt;&gt;"",PROCESO!J164,IF(PROCESO!J165&lt;&gt;"",PROCESO!J165,""))))&lt;&gt;"","ENVÍO Guía "&amp;IF(PROCESO!J162&lt;&gt;"",PROCESO!J162,IF(PROCESO!J163&lt;&gt;"",PROCESO!J163,IF(PROCESO!J164&lt;&gt;"",PROCESO!J164,IF(PROCESO!J165&lt;&gt;"",PROCESO!J165,"")))),"")</f>
        <v/>
      </c>
      <c r="C101" s="154"/>
      <c r="D101" s="154" t="str">
        <f>IF(IF(PROCESO!J162&lt;&gt;"",PROCESO!J162,IF(PROCESO!J163&lt;&gt;"",PROCESO!J163,IF(PROCESO!J164&lt;&gt;"",PROCESO!J164,IF(PROCESO!J165&lt;&gt;"",PROCESO!J165,""))))&lt;&gt;"",SUMIF(PROCESO!J162:J165,IF(PROCESO!J162&lt;&gt;"",PROCESO!J162,IF(PROCESO!J163&lt;&gt;"",PROCESO!J163,IF(PROCESO!J164&lt;&gt;"",PROCESO!J164,IF(PROCESO!J165&lt;&gt;"",PROCESO!J165,"")))),PROCESO!L162:L165),"")</f>
        <v/>
      </c>
      <c r="E101" s="153" t="str">
        <f>IF(IF(PROCESO!J162&lt;&gt;"",PROCESO!J162,IF(PROCESO!J163&lt;&gt;"",PROCESO!J163,IF(PROCESO!J164&lt;&gt;"",PROCESO!J164,IF(PROCESO!J165&lt;&gt;"",PROCESO!J165,""))))&lt;&gt;"","G-"&amp;IF(PROCESO!J162&lt;&gt;"",PROCESO!J162,IF(PROCESO!J163&lt;&gt;"",PROCESO!J163,IF(PROCESO!J164&lt;&gt;"",PROCESO!J164,IF(PROCESO!J165&lt;&gt;"",PROCESO!J165,"")))),"")</f>
        <v/>
      </c>
      <c r="F101" s="154" t="str">
        <f>IF(IF(PROCESO!J162&lt;&gt;"",PROCESO!J162,IF(PROCESO!J163&lt;&gt;"",PROCESO!J163,IF(PROCESO!J164&lt;&gt;"",PROCESO!J164,IF(PROCESO!J165&lt;&gt;"",PROCESO!J165,""))))&lt;&gt;"",LOOKUP(9.99E+307,F$6:F100)+N(C101)-N(D101),"")</f>
        <v/>
      </c>
      <c r="G101" s="131"/>
      <c r="H101" s="131"/>
      <c r="I101" s="131"/>
      <c r="J101" s="131"/>
    </row>
    <row r="102" spans="1:10" x14ac:dyDescent="0.2">
      <c r="A102" s="155" t="str">
        <f>IF(OR(SUM(PROCESO!M162:M165)&gt;0,SUM(PROCESO!N162:N165)&gt;0),IF(PROCESO!A162="","",PROCESO!A162&amp;IF(COUNTIF(PROCESO!$A$6:A161,PROCESO!A162)&gt;0," (Ped."&amp;(COUNTIF(PROCESO!$A$6:A161,PROCESO!A162)+1)&amp;")","")),"")</f>
        <v/>
      </c>
      <c r="B102" s="155" t="str">
        <f>IF(OR(SUM(PROCESO!M162:M165)&gt;0,SUM(PROCESO!N162:N165)&gt;0),"REPROCESO (devolución)","")</f>
        <v/>
      </c>
      <c r="C102" s="156" t="str">
        <f>IF(OR(SUM(PROCESO!M162:M165)&gt;0,SUM(PROCESO!N162:N165)&gt;0),SUM(PROCESO!N162:N165),"")</f>
        <v/>
      </c>
      <c r="D102" s="156"/>
      <c r="E102" s="155" t="str">
        <f>IF(OR(SUM(PROCESO!M162:M165)&gt;0,SUM(PROCESO!N162:N165)&gt;0),IF(SUM(PROCESO!M162:M165)&gt;0,SUM(PROCESO!M162:M165)&amp;" jabas devueltas · merma "&amp;TEXT((PROCESO!M162*15+PROCESO!M163*18+PROCESO!M164*17+PROCESO!M165*17)-SUM(PROCESO!N162:N165),"+#,##0;-#,##0;0")&amp;" kg",""),"")</f>
        <v/>
      </c>
      <c r="F102" s="156" t="str">
        <f>IF(OR(SUM(PROCESO!M162:M165)&gt;0,SUM(PROCESO!N162:N165)&gt;0),LOOKUP(9.99E+307,F$6:F101)+N(C102)-N(D102),"")</f>
        <v/>
      </c>
      <c r="G102" s="131"/>
      <c r="H102" s="131"/>
      <c r="I102" s="131"/>
      <c r="J102" s="131"/>
    </row>
    <row r="103" spans="1:10" x14ac:dyDescent="0.2">
      <c r="A103" s="147" t="str">
        <f>IF(PROCESO!D168&gt;0,IF(PROCESO!A168="","",PROCESO!A168&amp;IF(COUNTIF(PROCESO!$A$6:A167,PROCESO!A168)&gt;0," (Ped."&amp;(COUNTIF(PROCESO!$A$6:A167,PROCESO!A168)+1)&amp;")","")),"")</f>
        <v/>
      </c>
      <c r="B103" s="147" t="str">
        <f>IF(PROCESO!D168&gt;0,"INGRESO (compra)","")</f>
        <v/>
      </c>
      <c r="C103" s="148" t="str">
        <f>IF(PROCESO!D168&gt;0,PROCESO!D168,"")</f>
        <v/>
      </c>
      <c r="D103" s="148"/>
      <c r="E103" s="147" t="str">
        <f>IF(PROCESO!D168&gt;0,PROCESO!B168&amp;" sacos x "&amp;PROCESO!C168&amp;" kg","")</f>
        <v/>
      </c>
      <c r="F103" s="148" t="str">
        <f>IF(PROCESO!D168&gt;0,LOOKUP(9.99E+307,F$6:F102)+N(C103)-N(D103),"")</f>
        <v/>
      </c>
      <c r="G103" s="131"/>
      <c r="H103" s="131"/>
      <c r="I103" s="131"/>
      <c r="J103" s="131"/>
    </row>
    <row r="104" spans="1:10" x14ac:dyDescent="0.2">
      <c r="A104" s="149" t="str">
        <f>IF(N(PROCESO!H172)&gt;0,IF(PROCESO!A168="","",PROCESO!A168&amp;IF(COUNTIF(PROCESO!$A$6:A167,PROCESO!A168)&gt;0," (Ped."&amp;(COUNTIF(PROCESO!$A$6:A167,PROCESO!A168)+1)&amp;")","")),"")</f>
        <v/>
      </c>
      <c r="B104" s="149" t="str">
        <f>IF(N(PROCESO!H172)&gt;0,"CHANCHO (proceso)","")</f>
        <v/>
      </c>
      <c r="C104" s="150"/>
      <c r="D104" s="150" t="str">
        <f>IF(N(PROCESO!H172)&gt;0,N(PROCESO!H172),"")</f>
        <v/>
      </c>
      <c r="E104" s="149" t="str">
        <f>IF(N(PROCESO!H172)&gt;0,PROCESO!G172&amp;" sacos x 95 kg","")</f>
        <v/>
      </c>
      <c r="F104" s="150" t="str">
        <f>IF(N(PROCESO!H172)&gt;0,LOOKUP(9.99E+307,F$6:F103)+N(C104)-N(D104),"")</f>
        <v/>
      </c>
      <c r="G104" s="131"/>
      <c r="H104" s="131"/>
      <c r="I104" s="131"/>
      <c r="J104" s="131"/>
    </row>
    <row r="105" spans="1:10" x14ac:dyDescent="0.2">
      <c r="A105" s="151" t="str">
        <f>IF(N(PROCESO!H173)&gt;0,IF(PROCESO!A168="","",PROCESO!A168&amp;IF(COUNTIF(PROCESO!$A$6:A167,PROCESO!A168)&gt;0," (Ped."&amp;(COUNTIF(PROCESO!$A$6:A167,PROCESO!A168)+1)&amp;")","")),"")</f>
        <v/>
      </c>
      <c r="B105" s="151" t="str">
        <f>IF(N(PROCESO!H173)&gt;0,"MALOGRADO","")</f>
        <v/>
      </c>
      <c r="C105" s="152"/>
      <c r="D105" s="152" t="str">
        <f>IF(N(PROCESO!H173)&gt;0,N(PROCESO!H173),"")</f>
        <v/>
      </c>
      <c r="E105" s="151"/>
      <c r="F105" s="152" t="str">
        <f>IF(N(PROCESO!H173)&gt;0,LOOKUP(9.99E+307,F$6:F104)+N(C105)-N(D105),"")</f>
        <v/>
      </c>
      <c r="G105" s="131"/>
      <c r="H105" s="131"/>
      <c r="I105" s="131"/>
      <c r="J105" s="131"/>
    </row>
    <row r="106" spans="1:10" x14ac:dyDescent="0.2">
      <c r="A106" s="153" t="str">
        <f>IF(IF(PROCESO!J168&lt;&gt;"",PROCESO!J168,IF(PROCESO!J169&lt;&gt;"",PROCESO!J169,IF(PROCESO!J170&lt;&gt;"",PROCESO!J170,IF(PROCESO!J171&lt;&gt;"",PROCESO!J171,""))))&lt;&gt;"",IF(PROCESO!A168="","",PROCESO!A168&amp;IF(COUNTIF(PROCESO!$A$6:A167,PROCESO!A168)&gt;0," (Ped."&amp;(COUNTIF(PROCESO!$A$6:A167,PROCESO!A168)+1)&amp;")","")),"")</f>
        <v/>
      </c>
      <c r="B106" s="153" t="str">
        <f>IF(IF(PROCESO!J168&lt;&gt;"",PROCESO!J168,IF(PROCESO!J169&lt;&gt;"",PROCESO!J169,IF(PROCESO!J170&lt;&gt;"",PROCESO!J170,IF(PROCESO!J171&lt;&gt;"",PROCESO!J171,""))))&lt;&gt;"","ENVÍO Guía "&amp;IF(PROCESO!J168&lt;&gt;"",PROCESO!J168,IF(PROCESO!J169&lt;&gt;"",PROCESO!J169,IF(PROCESO!J170&lt;&gt;"",PROCESO!J170,IF(PROCESO!J171&lt;&gt;"",PROCESO!J171,"")))),"")</f>
        <v/>
      </c>
      <c r="C106" s="154"/>
      <c r="D106" s="154" t="str">
        <f>IF(IF(PROCESO!J168&lt;&gt;"",PROCESO!J168,IF(PROCESO!J169&lt;&gt;"",PROCESO!J169,IF(PROCESO!J170&lt;&gt;"",PROCESO!J170,IF(PROCESO!J171&lt;&gt;"",PROCESO!J171,""))))&lt;&gt;"",SUMIF(PROCESO!J168:J171,IF(PROCESO!J168&lt;&gt;"",PROCESO!J168,IF(PROCESO!J169&lt;&gt;"",PROCESO!J169,IF(PROCESO!J170&lt;&gt;"",PROCESO!J170,IF(PROCESO!J171&lt;&gt;"",PROCESO!J171,"")))),PROCESO!L168:L171),"")</f>
        <v/>
      </c>
      <c r="E106" s="153" t="str">
        <f>IF(IF(PROCESO!J168&lt;&gt;"",PROCESO!J168,IF(PROCESO!J169&lt;&gt;"",PROCESO!J169,IF(PROCESO!J170&lt;&gt;"",PROCESO!J170,IF(PROCESO!J171&lt;&gt;"",PROCESO!J171,""))))&lt;&gt;"","G-"&amp;IF(PROCESO!J168&lt;&gt;"",PROCESO!J168,IF(PROCESO!J169&lt;&gt;"",PROCESO!J169,IF(PROCESO!J170&lt;&gt;"",PROCESO!J170,IF(PROCESO!J171&lt;&gt;"",PROCESO!J171,"")))),"")</f>
        <v/>
      </c>
      <c r="F106" s="154" t="str">
        <f>IF(IF(PROCESO!J168&lt;&gt;"",PROCESO!J168,IF(PROCESO!J169&lt;&gt;"",PROCESO!J169,IF(PROCESO!J170&lt;&gt;"",PROCESO!J170,IF(PROCESO!J171&lt;&gt;"",PROCESO!J171,""))))&lt;&gt;"",LOOKUP(9.99E+307,F$6:F105)+N(C106)-N(D106),"")</f>
        <v/>
      </c>
      <c r="G106" s="131"/>
      <c r="H106" s="131"/>
      <c r="I106" s="131"/>
      <c r="J106" s="131"/>
    </row>
    <row r="107" spans="1:10" x14ac:dyDescent="0.2">
      <c r="A107" s="155" t="str">
        <f>IF(OR(SUM(PROCESO!M168:M171)&gt;0,SUM(PROCESO!N168:N171)&gt;0),IF(PROCESO!A168="","",PROCESO!A168&amp;IF(COUNTIF(PROCESO!$A$6:A167,PROCESO!A168)&gt;0," (Ped."&amp;(COUNTIF(PROCESO!$A$6:A167,PROCESO!A168)+1)&amp;")","")),"")</f>
        <v/>
      </c>
      <c r="B107" s="155" t="str">
        <f>IF(OR(SUM(PROCESO!M168:M171)&gt;0,SUM(PROCESO!N168:N171)&gt;0),"REPROCESO (devolución)","")</f>
        <v/>
      </c>
      <c r="C107" s="156" t="str">
        <f>IF(OR(SUM(PROCESO!M168:M171)&gt;0,SUM(PROCESO!N168:N171)&gt;0),SUM(PROCESO!N168:N171),"")</f>
        <v/>
      </c>
      <c r="D107" s="156"/>
      <c r="E107" s="155" t="str">
        <f>IF(OR(SUM(PROCESO!M168:M171)&gt;0,SUM(PROCESO!N168:N171)&gt;0),IF(SUM(PROCESO!M168:M171)&gt;0,SUM(PROCESO!M168:M171)&amp;" jabas devueltas · merma "&amp;TEXT((PROCESO!M168*15+PROCESO!M169*18+PROCESO!M170*17+PROCESO!M171*17)-SUM(PROCESO!N168:N171),"+#,##0;-#,##0;0")&amp;" kg",""),"")</f>
        <v/>
      </c>
      <c r="F107" s="156" t="str">
        <f>IF(OR(SUM(PROCESO!M168:M171)&gt;0,SUM(PROCESO!N168:N171)&gt;0),LOOKUP(9.99E+307,F$6:F106)+N(C107)-N(D107),"")</f>
        <v/>
      </c>
      <c r="G107" s="131"/>
      <c r="H107" s="131"/>
      <c r="I107" s="131"/>
      <c r="J107" s="131"/>
    </row>
    <row r="108" spans="1:10" x14ac:dyDescent="0.2">
      <c r="A108" s="147" t="str">
        <f>IF(PROCESO!D174&gt;0,IF(PROCESO!A174="","",PROCESO!A174&amp;IF(COUNTIF(PROCESO!$A$6:A173,PROCESO!A174)&gt;0," (Ped."&amp;(COUNTIF(PROCESO!$A$6:A173,PROCESO!A174)+1)&amp;")","")),"")</f>
        <v/>
      </c>
      <c r="B108" s="147" t="str">
        <f>IF(PROCESO!D174&gt;0,"INGRESO (compra)","")</f>
        <v/>
      </c>
      <c r="C108" s="148" t="str">
        <f>IF(PROCESO!D174&gt;0,PROCESO!D174,"")</f>
        <v/>
      </c>
      <c r="D108" s="148"/>
      <c r="E108" s="147" t="str">
        <f>IF(PROCESO!D174&gt;0,PROCESO!B174&amp;" sacos x "&amp;PROCESO!C174&amp;" kg","")</f>
        <v/>
      </c>
      <c r="F108" s="148" t="str">
        <f>IF(PROCESO!D174&gt;0,LOOKUP(9.99E+307,F$6:F107)+N(C108)-N(D108),"")</f>
        <v/>
      </c>
      <c r="G108" s="131"/>
      <c r="H108" s="131"/>
      <c r="I108" s="131"/>
      <c r="J108" s="131"/>
    </row>
    <row r="109" spans="1:10" x14ac:dyDescent="0.2">
      <c r="A109" s="149" t="str">
        <f>IF(N(PROCESO!H178)&gt;0,IF(PROCESO!A174="","",PROCESO!A174&amp;IF(COUNTIF(PROCESO!$A$6:A173,PROCESO!A174)&gt;0," (Ped."&amp;(COUNTIF(PROCESO!$A$6:A173,PROCESO!A174)+1)&amp;")","")),"")</f>
        <v/>
      </c>
      <c r="B109" s="149" t="str">
        <f>IF(N(PROCESO!H178)&gt;0,"CHANCHO (proceso)","")</f>
        <v/>
      </c>
      <c r="C109" s="150"/>
      <c r="D109" s="150" t="str">
        <f>IF(N(PROCESO!H178)&gt;0,N(PROCESO!H178),"")</f>
        <v/>
      </c>
      <c r="E109" s="149" t="str">
        <f>IF(N(PROCESO!H178)&gt;0,PROCESO!G178&amp;" sacos x 95 kg","")</f>
        <v/>
      </c>
      <c r="F109" s="150" t="str">
        <f>IF(N(PROCESO!H178)&gt;0,LOOKUP(9.99E+307,F$6:F108)+N(C109)-N(D109),"")</f>
        <v/>
      </c>
      <c r="G109" s="131"/>
      <c r="H109" s="131"/>
      <c r="I109" s="131"/>
      <c r="J109" s="131"/>
    </row>
    <row r="110" spans="1:10" x14ac:dyDescent="0.2">
      <c r="A110" s="151" t="str">
        <f>IF(N(PROCESO!H179)&gt;0,IF(PROCESO!A174="","",PROCESO!A174&amp;IF(COUNTIF(PROCESO!$A$6:A173,PROCESO!A174)&gt;0," (Ped."&amp;(COUNTIF(PROCESO!$A$6:A173,PROCESO!A174)+1)&amp;")","")),"")</f>
        <v/>
      </c>
      <c r="B110" s="151" t="str">
        <f>IF(N(PROCESO!H179)&gt;0,"MALOGRADO","")</f>
        <v/>
      </c>
      <c r="C110" s="152"/>
      <c r="D110" s="152" t="str">
        <f>IF(N(PROCESO!H179)&gt;0,N(PROCESO!H179),"")</f>
        <v/>
      </c>
      <c r="E110" s="151"/>
      <c r="F110" s="152" t="str">
        <f>IF(N(PROCESO!H179)&gt;0,LOOKUP(9.99E+307,F$6:F109)+N(C110)-N(D110),"")</f>
        <v/>
      </c>
      <c r="G110" s="131"/>
      <c r="H110" s="131"/>
      <c r="I110" s="131"/>
      <c r="J110" s="131"/>
    </row>
    <row r="111" spans="1:10" x14ac:dyDescent="0.2">
      <c r="A111" s="153" t="str">
        <f>IF(IF(PROCESO!J174&lt;&gt;"",PROCESO!J174,IF(PROCESO!J175&lt;&gt;"",PROCESO!J175,IF(PROCESO!J176&lt;&gt;"",PROCESO!J176,IF(PROCESO!J177&lt;&gt;"",PROCESO!J177,""))))&lt;&gt;"",IF(PROCESO!A174="","",PROCESO!A174&amp;IF(COUNTIF(PROCESO!$A$6:A173,PROCESO!A174)&gt;0," (Ped."&amp;(COUNTIF(PROCESO!$A$6:A173,PROCESO!A174)+1)&amp;")","")),"")</f>
        <v/>
      </c>
      <c r="B111" s="153" t="str">
        <f>IF(IF(PROCESO!J174&lt;&gt;"",PROCESO!J174,IF(PROCESO!J175&lt;&gt;"",PROCESO!J175,IF(PROCESO!J176&lt;&gt;"",PROCESO!J176,IF(PROCESO!J177&lt;&gt;"",PROCESO!J177,""))))&lt;&gt;"","ENVÍO Guía "&amp;IF(PROCESO!J174&lt;&gt;"",PROCESO!J174,IF(PROCESO!J175&lt;&gt;"",PROCESO!J175,IF(PROCESO!J176&lt;&gt;"",PROCESO!J176,IF(PROCESO!J177&lt;&gt;"",PROCESO!J177,"")))),"")</f>
        <v/>
      </c>
      <c r="C111" s="154"/>
      <c r="D111" s="154" t="str">
        <f>IF(IF(PROCESO!J174&lt;&gt;"",PROCESO!J174,IF(PROCESO!J175&lt;&gt;"",PROCESO!J175,IF(PROCESO!J176&lt;&gt;"",PROCESO!J176,IF(PROCESO!J177&lt;&gt;"",PROCESO!J177,""))))&lt;&gt;"",SUMIF(PROCESO!J174:J177,IF(PROCESO!J174&lt;&gt;"",PROCESO!J174,IF(PROCESO!J175&lt;&gt;"",PROCESO!J175,IF(PROCESO!J176&lt;&gt;"",PROCESO!J176,IF(PROCESO!J177&lt;&gt;"",PROCESO!J177,"")))),PROCESO!L174:L177),"")</f>
        <v/>
      </c>
      <c r="E111" s="153" t="str">
        <f>IF(IF(PROCESO!J174&lt;&gt;"",PROCESO!J174,IF(PROCESO!J175&lt;&gt;"",PROCESO!J175,IF(PROCESO!J176&lt;&gt;"",PROCESO!J176,IF(PROCESO!J177&lt;&gt;"",PROCESO!J177,""))))&lt;&gt;"","G-"&amp;IF(PROCESO!J174&lt;&gt;"",PROCESO!J174,IF(PROCESO!J175&lt;&gt;"",PROCESO!J175,IF(PROCESO!J176&lt;&gt;"",PROCESO!J176,IF(PROCESO!J177&lt;&gt;"",PROCESO!J177,"")))),"")</f>
        <v/>
      </c>
      <c r="F111" s="154" t="str">
        <f>IF(IF(PROCESO!J174&lt;&gt;"",PROCESO!J174,IF(PROCESO!J175&lt;&gt;"",PROCESO!J175,IF(PROCESO!J176&lt;&gt;"",PROCESO!J176,IF(PROCESO!J177&lt;&gt;"",PROCESO!J177,""))))&lt;&gt;"",LOOKUP(9.99E+307,F$6:F110)+N(C111)-N(D111),"")</f>
        <v/>
      </c>
      <c r="G111" s="131"/>
      <c r="H111" s="131"/>
      <c r="I111" s="131"/>
      <c r="J111" s="131"/>
    </row>
    <row r="112" spans="1:10" x14ac:dyDescent="0.2">
      <c r="A112" s="155" t="str">
        <f>IF(OR(SUM(PROCESO!M174:M177)&gt;0,SUM(PROCESO!N174:N177)&gt;0),IF(PROCESO!A174="","",PROCESO!A174&amp;IF(COUNTIF(PROCESO!$A$6:A173,PROCESO!A174)&gt;0," (Ped."&amp;(COUNTIF(PROCESO!$A$6:A173,PROCESO!A174)+1)&amp;")","")),"")</f>
        <v/>
      </c>
      <c r="B112" s="155" t="str">
        <f>IF(OR(SUM(PROCESO!M174:M177)&gt;0,SUM(PROCESO!N174:N177)&gt;0),"REPROCESO (devolución)","")</f>
        <v/>
      </c>
      <c r="C112" s="156" t="str">
        <f>IF(OR(SUM(PROCESO!M174:M177)&gt;0,SUM(PROCESO!N174:N177)&gt;0),SUM(PROCESO!N174:N177),"")</f>
        <v/>
      </c>
      <c r="D112" s="156"/>
      <c r="E112" s="155" t="str">
        <f>IF(OR(SUM(PROCESO!M174:M177)&gt;0,SUM(PROCESO!N174:N177)&gt;0),IF(SUM(PROCESO!M174:M177)&gt;0,SUM(PROCESO!M174:M177)&amp;" jabas devueltas · merma "&amp;TEXT((PROCESO!M174*15+PROCESO!M175*18+PROCESO!M176*17+PROCESO!M177*17)-SUM(PROCESO!N174:N177),"+#,##0;-#,##0;0")&amp;" kg",""),"")</f>
        <v/>
      </c>
      <c r="F112" s="156" t="str">
        <f>IF(OR(SUM(PROCESO!M174:M177)&gt;0,SUM(PROCESO!N174:N177)&gt;0),LOOKUP(9.99E+307,F$6:F111)+N(C112)-N(D112),"")</f>
        <v/>
      </c>
      <c r="G112" s="131"/>
      <c r="H112" s="131"/>
      <c r="I112" s="131"/>
      <c r="J112" s="131"/>
    </row>
    <row r="113" spans="1:10" x14ac:dyDescent="0.2">
      <c r="A113" s="147" t="str">
        <f>IF(PROCESO!D180&gt;0,IF(PROCESO!A180="","",PROCESO!A180&amp;IF(COUNTIF(PROCESO!$A$6:A179,PROCESO!A180)&gt;0," (Ped."&amp;(COUNTIF(PROCESO!$A$6:A179,PROCESO!A180)+1)&amp;")","")),"")</f>
        <v/>
      </c>
      <c r="B113" s="147" t="str">
        <f>IF(PROCESO!D180&gt;0,"INGRESO (compra)","")</f>
        <v/>
      </c>
      <c r="C113" s="148" t="str">
        <f>IF(PROCESO!D180&gt;0,PROCESO!D180,"")</f>
        <v/>
      </c>
      <c r="D113" s="148"/>
      <c r="E113" s="147" t="str">
        <f>IF(PROCESO!D180&gt;0,PROCESO!B180&amp;" sacos x "&amp;PROCESO!C180&amp;" kg","")</f>
        <v/>
      </c>
      <c r="F113" s="148" t="str">
        <f>IF(PROCESO!D180&gt;0,LOOKUP(9.99E+307,F$6:F112)+N(C113)-N(D113),"")</f>
        <v/>
      </c>
      <c r="G113" s="131"/>
      <c r="H113" s="131"/>
      <c r="I113" s="131"/>
      <c r="J113" s="131"/>
    </row>
    <row r="114" spans="1:10" x14ac:dyDescent="0.2">
      <c r="A114" s="149" t="str">
        <f>IF(N(PROCESO!H184)&gt;0,IF(PROCESO!A180="","",PROCESO!A180&amp;IF(COUNTIF(PROCESO!$A$6:A179,PROCESO!A180)&gt;0," (Ped."&amp;(COUNTIF(PROCESO!$A$6:A179,PROCESO!A180)+1)&amp;")","")),"")</f>
        <v/>
      </c>
      <c r="B114" s="149" t="str">
        <f>IF(N(PROCESO!H184)&gt;0,"CHANCHO (proceso)","")</f>
        <v/>
      </c>
      <c r="C114" s="150"/>
      <c r="D114" s="150" t="str">
        <f>IF(N(PROCESO!H184)&gt;0,N(PROCESO!H184),"")</f>
        <v/>
      </c>
      <c r="E114" s="149" t="str">
        <f>IF(N(PROCESO!H184)&gt;0,PROCESO!G184&amp;" sacos x 95 kg","")</f>
        <v/>
      </c>
      <c r="F114" s="150" t="str">
        <f>IF(N(PROCESO!H184)&gt;0,LOOKUP(9.99E+307,F$6:F113)+N(C114)-N(D114),"")</f>
        <v/>
      </c>
      <c r="G114" s="131"/>
      <c r="H114" s="131"/>
      <c r="I114" s="131"/>
      <c r="J114" s="131"/>
    </row>
    <row r="115" spans="1:10" x14ac:dyDescent="0.2">
      <c r="A115" s="151" t="str">
        <f>IF(N(PROCESO!H185)&gt;0,IF(PROCESO!A180="","",PROCESO!A180&amp;IF(COUNTIF(PROCESO!$A$6:A179,PROCESO!A180)&gt;0," (Ped."&amp;(COUNTIF(PROCESO!$A$6:A179,PROCESO!A180)+1)&amp;")","")),"")</f>
        <v/>
      </c>
      <c r="B115" s="151" t="str">
        <f>IF(N(PROCESO!H185)&gt;0,"MALOGRADO","")</f>
        <v/>
      </c>
      <c r="C115" s="152"/>
      <c r="D115" s="152" t="str">
        <f>IF(N(PROCESO!H185)&gt;0,N(PROCESO!H185),"")</f>
        <v/>
      </c>
      <c r="E115" s="151"/>
      <c r="F115" s="152" t="str">
        <f>IF(N(PROCESO!H185)&gt;0,LOOKUP(9.99E+307,F$6:F114)+N(C115)-N(D115),"")</f>
        <v/>
      </c>
      <c r="G115" s="131"/>
      <c r="H115" s="131"/>
      <c r="I115" s="131"/>
      <c r="J115" s="131"/>
    </row>
    <row r="116" spans="1:10" x14ac:dyDescent="0.2">
      <c r="A116" s="153" t="str">
        <f>IF(IF(PROCESO!J180&lt;&gt;"",PROCESO!J180,IF(PROCESO!J181&lt;&gt;"",PROCESO!J181,IF(PROCESO!J182&lt;&gt;"",PROCESO!J182,IF(PROCESO!J183&lt;&gt;"",PROCESO!J183,""))))&lt;&gt;"",IF(PROCESO!A180="","",PROCESO!A180&amp;IF(COUNTIF(PROCESO!$A$6:A179,PROCESO!A180)&gt;0," (Ped."&amp;(COUNTIF(PROCESO!$A$6:A179,PROCESO!A180)+1)&amp;")","")),"")</f>
        <v/>
      </c>
      <c r="B116" s="153" t="str">
        <f>IF(IF(PROCESO!J180&lt;&gt;"",PROCESO!J180,IF(PROCESO!J181&lt;&gt;"",PROCESO!J181,IF(PROCESO!J182&lt;&gt;"",PROCESO!J182,IF(PROCESO!J183&lt;&gt;"",PROCESO!J183,""))))&lt;&gt;"","ENVÍO Guía "&amp;IF(PROCESO!J180&lt;&gt;"",PROCESO!J180,IF(PROCESO!J181&lt;&gt;"",PROCESO!J181,IF(PROCESO!J182&lt;&gt;"",PROCESO!J182,IF(PROCESO!J183&lt;&gt;"",PROCESO!J183,"")))),"")</f>
        <v/>
      </c>
      <c r="C116" s="154"/>
      <c r="D116" s="154" t="str">
        <f>IF(IF(PROCESO!J180&lt;&gt;"",PROCESO!J180,IF(PROCESO!J181&lt;&gt;"",PROCESO!J181,IF(PROCESO!J182&lt;&gt;"",PROCESO!J182,IF(PROCESO!J183&lt;&gt;"",PROCESO!J183,""))))&lt;&gt;"",SUMIF(PROCESO!J180:J183,IF(PROCESO!J180&lt;&gt;"",PROCESO!J180,IF(PROCESO!J181&lt;&gt;"",PROCESO!J181,IF(PROCESO!J182&lt;&gt;"",PROCESO!J182,IF(PROCESO!J183&lt;&gt;"",PROCESO!J183,"")))),PROCESO!L180:L183),"")</f>
        <v/>
      </c>
      <c r="E116" s="153" t="str">
        <f>IF(IF(PROCESO!J180&lt;&gt;"",PROCESO!J180,IF(PROCESO!J181&lt;&gt;"",PROCESO!J181,IF(PROCESO!J182&lt;&gt;"",PROCESO!J182,IF(PROCESO!J183&lt;&gt;"",PROCESO!J183,""))))&lt;&gt;"","G-"&amp;IF(PROCESO!J180&lt;&gt;"",PROCESO!J180,IF(PROCESO!J181&lt;&gt;"",PROCESO!J181,IF(PROCESO!J182&lt;&gt;"",PROCESO!J182,IF(PROCESO!J183&lt;&gt;"",PROCESO!J183,"")))),"")</f>
        <v/>
      </c>
      <c r="F116" s="154" t="str">
        <f>IF(IF(PROCESO!J180&lt;&gt;"",PROCESO!J180,IF(PROCESO!J181&lt;&gt;"",PROCESO!J181,IF(PROCESO!J182&lt;&gt;"",PROCESO!J182,IF(PROCESO!J183&lt;&gt;"",PROCESO!J183,""))))&lt;&gt;"",LOOKUP(9.99E+307,F$6:F115)+N(C116)-N(D116),"")</f>
        <v/>
      </c>
      <c r="G116" s="131"/>
      <c r="H116" s="131"/>
      <c r="I116" s="131"/>
      <c r="J116" s="131"/>
    </row>
    <row r="117" spans="1:10" x14ac:dyDescent="0.2">
      <c r="A117" s="155" t="str">
        <f>IF(OR(SUM(PROCESO!M180:M183)&gt;0,SUM(PROCESO!N180:N183)&gt;0),IF(PROCESO!A180="","",PROCESO!A180&amp;IF(COUNTIF(PROCESO!$A$6:A179,PROCESO!A180)&gt;0," (Ped."&amp;(COUNTIF(PROCESO!$A$6:A179,PROCESO!A180)+1)&amp;")","")),"")</f>
        <v/>
      </c>
      <c r="B117" s="155" t="str">
        <f>IF(OR(SUM(PROCESO!M180:M183)&gt;0,SUM(PROCESO!N180:N183)&gt;0),"REPROCESO (devolución)","")</f>
        <v/>
      </c>
      <c r="C117" s="156" t="str">
        <f>IF(OR(SUM(PROCESO!M180:M183)&gt;0,SUM(PROCESO!N180:N183)&gt;0),SUM(PROCESO!N180:N183),"")</f>
        <v/>
      </c>
      <c r="D117" s="156"/>
      <c r="E117" s="155" t="str">
        <f>IF(OR(SUM(PROCESO!M180:M183)&gt;0,SUM(PROCESO!N180:N183)&gt;0),IF(SUM(PROCESO!M180:M183)&gt;0,SUM(PROCESO!M180:M183)&amp;" jabas devueltas · merma "&amp;TEXT((PROCESO!M180*15+PROCESO!M181*18+PROCESO!M182*17+PROCESO!M183*17)-SUM(PROCESO!N180:N183),"+#,##0;-#,##0;0")&amp;" kg",""),"")</f>
        <v/>
      </c>
      <c r="F117" s="156" t="str">
        <f>IF(OR(SUM(PROCESO!M180:M183)&gt;0,SUM(PROCESO!N180:N183)&gt;0),LOOKUP(9.99E+307,F$6:F116)+N(C117)-N(D117),"")</f>
        <v/>
      </c>
      <c r="G117" s="131"/>
      <c r="H117" s="131"/>
      <c r="I117" s="131"/>
      <c r="J117" s="131"/>
    </row>
    <row r="118" spans="1:10" x14ac:dyDescent="0.2">
      <c r="A118" s="147" t="str">
        <f>IF(PROCESO!D186&gt;0,IF(PROCESO!A186="","",PROCESO!A186&amp;IF(COUNTIF(PROCESO!$A$6:A185,PROCESO!A186)&gt;0," (Ped."&amp;(COUNTIF(PROCESO!$A$6:A185,PROCESO!A186)+1)&amp;")","")),"")</f>
        <v/>
      </c>
      <c r="B118" s="147" t="str">
        <f>IF(PROCESO!D186&gt;0,"INGRESO (compra)","")</f>
        <v/>
      </c>
      <c r="C118" s="148" t="str">
        <f>IF(PROCESO!D186&gt;0,PROCESO!D186,"")</f>
        <v/>
      </c>
      <c r="D118" s="148"/>
      <c r="E118" s="147" t="str">
        <f>IF(PROCESO!D186&gt;0,PROCESO!B186&amp;" sacos x "&amp;PROCESO!C186&amp;" kg","")</f>
        <v/>
      </c>
      <c r="F118" s="148" t="str">
        <f>IF(PROCESO!D186&gt;0,LOOKUP(9.99E+307,F$6:F117)+N(C118)-N(D118),"")</f>
        <v/>
      </c>
      <c r="G118" s="131"/>
      <c r="H118" s="131"/>
      <c r="I118" s="131"/>
      <c r="J118" s="131"/>
    </row>
    <row r="119" spans="1:10" x14ac:dyDescent="0.2">
      <c r="A119" s="149" t="str">
        <f>IF(N(PROCESO!H190)&gt;0,IF(PROCESO!A186="","",PROCESO!A186&amp;IF(COUNTIF(PROCESO!$A$6:A185,PROCESO!A186)&gt;0," (Ped."&amp;(COUNTIF(PROCESO!$A$6:A185,PROCESO!A186)+1)&amp;")","")),"")</f>
        <v/>
      </c>
      <c r="B119" s="149" t="str">
        <f>IF(N(PROCESO!H190)&gt;0,"CHANCHO (proceso)","")</f>
        <v/>
      </c>
      <c r="C119" s="150"/>
      <c r="D119" s="150" t="str">
        <f>IF(N(PROCESO!H190)&gt;0,N(PROCESO!H190),"")</f>
        <v/>
      </c>
      <c r="E119" s="149" t="str">
        <f>IF(N(PROCESO!H190)&gt;0,PROCESO!G190&amp;" sacos x 95 kg","")</f>
        <v/>
      </c>
      <c r="F119" s="150" t="str">
        <f>IF(N(PROCESO!H190)&gt;0,LOOKUP(9.99E+307,F$6:F118)+N(C119)-N(D119),"")</f>
        <v/>
      </c>
      <c r="G119" s="131"/>
      <c r="H119" s="131"/>
      <c r="I119" s="131"/>
      <c r="J119" s="131"/>
    </row>
    <row r="120" spans="1:10" x14ac:dyDescent="0.2">
      <c r="A120" s="151" t="str">
        <f>IF(N(PROCESO!H191)&gt;0,IF(PROCESO!A186="","",PROCESO!A186&amp;IF(COUNTIF(PROCESO!$A$6:A185,PROCESO!A186)&gt;0," (Ped."&amp;(COUNTIF(PROCESO!$A$6:A185,PROCESO!A186)+1)&amp;")","")),"")</f>
        <v/>
      </c>
      <c r="B120" s="151" t="str">
        <f>IF(N(PROCESO!H191)&gt;0,"MALOGRADO","")</f>
        <v/>
      </c>
      <c r="C120" s="152"/>
      <c r="D120" s="152" t="str">
        <f>IF(N(PROCESO!H191)&gt;0,N(PROCESO!H191),"")</f>
        <v/>
      </c>
      <c r="E120" s="151"/>
      <c r="F120" s="152" t="str">
        <f>IF(N(PROCESO!H191)&gt;0,LOOKUP(9.99E+307,F$6:F119)+N(C120)-N(D120),"")</f>
        <v/>
      </c>
      <c r="G120" s="131"/>
      <c r="H120" s="131"/>
      <c r="I120" s="131"/>
      <c r="J120" s="131"/>
    </row>
    <row r="121" spans="1:10" x14ac:dyDescent="0.2">
      <c r="A121" s="153" t="str">
        <f>IF(IF(PROCESO!J186&lt;&gt;"",PROCESO!J186,IF(PROCESO!J187&lt;&gt;"",PROCESO!J187,IF(PROCESO!J188&lt;&gt;"",PROCESO!J188,IF(PROCESO!J189&lt;&gt;"",PROCESO!J189,""))))&lt;&gt;"",IF(PROCESO!A186="","",PROCESO!A186&amp;IF(COUNTIF(PROCESO!$A$6:A185,PROCESO!A186)&gt;0," (Ped."&amp;(COUNTIF(PROCESO!$A$6:A185,PROCESO!A186)+1)&amp;")","")),"")</f>
        <v/>
      </c>
      <c r="B121" s="153" t="str">
        <f>IF(IF(PROCESO!J186&lt;&gt;"",PROCESO!J186,IF(PROCESO!J187&lt;&gt;"",PROCESO!J187,IF(PROCESO!J188&lt;&gt;"",PROCESO!J188,IF(PROCESO!J189&lt;&gt;"",PROCESO!J189,""))))&lt;&gt;"","ENVÍO Guía "&amp;IF(PROCESO!J186&lt;&gt;"",PROCESO!J186,IF(PROCESO!J187&lt;&gt;"",PROCESO!J187,IF(PROCESO!J188&lt;&gt;"",PROCESO!J188,IF(PROCESO!J189&lt;&gt;"",PROCESO!J189,"")))),"")</f>
        <v/>
      </c>
      <c r="C121" s="154"/>
      <c r="D121" s="154" t="str">
        <f>IF(IF(PROCESO!J186&lt;&gt;"",PROCESO!J186,IF(PROCESO!J187&lt;&gt;"",PROCESO!J187,IF(PROCESO!J188&lt;&gt;"",PROCESO!J188,IF(PROCESO!J189&lt;&gt;"",PROCESO!J189,""))))&lt;&gt;"",SUMIF(PROCESO!J186:J189,IF(PROCESO!J186&lt;&gt;"",PROCESO!J186,IF(PROCESO!J187&lt;&gt;"",PROCESO!J187,IF(PROCESO!J188&lt;&gt;"",PROCESO!J188,IF(PROCESO!J189&lt;&gt;"",PROCESO!J189,"")))),PROCESO!L186:L189),"")</f>
        <v/>
      </c>
      <c r="E121" s="153" t="str">
        <f>IF(IF(PROCESO!J186&lt;&gt;"",PROCESO!J186,IF(PROCESO!J187&lt;&gt;"",PROCESO!J187,IF(PROCESO!J188&lt;&gt;"",PROCESO!J188,IF(PROCESO!J189&lt;&gt;"",PROCESO!J189,""))))&lt;&gt;"","G-"&amp;IF(PROCESO!J186&lt;&gt;"",PROCESO!J186,IF(PROCESO!J187&lt;&gt;"",PROCESO!J187,IF(PROCESO!J188&lt;&gt;"",PROCESO!J188,IF(PROCESO!J189&lt;&gt;"",PROCESO!J189,"")))),"")</f>
        <v/>
      </c>
      <c r="F121" s="154" t="str">
        <f>IF(IF(PROCESO!J186&lt;&gt;"",PROCESO!J186,IF(PROCESO!J187&lt;&gt;"",PROCESO!J187,IF(PROCESO!J188&lt;&gt;"",PROCESO!J188,IF(PROCESO!J189&lt;&gt;"",PROCESO!J189,""))))&lt;&gt;"",LOOKUP(9.99E+307,F$6:F120)+N(C121)-N(D121),"")</f>
        <v/>
      </c>
      <c r="G121" s="131"/>
      <c r="H121" s="131"/>
      <c r="I121" s="131"/>
      <c r="J121" s="131"/>
    </row>
    <row r="122" spans="1:10" x14ac:dyDescent="0.2">
      <c r="A122" s="155" t="str">
        <f>IF(OR(SUM(PROCESO!M186:M189)&gt;0,SUM(PROCESO!N186:N189)&gt;0),IF(PROCESO!A186="","",PROCESO!A186&amp;IF(COUNTIF(PROCESO!$A$6:A185,PROCESO!A186)&gt;0," (Ped."&amp;(COUNTIF(PROCESO!$A$6:A185,PROCESO!A186)+1)&amp;")","")),"")</f>
        <v/>
      </c>
      <c r="B122" s="155" t="str">
        <f>IF(OR(SUM(PROCESO!M186:M189)&gt;0,SUM(PROCESO!N186:N189)&gt;0),"REPROCESO (devolución)","")</f>
        <v/>
      </c>
      <c r="C122" s="156" t="str">
        <f>IF(OR(SUM(PROCESO!M186:M189)&gt;0,SUM(PROCESO!N186:N189)&gt;0),SUM(PROCESO!N186:N189),"")</f>
        <v/>
      </c>
      <c r="D122" s="156"/>
      <c r="E122" s="155" t="str">
        <f>IF(OR(SUM(PROCESO!M186:M189)&gt;0,SUM(PROCESO!N186:N189)&gt;0),IF(SUM(PROCESO!M186:M189)&gt;0,SUM(PROCESO!M186:M189)&amp;" jabas devueltas · merma "&amp;TEXT((PROCESO!M186*15+PROCESO!M187*18+PROCESO!M188*17+PROCESO!M189*17)-SUM(PROCESO!N186:N189),"+#,##0;-#,##0;0")&amp;" kg",""),"")</f>
        <v/>
      </c>
      <c r="F122" s="156" t="str">
        <f>IF(OR(SUM(PROCESO!M186:M189)&gt;0,SUM(PROCESO!N186:N189)&gt;0),LOOKUP(9.99E+307,F$6:F121)+N(C122)-N(D122),"")</f>
        <v/>
      </c>
      <c r="G122" s="131"/>
      <c r="H122" s="131"/>
      <c r="I122" s="131"/>
      <c r="J122" s="131"/>
    </row>
    <row r="123" spans="1:10" x14ac:dyDescent="0.2">
      <c r="A123" s="147" t="str">
        <f>IF(PROCESO!D192&gt;0,IF(PROCESO!A192="","",PROCESO!A192&amp;IF(COUNTIF(PROCESO!$A$6:A191,PROCESO!A192)&gt;0," (Ped."&amp;(COUNTIF(PROCESO!$A$6:A191,PROCESO!A192)+1)&amp;")","")),"")</f>
        <v/>
      </c>
      <c r="B123" s="147" t="str">
        <f>IF(PROCESO!D192&gt;0,"INGRESO (compra)","")</f>
        <v/>
      </c>
      <c r="C123" s="148" t="str">
        <f>IF(PROCESO!D192&gt;0,PROCESO!D192,"")</f>
        <v/>
      </c>
      <c r="D123" s="148"/>
      <c r="E123" s="147" t="str">
        <f>IF(PROCESO!D192&gt;0,PROCESO!B192&amp;" sacos x "&amp;PROCESO!C192&amp;" kg","")</f>
        <v/>
      </c>
      <c r="F123" s="148" t="str">
        <f>IF(PROCESO!D192&gt;0,LOOKUP(9.99E+307,F$6:F122)+N(C123)-N(D123),"")</f>
        <v/>
      </c>
      <c r="G123" s="131"/>
      <c r="H123" s="131"/>
      <c r="I123" s="131"/>
      <c r="J123" s="131"/>
    </row>
    <row r="124" spans="1:10" x14ac:dyDescent="0.2">
      <c r="A124" s="149" t="str">
        <f>IF(N(PROCESO!H196)&gt;0,IF(PROCESO!A192="","",PROCESO!A192&amp;IF(COUNTIF(PROCESO!$A$6:A191,PROCESO!A192)&gt;0," (Ped."&amp;(COUNTIF(PROCESO!$A$6:A191,PROCESO!A192)+1)&amp;")","")),"")</f>
        <v/>
      </c>
      <c r="B124" s="149" t="str">
        <f>IF(N(PROCESO!H196)&gt;0,"CHANCHO (proceso)","")</f>
        <v/>
      </c>
      <c r="C124" s="150"/>
      <c r="D124" s="150" t="str">
        <f>IF(N(PROCESO!H196)&gt;0,N(PROCESO!H196),"")</f>
        <v/>
      </c>
      <c r="E124" s="149" t="str">
        <f>IF(N(PROCESO!H196)&gt;0,PROCESO!G196&amp;" sacos x 95 kg","")</f>
        <v/>
      </c>
      <c r="F124" s="150" t="str">
        <f>IF(N(PROCESO!H196)&gt;0,LOOKUP(9.99E+307,F$6:F123)+N(C124)-N(D124),"")</f>
        <v/>
      </c>
      <c r="G124" s="131"/>
      <c r="H124" s="131"/>
      <c r="I124" s="131"/>
      <c r="J124" s="131"/>
    </row>
    <row r="125" spans="1:10" x14ac:dyDescent="0.2">
      <c r="A125" s="151" t="str">
        <f>IF(N(PROCESO!H197)&gt;0,IF(PROCESO!A192="","",PROCESO!A192&amp;IF(COUNTIF(PROCESO!$A$6:A191,PROCESO!A192)&gt;0," (Ped."&amp;(COUNTIF(PROCESO!$A$6:A191,PROCESO!A192)+1)&amp;")","")),"")</f>
        <v/>
      </c>
      <c r="B125" s="151" t="str">
        <f>IF(N(PROCESO!H197)&gt;0,"MALOGRADO","")</f>
        <v/>
      </c>
      <c r="C125" s="152"/>
      <c r="D125" s="152" t="str">
        <f>IF(N(PROCESO!H197)&gt;0,N(PROCESO!H197),"")</f>
        <v/>
      </c>
      <c r="E125" s="151"/>
      <c r="F125" s="152" t="str">
        <f>IF(N(PROCESO!H197)&gt;0,LOOKUP(9.99E+307,F$6:F124)+N(C125)-N(D125),"")</f>
        <v/>
      </c>
      <c r="G125" s="131"/>
      <c r="H125" s="131"/>
      <c r="I125" s="131"/>
      <c r="J125" s="131"/>
    </row>
    <row r="126" spans="1:10" x14ac:dyDescent="0.2">
      <c r="A126" s="153" t="str">
        <f>IF(IF(PROCESO!J192&lt;&gt;"",PROCESO!J192,IF(PROCESO!J193&lt;&gt;"",PROCESO!J193,IF(PROCESO!J194&lt;&gt;"",PROCESO!J194,IF(PROCESO!J195&lt;&gt;"",PROCESO!J195,""))))&lt;&gt;"",IF(PROCESO!A192="","",PROCESO!A192&amp;IF(COUNTIF(PROCESO!$A$6:A191,PROCESO!A192)&gt;0," (Ped."&amp;(COUNTIF(PROCESO!$A$6:A191,PROCESO!A192)+1)&amp;")","")),"")</f>
        <v/>
      </c>
      <c r="B126" s="153" t="str">
        <f>IF(IF(PROCESO!J192&lt;&gt;"",PROCESO!J192,IF(PROCESO!J193&lt;&gt;"",PROCESO!J193,IF(PROCESO!J194&lt;&gt;"",PROCESO!J194,IF(PROCESO!J195&lt;&gt;"",PROCESO!J195,""))))&lt;&gt;"","ENVÍO Guía "&amp;IF(PROCESO!J192&lt;&gt;"",PROCESO!J192,IF(PROCESO!J193&lt;&gt;"",PROCESO!J193,IF(PROCESO!J194&lt;&gt;"",PROCESO!J194,IF(PROCESO!J195&lt;&gt;"",PROCESO!J195,"")))),"")</f>
        <v/>
      </c>
      <c r="C126" s="154"/>
      <c r="D126" s="154" t="str">
        <f>IF(IF(PROCESO!J192&lt;&gt;"",PROCESO!J192,IF(PROCESO!J193&lt;&gt;"",PROCESO!J193,IF(PROCESO!J194&lt;&gt;"",PROCESO!J194,IF(PROCESO!J195&lt;&gt;"",PROCESO!J195,""))))&lt;&gt;"",SUMIF(PROCESO!J192:J195,IF(PROCESO!J192&lt;&gt;"",PROCESO!J192,IF(PROCESO!J193&lt;&gt;"",PROCESO!J193,IF(PROCESO!J194&lt;&gt;"",PROCESO!J194,IF(PROCESO!J195&lt;&gt;"",PROCESO!J195,"")))),PROCESO!L192:L195),"")</f>
        <v/>
      </c>
      <c r="E126" s="153" t="str">
        <f>IF(IF(PROCESO!J192&lt;&gt;"",PROCESO!J192,IF(PROCESO!J193&lt;&gt;"",PROCESO!J193,IF(PROCESO!J194&lt;&gt;"",PROCESO!J194,IF(PROCESO!J195&lt;&gt;"",PROCESO!J195,""))))&lt;&gt;"","G-"&amp;IF(PROCESO!J192&lt;&gt;"",PROCESO!J192,IF(PROCESO!J193&lt;&gt;"",PROCESO!J193,IF(PROCESO!J194&lt;&gt;"",PROCESO!J194,IF(PROCESO!J195&lt;&gt;"",PROCESO!J195,"")))),"")</f>
        <v/>
      </c>
      <c r="F126" s="154" t="str">
        <f>IF(IF(PROCESO!J192&lt;&gt;"",PROCESO!J192,IF(PROCESO!J193&lt;&gt;"",PROCESO!J193,IF(PROCESO!J194&lt;&gt;"",PROCESO!J194,IF(PROCESO!J195&lt;&gt;"",PROCESO!J195,""))))&lt;&gt;"",LOOKUP(9.99E+307,F$6:F125)+N(C126)-N(D126),"")</f>
        <v/>
      </c>
      <c r="G126" s="131"/>
      <c r="H126" s="131"/>
      <c r="I126" s="131"/>
      <c r="J126" s="131"/>
    </row>
    <row r="127" spans="1:10" x14ac:dyDescent="0.2">
      <c r="A127" s="155" t="str">
        <f>IF(OR(SUM(PROCESO!M192:M195)&gt;0,SUM(PROCESO!N192:N195)&gt;0),IF(PROCESO!A192="","",PROCESO!A192&amp;IF(COUNTIF(PROCESO!$A$6:A191,PROCESO!A192)&gt;0," (Ped."&amp;(COUNTIF(PROCESO!$A$6:A191,PROCESO!A192)+1)&amp;")","")),"")</f>
        <v/>
      </c>
      <c r="B127" s="155" t="str">
        <f>IF(OR(SUM(PROCESO!M192:M195)&gt;0,SUM(PROCESO!N192:N195)&gt;0),"REPROCESO (devolución)","")</f>
        <v/>
      </c>
      <c r="C127" s="156" t="str">
        <f>IF(OR(SUM(PROCESO!M192:M195)&gt;0,SUM(PROCESO!N192:N195)&gt;0),SUM(PROCESO!N192:N195),"")</f>
        <v/>
      </c>
      <c r="D127" s="156"/>
      <c r="E127" s="155" t="str">
        <f>IF(OR(SUM(PROCESO!M192:M195)&gt;0,SUM(PROCESO!N192:N195)&gt;0),IF(SUM(PROCESO!M192:M195)&gt;0,SUM(PROCESO!M192:M195)&amp;" jabas devueltas · merma "&amp;TEXT((PROCESO!M192*15+PROCESO!M193*18+PROCESO!M194*17+PROCESO!M195*17)-SUM(PROCESO!N192:N195),"+#,##0;-#,##0;0")&amp;" kg",""),"")</f>
        <v/>
      </c>
      <c r="F127" s="156" t="str">
        <f>IF(OR(SUM(PROCESO!M192:M195)&gt;0,SUM(PROCESO!N192:N195)&gt;0),LOOKUP(9.99E+307,F$6:F126)+N(C127)-N(D127),"")</f>
        <v/>
      </c>
      <c r="G127" s="131"/>
      <c r="H127" s="131"/>
      <c r="I127" s="131"/>
      <c r="J127" s="131"/>
    </row>
    <row r="128" spans="1:10" x14ac:dyDescent="0.2">
      <c r="A128" s="147" t="str">
        <f>IF(PROCESO!D198&gt;0,IF(PROCESO!A198="","",PROCESO!A198&amp;IF(COUNTIF(PROCESO!$A$6:A197,PROCESO!A198)&gt;0," (Ped."&amp;(COUNTIF(PROCESO!$A$6:A197,PROCESO!A198)+1)&amp;")","")),"")</f>
        <v/>
      </c>
      <c r="B128" s="147" t="str">
        <f>IF(PROCESO!D198&gt;0,"INGRESO (compra)","")</f>
        <v/>
      </c>
      <c r="C128" s="148" t="str">
        <f>IF(PROCESO!D198&gt;0,PROCESO!D198,"")</f>
        <v/>
      </c>
      <c r="D128" s="148"/>
      <c r="E128" s="147" t="str">
        <f>IF(PROCESO!D198&gt;0,PROCESO!B198&amp;" sacos x "&amp;PROCESO!C198&amp;" kg","")</f>
        <v/>
      </c>
      <c r="F128" s="148" t="str">
        <f>IF(PROCESO!D198&gt;0,LOOKUP(9.99E+307,F$6:F127)+N(C128)-N(D128),"")</f>
        <v/>
      </c>
      <c r="G128" s="131"/>
      <c r="H128" s="131"/>
      <c r="I128" s="131"/>
      <c r="J128" s="131"/>
    </row>
    <row r="129" spans="1:10" x14ac:dyDescent="0.2">
      <c r="A129" s="149" t="str">
        <f>IF(N(PROCESO!H202)&gt;0,IF(PROCESO!A198="","",PROCESO!A198&amp;IF(COUNTIF(PROCESO!$A$6:A197,PROCESO!A198)&gt;0," (Ped."&amp;(COUNTIF(PROCESO!$A$6:A197,PROCESO!A198)+1)&amp;")","")),"")</f>
        <v/>
      </c>
      <c r="B129" s="149" t="str">
        <f>IF(N(PROCESO!H202)&gt;0,"CHANCHO (proceso)","")</f>
        <v/>
      </c>
      <c r="C129" s="150"/>
      <c r="D129" s="150" t="str">
        <f>IF(N(PROCESO!H202)&gt;0,N(PROCESO!H202),"")</f>
        <v/>
      </c>
      <c r="E129" s="149" t="str">
        <f>IF(N(PROCESO!H202)&gt;0,PROCESO!G202&amp;" sacos x 95 kg","")</f>
        <v/>
      </c>
      <c r="F129" s="150" t="str">
        <f>IF(N(PROCESO!H202)&gt;0,LOOKUP(9.99E+307,F$6:F128)+N(C129)-N(D129),"")</f>
        <v/>
      </c>
      <c r="G129" s="131"/>
      <c r="H129" s="131"/>
      <c r="I129" s="131"/>
      <c r="J129" s="131"/>
    </row>
    <row r="130" spans="1:10" x14ac:dyDescent="0.2">
      <c r="A130" s="151" t="str">
        <f>IF(N(PROCESO!H203)&gt;0,IF(PROCESO!A198="","",PROCESO!A198&amp;IF(COUNTIF(PROCESO!$A$6:A197,PROCESO!A198)&gt;0," (Ped."&amp;(COUNTIF(PROCESO!$A$6:A197,PROCESO!A198)+1)&amp;")","")),"")</f>
        <v/>
      </c>
      <c r="B130" s="151" t="str">
        <f>IF(N(PROCESO!H203)&gt;0,"MALOGRADO","")</f>
        <v/>
      </c>
      <c r="C130" s="152"/>
      <c r="D130" s="152" t="str">
        <f>IF(N(PROCESO!H203)&gt;0,N(PROCESO!H203),"")</f>
        <v/>
      </c>
      <c r="E130" s="151"/>
      <c r="F130" s="152" t="str">
        <f>IF(N(PROCESO!H203)&gt;0,LOOKUP(9.99E+307,F$6:F129)+N(C130)-N(D130),"")</f>
        <v/>
      </c>
      <c r="G130" s="131"/>
      <c r="H130" s="131"/>
      <c r="I130" s="131"/>
      <c r="J130" s="131"/>
    </row>
    <row r="131" spans="1:10" x14ac:dyDescent="0.2">
      <c r="A131" s="153" t="str">
        <f>IF(IF(PROCESO!J198&lt;&gt;"",PROCESO!J198,IF(PROCESO!J199&lt;&gt;"",PROCESO!J199,IF(PROCESO!J200&lt;&gt;"",PROCESO!J200,IF(PROCESO!J201&lt;&gt;"",PROCESO!J201,""))))&lt;&gt;"",IF(PROCESO!A198="","",PROCESO!A198&amp;IF(COUNTIF(PROCESO!$A$6:A197,PROCESO!A198)&gt;0," (Ped."&amp;(COUNTIF(PROCESO!$A$6:A197,PROCESO!A198)+1)&amp;")","")),"")</f>
        <v/>
      </c>
      <c r="B131" s="153" t="str">
        <f>IF(IF(PROCESO!J198&lt;&gt;"",PROCESO!J198,IF(PROCESO!J199&lt;&gt;"",PROCESO!J199,IF(PROCESO!J200&lt;&gt;"",PROCESO!J200,IF(PROCESO!J201&lt;&gt;"",PROCESO!J201,""))))&lt;&gt;"","ENVÍO Guía "&amp;IF(PROCESO!J198&lt;&gt;"",PROCESO!J198,IF(PROCESO!J199&lt;&gt;"",PROCESO!J199,IF(PROCESO!J200&lt;&gt;"",PROCESO!J200,IF(PROCESO!J201&lt;&gt;"",PROCESO!J201,"")))),"")</f>
        <v/>
      </c>
      <c r="C131" s="154"/>
      <c r="D131" s="154" t="str">
        <f>IF(IF(PROCESO!J198&lt;&gt;"",PROCESO!J198,IF(PROCESO!J199&lt;&gt;"",PROCESO!J199,IF(PROCESO!J200&lt;&gt;"",PROCESO!J200,IF(PROCESO!J201&lt;&gt;"",PROCESO!J201,""))))&lt;&gt;"",SUMIF(PROCESO!J198:J201,IF(PROCESO!J198&lt;&gt;"",PROCESO!J198,IF(PROCESO!J199&lt;&gt;"",PROCESO!J199,IF(PROCESO!J200&lt;&gt;"",PROCESO!J200,IF(PROCESO!J201&lt;&gt;"",PROCESO!J201,"")))),PROCESO!L198:L201),"")</f>
        <v/>
      </c>
      <c r="E131" s="153" t="str">
        <f>IF(IF(PROCESO!J198&lt;&gt;"",PROCESO!J198,IF(PROCESO!J199&lt;&gt;"",PROCESO!J199,IF(PROCESO!J200&lt;&gt;"",PROCESO!J200,IF(PROCESO!J201&lt;&gt;"",PROCESO!J201,""))))&lt;&gt;"","G-"&amp;IF(PROCESO!J198&lt;&gt;"",PROCESO!J198,IF(PROCESO!J199&lt;&gt;"",PROCESO!J199,IF(PROCESO!J200&lt;&gt;"",PROCESO!J200,IF(PROCESO!J201&lt;&gt;"",PROCESO!J201,"")))),"")</f>
        <v/>
      </c>
      <c r="F131" s="154" t="str">
        <f>IF(IF(PROCESO!J198&lt;&gt;"",PROCESO!J198,IF(PROCESO!J199&lt;&gt;"",PROCESO!J199,IF(PROCESO!J200&lt;&gt;"",PROCESO!J200,IF(PROCESO!J201&lt;&gt;"",PROCESO!J201,""))))&lt;&gt;"",LOOKUP(9.99E+307,F$6:F130)+N(C131)-N(D131),"")</f>
        <v/>
      </c>
      <c r="G131" s="131"/>
      <c r="H131" s="131"/>
      <c r="I131" s="131"/>
      <c r="J131" s="131"/>
    </row>
    <row r="132" spans="1:10" x14ac:dyDescent="0.2">
      <c r="A132" s="155" t="str">
        <f>IF(OR(SUM(PROCESO!M198:M201)&gt;0,SUM(PROCESO!N198:N201)&gt;0),IF(PROCESO!A198="","",PROCESO!A198&amp;IF(COUNTIF(PROCESO!$A$6:A197,PROCESO!A198)&gt;0," (Ped."&amp;(COUNTIF(PROCESO!$A$6:A197,PROCESO!A198)+1)&amp;")","")),"")</f>
        <v/>
      </c>
      <c r="B132" s="155" t="str">
        <f>IF(OR(SUM(PROCESO!M198:M201)&gt;0,SUM(PROCESO!N198:N201)&gt;0),"REPROCESO (devolución)","")</f>
        <v/>
      </c>
      <c r="C132" s="156" t="str">
        <f>IF(OR(SUM(PROCESO!M198:M201)&gt;0,SUM(PROCESO!N198:N201)&gt;0),SUM(PROCESO!N198:N201),"")</f>
        <v/>
      </c>
      <c r="D132" s="156"/>
      <c r="E132" s="155" t="str">
        <f>IF(OR(SUM(PROCESO!M198:M201)&gt;0,SUM(PROCESO!N198:N201)&gt;0),IF(SUM(PROCESO!M198:M201)&gt;0,SUM(PROCESO!M198:M201)&amp;" jabas devueltas · merma "&amp;TEXT((PROCESO!M198*15+PROCESO!M199*18+PROCESO!M200*17+PROCESO!M201*17)-SUM(PROCESO!N198:N201),"+#,##0;-#,##0;0")&amp;" kg",""),"")</f>
        <v/>
      </c>
      <c r="F132" s="156" t="str">
        <f>IF(OR(SUM(PROCESO!M198:M201)&gt;0,SUM(PROCESO!N198:N201)&gt;0),LOOKUP(9.99E+307,F$6:F131)+N(C132)-N(D132),"")</f>
        <v/>
      </c>
      <c r="G132" s="131"/>
      <c r="H132" s="131"/>
      <c r="I132" s="131"/>
      <c r="J132" s="131"/>
    </row>
    <row r="133" spans="1:10" x14ac:dyDescent="0.2">
      <c r="A133" s="147" t="str">
        <f>IF(PROCESO!D204&gt;0,IF(PROCESO!A204="","",PROCESO!A204&amp;IF(COUNTIF(PROCESO!$A$6:A203,PROCESO!A204)&gt;0," (Ped."&amp;(COUNTIF(PROCESO!$A$6:A203,PROCESO!A204)+1)&amp;")","")),"")</f>
        <v/>
      </c>
      <c r="B133" s="147" t="str">
        <f>IF(PROCESO!D204&gt;0,"INGRESO (compra)","")</f>
        <v/>
      </c>
      <c r="C133" s="148" t="str">
        <f>IF(PROCESO!D204&gt;0,PROCESO!D204,"")</f>
        <v/>
      </c>
      <c r="D133" s="148"/>
      <c r="E133" s="147" t="str">
        <f>IF(PROCESO!D204&gt;0,PROCESO!B204&amp;" sacos x "&amp;PROCESO!C204&amp;" kg","")</f>
        <v/>
      </c>
      <c r="F133" s="148" t="str">
        <f>IF(PROCESO!D204&gt;0,LOOKUP(9.99E+307,F$6:F132)+N(C133)-N(D133),"")</f>
        <v/>
      </c>
      <c r="G133" s="131"/>
      <c r="H133" s="131"/>
      <c r="I133" s="131"/>
      <c r="J133" s="131"/>
    </row>
    <row r="134" spans="1:10" x14ac:dyDescent="0.2">
      <c r="A134" s="149" t="str">
        <f>IF(N(PROCESO!H208)&gt;0,IF(PROCESO!A204="","",PROCESO!A204&amp;IF(COUNTIF(PROCESO!$A$6:A203,PROCESO!A204)&gt;0," (Ped."&amp;(COUNTIF(PROCESO!$A$6:A203,PROCESO!A204)+1)&amp;")","")),"")</f>
        <v/>
      </c>
      <c r="B134" s="149" t="str">
        <f>IF(N(PROCESO!H208)&gt;0,"CHANCHO (proceso)","")</f>
        <v/>
      </c>
      <c r="C134" s="150"/>
      <c r="D134" s="150" t="str">
        <f>IF(N(PROCESO!H208)&gt;0,N(PROCESO!H208),"")</f>
        <v/>
      </c>
      <c r="E134" s="149" t="str">
        <f>IF(N(PROCESO!H208)&gt;0,PROCESO!G208&amp;" sacos x 95 kg","")</f>
        <v/>
      </c>
      <c r="F134" s="150" t="str">
        <f>IF(N(PROCESO!H208)&gt;0,LOOKUP(9.99E+307,F$6:F133)+N(C134)-N(D134),"")</f>
        <v/>
      </c>
      <c r="G134" s="131"/>
      <c r="H134" s="131"/>
      <c r="I134" s="131"/>
      <c r="J134" s="131"/>
    </row>
    <row r="135" spans="1:10" x14ac:dyDescent="0.2">
      <c r="A135" s="151" t="str">
        <f>IF(N(PROCESO!H209)&gt;0,IF(PROCESO!A204="","",PROCESO!A204&amp;IF(COUNTIF(PROCESO!$A$6:A203,PROCESO!A204)&gt;0," (Ped."&amp;(COUNTIF(PROCESO!$A$6:A203,PROCESO!A204)+1)&amp;")","")),"")</f>
        <v/>
      </c>
      <c r="B135" s="151" t="str">
        <f>IF(N(PROCESO!H209)&gt;0,"MALOGRADO","")</f>
        <v/>
      </c>
      <c r="C135" s="152"/>
      <c r="D135" s="152" t="str">
        <f>IF(N(PROCESO!H209)&gt;0,N(PROCESO!H209),"")</f>
        <v/>
      </c>
      <c r="E135" s="151"/>
      <c r="F135" s="152" t="str">
        <f>IF(N(PROCESO!H209)&gt;0,LOOKUP(9.99E+307,F$6:F134)+N(C135)-N(D135),"")</f>
        <v/>
      </c>
      <c r="G135" s="131"/>
      <c r="H135" s="131"/>
      <c r="I135" s="131"/>
      <c r="J135" s="131"/>
    </row>
    <row r="136" spans="1:10" x14ac:dyDescent="0.2">
      <c r="A136" s="153" t="str">
        <f>IF(IF(PROCESO!J204&lt;&gt;"",PROCESO!J204,IF(PROCESO!J205&lt;&gt;"",PROCESO!J205,IF(PROCESO!J206&lt;&gt;"",PROCESO!J206,IF(PROCESO!J207&lt;&gt;"",PROCESO!J207,""))))&lt;&gt;"",IF(PROCESO!A204="","",PROCESO!A204&amp;IF(COUNTIF(PROCESO!$A$6:A203,PROCESO!A204)&gt;0," (Ped."&amp;(COUNTIF(PROCESO!$A$6:A203,PROCESO!A204)+1)&amp;")","")),"")</f>
        <v/>
      </c>
      <c r="B136" s="153" t="str">
        <f>IF(IF(PROCESO!J204&lt;&gt;"",PROCESO!J204,IF(PROCESO!J205&lt;&gt;"",PROCESO!J205,IF(PROCESO!J206&lt;&gt;"",PROCESO!J206,IF(PROCESO!J207&lt;&gt;"",PROCESO!J207,""))))&lt;&gt;"","ENVÍO Guía "&amp;IF(PROCESO!J204&lt;&gt;"",PROCESO!J204,IF(PROCESO!J205&lt;&gt;"",PROCESO!J205,IF(PROCESO!J206&lt;&gt;"",PROCESO!J206,IF(PROCESO!J207&lt;&gt;"",PROCESO!J207,"")))),"")</f>
        <v/>
      </c>
      <c r="C136" s="154"/>
      <c r="D136" s="154" t="str">
        <f>IF(IF(PROCESO!J204&lt;&gt;"",PROCESO!J204,IF(PROCESO!J205&lt;&gt;"",PROCESO!J205,IF(PROCESO!J206&lt;&gt;"",PROCESO!J206,IF(PROCESO!J207&lt;&gt;"",PROCESO!J207,""))))&lt;&gt;"",SUMIF(PROCESO!J204:J207,IF(PROCESO!J204&lt;&gt;"",PROCESO!J204,IF(PROCESO!J205&lt;&gt;"",PROCESO!J205,IF(PROCESO!J206&lt;&gt;"",PROCESO!J206,IF(PROCESO!J207&lt;&gt;"",PROCESO!J207,"")))),PROCESO!L204:L207),"")</f>
        <v/>
      </c>
      <c r="E136" s="153" t="str">
        <f>IF(IF(PROCESO!J204&lt;&gt;"",PROCESO!J204,IF(PROCESO!J205&lt;&gt;"",PROCESO!J205,IF(PROCESO!J206&lt;&gt;"",PROCESO!J206,IF(PROCESO!J207&lt;&gt;"",PROCESO!J207,""))))&lt;&gt;"","G-"&amp;IF(PROCESO!J204&lt;&gt;"",PROCESO!J204,IF(PROCESO!J205&lt;&gt;"",PROCESO!J205,IF(PROCESO!J206&lt;&gt;"",PROCESO!J206,IF(PROCESO!J207&lt;&gt;"",PROCESO!J207,"")))),"")</f>
        <v/>
      </c>
      <c r="F136" s="154" t="str">
        <f>IF(IF(PROCESO!J204&lt;&gt;"",PROCESO!J204,IF(PROCESO!J205&lt;&gt;"",PROCESO!J205,IF(PROCESO!J206&lt;&gt;"",PROCESO!J206,IF(PROCESO!J207&lt;&gt;"",PROCESO!J207,""))))&lt;&gt;"",LOOKUP(9.99E+307,F$6:F135)+N(C136)-N(D136),"")</f>
        <v/>
      </c>
      <c r="G136" s="131"/>
      <c r="H136" s="131"/>
      <c r="I136" s="131"/>
      <c r="J136" s="131"/>
    </row>
    <row r="137" spans="1:10" x14ac:dyDescent="0.2">
      <c r="A137" s="155" t="str">
        <f>IF(OR(SUM(PROCESO!M204:M207)&gt;0,SUM(PROCESO!N204:N207)&gt;0),IF(PROCESO!A204="","",PROCESO!A204&amp;IF(COUNTIF(PROCESO!$A$6:A203,PROCESO!A204)&gt;0," (Ped."&amp;(COUNTIF(PROCESO!$A$6:A203,PROCESO!A204)+1)&amp;")","")),"")</f>
        <v/>
      </c>
      <c r="B137" s="155" t="str">
        <f>IF(OR(SUM(PROCESO!M204:M207)&gt;0,SUM(PROCESO!N204:N207)&gt;0),"REPROCESO (devolución)","")</f>
        <v/>
      </c>
      <c r="C137" s="156" t="str">
        <f>IF(OR(SUM(PROCESO!M204:M207)&gt;0,SUM(PROCESO!N204:N207)&gt;0),SUM(PROCESO!N204:N207),"")</f>
        <v/>
      </c>
      <c r="D137" s="156"/>
      <c r="E137" s="155" t="str">
        <f>IF(OR(SUM(PROCESO!M204:M207)&gt;0,SUM(PROCESO!N204:N207)&gt;0),IF(SUM(PROCESO!M204:M207)&gt;0,SUM(PROCESO!M204:M207)&amp;" jabas devueltas · merma "&amp;TEXT((PROCESO!M204*15+PROCESO!M205*18+PROCESO!M206*17+PROCESO!M207*17)-SUM(PROCESO!N204:N207),"+#,##0;-#,##0;0")&amp;" kg",""),"")</f>
        <v/>
      </c>
      <c r="F137" s="156" t="str">
        <f>IF(OR(SUM(PROCESO!M204:M207)&gt;0,SUM(PROCESO!N204:N207)&gt;0),LOOKUP(9.99E+307,F$6:F136)+N(C137)-N(D137),"")</f>
        <v/>
      </c>
      <c r="G137" s="131"/>
      <c r="H137" s="131"/>
      <c r="I137" s="131"/>
      <c r="J137" s="131"/>
    </row>
    <row r="138" spans="1:10" x14ac:dyDescent="0.2">
      <c r="A138" s="147" t="str">
        <f>IF(PROCESO!D210&gt;0,IF(PROCESO!A210="","",PROCESO!A210&amp;IF(COUNTIF(PROCESO!$A$6:A209,PROCESO!A210)&gt;0," (Ped."&amp;(COUNTIF(PROCESO!$A$6:A209,PROCESO!A210)+1)&amp;")","")),"")</f>
        <v/>
      </c>
      <c r="B138" s="147" t="str">
        <f>IF(PROCESO!D210&gt;0,"INGRESO (compra)","")</f>
        <v/>
      </c>
      <c r="C138" s="148" t="str">
        <f>IF(PROCESO!D210&gt;0,PROCESO!D210,"")</f>
        <v/>
      </c>
      <c r="D138" s="148"/>
      <c r="E138" s="147" t="str">
        <f>IF(PROCESO!D210&gt;0,PROCESO!B210&amp;" sacos x "&amp;PROCESO!C210&amp;" kg","")</f>
        <v/>
      </c>
      <c r="F138" s="148" t="str">
        <f>IF(PROCESO!D210&gt;0,LOOKUP(9.99E+307,F$6:F137)+N(C138)-N(D138),"")</f>
        <v/>
      </c>
      <c r="G138" s="131"/>
      <c r="H138" s="131"/>
      <c r="I138" s="131"/>
      <c r="J138" s="131"/>
    </row>
    <row r="139" spans="1:10" x14ac:dyDescent="0.2">
      <c r="A139" s="149" t="str">
        <f>IF(N(PROCESO!H214)&gt;0,IF(PROCESO!A210="","",PROCESO!A210&amp;IF(COUNTIF(PROCESO!$A$6:A209,PROCESO!A210)&gt;0," (Ped."&amp;(COUNTIF(PROCESO!$A$6:A209,PROCESO!A210)+1)&amp;")","")),"")</f>
        <v/>
      </c>
      <c r="B139" s="149" t="str">
        <f>IF(N(PROCESO!H214)&gt;0,"CHANCHO (proceso)","")</f>
        <v/>
      </c>
      <c r="C139" s="150"/>
      <c r="D139" s="150" t="str">
        <f>IF(N(PROCESO!H214)&gt;0,N(PROCESO!H214),"")</f>
        <v/>
      </c>
      <c r="E139" s="149" t="str">
        <f>IF(N(PROCESO!H214)&gt;0,PROCESO!G214&amp;" sacos x 95 kg","")</f>
        <v/>
      </c>
      <c r="F139" s="150" t="str">
        <f>IF(N(PROCESO!H214)&gt;0,LOOKUP(9.99E+307,F$6:F138)+N(C139)-N(D139),"")</f>
        <v/>
      </c>
      <c r="G139" s="131"/>
      <c r="H139" s="131"/>
      <c r="I139" s="131"/>
      <c r="J139" s="131"/>
    </row>
    <row r="140" spans="1:10" x14ac:dyDescent="0.2">
      <c r="A140" s="151" t="str">
        <f>IF(N(PROCESO!H215)&gt;0,IF(PROCESO!A210="","",PROCESO!A210&amp;IF(COUNTIF(PROCESO!$A$6:A209,PROCESO!A210)&gt;0," (Ped."&amp;(COUNTIF(PROCESO!$A$6:A209,PROCESO!A210)+1)&amp;")","")),"")</f>
        <v/>
      </c>
      <c r="B140" s="151" t="str">
        <f>IF(N(PROCESO!H215)&gt;0,"MALOGRADO","")</f>
        <v/>
      </c>
      <c r="C140" s="152"/>
      <c r="D140" s="152" t="str">
        <f>IF(N(PROCESO!H215)&gt;0,N(PROCESO!H215),"")</f>
        <v/>
      </c>
      <c r="E140" s="151"/>
      <c r="F140" s="152" t="str">
        <f>IF(N(PROCESO!H215)&gt;0,LOOKUP(9.99E+307,F$6:F139)+N(C140)-N(D140),"")</f>
        <v/>
      </c>
      <c r="G140" s="131"/>
      <c r="H140" s="131"/>
      <c r="I140" s="131"/>
      <c r="J140" s="131"/>
    </row>
    <row r="141" spans="1:10" x14ac:dyDescent="0.2">
      <c r="A141" s="153" t="str">
        <f>IF(IF(PROCESO!J210&lt;&gt;"",PROCESO!J210,IF(PROCESO!J211&lt;&gt;"",PROCESO!J211,IF(PROCESO!J212&lt;&gt;"",PROCESO!J212,IF(PROCESO!J213&lt;&gt;"",PROCESO!J213,""))))&lt;&gt;"",IF(PROCESO!A210="","",PROCESO!A210&amp;IF(COUNTIF(PROCESO!$A$6:A209,PROCESO!A210)&gt;0," (Ped."&amp;(COUNTIF(PROCESO!$A$6:A209,PROCESO!A210)+1)&amp;")","")),"")</f>
        <v/>
      </c>
      <c r="B141" s="153" t="str">
        <f>IF(IF(PROCESO!J210&lt;&gt;"",PROCESO!J210,IF(PROCESO!J211&lt;&gt;"",PROCESO!J211,IF(PROCESO!J212&lt;&gt;"",PROCESO!J212,IF(PROCESO!J213&lt;&gt;"",PROCESO!J213,""))))&lt;&gt;"","ENVÍO Guía "&amp;IF(PROCESO!J210&lt;&gt;"",PROCESO!J210,IF(PROCESO!J211&lt;&gt;"",PROCESO!J211,IF(PROCESO!J212&lt;&gt;"",PROCESO!J212,IF(PROCESO!J213&lt;&gt;"",PROCESO!J213,"")))),"")</f>
        <v/>
      </c>
      <c r="C141" s="154"/>
      <c r="D141" s="154" t="str">
        <f>IF(IF(PROCESO!J210&lt;&gt;"",PROCESO!J210,IF(PROCESO!J211&lt;&gt;"",PROCESO!J211,IF(PROCESO!J212&lt;&gt;"",PROCESO!J212,IF(PROCESO!J213&lt;&gt;"",PROCESO!J213,""))))&lt;&gt;"",SUMIF(PROCESO!J210:J213,IF(PROCESO!J210&lt;&gt;"",PROCESO!J210,IF(PROCESO!J211&lt;&gt;"",PROCESO!J211,IF(PROCESO!J212&lt;&gt;"",PROCESO!J212,IF(PROCESO!J213&lt;&gt;"",PROCESO!J213,"")))),PROCESO!L210:L213),"")</f>
        <v/>
      </c>
      <c r="E141" s="153" t="str">
        <f>IF(IF(PROCESO!J210&lt;&gt;"",PROCESO!J210,IF(PROCESO!J211&lt;&gt;"",PROCESO!J211,IF(PROCESO!J212&lt;&gt;"",PROCESO!J212,IF(PROCESO!J213&lt;&gt;"",PROCESO!J213,""))))&lt;&gt;"","G-"&amp;IF(PROCESO!J210&lt;&gt;"",PROCESO!J210,IF(PROCESO!J211&lt;&gt;"",PROCESO!J211,IF(PROCESO!J212&lt;&gt;"",PROCESO!J212,IF(PROCESO!J213&lt;&gt;"",PROCESO!J213,"")))),"")</f>
        <v/>
      </c>
      <c r="F141" s="154" t="str">
        <f>IF(IF(PROCESO!J210&lt;&gt;"",PROCESO!J210,IF(PROCESO!J211&lt;&gt;"",PROCESO!J211,IF(PROCESO!J212&lt;&gt;"",PROCESO!J212,IF(PROCESO!J213&lt;&gt;"",PROCESO!J213,""))))&lt;&gt;"",LOOKUP(9.99E+307,F$6:F140)+N(C141)-N(D141),"")</f>
        <v/>
      </c>
      <c r="G141" s="131"/>
      <c r="H141" s="131"/>
      <c r="I141" s="131"/>
      <c r="J141" s="131"/>
    </row>
    <row r="142" spans="1:10" x14ac:dyDescent="0.2">
      <c r="A142" s="155" t="str">
        <f>IF(OR(SUM(PROCESO!M210:M213)&gt;0,SUM(PROCESO!N210:N213)&gt;0),IF(PROCESO!A210="","",PROCESO!A210&amp;IF(COUNTIF(PROCESO!$A$6:A209,PROCESO!A210)&gt;0," (Ped."&amp;(COUNTIF(PROCESO!$A$6:A209,PROCESO!A210)+1)&amp;")","")),"")</f>
        <v/>
      </c>
      <c r="B142" s="155" t="str">
        <f>IF(OR(SUM(PROCESO!M210:M213)&gt;0,SUM(PROCESO!N210:N213)&gt;0),"REPROCESO (devolución)","")</f>
        <v/>
      </c>
      <c r="C142" s="156" t="str">
        <f>IF(OR(SUM(PROCESO!M210:M213)&gt;0,SUM(PROCESO!N210:N213)&gt;0),SUM(PROCESO!N210:N213),"")</f>
        <v/>
      </c>
      <c r="D142" s="156"/>
      <c r="E142" s="155" t="str">
        <f>IF(OR(SUM(PROCESO!M210:M213)&gt;0,SUM(PROCESO!N210:N213)&gt;0),IF(SUM(PROCESO!M210:M213)&gt;0,SUM(PROCESO!M210:M213)&amp;" jabas devueltas · merma "&amp;TEXT((PROCESO!M210*15+PROCESO!M211*18+PROCESO!M212*17+PROCESO!M213*17)-SUM(PROCESO!N210:N213),"+#,##0;-#,##0;0")&amp;" kg",""),"")</f>
        <v/>
      </c>
      <c r="F142" s="156" t="str">
        <f>IF(OR(SUM(PROCESO!M210:M213)&gt;0,SUM(PROCESO!N210:N213)&gt;0),LOOKUP(9.99E+307,F$6:F141)+N(C142)-N(D142),"")</f>
        <v/>
      </c>
      <c r="G142" s="131"/>
      <c r="H142" s="131"/>
      <c r="I142" s="131"/>
      <c r="J142" s="131"/>
    </row>
    <row r="143" spans="1:10" x14ac:dyDescent="0.2">
      <c r="A143" s="147" t="str">
        <f>IF(PROCESO!D216&gt;0,IF(PROCESO!A216="","",PROCESO!A216&amp;IF(COUNTIF(PROCESO!$A$6:A215,PROCESO!A216)&gt;0," (Ped."&amp;(COUNTIF(PROCESO!$A$6:A215,PROCESO!A216)+1)&amp;")","")),"")</f>
        <v/>
      </c>
      <c r="B143" s="147" t="str">
        <f>IF(PROCESO!D216&gt;0,"INGRESO (compra)","")</f>
        <v/>
      </c>
      <c r="C143" s="148" t="str">
        <f>IF(PROCESO!D216&gt;0,PROCESO!D216,"")</f>
        <v/>
      </c>
      <c r="D143" s="148"/>
      <c r="E143" s="147" t="str">
        <f>IF(PROCESO!D216&gt;0,PROCESO!B216&amp;" sacos x "&amp;PROCESO!C216&amp;" kg","")</f>
        <v/>
      </c>
      <c r="F143" s="148" t="str">
        <f>IF(PROCESO!D216&gt;0,LOOKUP(9.99E+307,F$6:F142)+N(C143)-N(D143),"")</f>
        <v/>
      </c>
      <c r="G143" s="131"/>
      <c r="H143" s="131"/>
      <c r="I143" s="131"/>
      <c r="J143" s="131"/>
    </row>
    <row r="144" spans="1:10" x14ac:dyDescent="0.2">
      <c r="A144" s="149" t="str">
        <f>IF(N(PROCESO!H220)&gt;0,IF(PROCESO!A216="","",PROCESO!A216&amp;IF(COUNTIF(PROCESO!$A$6:A215,PROCESO!A216)&gt;0," (Ped."&amp;(COUNTIF(PROCESO!$A$6:A215,PROCESO!A216)+1)&amp;")","")),"")</f>
        <v/>
      </c>
      <c r="B144" s="149" t="str">
        <f>IF(N(PROCESO!H220)&gt;0,"CHANCHO (proceso)","")</f>
        <v/>
      </c>
      <c r="C144" s="150"/>
      <c r="D144" s="150" t="str">
        <f>IF(N(PROCESO!H220)&gt;0,N(PROCESO!H220),"")</f>
        <v/>
      </c>
      <c r="E144" s="149" t="str">
        <f>IF(N(PROCESO!H220)&gt;0,PROCESO!G220&amp;" sacos x 95 kg","")</f>
        <v/>
      </c>
      <c r="F144" s="150" t="str">
        <f>IF(N(PROCESO!H220)&gt;0,LOOKUP(9.99E+307,F$6:F143)+N(C144)-N(D144),"")</f>
        <v/>
      </c>
      <c r="G144" s="131"/>
      <c r="H144" s="131"/>
      <c r="I144" s="131"/>
      <c r="J144" s="131"/>
    </row>
    <row r="145" spans="1:10" x14ac:dyDescent="0.2">
      <c r="A145" s="151" t="str">
        <f>IF(N(PROCESO!H221)&gt;0,IF(PROCESO!A216="","",PROCESO!A216&amp;IF(COUNTIF(PROCESO!$A$6:A215,PROCESO!A216)&gt;0," (Ped."&amp;(COUNTIF(PROCESO!$A$6:A215,PROCESO!A216)+1)&amp;")","")),"")</f>
        <v/>
      </c>
      <c r="B145" s="151" t="str">
        <f>IF(N(PROCESO!H221)&gt;0,"MALOGRADO","")</f>
        <v/>
      </c>
      <c r="C145" s="152"/>
      <c r="D145" s="152" t="str">
        <f>IF(N(PROCESO!H221)&gt;0,N(PROCESO!H221),"")</f>
        <v/>
      </c>
      <c r="E145" s="151"/>
      <c r="F145" s="152" t="str">
        <f>IF(N(PROCESO!H221)&gt;0,LOOKUP(9.99E+307,F$6:F144)+N(C145)-N(D145),"")</f>
        <v/>
      </c>
      <c r="G145" s="131"/>
      <c r="H145" s="131"/>
      <c r="I145" s="131"/>
      <c r="J145" s="131"/>
    </row>
    <row r="146" spans="1:10" x14ac:dyDescent="0.2">
      <c r="A146" s="153" t="str">
        <f>IF(IF(PROCESO!J216&lt;&gt;"",PROCESO!J216,IF(PROCESO!J217&lt;&gt;"",PROCESO!J217,IF(PROCESO!J218&lt;&gt;"",PROCESO!J218,IF(PROCESO!J219&lt;&gt;"",PROCESO!J219,""))))&lt;&gt;"",IF(PROCESO!A216="","",PROCESO!A216&amp;IF(COUNTIF(PROCESO!$A$6:A215,PROCESO!A216)&gt;0," (Ped."&amp;(COUNTIF(PROCESO!$A$6:A215,PROCESO!A216)+1)&amp;")","")),"")</f>
        <v/>
      </c>
      <c r="B146" s="153" t="str">
        <f>IF(IF(PROCESO!J216&lt;&gt;"",PROCESO!J216,IF(PROCESO!J217&lt;&gt;"",PROCESO!J217,IF(PROCESO!J218&lt;&gt;"",PROCESO!J218,IF(PROCESO!J219&lt;&gt;"",PROCESO!J219,""))))&lt;&gt;"","ENVÍO Guía "&amp;IF(PROCESO!J216&lt;&gt;"",PROCESO!J216,IF(PROCESO!J217&lt;&gt;"",PROCESO!J217,IF(PROCESO!J218&lt;&gt;"",PROCESO!J218,IF(PROCESO!J219&lt;&gt;"",PROCESO!J219,"")))),"")</f>
        <v/>
      </c>
      <c r="C146" s="154"/>
      <c r="D146" s="154" t="str">
        <f>IF(IF(PROCESO!J216&lt;&gt;"",PROCESO!J216,IF(PROCESO!J217&lt;&gt;"",PROCESO!J217,IF(PROCESO!J218&lt;&gt;"",PROCESO!J218,IF(PROCESO!J219&lt;&gt;"",PROCESO!J219,""))))&lt;&gt;"",SUMIF(PROCESO!J216:J219,IF(PROCESO!J216&lt;&gt;"",PROCESO!J216,IF(PROCESO!J217&lt;&gt;"",PROCESO!J217,IF(PROCESO!J218&lt;&gt;"",PROCESO!J218,IF(PROCESO!J219&lt;&gt;"",PROCESO!J219,"")))),PROCESO!L216:L219),"")</f>
        <v/>
      </c>
      <c r="E146" s="153" t="str">
        <f>IF(IF(PROCESO!J216&lt;&gt;"",PROCESO!J216,IF(PROCESO!J217&lt;&gt;"",PROCESO!J217,IF(PROCESO!J218&lt;&gt;"",PROCESO!J218,IF(PROCESO!J219&lt;&gt;"",PROCESO!J219,""))))&lt;&gt;"","G-"&amp;IF(PROCESO!J216&lt;&gt;"",PROCESO!J216,IF(PROCESO!J217&lt;&gt;"",PROCESO!J217,IF(PROCESO!J218&lt;&gt;"",PROCESO!J218,IF(PROCESO!J219&lt;&gt;"",PROCESO!J219,"")))),"")</f>
        <v/>
      </c>
      <c r="F146" s="154" t="str">
        <f>IF(IF(PROCESO!J216&lt;&gt;"",PROCESO!J216,IF(PROCESO!J217&lt;&gt;"",PROCESO!J217,IF(PROCESO!J218&lt;&gt;"",PROCESO!J218,IF(PROCESO!J219&lt;&gt;"",PROCESO!J219,""))))&lt;&gt;"",LOOKUP(9.99E+307,F$6:F145)+N(C146)-N(D146),"")</f>
        <v/>
      </c>
      <c r="G146" s="131"/>
      <c r="H146" s="131"/>
      <c r="I146" s="131"/>
      <c r="J146" s="131"/>
    </row>
    <row r="147" spans="1:10" x14ac:dyDescent="0.2">
      <c r="A147" s="155" t="str">
        <f>IF(OR(SUM(PROCESO!M216:M219)&gt;0,SUM(PROCESO!N216:N219)&gt;0),IF(PROCESO!A216="","",PROCESO!A216&amp;IF(COUNTIF(PROCESO!$A$6:A215,PROCESO!A216)&gt;0," (Ped."&amp;(COUNTIF(PROCESO!$A$6:A215,PROCESO!A216)+1)&amp;")","")),"")</f>
        <v/>
      </c>
      <c r="B147" s="155" t="str">
        <f>IF(OR(SUM(PROCESO!M216:M219)&gt;0,SUM(PROCESO!N216:N219)&gt;0),"REPROCESO (devolución)","")</f>
        <v/>
      </c>
      <c r="C147" s="156" t="str">
        <f>IF(OR(SUM(PROCESO!M216:M219)&gt;0,SUM(PROCESO!N216:N219)&gt;0),SUM(PROCESO!N216:N219),"")</f>
        <v/>
      </c>
      <c r="D147" s="156"/>
      <c r="E147" s="155" t="str">
        <f>IF(OR(SUM(PROCESO!M216:M219)&gt;0,SUM(PROCESO!N216:N219)&gt;0),IF(SUM(PROCESO!M216:M219)&gt;0,SUM(PROCESO!M216:M219)&amp;" jabas devueltas · merma "&amp;TEXT((PROCESO!M216*15+PROCESO!M217*18+PROCESO!M218*17+PROCESO!M219*17)-SUM(PROCESO!N216:N219),"+#,##0;-#,##0;0")&amp;" kg",""),"")</f>
        <v/>
      </c>
      <c r="F147" s="156" t="str">
        <f>IF(OR(SUM(PROCESO!M216:M219)&gt;0,SUM(PROCESO!N216:N219)&gt;0),LOOKUP(9.99E+307,F$6:F146)+N(C147)-N(D147),"")</f>
        <v/>
      </c>
      <c r="G147" s="131"/>
      <c r="H147" s="131"/>
      <c r="I147" s="131"/>
      <c r="J147" s="131"/>
    </row>
    <row r="148" spans="1:10" x14ac:dyDescent="0.2">
      <c r="A148" s="147" t="str">
        <f>IF(PROCESO!D222&gt;0,IF(PROCESO!A222="","",PROCESO!A222&amp;IF(COUNTIF(PROCESO!$A$6:A221,PROCESO!A222)&gt;0," (Ped."&amp;(COUNTIF(PROCESO!$A$6:A221,PROCESO!A222)+1)&amp;")","")),"")</f>
        <v/>
      </c>
      <c r="B148" s="147" t="str">
        <f>IF(PROCESO!D222&gt;0,"INGRESO (compra)","")</f>
        <v/>
      </c>
      <c r="C148" s="148" t="str">
        <f>IF(PROCESO!D222&gt;0,PROCESO!D222,"")</f>
        <v/>
      </c>
      <c r="D148" s="148"/>
      <c r="E148" s="147" t="str">
        <f>IF(PROCESO!D222&gt;0,PROCESO!B222&amp;" sacos x "&amp;PROCESO!C222&amp;" kg","")</f>
        <v/>
      </c>
      <c r="F148" s="148" t="str">
        <f>IF(PROCESO!D222&gt;0,LOOKUP(9.99E+307,F$6:F147)+N(C148)-N(D148),"")</f>
        <v/>
      </c>
      <c r="G148" s="131"/>
      <c r="H148" s="131"/>
      <c r="I148" s="131"/>
      <c r="J148" s="131"/>
    </row>
    <row r="149" spans="1:10" x14ac:dyDescent="0.2">
      <c r="A149" s="149" t="str">
        <f>IF(N(PROCESO!H226)&gt;0,IF(PROCESO!A222="","",PROCESO!A222&amp;IF(COUNTIF(PROCESO!$A$6:A221,PROCESO!A222)&gt;0," (Ped."&amp;(COUNTIF(PROCESO!$A$6:A221,PROCESO!A222)+1)&amp;")","")),"")</f>
        <v/>
      </c>
      <c r="B149" s="149" t="str">
        <f>IF(N(PROCESO!H226)&gt;0,"CHANCHO (proceso)","")</f>
        <v/>
      </c>
      <c r="C149" s="150"/>
      <c r="D149" s="150" t="str">
        <f>IF(N(PROCESO!H226)&gt;0,N(PROCESO!H226),"")</f>
        <v/>
      </c>
      <c r="E149" s="149" t="str">
        <f>IF(N(PROCESO!H226)&gt;0,PROCESO!G226&amp;" sacos x 95 kg","")</f>
        <v/>
      </c>
      <c r="F149" s="150" t="str">
        <f>IF(N(PROCESO!H226)&gt;0,LOOKUP(9.99E+307,F$6:F148)+N(C149)-N(D149),"")</f>
        <v/>
      </c>
      <c r="G149" s="131"/>
      <c r="H149" s="131"/>
      <c r="I149" s="131"/>
      <c r="J149" s="131"/>
    </row>
    <row r="150" spans="1:10" x14ac:dyDescent="0.2">
      <c r="A150" s="151" t="str">
        <f>IF(N(PROCESO!H227)&gt;0,IF(PROCESO!A222="","",PROCESO!A222&amp;IF(COUNTIF(PROCESO!$A$6:A221,PROCESO!A222)&gt;0," (Ped."&amp;(COUNTIF(PROCESO!$A$6:A221,PROCESO!A222)+1)&amp;")","")),"")</f>
        <v/>
      </c>
      <c r="B150" s="151" t="str">
        <f>IF(N(PROCESO!H227)&gt;0,"MALOGRADO","")</f>
        <v/>
      </c>
      <c r="C150" s="152"/>
      <c r="D150" s="152" t="str">
        <f>IF(N(PROCESO!H227)&gt;0,N(PROCESO!H227),"")</f>
        <v/>
      </c>
      <c r="E150" s="151"/>
      <c r="F150" s="152" t="str">
        <f>IF(N(PROCESO!H227)&gt;0,LOOKUP(9.99E+307,F$6:F149)+N(C150)-N(D150),"")</f>
        <v/>
      </c>
      <c r="G150" s="131"/>
      <c r="H150" s="131"/>
      <c r="I150" s="131"/>
      <c r="J150" s="131"/>
    </row>
    <row r="151" spans="1:10" x14ac:dyDescent="0.2">
      <c r="A151" s="153" t="str">
        <f>IF(IF(PROCESO!J222&lt;&gt;"",PROCESO!J222,IF(PROCESO!J223&lt;&gt;"",PROCESO!J223,IF(PROCESO!J224&lt;&gt;"",PROCESO!J224,IF(PROCESO!J225&lt;&gt;"",PROCESO!J225,""))))&lt;&gt;"",IF(PROCESO!A222="","",PROCESO!A222&amp;IF(COUNTIF(PROCESO!$A$6:A221,PROCESO!A222)&gt;0," (Ped."&amp;(COUNTIF(PROCESO!$A$6:A221,PROCESO!A222)+1)&amp;")","")),"")</f>
        <v/>
      </c>
      <c r="B151" s="153" t="str">
        <f>IF(IF(PROCESO!J222&lt;&gt;"",PROCESO!J222,IF(PROCESO!J223&lt;&gt;"",PROCESO!J223,IF(PROCESO!J224&lt;&gt;"",PROCESO!J224,IF(PROCESO!J225&lt;&gt;"",PROCESO!J225,""))))&lt;&gt;"","ENVÍO Guía "&amp;IF(PROCESO!J222&lt;&gt;"",PROCESO!J222,IF(PROCESO!J223&lt;&gt;"",PROCESO!J223,IF(PROCESO!J224&lt;&gt;"",PROCESO!J224,IF(PROCESO!J225&lt;&gt;"",PROCESO!J225,"")))),"")</f>
        <v/>
      </c>
      <c r="C151" s="154"/>
      <c r="D151" s="154" t="str">
        <f>IF(IF(PROCESO!J222&lt;&gt;"",PROCESO!J222,IF(PROCESO!J223&lt;&gt;"",PROCESO!J223,IF(PROCESO!J224&lt;&gt;"",PROCESO!J224,IF(PROCESO!J225&lt;&gt;"",PROCESO!J225,""))))&lt;&gt;"",SUMIF(PROCESO!J222:J225,IF(PROCESO!J222&lt;&gt;"",PROCESO!J222,IF(PROCESO!J223&lt;&gt;"",PROCESO!J223,IF(PROCESO!J224&lt;&gt;"",PROCESO!J224,IF(PROCESO!J225&lt;&gt;"",PROCESO!J225,"")))),PROCESO!L222:L225),"")</f>
        <v/>
      </c>
      <c r="E151" s="153" t="str">
        <f>IF(IF(PROCESO!J222&lt;&gt;"",PROCESO!J222,IF(PROCESO!J223&lt;&gt;"",PROCESO!J223,IF(PROCESO!J224&lt;&gt;"",PROCESO!J224,IF(PROCESO!J225&lt;&gt;"",PROCESO!J225,""))))&lt;&gt;"","G-"&amp;IF(PROCESO!J222&lt;&gt;"",PROCESO!J222,IF(PROCESO!J223&lt;&gt;"",PROCESO!J223,IF(PROCESO!J224&lt;&gt;"",PROCESO!J224,IF(PROCESO!J225&lt;&gt;"",PROCESO!J225,"")))),"")</f>
        <v/>
      </c>
      <c r="F151" s="154" t="str">
        <f>IF(IF(PROCESO!J222&lt;&gt;"",PROCESO!J222,IF(PROCESO!J223&lt;&gt;"",PROCESO!J223,IF(PROCESO!J224&lt;&gt;"",PROCESO!J224,IF(PROCESO!J225&lt;&gt;"",PROCESO!J225,""))))&lt;&gt;"",LOOKUP(9.99E+307,F$6:F150)+N(C151)-N(D151),"")</f>
        <v/>
      </c>
      <c r="G151" s="131"/>
      <c r="H151" s="131"/>
      <c r="I151" s="131"/>
      <c r="J151" s="131"/>
    </row>
    <row r="152" spans="1:10" x14ac:dyDescent="0.2">
      <c r="A152" s="155" t="str">
        <f>IF(OR(SUM(PROCESO!M222:M225)&gt;0,SUM(PROCESO!N222:N225)&gt;0),IF(PROCESO!A222="","",PROCESO!A222&amp;IF(COUNTIF(PROCESO!$A$6:A221,PROCESO!A222)&gt;0," (Ped."&amp;(COUNTIF(PROCESO!$A$6:A221,PROCESO!A222)+1)&amp;")","")),"")</f>
        <v/>
      </c>
      <c r="B152" s="155" t="str">
        <f>IF(OR(SUM(PROCESO!M222:M225)&gt;0,SUM(PROCESO!N222:N225)&gt;0),"REPROCESO (devolución)","")</f>
        <v/>
      </c>
      <c r="C152" s="156" t="str">
        <f>IF(OR(SUM(PROCESO!M222:M225)&gt;0,SUM(PROCESO!N222:N225)&gt;0),SUM(PROCESO!N222:N225),"")</f>
        <v/>
      </c>
      <c r="D152" s="156"/>
      <c r="E152" s="155" t="str">
        <f>IF(OR(SUM(PROCESO!M222:M225)&gt;0,SUM(PROCESO!N222:N225)&gt;0),IF(SUM(PROCESO!M222:M225)&gt;0,SUM(PROCESO!M222:M225)&amp;" jabas devueltas · merma "&amp;TEXT((PROCESO!M222*15+PROCESO!M223*18+PROCESO!M224*17+PROCESO!M225*17)-SUM(PROCESO!N222:N225),"+#,##0;-#,##0;0")&amp;" kg",""),"")</f>
        <v/>
      </c>
      <c r="F152" s="156" t="str">
        <f>IF(OR(SUM(PROCESO!M222:M225)&gt;0,SUM(PROCESO!N222:N225)&gt;0),LOOKUP(9.99E+307,F$6:F151)+N(C152)-N(D152),"")</f>
        <v/>
      </c>
      <c r="G152" s="131"/>
      <c r="H152" s="131"/>
      <c r="I152" s="131"/>
      <c r="J152" s="131"/>
    </row>
    <row r="153" spans="1:10" x14ac:dyDescent="0.2">
      <c r="A153" s="147" t="str">
        <f>IF(PROCESO!D228&gt;0,IF(PROCESO!A228="","",PROCESO!A228&amp;IF(COUNTIF(PROCESO!$A$6:A227,PROCESO!A228)&gt;0," (Ped."&amp;(COUNTIF(PROCESO!$A$6:A227,PROCESO!A228)+1)&amp;")","")),"")</f>
        <v/>
      </c>
      <c r="B153" s="147" t="str">
        <f>IF(PROCESO!D228&gt;0,"INGRESO (compra)","")</f>
        <v/>
      </c>
      <c r="C153" s="148" t="str">
        <f>IF(PROCESO!D228&gt;0,PROCESO!D228,"")</f>
        <v/>
      </c>
      <c r="D153" s="148"/>
      <c r="E153" s="147" t="str">
        <f>IF(PROCESO!D228&gt;0,PROCESO!B228&amp;" sacos x "&amp;PROCESO!C228&amp;" kg","")</f>
        <v/>
      </c>
      <c r="F153" s="148" t="str">
        <f>IF(PROCESO!D228&gt;0,LOOKUP(9.99E+307,F$6:F152)+N(C153)-N(D153),"")</f>
        <v/>
      </c>
      <c r="G153" s="131"/>
      <c r="H153" s="131"/>
      <c r="I153" s="131"/>
      <c r="J153" s="131"/>
    </row>
    <row r="154" spans="1:10" x14ac:dyDescent="0.2">
      <c r="A154" s="149" t="str">
        <f>IF(N(PROCESO!H232)&gt;0,IF(PROCESO!A228="","",PROCESO!A228&amp;IF(COUNTIF(PROCESO!$A$6:A227,PROCESO!A228)&gt;0," (Ped."&amp;(COUNTIF(PROCESO!$A$6:A227,PROCESO!A228)+1)&amp;")","")),"")</f>
        <v/>
      </c>
      <c r="B154" s="149" t="str">
        <f>IF(N(PROCESO!H232)&gt;0,"CHANCHO (proceso)","")</f>
        <v/>
      </c>
      <c r="C154" s="150"/>
      <c r="D154" s="150" t="str">
        <f>IF(N(PROCESO!H232)&gt;0,N(PROCESO!H232),"")</f>
        <v/>
      </c>
      <c r="E154" s="149" t="str">
        <f>IF(N(PROCESO!H232)&gt;0,PROCESO!G232&amp;" sacos x 95 kg","")</f>
        <v/>
      </c>
      <c r="F154" s="150" t="str">
        <f>IF(N(PROCESO!H232)&gt;0,LOOKUP(9.99E+307,F$6:F153)+N(C154)-N(D154),"")</f>
        <v/>
      </c>
      <c r="G154" s="131"/>
      <c r="H154" s="131"/>
      <c r="I154" s="131"/>
      <c r="J154" s="131"/>
    </row>
    <row r="155" spans="1:10" x14ac:dyDescent="0.2">
      <c r="A155" s="151" t="str">
        <f>IF(N(PROCESO!H233)&gt;0,IF(PROCESO!A228="","",PROCESO!A228&amp;IF(COUNTIF(PROCESO!$A$6:A227,PROCESO!A228)&gt;0," (Ped."&amp;(COUNTIF(PROCESO!$A$6:A227,PROCESO!A228)+1)&amp;")","")),"")</f>
        <v/>
      </c>
      <c r="B155" s="151" t="str">
        <f>IF(N(PROCESO!H233)&gt;0,"MALOGRADO","")</f>
        <v/>
      </c>
      <c r="C155" s="152"/>
      <c r="D155" s="152" t="str">
        <f>IF(N(PROCESO!H233)&gt;0,N(PROCESO!H233),"")</f>
        <v/>
      </c>
      <c r="E155" s="151"/>
      <c r="F155" s="152" t="str">
        <f>IF(N(PROCESO!H233)&gt;0,LOOKUP(9.99E+307,F$6:F154)+N(C155)-N(D155),"")</f>
        <v/>
      </c>
      <c r="G155" s="131"/>
      <c r="H155" s="131"/>
      <c r="I155" s="131"/>
      <c r="J155" s="131"/>
    </row>
    <row r="156" spans="1:10" x14ac:dyDescent="0.2">
      <c r="A156" s="153" t="str">
        <f>IF(IF(PROCESO!J228&lt;&gt;"",PROCESO!J228,IF(PROCESO!J229&lt;&gt;"",PROCESO!J229,IF(PROCESO!J230&lt;&gt;"",PROCESO!J230,IF(PROCESO!J231&lt;&gt;"",PROCESO!J231,""))))&lt;&gt;"",IF(PROCESO!A228="","",PROCESO!A228&amp;IF(COUNTIF(PROCESO!$A$6:A227,PROCESO!A228)&gt;0," (Ped."&amp;(COUNTIF(PROCESO!$A$6:A227,PROCESO!A228)+1)&amp;")","")),"")</f>
        <v/>
      </c>
      <c r="B156" s="153" t="str">
        <f>IF(IF(PROCESO!J228&lt;&gt;"",PROCESO!J228,IF(PROCESO!J229&lt;&gt;"",PROCESO!J229,IF(PROCESO!J230&lt;&gt;"",PROCESO!J230,IF(PROCESO!J231&lt;&gt;"",PROCESO!J231,""))))&lt;&gt;"","ENVÍO Guía "&amp;IF(PROCESO!J228&lt;&gt;"",PROCESO!J228,IF(PROCESO!J229&lt;&gt;"",PROCESO!J229,IF(PROCESO!J230&lt;&gt;"",PROCESO!J230,IF(PROCESO!J231&lt;&gt;"",PROCESO!J231,"")))),"")</f>
        <v/>
      </c>
      <c r="C156" s="154"/>
      <c r="D156" s="154" t="str">
        <f>IF(IF(PROCESO!J228&lt;&gt;"",PROCESO!J228,IF(PROCESO!J229&lt;&gt;"",PROCESO!J229,IF(PROCESO!J230&lt;&gt;"",PROCESO!J230,IF(PROCESO!J231&lt;&gt;"",PROCESO!J231,""))))&lt;&gt;"",SUMIF(PROCESO!J228:J231,IF(PROCESO!J228&lt;&gt;"",PROCESO!J228,IF(PROCESO!J229&lt;&gt;"",PROCESO!J229,IF(PROCESO!J230&lt;&gt;"",PROCESO!J230,IF(PROCESO!J231&lt;&gt;"",PROCESO!J231,"")))),PROCESO!L228:L231),"")</f>
        <v/>
      </c>
      <c r="E156" s="153" t="str">
        <f>IF(IF(PROCESO!J228&lt;&gt;"",PROCESO!J228,IF(PROCESO!J229&lt;&gt;"",PROCESO!J229,IF(PROCESO!J230&lt;&gt;"",PROCESO!J230,IF(PROCESO!J231&lt;&gt;"",PROCESO!J231,""))))&lt;&gt;"","G-"&amp;IF(PROCESO!J228&lt;&gt;"",PROCESO!J228,IF(PROCESO!J229&lt;&gt;"",PROCESO!J229,IF(PROCESO!J230&lt;&gt;"",PROCESO!J230,IF(PROCESO!J231&lt;&gt;"",PROCESO!J231,"")))),"")</f>
        <v/>
      </c>
      <c r="F156" s="154" t="str">
        <f>IF(IF(PROCESO!J228&lt;&gt;"",PROCESO!J228,IF(PROCESO!J229&lt;&gt;"",PROCESO!J229,IF(PROCESO!J230&lt;&gt;"",PROCESO!J230,IF(PROCESO!J231&lt;&gt;"",PROCESO!J231,""))))&lt;&gt;"",LOOKUP(9.99E+307,F$6:F155)+N(C156)-N(D156),"")</f>
        <v/>
      </c>
      <c r="G156" s="131"/>
      <c r="H156" s="131"/>
      <c r="I156" s="131"/>
      <c r="J156" s="131"/>
    </row>
    <row r="157" spans="1:10" x14ac:dyDescent="0.2">
      <c r="A157" s="155" t="str">
        <f>IF(OR(SUM(PROCESO!M228:M231)&gt;0,SUM(PROCESO!N228:N231)&gt;0),IF(PROCESO!A228="","",PROCESO!A228&amp;IF(COUNTIF(PROCESO!$A$6:A227,PROCESO!A228)&gt;0," (Ped."&amp;(COUNTIF(PROCESO!$A$6:A227,PROCESO!A228)+1)&amp;")","")),"")</f>
        <v/>
      </c>
      <c r="B157" s="155" t="str">
        <f>IF(OR(SUM(PROCESO!M228:M231)&gt;0,SUM(PROCESO!N228:N231)&gt;0),"REPROCESO (devolución)","")</f>
        <v/>
      </c>
      <c r="C157" s="156" t="str">
        <f>IF(OR(SUM(PROCESO!M228:M231)&gt;0,SUM(PROCESO!N228:N231)&gt;0),SUM(PROCESO!N228:N231),"")</f>
        <v/>
      </c>
      <c r="D157" s="156"/>
      <c r="E157" s="155" t="str">
        <f>IF(OR(SUM(PROCESO!M228:M231)&gt;0,SUM(PROCESO!N228:N231)&gt;0),IF(SUM(PROCESO!M228:M231)&gt;0,SUM(PROCESO!M228:M231)&amp;" jabas devueltas · merma "&amp;TEXT((PROCESO!M228*15+PROCESO!M229*18+PROCESO!M230*17+PROCESO!M231*17)-SUM(PROCESO!N228:N231),"+#,##0;-#,##0;0")&amp;" kg",""),"")</f>
        <v/>
      </c>
      <c r="F157" s="156" t="str">
        <f>IF(OR(SUM(PROCESO!M228:M231)&gt;0,SUM(PROCESO!N228:N231)&gt;0),LOOKUP(9.99E+307,F$6:F156)+N(C157)-N(D157),"")</f>
        <v/>
      </c>
      <c r="G157" s="131"/>
      <c r="H157" s="131"/>
      <c r="I157" s="131"/>
      <c r="J157" s="131"/>
    </row>
    <row r="158" spans="1:10" x14ac:dyDescent="0.2">
      <c r="A158" s="147" t="str">
        <f>IF(PROCESO!D234&gt;0,IF(PROCESO!A234="","",PROCESO!A234&amp;IF(COUNTIF(PROCESO!$A$6:A233,PROCESO!A234)&gt;0," (Ped."&amp;(COUNTIF(PROCESO!$A$6:A233,PROCESO!A234)+1)&amp;")","")),"")</f>
        <v/>
      </c>
      <c r="B158" s="147" t="str">
        <f>IF(PROCESO!D234&gt;0,"INGRESO (compra)","")</f>
        <v/>
      </c>
      <c r="C158" s="148" t="str">
        <f>IF(PROCESO!D234&gt;0,PROCESO!D234,"")</f>
        <v/>
      </c>
      <c r="D158" s="148"/>
      <c r="E158" s="147" t="str">
        <f>IF(PROCESO!D234&gt;0,PROCESO!B234&amp;" sacos x "&amp;PROCESO!C234&amp;" kg","")</f>
        <v/>
      </c>
      <c r="F158" s="148" t="str">
        <f>IF(PROCESO!D234&gt;0,LOOKUP(9.99E+307,F$6:F157)+N(C158)-N(D158),"")</f>
        <v/>
      </c>
      <c r="G158" s="131"/>
      <c r="H158" s="131"/>
      <c r="I158" s="131"/>
      <c r="J158" s="131"/>
    </row>
    <row r="159" spans="1:10" x14ac:dyDescent="0.2">
      <c r="A159" s="149" t="str">
        <f>IF(N(PROCESO!H238)&gt;0,IF(PROCESO!A234="","",PROCESO!A234&amp;IF(COUNTIF(PROCESO!$A$6:A233,PROCESO!A234)&gt;0," (Ped."&amp;(COUNTIF(PROCESO!$A$6:A233,PROCESO!A234)+1)&amp;")","")),"")</f>
        <v/>
      </c>
      <c r="B159" s="149" t="str">
        <f>IF(N(PROCESO!H238)&gt;0,"CHANCHO (proceso)","")</f>
        <v/>
      </c>
      <c r="C159" s="150"/>
      <c r="D159" s="150" t="str">
        <f>IF(N(PROCESO!H238)&gt;0,N(PROCESO!H238),"")</f>
        <v/>
      </c>
      <c r="E159" s="149" t="str">
        <f>IF(N(PROCESO!H238)&gt;0,PROCESO!G238&amp;" sacos x 95 kg","")</f>
        <v/>
      </c>
      <c r="F159" s="150" t="str">
        <f>IF(N(PROCESO!H238)&gt;0,LOOKUP(9.99E+307,F$6:F158)+N(C159)-N(D159),"")</f>
        <v/>
      </c>
      <c r="G159" s="131"/>
      <c r="H159" s="131"/>
      <c r="I159" s="131"/>
      <c r="J159" s="131"/>
    </row>
    <row r="160" spans="1:10" x14ac:dyDescent="0.2">
      <c r="A160" s="151" t="str">
        <f>IF(N(PROCESO!H239)&gt;0,IF(PROCESO!A234="","",PROCESO!A234&amp;IF(COUNTIF(PROCESO!$A$6:A233,PROCESO!A234)&gt;0," (Ped."&amp;(COUNTIF(PROCESO!$A$6:A233,PROCESO!A234)+1)&amp;")","")),"")</f>
        <v/>
      </c>
      <c r="B160" s="151" t="str">
        <f>IF(N(PROCESO!H239)&gt;0,"MALOGRADO","")</f>
        <v/>
      </c>
      <c r="C160" s="152"/>
      <c r="D160" s="152" t="str">
        <f>IF(N(PROCESO!H239)&gt;0,N(PROCESO!H239),"")</f>
        <v/>
      </c>
      <c r="E160" s="151"/>
      <c r="F160" s="152" t="str">
        <f>IF(N(PROCESO!H239)&gt;0,LOOKUP(9.99E+307,F$6:F159)+N(C160)-N(D160),"")</f>
        <v/>
      </c>
      <c r="G160" s="131"/>
      <c r="H160" s="131"/>
      <c r="I160" s="131"/>
      <c r="J160" s="131"/>
    </row>
    <row r="161" spans="1:10" x14ac:dyDescent="0.2">
      <c r="A161" s="153" t="str">
        <f>IF(IF(PROCESO!J234&lt;&gt;"",PROCESO!J234,IF(PROCESO!J235&lt;&gt;"",PROCESO!J235,IF(PROCESO!J236&lt;&gt;"",PROCESO!J236,IF(PROCESO!J237&lt;&gt;"",PROCESO!J237,""))))&lt;&gt;"",IF(PROCESO!A234="","",PROCESO!A234&amp;IF(COUNTIF(PROCESO!$A$6:A233,PROCESO!A234)&gt;0," (Ped."&amp;(COUNTIF(PROCESO!$A$6:A233,PROCESO!A234)+1)&amp;")","")),"")</f>
        <v/>
      </c>
      <c r="B161" s="153" t="str">
        <f>IF(IF(PROCESO!J234&lt;&gt;"",PROCESO!J234,IF(PROCESO!J235&lt;&gt;"",PROCESO!J235,IF(PROCESO!J236&lt;&gt;"",PROCESO!J236,IF(PROCESO!J237&lt;&gt;"",PROCESO!J237,""))))&lt;&gt;"","ENVÍO Guía "&amp;IF(PROCESO!J234&lt;&gt;"",PROCESO!J234,IF(PROCESO!J235&lt;&gt;"",PROCESO!J235,IF(PROCESO!J236&lt;&gt;"",PROCESO!J236,IF(PROCESO!J237&lt;&gt;"",PROCESO!J237,"")))),"")</f>
        <v/>
      </c>
      <c r="C161" s="154"/>
      <c r="D161" s="154" t="str">
        <f>IF(IF(PROCESO!J234&lt;&gt;"",PROCESO!J234,IF(PROCESO!J235&lt;&gt;"",PROCESO!J235,IF(PROCESO!J236&lt;&gt;"",PROCESO!J236,IF(PROCESO!J237&lt;&gt;"",PROCESO!J237,""))))&lt;&gt;"",SUMIF(PROCESO!J234:J237,IF(PROCESO!J234&lt;&gt;"",PROCESO!J234,IF(PROCESO!J235&lt;&gt;"",PROCESO!J235,IF(PROCESO!J236&lt;&gt;"",PROCESO!J236,IF(PROCESO!J237&lt;&gt;"",PROCESO!J237,"")))),PROCESO!L234:L237),"")</f>
        <v/>
      </c>
      <c r="E161" s="153" t="str">
        <f>IF(IF(PROCESO!J234&lt;&gt;"",PROCESO!J234,IF(PROCESO!J235&lt;&gt;"",PROCESO!J235,IF(PROCESO!J236&lt;&gt;"",PROCESO!J236,IF(PROCESO!J237&lt;&gt;"",PROCESO!J237,""))))&lt;&gt;"","G-"&amp;IF(PROCESO!J234&lt;&gt;"",PROCESO!J234,IF(PROCESO!J235&lt;&gt;"",PROCESO!J235,IF(PROCESO!J236&lt;&gt;"",PROCESO!J236,IF(PROCESO!J237&lt;&gt;"",PROCESO!J237,"")))),"")</f>
        <v/>
      </c>
      <c r="F161" s="154" t="str">
        <f>IF(IF(PROCESO!J234&lt;&gt;"",PROCESO!J234,IF(PROCESO!J235&lt;&gt;"",PROCESO!J235,IF(PROCESO!J236&lt;&gt;"",PROCESO!J236,IF(PROCESO!J237&lt;&gt;"",PROCESO!J237,""))))&lt;&gt;"",LOOKUP(9.99E+307,F$6:F160)+N(C161)-N(D161),"")</f>
        <v/>
      </c>
      <c r="G161" s="131"/>
      <c r="H161" s="131"/>
      <c r="I161" s="131"/>
      <c r="J161" s="131"/>
    </row>
    <row r="162" spans="1:10" x14ac:dyDescent="0.2">
      <c r="A162" s="155" t="str">
        <f>IF(OR(SUM(PROCESO!M234:M237)&gt;0,SUM(PROCESO!N234:N237)&gt;0),IF(PROCESO!A234="","",PROCESO!A234&amp;IF(COUNTIF(PROCESO!$A$6:A233,PROCESO!A234)&gt;0," (Ped."&amp;(COUNTIF(PROCESO!$A$6:A233,PROCESO!A234)+1)&amp;")","")),"")</f>
        <v/>
      </c>
      <c r="B162" s="155" t="str">
        <f>IF(OR(SUM(PROCESO!M234:M237)&gt;0,SUM(PROCESO!N234:N237)&gt;0),"REPROCESO (devolución)","")</f>
        <v/>
      </c>
      <c r="C162" s="156" t="str">
        <f>IF(OR(SUM(PROCESO!M234:M237)&gt;0,SUM(PROCESO!N234:N237)&gt;0),SUM(PROCESO!N234:N237),"")</f>
        <v/>
      </c>
      <c r="D162" s="156"/>
      <c r="E162" s="155" t="str">
        <f>IF(OR(SUM(PROCESO!M234:M237)&gt;0,SUM(PROCESO!N234:N237)&gt;0),IF(SUM(PROCESO!M234:M237)&gt;0,SUM(PROCESO!M234:M237)&amp;" jabas devueltas · merma "&amp;TEXT((PROCESO!M234*15+PROCESO!M235*18+PROCESO!M236*17+PROCESO!M237*17)-SUM(PROCESO!N234:N237),"+#,##0;-#,##0;0")&amp;" kg",""),"")</f>
        <v/>
      </c>
      <c r="F162" s="156" t="str">
        <f>IF(OR(SUM(PROCESO!M234:M237)&gt;0,SUM(PROCESO!N234:N237)&gt;0),LOOKUP(9.99E+307,F$6:F161)+N(C162)-N(D162),"")</f>
        <v/>
      </c>
      <c r="G162" s="131"/>
      <c r="H162" s="131"/>
      <c r="I162" s="131"/>
      <c r="J162" s="131"/>
    </row>
    <row r="163" spans="1:10" x14ac:dyDescent="0.2">
      <c r="A163" s="147" t="str">
        <f>IF(PROCESO!D240&gt;0,IF(PROCESO!A240="","",PROCESO!A240&amp;IF(COUNTIF(PROCESO!$A$6:A239,PROCESO!A240)&gt;0," (Ped."&amp;(COUNTIF(PROCESO!$A$6:A239,PROCESO!A240)+1)&amp;")","")),"")</f>
        <v/>
      </c>
      <c r="B163" s="147" t="str">
        <f>IF(PROCESO!D240&gt;0,"INGRESO (compra)","")</f>
        <v/>
      </c>
      <c r="C163" s="148" t="str">
        <f>IF(PROCESO!D240&gt;0,PROCESO!D240,"")</f>
        <v/>
      </c>
      <c r="D163" s="148"/>
      <c r="E163" s="147" t="str">
        <f>IF(PROCESO!D240&gt;0,PROCESO!B240&amp;" sacos x "&amp;PROCESO!C240&amp;" kg","")</f>
        <v/>
      </c>
      <c r="F163" s="148" t="str">
        <f>IF(PROCESO!D240&gt;0,LOOKUP(9.99E+307,F$6:F162)+N(C163)-N(D163),"")</f>
        <v/>
      </c>
      <c r="G163" s="131"/>
      <c r="H163" s="131"/>
      <c r="I163" s="131"/>
      <c r="J163" s="131"/>
    </row>
    <row r="164" spans="1:10" x14ac:dyDescent="0.2">
      <c r="A164" s="149" t="str">
        <f>IF(N(PROCESO!H244)&gt;0,IF(PROCESO!A240="","",PROCESO!A240&amp;IF(COUNTIF(PROCESO!$A$6:A239,PROCESO!A240)&gt;0," (Ped."&amp;(COUNTIF(PROCESO!$A$6:A239,PROCESO!A240)+1)&amp;")","")),"")</f>
        <v/>
      </c>
      <c r="B164" s="149" t="str">
        <f>IF(N(PROCESO!H244)&gt;0,"CHANCHO (proceso)","")</f>
        <v/>
      </c>
      <c r="C164" s="150"/>
      <c r="D164" s="150" t="str">
        <f>IF(N(PROCESO!H244)&gt;0,N(PROCESO!H244),"")</f>
        <v/>
      </c>
      <c r="E164" s="149" t="str">
        <f>IF(N(PROCESO!H244)&gt;0,PROCESO!G244&amp;" sacos x 95 kg","")</f>
        <v/>
      </c>
      <c r="F164" s="150" t="str">
        <f>IF(N(PROCESO!H244)&gt;0,LOOKUP(9.99E+307,F$6:F163)+N(C164)-N(D164),"")</f>
        <v/>
      </c>
      <c r="G164" s="131"/>
      <c r="H164" s="131"/>
      <c r="I164" s="131"/>
      <c r="J164" s="131"/>
    </row>
    <row r="165" spans="1:10" x14ac:dyDescent="0.2">
      <c r="A165" s="151" t="str">
        <f>IF(N(PROCESO!H245)&gt;0,IF(PROCESO!A240="","",PROCESO!A240&amp;IF(COUNTIF(PROCESO!$A$6:A239,PROCESO!A240)&gt;0," (Ped."&amp;(COUNTIF(PROCESO!$A$6:A239,PROCESO!A240)+1)&amp;")","")),"")</f>
        <v/>
      </c>
      <c r="B165" s="151" t="str">
        <f>IF(N(PROCESO!H245)&gt;0,"MALOGRADO","")</f>
        <v/>
      </c>
      <c r="C165" s="152"/>
      <c r="D165" s="152" t="str">
        <f>IF(N(PROCESO!H245)&gt;0,N(PROCESO!H245),"")</f>
        <v/>
      </c>
      <c r="E165" s="151"/>
      <c r="F165" s="152" t="str">
        <f>IF(N(PROCESO!H245)&gt;0,LOOKUP(9.99E+307,F$6:F164)+N(C165)-N(D165),"")</f>
        <v/>
      </c>
      <c r="G165" s="131"/>
      <c r="H165" s="131"/>
      <c r="I165" s="131"/>
      <c r="J165" s="131"/>
    </row>
    <row r="166" spans="1:10" x14ac:dyDescent="0.2">
      <c r="A166" s="153" t="str">
        <f>IF(IF(PROCESO!J240&lt;&gt;"",PROCESO!J240,IF(PROCESO!J241&lt;&gt;"",PROCESO!J241,IF(PROCESO!J242&lt;&gt;"",PROCESO!J242,IF(PROCESO!J243&lt;&gt;"",PROCESO!J243,""))))&lt;&gt;"",IF(PROCESO!A240="","",PROCESO!A240&amp;IF(COUNTIF(PROCESO!$A$6:A239,PROCESO!A240)&gt;0," (Ped."&amp;(COUNTIF(PROCESO!$A$6:A239,PROCESO!A240)+1)&amp;")","")),"")</f>
        <v/>
      </c>
      <c r="B166" s="153" t="str">
        <f>IF(IF(PROCESO!J240&lt;&gt;"",PROCESO!J240,IF(PROCESO!J241&lt;&gt;"",PROCESO!J241,IF(PROCESO!J242&lt;&gt;"",PROCESO!J242,IF(PROCESO!J243&lt;&gt;"",PROCESO!J243,""))))&lt;&gt;"","ENVÍO Guía "&amp;IF(PROCESO!J240&lt;&gt;"",PROCESO!J240,IF(PROCESO!J241&lt;&gt;"",PROCESO!J241,IF(PROCESO!J242&lt;&gt;"",PROCESO!J242,IF(PROCESO!J243&lt;&gt;"",PROCESO!J243,"")))),"")</f>
        <v/>
      </c>
      <c r="C166" s="154"/>
      <c r="D166" s="154" t="str">
        <f>IF(IF(PROCESO!J240&lt;&gt;"",PROCESO!J240,IF(PROCESO!J241&lt;&gt;"",PROCESO!J241,IF(PROCESO!J242&lt;&gt;"",PROCESO!J242,IF(PROCESO!J243&lt;&gt;"",PROCESO!J243,""))))&lt;&gt;"",SUMIF(PROCESO!J240:J243,IF(PROCESO!J240&lt;&gt;"",PROCESO!J240,IF(PROCESO!J241&lt;&gt;"",PROCESO!J241,IF(PROCESO!J242&lt;&gt;"",PROCESO!J242,IF(PROCESO!J243&lt;&gt;"",PROCESO!J243,"")))),PROCESO!L240:L243),"")</f>
        <v/>
      </c>
      <c r="E166" s="153" t="str">
        <f>IF(IF(PROCESO!J240&lt;&gt;"",PROCESO!J240,IF(PROCESO!J241&lt;&gt;"",PROCESO!J241,IF(PROCESO!J242&lt;&gt;"",PROCESO!J242,IF(PROCESO!J243&lt;&gt;"",PROCESO!J243,""))))&lt;&gt;"","G-"&amp;IF(PROCESO!J240&lt;&gt;"",PROCESO!J240,IF(PROCESO!J241&lt;&gt;"",PROCESO!J241,IF(PROCESO!J242&lt;&gt;"",PROCESO!J242,IF(PROCESO!J243&lt;&gt;"",PROCESO!J243,"")))),"")</f>
        <v/>
      </c>
      <c r="F166" s="154" t="str">
        <f>IF(IF(PROCESO!J240&lt;&gt;"",PROCESO!J240,IF(PROCESO!J241&lt;&gt;"",PROCESO!J241,IF(PROCESO!J242&lt;&gt;"",PROCESO!J242,IF(PROCESO!J243&lt;&gt;"",PROCESO!J243,""))))&lt;&gt;"",LOOKUP(9.99E+307,F$6:F165)+N(C166)-N(D166),"")</f>
        <v/>
      </c>
      <c r="G166" s="131"/>
      <c r="H166" s="131"/>
      <c r="I166" s="131"/>
      <c r="J166" s="131"/>
    </row>
    <row r="167" spans="1:10" x14ac:dyDescent="0.2">
      <c r="A167" s="155" t="str">
        <f>IF(OR(SUM(PROCESO!M240:M243)&gt;0,SUM(PROCESO!N240:N243)&gt;0),IF(PROCESO!A240="","",PROCESO!A240&amp;IF(COUNTIF(PROCESO!$A$6:A239,PROCESO!A240)&gt;0," (Ped."&amp;(COUNTIF(PROCESO!$A$6:A239,PROCESO!A240)+1)&amp;")","")),"")</f>
        <v/>
      </c>
      <c r="B167" s="155" t="str">
        <f>IF(OR(SUM(PROCESO!M240:M243)&gt;0,SUM(PROCESO!N240:N243)&gt;0),"REPROCESO (devolución)","")</f>
        <v/>
      </c>
      <c r="C167" s="156" t="str">
        <f>IF(OR(SUM(PROCESO!M240:M243)&gt;0,SUM(PROCESO!N240:N243)&gt;0),SUM(PROCESO!N240:N243),"")</f>
        <v/>
      </c>
      <c r="D167" s="156"/>
      <c r="E167" s="155" t="str">
        <f>IF(OR(SUM(PROCESO!M240:M243)&gt;0,SUM(PROCESO!N240:N243)&gt;0),IF(SUM(PROCESO!M240:M243)&gt;0,SUM(PROCESO!M240:M243)&amp;" jabas devueltas · merma "&amp;TEXT((PROCESO!M240*15+PROCESO!M241*18+PROCESO!M242*17+PROCESO!M243*17)-SUM(PROCESO!N240:N243),"+#,##0;-#,##0;0")&amp;" kg",""),"")</f>
        <v/>
      </c>
      <c r="F167" s="156" t="str">
        <f>IF(OR(SUM(PROCESO!M240:M243)&gt;0,SUM(PROCESO!N240:N243)&gt;0),LOOKUP(9.99E+307,F$6:F166)+N(C167)-N(D167),"")</f>
        <v/>
      </c>
      <c r="G167" s="131"/>
      <c r="H167" s="131"/>
      <c r="I167" s="131"/>
      <c r="J167" s="131"/>
    </row>
    <row r="168" spans="1:10" x14ac:dyDescent="0.2">
      <c r="A168" s="131"/>
      <c r="B168" s="131"/>
      <c r="C168" s="131"/>
      <c r="D168" s="131"/>
      <c r="E168" s="131"/>
      <c r="F168" s="131"/>
      <c r="G168" s="131"/>
      <c r="H168" s="131"/>
      <c r="I168" s="131"/>
      <c r="J168" s="131"/>
    </row>
    <row r="169" spans="1:10" x14ac:dyDescent="0.2">
      <c r="A169" s="131"/>
      <c r="B169" s="131"/>
      <c r="C169" s="131"/>
      <c r="D169" s="131"/>
      <c r="E169" s="131"/>
      <c r="F169" s="131"/>
      <c r="G169" s="131"/>
      <c r="H169" s="131"/>
      <c r="I169" s="131"/>
      <c r="J169" s="131"/>
    </row>
    <row r="170" spans="1:10" x14ac:dyDescent="0.2">
      <c r="A170" s="131"/>
      <c r="B170" s="131"/>
      <c r="C170" s="131"/>
      <c r="D170" s="131"/>
      <c r="E170" s="131"/>
      <c r="F170" s="131"/>
      <c r="G170" s="131"/>
      <c r="H170" s="131"/>
      <c r="I170" s="131"/>
      <c r="J170" s="131"/>
    </row>
    <row r="171" spans="1:10" x14ac:dyDescent="0.2">
      <c r="A171" s="131"/>
      <c r="B171" s="131"/>
      <c r="C171" s="131"/>
      <c r="D171" s="131"/>
      <c r="E171" s="131"/>
      <c r="F171" s="131"/>
      <c r="G171" s="131"/>
      <c r="H171" s="131"/>
      <c r="I171" s="131"/>
      <c r="J171" s="131"/>
    </row>
    <row r="172" spans="1:10" x14ac:dyDescent="0.2">
      <c r="A172" s="131"/>
      <c r="B172" s="131"/>
      <c r="C172" s="131"/>
      <c r="D172" s="131"/>
      <c r="E172" s="131"/>
      <c r="F172" s="131"/>
      <c r="G172" s="131"/>
      <c r="H172" s="131"/>
      <c r="I172" s="131"/>
      <c r="J172" s="131"/>
    </row>
    <row r="173" spans="1:10" x14ac:dyDescent="0.2">
      <c r="A173" s="131"/>
      <c r="B173" s="131"/>
      <c r="C173" s="131"/>
      <c r="D173" s="131"/>
      <c r="E173" s="131"/>
      <c r="F173" s="131"/>
      <c r="G173" s="131"/>
      <c r="H173" s="131"/>
      <c r="I173" s="131"/>
      <c r="J173" s="131"/>
    </row>
    <row r="174" spans="1:10" x14ac:dyDescent="0.2">
      <c r="A174" s="131"/>
      <c r="B174" s="131"/>
      <c r="C174" s="131"/>
      <c r="D174" s="131"/>
      <c r="E174" s="131"/>
      <c r="F174" s="131"/>
      <c r="G174" s="131"/>
      <c r="H174" s="131"/>
      <c r="I174" s="131"/>
      <c r="J174" s="131"/>
    </row>
    <row r="175" spans="1:10" x14ac:dyDescent="0.2">
      <c r="A175" s="131"/>
      <c r="B175" s="131"/>
      <c r="C175" s="131"/>
      <c r="D175" s="131"/>
      <c r="E175" s="131"/>
      <c r="F175" s="131"/>
      <c r="G175" s="131"/>
      <c r="H175" s="131"/>
      <c r="I175" s="131"/>
      <c r="J175" s="131"/>
    </row>
    <row r="176" spans="1:10" x14ac:dyDescent="0.2">
      <c r="A176" s="131"/>
      <c r="B176" s="131"/>
      <c r="C176" s="131"/>
      <c r="D176" s="131"/>
      <c r="E176" s="131"/>
      <c r="F176" s="131"/>
      <c r="G176" s="131"/>
      <c r="H176" s="131"/>
      <c r="I176" s="131"/>
      <c r="J176" s="131"/>
    </row>
    <row r="177" spans="1:10" x14ac:dyDescent="0.2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</row>
    <row r="178" spans="1:10" x14ac:dyDescent="0.2">
      <c r="A178" s="131"/>
      <c r="B178" s="131"/>
      <c r="C178" s="131"/>
      <c r="D178" s="131"/>
      <c r="E178" s="131"/>
      <c r="F178" s="131"/>
      <c r="G178" s="131"/>
      <c r="H178" s="131"/>
      <c r="I178" s="131"/>
      <c r="J178" s="131"/>
    </row>
    <row r="179" spans="1:10" x14ac:dyDescent="0.2">
      <c r="A179" s="131"/>
      <c r="B179" s="131"/>
      <c r="C179" s="131"/>
      <c r="D179" s="131"/>
      <c r="E179" s="131"/>
      <c r="F179" s="131"/>
      <c r="G179" s="131"/>
      <c r="H179" s="131"/>
      <c r="I179" s="131"/>
      <c r="J179" s="131"/>
    </row>
    <row r="180" spans="1:10" x14ac:dyDescent="0.2">
      <c r="A180" s="131"/>
      <c r="B180" s="131"/>
      <c r="C180" s="131"/>
      <c r="D180" s="131"/>
      <c r="E180" s="131"/>
      <c r="F180" s="131"/>
      <c r="G180" s="131"/>
      <c r="H180" s="131"/>
      <c r="I180" s="131"/>
      <c r="J180" s="131"/>
    </row>
    <row r="181" spans="1:10" x14ac:dyDescent="0.2">
      <c r="A181" s="131"/>
      <c r="B181" s="131"/>
      <c r="C181" s="131"/>
      <c r="D181" s="131"/>
      <c r="E181" s="131"/>
      <c r="F181" s="131"/>
      <c r="G181" s="131"/>
      <c r="H181" s="131"/>
      <c r="I181" s="131"/>
      <c r="J181" s="131"/>
    </row>
    <row r="182" spans="1:10" x14ac:dyDescent="0.2">
      <c r="A182" s="131"/>
      <c r="B182" s="131"/>
      <c r="C182" s="131"/>
      <c r="D182" s="131"/>
      <c r="E182" s="131"/>
      <c r="F182" s="131"/>
      <c r="G182" s="131"/>
      <c r="H182" s="131"/>
      <c r="I182" s="131"/>
      <c r="J182" s="131"/>
    </row>
    <row r="183" spans="1:10" x14ac:dyDescent="0.2">
      <c r="A183" s="131"/>
      <c r="B183" s="131"/>
      <c r="C183" s="131"/>
      <c r="D183" s="131"/>
      <c r="E183" s="131"/>
      <c r="F183" s="131"/>
      <c r="G183" s="131"/>
      <c r="H183" s="131"/>
      <c r="I183" s="131"/>
      <c r="J183" s="131"/>
    </row>
    <row r="184" spans="1:10" x14ac:dyDescent="0.2">
      <c r="A184" s="131"/>
      <c r="B184" s="131"/>
      <c r="C184" s="131"/>
      <c r="D184" s="131"/>
      <c r="E184" s="131"/>
      <c r="F184" s="131"/>
      <c r="G184" s="131"/>
      <c r="H184" s="131"/>
      <c r="I184" s="131"/>
      <c r="J184" s="131"/>
    </row>
    <row r="185" spans="1:10" x14ac:dyDescent="0.2">
      <c r="A185" s="131"/>
      <c r="B185" s="131"/>
      <c r="C185" s="131"/>
      <c r="D185" s="131"/>
      <c r="E185" s="131"/>
      <c r="F185" s="131"/>
      <c r="G185" s="131"/>
      <c r="H185" s="131"/>
      <c r="I185" s="131"/>
      <c r="J185" s="131"/>
    </row>
    <row r="186" spans="1:10" x14ac:dyDescent="0.2">
      <c r="A186" s="131"/>
      <c r="B186" s="131"/>
      <c r="C186" s="131"/>
      <c r="D186" s="131"/>
      <c r="E186" s="131"/>
      <c r="F186" s="131"/>
      <c r="G186" s="131"/>
      <c r="H186" s="131"/>
      <c r="I186" s="131"/>
      <c r="J186" s="131"/>
    </row>
    <row r="187" spans="1:10" x14ac:dyDescent="0.2">
      <c r="A187" s="131"/>
      <c r="B187" s="131"/>
      <c r="C187" s="131"/>
      <c r="D187" s="131"/>
      <c r="E187" s="131"/>
      <c r="F187" s="131"/>
      <c r="G187" s="131"/>
      <c r="H187" s="131"/>
      <c r="I187" s="131"/>
      <c r="J187" s="131"/>
    </row>
    <row r="188" spans="1:10" x14ac:dyDescent="0.2">
      <c r="A188" s="131"/>
      <c r="B188" s="131"/>
      <c r="C188" s="131"/>
      <c r="D188" s="131"/>
      <c r="E188" s="131"/>
      <c r="F188" s="131"/>
      <c r="G188" s="131"/>
      <c r="H188" s="131"/>
      <c r="I188" s="131"/>
      <c r="J188" s="131"/>
    </row>
    <row r="189" spans="1:10" x14ac:dyDescent="0.2">
      <c r="A189" s="131"/>
      <c r="B189" s="131"/>
      <c r="C189" s="131"/>
      <c r="D189" s="131"/>
      <c r="E189" s="131"/>
      <c r="F189" s="131"/>
      <c r="G189" s="131"/>
      <c r="H189" s="131"/>
      <c r="I189" s="131"/>
      <c r="J189" s="131"/>
    </row>
    <row r="190" spans="1:10" x14ac:dyDescent="0.2">
      <c r="A190" s="131"/>
      <c r="B190" s="131"/>
      <c r="C190" s="131"/>
      <c r="D190" s="131"/>
      <c r="E190" s="131"/>
      <c r="F190" s="131"/>
      <c r="G190" s="131"/>
      <c r="H190" s="131"/>
      <c r="I190" s="131"/>
      <c r="J190" s="131"/>
    </row>
    <row r="191" spans="1:10" x14ac:dyDescent="0.2">
      <c r="A191" s="131"/>
      <c r="B191" s="131"/>
      <c r="C191" s="131"/>
      <c r="D191" s="131"/>
      <c r="E191" s="131"/>
      <c r="F191" s="131"/>
      <c r="G191" s="131"/>
      <c r="H191" s="131"/>
      <c r="I191" s="131"/>
      <c r="J191" s="131"/>
    </row>
    <row r="192" spans="1:10" x14ac:dyDescent="0.2">
      <c r="A192" s="131"/>
      <c r="B192" s="131"/>
      <c r="C192" s="131"/>
      <c r="D192" s="131"/>
      <c r="E192" s="131"/>
      <c r="F192" s="131"/>
      <c r="G192" s="131"/>
      <c r="H192" s="131"/>
      <c r="I192" s="131"/>
      <c r="J192" s="131"/>
    </row>
    <row r="193" spans="1:10" x14ac:dyDescent="0.2">
      <c r="A193" s="131"/>
      <c r="B193" s="131"/>
      <c r="C193" s="131"/>
      <c r="D193" s="131"/>
      <c r="E193" s="131"/>
      <c r="F193" s="131"/>
      <c r="G193" s="131"/>
      <c r="H193" s="131"/>
      <c r="I193" s="131"/>
      <c r="J193" s="131"/>
    </row>
    <row r="194" spans="1:10" x14ac:dyDescent="0.2">
      <c r="A194" s="131"/>
      <c r="B194" s="131"/>
      <c r="C194" s="131"/>
      <c r="D194" s="131"/>
      <c r="E194" s="131"/>
      <c r="F194" s="131"/>
      <c r="G194" s="131"/>
      <c r="H194" s="131"/>
      <c r="I194" s="131"/>
      <c r="J194" s="131"/>
    </row>
    <row r="195" spans="1:10" x14ac:dyDescent="0.2">
      <c r="A195" s="131"/>
      <c r="B195" s="131"/>
      <c r="C195" s="131"/>
      <c r="D195" s="131"/>
      <c r="E195" s="131"/>
      <c r="F195" s="131"/>
      <c r="G195" s="131"/>
      <c r="H195" s="131"/>
      <c r="I195" s="131"/>
      <c r="J195" s="131"/>
    </row>
    <row r="196" spans="1:10" x14ac:dyDescent="0.2">
      <c r="A196" s="131"/>
      <c r="B196" s="131"/>
      <c r="C196" s="131"/>
      <c r="D196" s="131"/>
      <c r="E196" s="131"/>
      <c r="F196" s="131"/>
      <c r="G196" s="131"/>
      <c r="H196" s="131"/>
      <c r="I196" s="131"/>
      <c r="J196" s="131"/>
    </row>
    <row r="197" spans="1:10" x14ac:dyDescent="0.2">
      <c r="A197" s="131"/>
      <c r="B197" s="131"/>
      <c r="C197" s="131"/>
      <c r="D197" s="131"/>
      <c r="E197" s="131"/>
      <c r="F197" s="131"/>
      <c r="G197" s="131"/>
      <c r="H197" s="131"/>
      <c r="I197" s="131"/>
      <c r="J197" s="131"/>
    </row>
    <row r="198" spans="1:10" x14ac:dyDescent="0.2">
      <c r="A198" s="131"/>
      <c r="B198" s="131"/>
      <c r="C198" s="131"/>
      <c r="D198" s="131"/>
      <c r="E198" s="131"/>
      <c r="F198" s="131"/>
      <c r="G198" s="131"/>
      <c r="H198" s="131"/>
      <c r="I198" s="131"/>
      <c r="J198" s="131"/>
    </row>
    <row r="199" spans="1:10" x14ac:dyDescent="0.2">
      <c r="A199" s="131"/>
      <c r="B199" s="131"/>
      <c r="C199" s="131"/>
      <c r="D199" s="131"/>
      <c r="E199" s="131"/>
      <c r="F199" s="131"/>
      <c r="G199" s="131"/>
      <c r="H199" s="131"/>
      <c r="I199" s="131"/>
      <c r="J199" s="131"/>
    </row>
    <row r="200" spans="1:10" x14ac:dyDescent="0.2">
      <c r="A200" s="131"/>
      <c r="B200" s="131"/>
      <c r="C200" s="131"/>
      <c r="D200" s="131"/>
      <c r="E200" s="131"/>
      <c r="F200" s="131"/>
      <c r="G200" s="131"/>
      <c r="H200" s="131"/>
      <c r="I200" s="131"/>
      <c r="J200" s="131"/>
    </row>
    <row r="201" spans="1:10" x14ac:dyDescent="0.2">
      <c r="A201" s="131"/>
      <c r="B201" s="131"/>
      <c r="C201" s="131"/>
      <c r="D201" s="131"/>
      <c r="E201" s="131"/>
      <c r="F201" s="131"/>
      <c r="G201" s="131"/>
      <c r="H201" s="131"/>
      <c r="I201" s="131"/>
      <c r="J201" s="131"/>
    </row>
    <row r="202" spans="1:10" x14ac:dyDescent="0.2">
      <c r="A202" s="131"/>
      <c r="B202" s="131"/>
      <c r="C202" s="131"/>
      <c r="D202" s="131"/>
      <c r="E202" s="131"/>
      <c r="F202" s="131"/>
      <c r="G202" s="131"/>
      <c r="H202" s="131"/>
      <c r="I202" s="131"/>
      <c r="J202" s="131"/>
    </row>
    <row r="203" spans="1:10" x14ac:dyDescent="0.2">
      <c r="A203" s="131"/>
      <c r="B203" s="131"/>
      <c r="C203" s="131"/>
      <c r="D203" s="131"/>
      <c r="E203" s="131"/>
      <c r="F203" s="131"/>
      <c r="G203" s="131"/>
      <c r="H203" s="131"/>
      <c r="I203" s="131"/>
      <c r="J203" s="131"/>
    </row>
    <row r="204" spans="1:10" x14ac:dyDescent="0.2">
      <c r="A204" s="131"/>
      <c r="B204" s="131"/>
      <c r="C204" s="131"/>
      <c r="D204" s="131"/>
      <c r="E204" s="131"/>
      <c r="F204" s="131"/>
      <c r="G204" s="131"/>
      <c r="H204" s="131"/>
      <c r="I204" s="131"/>
      <c r="J204" s="131"/>
    </row>
    <row r="205" spans="1:10" x14ac:dyDescent="0.2">
      <c r="A205" s="131"/>
      <c r="B205" s="131"/>
      <c r="C205" s="131"/>
      <c r="D205" s="131"/>
      <c r="E205" s="131"/>
      <c r="F205" s="131"/>
      <c r="G205" s="131"/>
      <c r="H205" s="131"/>
      <c r="I205" s="131"/>
      <c r="J205" s="131"/>
    </row>
    <row r="206" spans="1:10" x14ac:dyDescent="0.2">
      <c r="A206" s="131"/>
      <c r="B206" s="131"/>
      <c r="C206" s="131"/>
      <c r="D206" s="131"/>
      <c r="E206" s="131"/>
      <c r="F206" s="131"/>
      <c r="G206" s="131"/>
      <c r="H206" s="131"/>
      <c r="I206" s="131"/>
      <c r="J206" s="131"/>
    </row>
    <row r="207" spans="1:10" x14ac:dyDescent="0.2">
      <c r="A207" s="131"/>
      <c r="B207" s="131"/>
      <c r="C207" s="131"/>
      <c r="D207" s="131"/>
      <c r="E207" s="131"/>
      <c r="F207" s="131"/>
      <c r="G207" s="131"/>
      <c r="H207" s="131"/>
      <c r="I207" s="131"/>
      <c r="J207" s="131"/>
    </row>
    <row r="208" spans="1:10" x14ac:dyDescent="0.2">
      <c r="A208" s="131"/>
      <c r="B208" s="131"/>
      <c r="C208" s="131"/>
      <c r="D208" s="131"/>
      <c r="E208" s="131"/>
      <c r="F208" s="131"/>
      <c r="G208" s="131"/>
      <c r="H208" s="131"/>
      <c r="I208" s="131"/>
      <c r="J208" s="131"/>
    </row>
    <row r="209" spans="1:10" x14ac:dyDescent="0.2">
      <c r="A209" s="131"/>
      <c r="B209" s="131"/>
      <c r="C209" s="131"/>
      <c r="D209" s="131"/>
      <c r="E209" s="131"/>
      <c r="F209" s="131"/>
      <c r="G209" s="131"/>
      <c r="H209" s="131"/>
      <c r="I209" s="131"/>
      <c r="J209" s="131"/>
    </row>
    <row r="210" spans="1:10" x14ac:dyDescent="0.2">
      <c r="A210" s="131"/>
      <c r="B210" s="131"/>
      <c r="C210" s="131"/>
      <c r="D210" s="131"/>
      <c r="E210" s="131"/>
      <c r="F210" s="131"/>
      <c r="G210" s="131"/>
      <c r="H210" s="131"/>
      <c r="I210" s="131"/>
      <c r="J210" s="131"/>
    </row>
    <row r="211" spans="1:10" x14ac:dyDescent="0.2">
      <c r="A211" s="131"/>
      <c r="B211" s="131"/>
      <c r="C211" s="131"/>
      <c r="D211" s="131"/>
      <c r="E211" s="131"/>
      <c r="F211" s="131"/>
      <c r="G211" s="131"/>
      <c r="H211" s="131"/>
      <c r="I211" s="131"/>
      <c r="J211" s="131"/>
    </row>
    <row r="212" spans="1:10" x14ac:dyDescent="0.2">
      <c r="A212" s="131"/>
      <c r="B212" s="131"/>
      <c r="C212" s="131"/>
      <c r="D212" s="131"/>
      <c r="E212" s="131"/>
      <c r="F212" s="131"/>
      <c r="G212" s="131"/>
      <c r="H212" s="131"/>
      <c r="I212" s="131"/>
      <c r="J212" s="131"/>
    </row>
    <row r="213" spans="1:10" x14ac:dyDescent="0.2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</row>
    <row r="214" spans="1:10" x14ac:dyDescent="0.2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</row>
    <row r="215" spans="1:10" x14ac:dyDescent="0.2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</row>
    <row r="216" spans="1:10" x14ac:dyDescent="0.2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</row>
    <row r="217" spans="1:10" x14ac:dyDescent="0.2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</row>
    <row r="218" spans="1:10" x14ac:dyDescent="0.2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</row>
    <row r="219" spans="1:10" x14ac:dyDescent="0.2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</row>
    <row r="220" spans="1:10" x14ac:dyDescent="0.2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</row>
    <row r="221" spans="1:10" x14ac:dyDescent="0.2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</row>
    <row r="222" spans="1:10" x14ac:dyDescent="0.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</row>
    <row r="223" spans="1:10" x14ac:dyDescent="0.2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</row>
    <row r="224" spans="1:10" x14ac:dyDescent="0.2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</row>
    <row r="225" spans="1:10" x14ac:dyDescent="0.2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</row>
    <row r="226" spans="1:10" x14ac:dyDescent="0.2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</row>
    <row r="227" spans="1:10" x14ac:dyDescent="0.2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</row>
    <row r="228" spans="1:10" x14ac:dyDescent="0.2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</row>
    <row r="229" spans="1:10" x14ac:dyDescent="0.2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</row>
    <row r="230" spans="1:10" x14ac:dyDescent="0.2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</row>
    <row r="231" spans="1:10" x14ac:dyDescent="0.2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</row>
    <row r="232" spans="1:10" x14ac:dyDescent="0.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</row>
    <row r="233" spans="1:10" x14ac:dyDescent="0.2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</row>
    <row r="234" spans="1:10" x14ac:dyDescent="0.2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</row>
    <row r="235" spans="1:10" x14ac:dyDescent="0.2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</row>
    <row r="236" spans="1:10" x14ac:dyDescent="0.2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</row>
    <row r="237" spans="1:10" x14ac:dyDescent="0.2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</row>
    <row r="238" spans="1:10" x14ac:dyDescent="0.2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</row>
    <row r="239" spans="1:10" x14ac:dyDescent="0.2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</row>
    <row r="240" spans="1:10" x14ac:dyDescent="0.2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</row>
    <row r="241" spans="1:10" x14ac:dyDescent="0.2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</row>
    <row r="242" spans="1:10" x14ac:dyDescent="0.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</row>
    <row r="243" spans="1:10" x14ac:dyDescent="0.2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</row>
    <row r="244" spans="1:10" x14ac:dyDescent="0.2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</row>
    <row r="245" spans="1:10" x14ac:dyDescent="0.2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</row>
    <row r="246" spans="1:10" x14ac:dyDescent="0.2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</row>
    <row r="247" spans="1:10" x14ac:dyDescent="0.2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</row>
    <row r="248" spans="1:10" x14ac:dyDescent="0.2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</row>
    <row r="249" spans="1:10" x14ac:dyDescent="0.2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</row>
    <row r="250" spans="1:10" x14ac:dyDescent="0.2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</row>
    <row r="251" spans="1:10" x14ac:dyDescent="0.2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</row>
    <row r="252" spans="1:10" x14ac:dyDescent="0.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</row>
    <row r="253" spans="1:10" x14ac:dyDescent="0.2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</row>
    <row r="254" spans="1:10" x14ac:dyDescent="0.2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</row>
    <row r="255" spans="1:10" x14ac:dyDescent="0.2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</row>
    <row r="256" spans="1:10" x14ac:dyDescent="0.2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</row>
    <row r="257" spans="1:10" x14ac:dyDescent="0.2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</row>
    <row r="258" spans="1:10" x14ac:dyDescent="0.2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</row>
    <row r="259" spans="1:10" x14ac:dyDescent="0.2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</row>
    <row r="260" spans="1:10" x14ac:dyDescent="0.2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</row>
    <row r="261" spans="1:10" x14ac:dyDescent="0.2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</row>
    <row r="262" spans="1:10" x14ac:dyDescent="0.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</row>
    <row r="263" spans="1:10" x14ac:dyDescent="0.2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</row>
    <row r="264" spans="1:10" x14ac:dyDescent="0.2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</row>
    <row r="265" spans="1:10" x14ac:dyDescent="0.2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</row>
    <row r="266" spans="1:10" x14ac:dyDescent="0.2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</row>
    <row r="267" spans="1:10" x14ac:dyDescent="0.2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</row>
    <row r="268" spans="1:10" x14ac:dyDescent="0.2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</row>
    <row r="269" spans="1:10" x14ac:dyDescent="0.2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</row>
    <row r="270" spans="1:10" x14ac:dyDescent="0.2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</row>
    <row r="271" spans="1:10" x14ac:dyDescent="0.2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</row>
    <row r="272" spans="1:10" x14ac:dyDescent="0.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</row>
    <row r="273" spans="1:10" x14ac:dyDescent="0.2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</row>
    <row r="274" spans="1:10" x14ac:dyDescent="0.2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</row>
    <row r="275" spans="1:10" x14ac:dyDescent="0.2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</row>
    <row r="276" spans="1:10" x14ac:dyDescent="0.2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</row>
    <row r="277" spans="1:10" x14ac:dyDescent="0.2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</row>
    <row r="278" spans="1:10" x14ac:dyDescent="0.2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</row>
    <row r="279" spans="1:10" x14ac:dyDescent="0.2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</row>
    <row r="280" spans="1:10" x14ac:dyDescent="0.2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</row>
    <row r="281" spans="1:10" x14ac:dyDescent="0.2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</row>
    <row r="282" spans="1:10" x14ac:dyDescent="0.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</row>
    <row r="283" spans="1:10" x14ac:dyDescent="0.2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</row>
    <row r="284" spans="1:10" x14ac:dyDescent="0.2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</row>
    <row r="285" spans="1:10" x14ac:dyDescent="0.2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</row>
    <row r="286" spans="1:10" x14ac:dyDescent="0.2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</row>
    <row r="287" spans="1:10" x14ac:dyDescent="0.2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</row>
    <row r="288" spans="1:10" x14ac:dyDescent="0.2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</row>
    <row r="289" spans="1:10" x14ac:dyDescent="0.2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</row>
    <row r="290" spans="1:10" x14ac:dyDescent="0.2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</row>
    <row r="291" spans="1:10" x14ac:dyDescent="0.2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</row>
    <row r="292" spans="1:10" x14ac:dyDescent="0.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</row>
    <row r="293" spans="1:10" x14ac:dyDescent="0.2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</row>
    <row r="294" spans="1:10" x14ac:dyDescent="0.2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</row>
    <row r="295" spans="1:10" x14ac:dyDescent="0.2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</row>
    <row r="296" spans="1:10" x14ac:dyDescent="0.2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</row>
    <row r="297" spans="1:10" x14ac:dyDescent="0.2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</row>
    <row r="298" spans="1:10" x14ac:dyDescent="0.2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</row>
    <row r="299" spans="1:10" x14ac:dyDescent="0.2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</row>
    <row r="300" spans="1:10" x14ac:dyDescent="0.2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</row>
  </sheetData>
  <autoFilter ref="A5:F167" xr:uid="{00000000-0009-0000-0000-000001000000}"/>
  <mergeCells count="2">
    <mergeCell ref="A1:F1"/>
    <mergeCell ref="A2:F2"/>
  </mergeCells>
  <conditionalFormatting sqref="A48:F48">
    <cfRule type="expression" dxfId="119" priority="2">
      <formula>$A48&lt;&gt;""</formula>
    </cfRule>
  </conditionalFormatting>
  <conditionalFormatting sqref="A49:F49">
    <cfRule type="expression" dxfId="118" priority="3">
      <formula>$A49&lt;&gt;""</formula>
    </cfRule>
  </conditionalFormatting>
  <conditionalFormatting sqref="A50:F50">
    <cfRule type="expression" dxfId="117" priority="4">
      <formula>$A50&lt;&gt;""</formula>
    </cfRule>
  </conditionalFormatting>
  <conditionalFormatting sqref="A51:F51">
    <cfRule type="expression" dxfId="116" priority="5">
      <formula>$A51&lt;&gt;""</formula>
    </cfRule>
  </conditionalFormatting>
  <conditionalFormatting sqref="A52:F52">
    <cfRule type="expression" dxfId="115" priority="6">
      <formula>$A52&lt;&gt;""</formula>
    </cfRule>
  </conditionalFormatting>
  <conditionalFormatting sqref="A53:F53">
    <cfRule type="expression" dxfId="114" priority="7">
      <formula>$A53&lt;&gt;""</formula>
    </cfRule>
  </conditionalFormatting>
  <conditionalFormatting sqref="A54:F54">
    <cfRule type="expression" dxfId="113" priority="8">
      <formula>$A54&lt;&gt;""</formula>
    </cfRule>
  </conditionalFormatting>
  <conditionalFormatting sqref="A55:F55">
    <cfRule type="expression" dxfId="112" priority="9">
      <formula>$A55&lt;&gt;""</formula>
    </cfRule>
  </conditionalFormatting>
  <conditionalFormatting sqref="A56:F56">
    <cfRule type="expression" dxfId="111" priority="10">
      <formula>$A56&lt;&gt;""</formula>
    </cfRule>
  </conditionalFormatting>
  <conditionalFormatting sqref="A57:F57">
    <cfRule type="expression" dxfId="110" priority="11">
      <formula>$A57&lt;&gt;""</formula>
    </cfRule>
  </conditionalFormatting>
  <conditionalFormatting sqref="A58:F58">
    <cfRule type="expression" dxfId="109" priority="12">
      <formula>$A58&lt;&gt;""</formula>
    </cfRule>
  </conditionalFormatting>
  <conditionalFormatting sqref="A59:F59">
    <cfRule type="expression" dxfId="108" priority="13">
      <formula>$A59&lt;&gt;""</formula>
    </cfRule>
  </conditionalFormatting>
  <conditionalFormatting sqref="A60:F60">
    <cfRule type="expression" dxfId="107" priority="14">
      <formula>$A60&lt;&gt;""</formula>
    </cfRule>
  </conditionalFormatting>
  <conditionalFormatting sqref="A61:F61">
    <cfRule type="expression" dxfId="106" priority="15">
      <formula>$A61&lt;&gt;""</formula>
    </cfRule>
  </conditionalFormatting>
  <conditionalFormatting sqref="A62:F62">
    <cfRule type="expression" dxfId="105" priority="16">
      <formula>$A62&lt;&gt;""</formula>
    </cfRule>
  </conditionalFormatting>
  <conditionalFormatting sqref="A63:F63">
    <cfRule type="expression" dxfId="104" priority="17">
      <formula>$A63&lt;&gt;""</formula>
    </cfRule>
  </conditionalFormatting>
  <conditionalFormatting sqref="A64:F64">
    <cfRule type="expression" dxfId="103" priority="18">
      <formula>$A64&lt;&gt;""</formula>
    </cfRule>
  </conditionalFormatting>
  <conditionalFormatting sqref="A65:F65">
    <cfRule type="expression" dxfId="102" priority="19">
      <formula>$A65&lt;&gt;""</formula>
    </cfRule>
  </conditionalFormatting>
  <conditionalFormatting sqref="A66:F66">
    <cfRule type="expression" dxfId="101" priority="20">
      <formula>$A66&lt;&gt;""</formula>
    </cfRule>
  </conditionalFormatting>
  <conditionalFormatting sqref="A67:F67">
    <cfRule type="expression" dxfId="100" priority="21">
      <formula>$A67&lt;&gt;""</formula>
    </cfRule>
  </conditionalFormatting>
  <conditionalFormatting sqref="A68:F68">
    <cfRule type="expression" dxfId="99" priority="22">
      <formula>$A68&lt;&gt;""</formula>
    </cfRule>
  </conditionalFormatting>
  <conditionalFormatting sqref="A69:F69">
    <cfRule type="expression" dxfId="98" priority="23">
      <formula>$A69&lt;&gt;""</formula>
    </cfRule>
  </conditionalFormatting>
  <conditionalFormatting sqref="A70:F70">
    <cfRule type="expression" dxfId="97" priority="24">
      <formula>$A70&lt;&gt;""</formula>
    </cfRule>
  </conditionalFormatting>
  <conditionalFormatting sqref="A71:F71">
    <cfRule type="expression" dxfId="96" priority="25">
      <formula>$A71&lt;&gt;""</formula>
    </cfRule>
  </conditionalFormatting>
  <conditionalFormatting sqref="A72:F72">
    <cfRule type="expression" dxfId="95" priority="26">
      <formula>$A72&lt;&gt;""</formula>
    </cfRule>
  </conditionalFormatting>
  <conditionalFormatting sqref="A73:F73">
    <cfRule type="expression" dxfId="94" priority="27">
      <formula>$A73&lt;&gt;""</formula>
    </cfRule>
  </conditionalFormatting>
  <conditionalFormatting sqref="A74:F74">
    <cfRule type="expression" dxfId="93" priority="28">
      <formula>$A74&lt;&gt;""</formula>
    </cfRule>
  </conditionalFormatting>
  <conditionalFormatting sqref="A75:F75">
    <cfRule type="expression" dxfId="92" priority="29">
      <formula>$A75&lt;&gt;""</formula>
    </cfRule>
  </conditionalFormatting>
  <conditionalFormatting sqref="A76:F76">
    <cfRule type="expression" dxfId="91" priority="30">
      <formula>$A76&lt;&gt;""</formula>
    </cfRule>
  </conditionalFormatting>
  <conditionalFormatting sqref="A77:F77">
    <cfRule type="expression" dxfId="90" priority="31">
      <formula>$A77&lt;&gt;""</formula>
    </cfRule>
  </conditionalFormatting>
  <conditionalFormatting sqref="A78:F78">
    <cfRule type="expression" dxfId="89" priority="32">
      <formula>$A78&lt;&gt;""</formula>
    </cfRule>
  </conditionalFormatting>
  <conditionalFormatting sqref="A79:F79">
    <cfRule type="expression" dxfId="88" priority="33">
      <formula>$A79&lt;&gt;""</formula>
    </cfRule>
  </conditionalFormatting>
  <conditionalFormatting sqref="A80:F80">
    <cfRule type="expression" dxfId="87" priority="34">
      <formula>$A80&lt;&gt;""</formula>
    </cfRule>
  </conditionalFormatting>
  <conditionalFormatting sqref="A81:F81">
    <cfRule type="expression" dxfId="86" priority="35">
      <formula>$A81&lt;&gt;""</formula>
    </cfRule>
  </conditionalFormatting>
  <conditionalFormatting sqref="A82:F82">
    <cfRule type="expression" dxfId="85" priority="36">
      <formula>$A82&lt;&gt;""</formula>
    </cfRule>
  </conditionalFormatting>
  <conditionalFormatting sqref="A83:F83">
    <cfRule type="expression" dxfId="84" priority="37">
      <formula>$A83&lt;&gt;""</formula>
    </cfRule>
  </conditionalFormatting>
  <conditionalFormatting sqref="A84:F84">
    <cfRule type="expression" dxfId="83" priority="38">
      <formula>$A84&lt;&gt;""</formula>
    </cfRule>
  </conditionalFormatting>
  <conditionalFormatting sqref="A85:F85">
    <cfRule type="expression" dxfId="82" priority="39">
      <formula>$A85&lt;&gt;""</formula>
    </cfRule>
  </conditionalFormatting>
  <conditionalFormatting sqref="A86:F86">
    <cfRule type="expression" dxfId="81" priority="40">
      <formula>$A86&lt;&gt;""</formula>
    </cfRule>
  </conditionalFormatting>
  <conditionalFormatting sqref="A87:F87">
    <cfRule type="expression" dxfId="80" priority="41">
      <formula>$A87&lt;&gt;""</formula>
    </cfRule>
  </conditionalFormatting>
  <conditionalFormatting sqref="A88:F88">
    <cfRule type="expression" dxfId="79" priority="42">
      <formula>$A88&lt;&gt;""</formula>
    </cfRule>
  </conditionalFormatting>
  <conditionalFormatting sqref="A89:F89">
    <cfRule type="expression" dxfId="78" priority="43">
      <formula>$A89&lt;&gt;""</formula>
    </cfRule>
  </conditionalFormatting>
  <conditionalFormatting sqref="A90:F90">
    <cfRule type="expression" dxfId="77" priority="44">
      <formula>$A90&lt;&gt;""</formula>
    </cfRule>
  </conditionalFormatting>
  <conditionalFormatting sqref="A91:F91">
    <cfRule type="expression" dxfId="76" priority="45">
      <formula>$A91&lt;&gt;""</formula>
    </cfRule>
  </conditionalFormatting>
  <conditionalFormatting sqref="A92:F92">
    <cfRule type="expression" dxfId="75" priority="46">
      <formula>$A92&lt;&gt;""</formula>
    </cfRule>
  </conditionalFormatting>
  <conditionalFormatting sqref="A93:F93">
    <cfRule type="expression" dxfId="74" priority="47">
      <formula>$A93&lt;&gt;""</formula>
    </cfRule>
  </conditionalFormatting>
  <conditionalFormatting sqref="A94:F94">
    <cfRule type="expression" dxfId="73" priority="48">
      <formula>$A94&lt;&gt;""</formula>
    </cfRule>
  </conditionalFormatting>
  <conditionalFormatting sqref="A95:F95">
    <cfRule type="expression" dxfId="72" priority="49">
      <formula>$A95&lt;&gt;""</formula>
    </cfRule>
  </conditionalFormatting>
  <conditionalFormatting sqref="A96:F96">
    <cfRule type="expression" dxfId="71" priority="50">
      <formula>$A96&lt;&gt;""</formula>
    </cfRule>
  </conditionalFormatting>
  <conditionalFormatting sqref="A97:F97">
    <cfRule type="expression" dxfId="70" priority="51">
      <formula>$A97&lt;&gt;""</formula>
    </cfRule>
  </conditionalFormatting>
  <conditionalFormatting sqref="A98:F98">
    <cfRule type="expression" dxfId="69" priority="52">
      <formula>$A98&lt;&gt;""</formula>
    </cfRule>
  </conditionalFormatting>
  <conditionalFormatting sqref="A99:F99">
    <cfRule type="expression" dxfId="68" priority="53">
      <formula>$A99&lt;&gt;""</formula>
    </cfRule>
  </conditionalFormatting>
  <conditionalFormatting sqref="A100:F100">
    <cfRule type="expression" dxfId="67" priority="54">
      <formula>$A100&lt;&gt;""</formula>
    </cfRule>
  </conditionalFormatting>
  <conditionalFormatting sqref="A101:F101">
    <cfRule type="expression" dxfId="66" priority="55">
      <formula>$A101&lt;&gt;""</formula>
    </cfRule>
  </conditionalFormatting>
  <conditionalFormatting sqref="A102:F102">
    <cfRule type="expression" dxfId="65" priority="56">
      <formula>$A102&lt;&gt;""</formula>
    </cfRule>
  </conditionalFormatting>
  <conditionalFormatting sqref="A103:F103">
    <cfRule type="expression" dxfId="64" priority="57">
      <formula>$A103&lt;&gt;""</formula>
    </cfRule>
  </conditionalFormatting>
  <conditionalFormatting sqref="A104:F104">
    <cfRule type="expression" dxfId="63" priority="58">
      <formula>$A104&lt;&gt;""</formula>
    </cfRule>
  </conditionalFormatting>
  <conditionalFormatting sqref="A105:F105">
    <cfRule type="expression" dxfId="62" priority="59">
      <formula>$A105&lt;&gt;""</formula>
    </cfRule>
  </conditionalFormatting>
  <conditionalFormatting sqref="A106:F106">
    <cfRule type="expression" dxfId="61" priority="60">
      <formula>$A106&lt;&gt;""</formula>
    </cfRule>
  </conditionalFormatting>
  <conditionalFormatting sqref="A107:F107">
    <cfRule type="expression" dxfId="60" priority="61">
      <formula>$A107&lt;&gt;""</formula>
    </cfRule>
  </conditionalFormatting>
  <conditionalFormatting sqref="A108:F108">
    <cfRule type="expression" dxfId="59" priority="62">
      <formula>$A108&lt;&gt;""</formula>
    </cfRule>
  </conditionalFormatting>
  <conditionalFormatting sqref="A109:F109">
    <cfRule type="expression" dxfId="58" priority="63">
      <formula>$A109&lt;&gt;""</formula>
    </cfRule>
  </conditionalFormatting>
  <conditionalFormatting sqref="A110:F110">
    <cfRule type="expression" dxfId="57" priority="64">
      <formula>$A110&lt;&gt;""</formula>
    </cfRule>
  </conditionalFormatting>
  <conditionalFormatting sqref="A111:F111">
    <cfRule type="expression" dxfId="56" priority="65">
      <formula>$A111&lt;&gt;""</formula>
    </cfRule>
  </conditionalFormatting>
  <conditionalFormatting sqref="A112:F112">
    <cfRule type="expression" dxfId="55" priority="66">
      <formula>$A112&lt;&gt;""</formula>
    </cfRule>
  </conditionalFormatting>
  <conditionalFormatting sqref="A113:F113">
    <cfRule type="expression" dxfId="54" priority="67">
      <formula>$A113&lt;&gt;""</formula>
    </cfRule>
  </conditionalFormatting>
  <conditionalFormatting sqref="A114:F114">
    <cfRule type="expression" dxfId="53" priority="68">
      <formula>$A114&lt;&gt;""</formula>
    </cfRule>
  </conditionalFormatting>
  <conditionalFormatting sqref="A115:F115">
    <cfRule type="expression" dxfId="52" priority="69">
      <formula>$A115&lt;&gt;""</formula>
    </cfRule>
  </conditionalFormatting>
  <conditionalFormatting sqref="A116:F116">
    <cfRule type="expression" dxfId="51" priority="70">
      <formula>$A116&lt;&gt;""</formula>
    </cfRule>
  </conditionalFormatting>
  <conditionalFormatting sqref="A117:F117">
    <cfRule type="expression" dxfId="50" priority="71">
      <formula>$A117&lt;&gt;""</formula>
    </cfRule>
  </conditionalFormatting>
  <conditionalFormatting sqref="A118:F118">
    <cfRule type="expression" dxfId="49" priority="72">
      <formula>$A118&lt;&gt;""</formula>
    </cfRule>
  </conditionalFormatting>
  <conditionalFormatting sqref="A119:F119">
    <cfRule type="expression" dxfId="48" priority="73">
      <formula>$A119&lt;&gt;""</formula>
    </cfRule>
  </conditionalFormatting>
  <conditionalFormatting sqref="A120:F120">
    <cfRule type="expression" dxfId="47" priority="74">
      <formula>$A120&lt;&gt;""</formula>
    </cfRule>
  </conditionalFormatting>
  <conditionalFormatting sqref="A121:F121">
    <cfRule type="expression" dxfId="46" priority="75">
      <formula>$A121&lt;&gt;""</formula>
    </cfRule>
  </conditionalFormatting>
  <conditionalFormatting sqref="A122:F122">
    <cfRule type="expression" dxfId="45" priority="76">
      <formula>$A122&lt;&gt;""</formula>
    </cfRule>
  </conditionalFormatting>
  <conditionalFormatting sqref="A123:F123">
    <cfRule type="expression" dxfId="44" priority="77">
      <formula>$A123&lt;&gt;""</formula>
    </cfRule>
  </conditionalFormatting>
  <conditionalFormatting sqref="A124:F124">
    <cfRule type="expression" dxfId="43" priority="78">
      <formula>$A124&lt;&gt;""</formula>
    </cfRule>
  </conditionalFormatting>
  <conditionalFormatting sqref="A125:F125">
    <cfRule type="expression" dxfId="42" priority="79">
      <formula>$A125&lt;&gt;""</formula>
    </cfRule>
  </conditionalFormatting>
  <conditionalFormatting sqref="A126:F126">
    <cfRule type="expression" dxfId="41" priority="80">
      <formula>$A126&lt;&gt;""</formula>
    </cfRule>
  </conditionalFormatting>
  <conditionalFormatting sqref="A127:F127">
    <cfRule type="expression" dxfId="40" priority="81">
      <formula>$A127&lt;&gt;""</formula>
    </cfRule>
  </conditionalFormatting>
  <conditionalFormatting sqref="A128:F128">
    <cfRule type="expression" dxfId="39" priority="82">
      <formula>$A128&lt;&gt;""</formula>
    </cfRule>
  </conditionalFormatting>
  <conditionalFormatting sqref="A129:F129">
    <cfRule type="expression" dxfId="38" priority="83">
      <formula>$A129&lt;&gt;""</formula>
    </cfRule>
  </conditionalFormatting>
  <conditionalFormatting sqref="A130:F130">
    <cfRule type="expression" dxfId="37" priority="84">
      <formula>$A130&lt;&gt;""</formula>
    </cfRule>
  </conditionalFormatting>
  <conditionalFormatting sqref="A131:F131">
    <cfRule type="expression" dxfId="36" priority="85">
      <formula>$A131&lt;&gt;""</formula>
    </cfRule>
  </conditionalFormatting>
  <conditionalFormatting sqref="A132:F132">
    <cfRule type="expression" dxfId="35" priority="86">
      <formula>$A132&lt;&gt;""</formula>
    </cfRule>
  </conditionalFormatting>
  <conditionalFormatting sqref="A133:F133">
    <cfRule type="expression" dxfId="34" priority="87">
      <formula>$A133&lt;&gt;""</formula>
    </cfRule>
  </conditionalFormatting>
  <conditionalFormatting sqref="A134:F134">
    <cfRule type="expression" dxfId="33" priority="88">
      <formula>$A134&lt;&gt;""</formula>
    </cfRule>
  </conditionalFormatting>
  <conditionalFormatting sqref="A135:F135">
    <cfRule type="expression" dxfId="32" priority="89">
      <formula>$A135&lt;&gt;""</formula>
    </cfRule>
  </conditionalFormatting>
  <conditionalFormatting sqref="A136:F136">
    <cfRule type="expression" dxfId="31" priority="90">
      <formula>$A136&lt;&gt;""</formula>
    </cfRule>
  </conditionalFormatting>
  <conditionalFormatting sqref="A137:F137">
    <cfRule type="expression" dxfId="30" priority="91">
      <formula>$A137&lt;&gt;""</formula>
    </cfRule>
  </conditionalFormatting>
  <conditionalFormatting sqref="A138:F138">
    <cfRule type="expression" dxfId="29" priority="92">
      <formula>$A138&lt;&gt;""</formula>
    </cfRule>
  </conditionalFormatting>
  <conditionalFormatting sqref="A139:F139">
    <cfRule type="expression" dxfId="28" priority="93">
      <formula>$A139&lt;&gt;""</formula>
    </cfRule>
  </conditionalFormatting>
  <conditionalFormatting sqref="A140:F140">
    <cfRule type="expression" dxfId="27" priority="94">
      <formula>$A140&lt;&gt;""</formula>
    </cfRule>
  </conditionalFormatting>
  <conditionalFormatting sqref="A141:F141">
    <cfRule type="expression" dxfId="26" priority="95">
      <formula>$A141&lt;&gt;""</formula>
    </cfRule>
  </conditionalFormatting>
  <conditionalFormatting sqref="A142:F142">
    <cfRule type="expression" dxfId="25" priority="96">
      <formula>$A142&lt;&gt;""</formula>
    </cfRule>
  </conditionalFormatting>
  <conditionalFormatting sqref="A143:F143">
    <cfRule type="expression" dxfId="24" priority="97">
      <formula>$A143&lt;&gt;""</formula>
    </cfRule>
  </conditionalFormatting>
  <conditionalFormatting sqref="A144:F144">
    <cfRule type="expression" dxfId="23" priority="98">
      <formula>$A144&lt;&gt;""</formula>
    </cfRule>
  </conditionalFormatting>
  <conditionalFormatting sqref="A145:F145">
    <cfRule type="expression" dxfId="22" priority="99">
      <formula>$A145&lt;&gt;""</formula>
    </cfRule>
  </conditionalFormatting>
  <conditionalFormatting sqref="A146:F146">
    <cfRule type="expression" dxfId="21" priority="100">
      <formula>$A146&lt;&gt;""</formula>
    </cfRule>
  </conditionalFormatting>
  <conditionalFormatting sqref="A147:F147">
    <cfRule type="expression" dxfId="20" priority="101">
      <formula>$A147&lt;&gt;""</formula>
    </cfRule>
  </conditionalFormatting>
  <conditionalFormatting sqref="A148:F148">
    <cfRule type="expression" dxfId="19" priority="102">
      <formula>$A148&lt;&gt;""</formula>
    </cfRule>
  </conditionalFormatting>
  <conditionalFormatting sqref="A149:F149">
    <cfRule type="expression" dxfId="18" priority="103">
      <formula>$A149&lt;&gt;""</formula>
    </cfRule>
  </conditionalFormatting>
  <conditionalFormatting sqref="A150:F150">
    <cfRule type="expression" dxfId="17" priority="104">
      <formula>$A150&lt;&gt;""</formula>
    </cfRule>
  </conditionalFormatting>
  <conditionalFormatting sqref="A151:F151">
    <cfRule type="expression" dxfId="16" priority="105">
      <formula>$A151&lt;&gt;""</formula>
    </cfRule>
  </conditionalFormatting>
  <conditionalFormatting sqref="A152:F152">
    <cfRule type="expression" dxfId="15" priority="106">
      <formula>$A152&lt;&gt;""</formula>
    </cfRule>
  </conditionalFormatting>
  <conditionalFormatting sqref="A153:F153">
    <cfRule type="expression" dxfId="14" priority="107">
      <formula>$A153&lt;&gt;""</formula>
    </cfRule>
  </conditionalFormatting>
  <conditionalFormatting sqref="A154:F154">
    <cfRule type="expression" dxfId="13" priority="108">
      <formula>$A154&lt;&gt;""</formula>
    </cfRule>
  </conditionalFormatting>
  <conditionalFormatting sqref="A155:F155">
    <cfRule type="expression" dxfId="12" priority="109">
      <formula>$A155&lt;&gt;""</formula>
    </cfRule>
  </conditionalFormatting>
  <conditionalFormatting sqref="A156:F156">
    <cfRule type="expression" dxfId="11" priority="110">
      <formula>$A156&lt;&gt;""</formula>
    </cfRule>
  </conditionalFormatting>
  <conditionalFormatting sqref="A157:F157">
    <cfRule type="expression" dxfId="10" priority="111">
      <formula>$A157&lt;&gt;""</formula>
    </cfRule>
  </conditionalFormatting>
  <conditionalFormatting sqref="A158:F158">
    <cfRule type="expression" dxfId="9" priority="112">
      <formula>$A158&lt;&gt;""</formula>
    </cfRule>
  </conditionalFormatting>
  <conditionalFormatting sqref="A159:F159">
    <cfRule type="expression" dxfId="8" priority="113">
      <formula>$A159&lt;&gt;""</formula>
    </cfRule>
  </conditionalFormatting>
  <conditionalFormatting sqref="A160:F160">
    <cfRule type="expression" dxfId="7" priority="114">
      <formula>$A160&lt;&gt;""</formula>
    </cfRule>
  </conditionalFormatting>
  <conditionalFormatting sqref="A161:F161">
    <cfRule type="expression" dxfId="6" priority="115">
      <formula>$A161&lt;&gt;""</formula>
    </cfRule>
  </conditionalFormatting>
  <conditionalFormatting sqref="A162:F162">
    <cfRule type="expression" dxfId="5" priority="116">
      <formula>$A162&lt;&gt;""</formula>
    </cfRule>
  </conditionalFormatting>
  <conditionalFormatting sqref="A163:F163">
    <cfRule type="expression" dxfId="4" priority="117">
      <formula>$A163&lt;&gt;""</formula>
    </cfRule>
  </conditionalFormatting>
  <conditionalFormatting sqref="A164:F164">
    <cfRule type="expression" dxfId="3" priority="118">
      <formula>$A164&lt;&gt;""</formula>
    </cfRule>
  </conditionalFormatting>
  <conditionalFormatting sqref="A165:F165">
    <cfRule type="expression" dxfId="2" priority="119">
      <formula>$A165&lt;&gt;""</formula>
    </cfRule>
  </conditionalFormatting>
  <conditionalFormatting sqref="A166:F166">
    <cfRule type="expression" dxfId="1" priority="120">
      <formula>$A166&lt;&gt;""</formula>
    </cfRule>
  </conditionalFormatting>
  <conditionalFormatting sqref="A167:F167">
    <cfRule type="expression" dxfId="0" priority="121">
      <formula>$A167&lt;&gt;""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PROCESO</vt:lpstr>
      <vt:lpstr>TOTALES</vt:lpstr>
      <vt:lpstr>PROCESO!Área_de_impresión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Mirian Martinez Paredes</cp:lastModifiedBy>
  <cp:revision>0</cp:revision>
  <cp:lastPrinted>2026-07-23T13:07:23Z</cp:lastPrinted>
  <dcterms:created xsi:type="dcterms:W3CDTF">2026-07-19T18:22:44Z</dcterms:created>
  <dcterms:modified xsi:type="dcterms:W3CDTF">2026-07-24T02:39:45Z</dcterms:modified>
  <dc:language>en-US</dc:language>
</cp:coreProperties>
</file>