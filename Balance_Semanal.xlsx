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B57B5817-E83D-2D42-8554-1AE6FF788778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Balance PLANT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22" i="1" l="1"/>
  <c r="W22" i="1"/>
  <c r="O22" i="1"/>
  <c r="N22" i="1"/>
  <c r="M22" i="1"/>
  <c r="L22" i="1"/>
  <c r="H22" i="1"/>
  <c r="G22" i="1"/>
  <c r="F22" i="1"/>
  <c r="E22" i="1"/>
  <c r="C22" i="1"/>
  <c r="AF21" i="1"/>
  <c r="AE21" i="1"/>
  <c r="AA21" i="1"/>
  <c r="Y21" i="1"/>
  <c r="Q21" i="1"/>
  <c r="P21" i="1"/>
  <c r="I21" i="1"/>
  <c r="D21" i="1"/>
  <c r="AF20" i="1"/>
  <c r="AE20" i="1"/>
  <c r="AA20" i="1"/>
  <c r="Y20" i="1"/>
  <c r="Q20" i="1"/>
  <c r="P20" i="1"/>
  <c r="I20" i="1"/>
  <c r="D20" i="1"/>
  <c r="AF19" i="1"/>
  <c r="AE19" i="1"/>
  <c r="AA19" i="1"/>
  <c r="Y19" i="1"/>
  <c r="Q19" i="1"/>
  <c r="P19" i="1"/>
  <c r="I19" i="1"/>
  <c r="D19" i="1"/>
  <c r="AF18" i="1"/>
  <c r="AE18" i="1"/>
  <c r="AA18" i="1"/>
  <c r="Y18" i="1"/>
  <c r="Q18" i="1"/>
  <c r="P18" i="1"/>
  <c r="I18" i="1"/>
  <c r="D18" i="1"/>
  <c r="AF17" i="1"/>
  <c r="AE17" i="1"/>
  <c r="AA17" i="1"/>
  <c r="Y17" i="1"/>
  <c r="Q17" i="1"/>
  <c r="P17" i="1"/>
  <c r="I17" i="1"/>
  <c r="D17" i="1"/>
  <c r="AE16" i="1"/>
  <c r="AF16" i="1" s="1"/>
  <c r="AA16" i="1"/>
  <c r="Y16" i="1"/>
  <c r="Q16" i="1"/>
  <c r="P16" i="1"/>
  <c r="I16" i="1"/>
  <c r="D16" i="1"/>
  <c r="AE15" i="1"/>
  <c r="AE22" i="1" s="1"/>
  <c r="AA15" i="1"/>
  <c r="AA22" i="1" s="1"/>
  <c r="Y15" i="1"/>
  <c r="Y22" i="1" s="1"/>
  <c r="Q15" i="1"/>
  <c r="Q22" i="1" s="1"/>
  <c r="P15" i="1"/>
  <c r="P22" i="1" s="1"/>
  <c r="I15" i="1"/>
  <c r="I22" i="1" s="1"/>
  <c r="D15" i="1"/>
  <c r="Z14" i="1"/>
  <c r="W14" i="1"/>
  <c r="O14" i="1"/>
  <c r="N14" i="1"/>
  <c r="M14" i="1"/>
  <c r="L14" i="1"/>
  <c r="H14" i="1"/>
  <c r="G14" i="1"/>
  <c r="F14" i="1"/>
  <c r="E14" i="1"/>
  <c r="C14" i="1"/>
  <c r="AF13" i="1"/>
  <c r="AE13" i="1"/>
  <c r="AA13" i="1"/>
  <c r="Y13" i="1"/>
  <c r="Q13" i="1"/>
  <c r="P13" i="1"/>
  <c r="I13" i="1"/>
  <c r="AE12" i="1"/>
  <c r="AF12" i="1" s="1"/>
  <c r="AA12" i="1"/>
  <c r="Y12" i="1"/>
  <c r="Q12" i="1"/>
  <c r="P12" i="1"/>
  <c r="I12" i="1"/>
  <c r="D12" i="1"/>
  <c r="AE11" i="1"/>
  <c r="AF11" i="1" s="1"/>
  <c r="AA11" i="1"/>
  <c r="Y11" i="1"/>
  <c r="Q11" i="1"/>
  <c r="P11" i="1"/>
  <c r="I11" i="1"/>
  <c r="D11" i="1"/>
  <c r="AA10" i="1"/>
  <c r="Y10" i="1"/>
  <c r="Q10" i="1"/>
  <c r="P10" i="1"/>
  <c r="I10" i="1"/>
  <c r="D10" i="1"/>
  <c r="AE10" i="1" s="1"/>
  <c r="AF10" i="1" s="1"/>
  <c r="AA9" i="1"/>
  <c r="Y9" i="1"/>
  <c r="Q9" i="1"/>
  <c r="P9" i="1"/>
  <c r="I9" i="1"/>
  <c r="D9" i="1"/>
  <c r="AE9" i="1" s="1"/>
  <c r="AF9" i="1" s="1"/>
  <c r="AA8" i="1"/>
  <c r="Y8" i="1"/>
  <c r="Q8" i="1"/>
  <c r="P8" i="1"/>
  <c r="I8" i="1"/>
  <c r="D8" i="1"/>
  <c r="AE8" i="1" s="1"/>
  <c r="AF8" i="1" s="1"/>
  <c r="AA7" i="1"/>
  <c r="Y7" i="1"/>
  <c r="U7" i="1"/>
  <c r="U8" i="1" s="1"/>
  <c r="U9" i="1" s="1"/>
  <c r="U10" i="1" s="1"/>
  <c r="U11" i="1" s="1"/>
  <c r="U12" i="1" s="1"/>
  <c r="U13" i="1" s="1"/>
  <c r="Q7" i="1"/>
  <c r="P7" i="1"/>
  <c r="I7" i="1"/>
  <c r="D7" i="1"/>
  <c r="AE7" i="1" s="1"/>
  <c r="AF7" i="1" s="1"/>
  <c r="AD6" i="1"/>
  <c r="AC6" i="1"/>
  <c r="AC7" i="1" s="1"/>
  <c r="AA6" i="1"/>
  <c r="AA14" i="1" s="1"/>
  <c r="Y6" i="1"/>
  <c r="Y14" i="1" s="1"/>
  <c r="U6" i="1"/>
  <c r="T6" i="1"/>
  <c r="T7" i="1" s="1"/>
  <c r="T8" i="1" s="1"/>
  <c r="T9" i="1" s="1"/>
  <c r="T10" i="1" s="1"/>
  <c r="T11" i="1" s="1"/>
  <c r="T12" i="1" s="1"/>
  <c r="T13" i="1" s="1"/>
  <c r="S6" i="1"/>
  <c r="V6" i="1" s="1"/>
  <c r="R6" i="1"/>
  <c r="R7" i="1" s="1"/>
  <c r="Q6" i="1"/>
  <c r="Q14" i="1" s="1"/>
  <c r="P6" i="1"/>
  <c r="P14" i="1" s="1"/>
  <c r="I6" i="1"/>
  <c r="I14" i="1" s="1"/>
  <c r="D6" i="1"/>
  <c r="D14" i="1" s="1"/>
  <c r="D22" i="1" l="1"/>
  <c r="U15" i="1"/>
  <c r="U16" i="1" s="1"/>
  <c r="U17" i="1" s="1"/>
  <c r="U18" i="1" s="1"/>
  <c r="U19" i="1" s="1"/>
  <c r="U20" i="1" s="1"/>
  <c r="U21" i="1" s="1"/>
  <c r="U22" i="1" s="1"/>
  <c r="U14" i="1"/>
  <c r="AD7" i="1"/>
  <c r="AC8" i="1"/>
  <c r="R8" i="1"/>
  <c r="AF22" i="1"/>
  <c r="T15" i="1"/>
  <c r="T16" i="1" s="1"/>
  <c r="T17" i="1" s="1"/>
  <c r="T18" i="1" s="1"/>
  <c r="T19" i="1" s="1"/>
  <c r="T20" i="1" s="1"/>
  <c r="T21" i="1" s="1"/>
  <c r="T22" i="1" s="1"/>
  <c r="T14" i="1"/>
  <c r="S7" i="1"/>
  <c r="S8" i="1" s="1"/>
  <c r="S9" i="1" s="1"/>
  <c r="S10" i="1" s="1"/>
  <c r="S11" i="1" s="1"/>
  <c r="S12" i="1" s="1"/>
  <c r="S13" i="1" s="1"/>
  <c r="AE6" i="1"/>
  <c r="AF15" i="1"/>
  <c r="V7" i="1" l="1"/>
  <c r="R9" i="1"/>
  <c r="V8" i="1"/>
  <c r="AD8" i="1"/>
  <c r="AC9" i="1"/>
  <c r="AE14" i="1"/>
  <c r="AF14" i="1" s="1"/>
  <c r="AF6" i="1"/>
  <c r="S15" i="1"/>
  <c r="S16" i="1" s="1"/>
  <c r="S17" i="1" s="1"/>
  <c r="S18" i="1" s="1"/>
  <c r="S19" i="1" s="1"/>
  <c r="S20" i="1" s="1"/>
  <c r="S21" i="1" s="1"/>
  <c r="S22" i="1" s="1"/>
  <c r="S14" i="1"/>
  <c r="AD9" i="1" l="1"/>
  <c r="AC10" i="1"/>
  <c r="R10" i="1"/>
  <c r="V9" i="1"/>
  <c r="R11" i="1" l="1"/>
  <c r="V10" i="1"/>
  <c r="AD10" i="1"/>
  <c r="AC11" i="1"/>
  <c r="AD11" i="1" l="1"/>
  <c r="AC12" i="1"/>
  <c r="V11" i="1"/>
  <c r="R12" i="1"/>
  <c r="V12" i="1" l="1"/>
  <c r="R13" i="1"/>
  <c r="AC13" i="1"/>
  <c r="AD12" i="1"/>
  <c r="AC14" i="1" l="1"/>
  <c r="AC15" i="1"/>
  <c r="AD13" i="1"/>
  <c r="AD14" i="1" s="1"/>
  <c r="V13" i="1"/>
  <c r="V14" i="1" s="1"/>
  <c r="R15" i="1"/>
  <c r="R14" i="1"/>
  <c r="V15" i="1" l="1"/>
  <c r="R16" i="1"/>
  <c r="AC16" i="1"/>
  <c r="AD15" i="1"/>
  <c r="AC17" i="1" l="1"/>
  <c r="AD16" i="1"/>
  <c r="R17" i="1"/>
  <c r="V16" i="1"/>
  <c r="R18" i="1" l="1"/>
  <c r="V17" i="1"/>
  <c r="AD17" i="1"/>
  <c r="AC18" i="1"/>
  <c r="AD18" i="1" l="1"/>
  <c r="AC19" i="1"/>
  <c r="R19" i="1"/>
  <c r="V18" i="1"/>
  <c r="R20" i="1" l="1"/>
  <c r="V19" i="1"/>
  <c r="AD19" i="1"/>
  <c r="AC20" i="1"/>
  <c r="AD20" i="1" l="1"/>
  <c r="AC21" i="1"/>
  <c r="R21" i="1"/>
  <c r="V20" i="1"/>
  <c r="V21" i="1" l="1"/>
  <c r="V22" i="1" s="1"/>
  <c r="R22" i="1"/>
  <c r="AC22" i="1"/>
  <c r="AD21" i="1"/>
  <c r="AD22" i="1" s="1"/>
</calcChain>
</file>

<file path=xl/sharedStrings.xml><?xml version="1.0" encoding="utf-8"?>
<sst xmlns="http://schemas.openxmlformats.org/spreadsheetml/2006/main" count="87" uniqueCount="62">
  <si>
    <t>AGRO PACAYALES · PLANTA CAMOTE 2026  |  Balance Diario de Selección &amp; Despacho SUPESA</t>
  </si>
  <si>
    <t>Apertura Sem29: 8j cal.A · 7j cal.M · 20s chancho  ·  Conversión: A=15 · P=18 · C=17 · M=17 kg/j  ·  TRAS = jabas perdidas en trasiego (descuenta saldo A)</t>
  </si>
  <si>
    <t>IDENTIFICACIÓN</t>
  </si>
  <si>
    <t>📦 INGRESO</t>
  </si>
  <si>
    <t>🌿 SELECCIÓN (jabas)</t>
  </si>
  <si>
    <t>🚛 DESPACHO A SUPESA</t>
  </si>
  <si>
    <t>🔄 SALDO EN PLANTA</t>
  </si>
  <si>
    <t>🐷 CHANCHO</t>
  </si>
  <si>
    <t>⚖️ MERMA</t>
  </si>
  <si>
    <t>Fecha</t>
  </si>
  <si>
    <t>Día</t>
  </si>
  <si>
    <t>Sacos
ings.</t>
  </si>
  <si>
    <t>kg
ings.</t>
  </si>
  <si>
    <t>A
j</t>
  </si>
  <si>
    <t>P
j</t>
  </si>
  <si>
    <t>C
j</t>
  </si>
  <si>
    <t>M
j</t>
  </si>
  <si>
    <t>Tot
j</t>
  </si>
  <si>
    <t>Fecha
Desp.</t>
  </si>
  <si>
    <t>N° Guía</t>
  </si>
  <si>
    <t>Tot
kg</t>
  </si>
  <si>
    <t>Prod
(s)</t>
  </si>
  <si>
    <t>TRAS</t>
  </si>
  <si>
    <t>Prod
(kg)</t>
  </si>
  <si>
    <t>Venta
(s)</t>
  </si>
  <si>
    <t>Venta
(kg)</t>
  </si>
  <si>
    <t>Ticket</t>
  </si>
  <si>
    <t>Saldo
(s)</t>
  </si>
  <si>
    <t>Saldo
(kg)</t>
  </si>
  <si>
    <t>Merma
kg</t>
  </si>
  <si>
    <t>Merma
%</t>
  </si>
  <si>
    <t>11/07</t>
  </si>
  <si>
    <t>Sáb</t>
  </si>
  <si>
    <t>← saldo apertura sem.ant.</t>
  </si>
  <si>
    <t>12/07</t>
  </si>
  <si>
    <t>Dom</t>
  </si>
  <si>
    <t>G-2977</t>
  </si>
  <si>
    <t>—</t>
  </si>
  <si>
    <t>13/07</t>
  </si>
  <si>
    <t>Lun</t>
  </si>
  <si>
    <t>G-2980</t>
  </si>
  <si>
    <t>14/07</t>
  </si>
  <si>
    <t>Mar</t>
  </si>
  <si>
    <t>G-2984</t>
  </si>
  <si>
    <t>15/07</t>
  </si>
  <si>
    <t>Mié</t>
  </si>
  <si>
    <t>G-2986</t>
  </si>
  <si>
    <t>tkt 724</t>
  </si>
  <si>
    <t>16/07</t>
  </si>
  <si>
    <t>Jue</t>
  </si>
  <si>
    <t>G-2992</t>
  </si>
  <si>
    <t>17/07</t>
  </si>
  <si>
    <t>Vie</t>
  </si>
  <si>
    <t>G-2994</t>
  </si>
  <si>
    <t>tkt 002-725</t>
  </si>
  <si>
    <t>18/07</t>
  </si>
  <si>
    <t>G-2996</t>
  </si>
  <si>
    <t>SEMANA 29</t>
  </si>
  <si>
    <t>19/07</t>
  </si>
  <si>
    <t>G-2998</t>
  </si>
  <si>
    <t>SEMANA 30</t>
  </si>
  <si>
    <t>⚖️ Merma = Ingreso(s×95 kg) − Selección kg(A×15,P×18,C×17,M×17) − Chancho prod(s×95 kg)  ·  TRAS=jaba perdida en trasiego(descuenta saldo A)  ·  Chancho: 1s=95kg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</si>
</sst>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i/>
      <sz val="7.5"/>
      <color rgb="FFFFFFFF"/>
      <name val="Arial"/>
      <family val="2"/>
    </font>
    <font>
      <b/>
      <sz val="8"/>
      <color rgb="FF546E7A"/>
      <name val="Arial"/>
      <family val="2"/>
    </font>
    <font>
      <b/>
      <sz val="8"/>
      <color rgb="FF1565C0"/>
      <name val="Arial"/>
      <family val="2"/>
    </font>
    <font>
      <b/>
      <sz val="8"/>
      <color rgb="FF1B5E20"/>
      <name val="Arial"/>
      <family val="2"/>
    </font>
    <font>
      <b/>
      <sz val="8"/>
      <color rgb="FF4527A0"/>
      <name val="Arial"/>
      <family val="2"/>
    </font>
    <font>
      <b/>
      <sz val="8"/>
      <color rgb="FF4E342E"/>
      <name val="Arial"/>
      <family val="2"/>
    </font>
    <font>
      <b/>
      <sz val="8"/>
      <color rgb="FFBF360C"/>
      <name val="Arial"/>
      <family val="2"/>
    </font>
    <font>
      <b/>
      <sz val="7"/>
      <color rgb="FFFFFFFF"/>
      <name val="Arial"/>
      <family val="2"/>
    </font>
    <font>
      <i/>
      <sz val="7"/>
      <color rgb="FF90A4AE"/>
      <name val="Arial"/>
      <family val="2"/>
    </font>
    <font>
      <b/>
      <sz val="9"/>
      <color rgb="FF7B1FA2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7"/>
      <color rgb="FF78909C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565C0"/>
        <bgColor rgb="FF1976D2"/>
      </patternFill>
    </fill>
    <fill>
      <patternFill patternType="solid">
        <fgColor rgb="FF1976D2"/>
        <bgColor rgb="FF1565C0"/>
      </patternFill>
    </fill>
    <fill>
      <patternFill patternType="solid">
        <fgColor rgb="FFECEFF1"/>
        <bgColor rgb="FFEFEBE9"/>
      </patternFill>
    </fill>
    <fill>
      <patternFill patternType="solid">
        <fgColor rgb="FFE3F2FD"/>
        <bgColor rgb="FFECEFF1"/>
      </patternFill>
    </fill>
    <fill>
      <patternFill patternType="solid">
        <fgColor rgb="FFF3FAF3"/>
        <bgColor rgb="FFFFFFFF"/>
      </patternFill>
    </fill>
    <fill>
      <patternFill patternType="solid">
        <fgColor rgb="FFEDE7F6"/>
        <bgColor rgb="FFF3E5F5"/>
      </patternFill>
    </fill>
    <fill>
      <patternFill patternType="solid">
        <fgColor rgb="FFEFEBE9"/>
        <bgColor rgb="FFECEFF1"/>
      </patternFill>
    </fill>
    <fill>
      <patternFill patternType="solid">
        <fgColor rgb="FFFFF3E0"/>
        <bgColor rgb="FFF3FAF3"/>
      </patternFill>
    </fill>
    <fill>
      <patternFill patternType="solid">
        <fgColor rgb="FF263238"/>
        <bgColor rgb="FF4E342E"/>
      </patternFill>
    </fill>
    <fill>
      <patternFill patternType="solid">
        <fgColor rgb="FFF3E5F5"/>
        <bgColor rgb="FFEDE7F6"/>
      </patternFill>
    </fill>
    <fill>
      <patternFill patternType="solid">
        <fgColor rgb="FF6A1B9A"/>
        <bgColor rgb="FF7B1FA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4" fillId="0" borderId="0" xfId="0" applyFont="1" applyAlignment="1">
      <alignment horizontal="left" vertical="center" wrapText="1"/>
    </xf>
    <xf numFmtId="0" fontId="12" fillId="1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left" vertical="center" wrapText="1"/>
    </xf>
    <xf numFmtId="0" fontId="11" fillId="11" borderId="0" xfId="0" applyFont="1" applyFill="1"/>
    <xf numFmtId="0" fontId="13" fillId="2" borderId="0" xfId="0" applyFont="1" applyFill="1" applyAlignment="1">
      <alignment horizontal="center" vertical="center"/>
    </xf>
    <xf numFmtId="0" fontId="13" fillId="12" borderId="0" xfId="0" applyFont="1" applyFill="1" applyAlignment="1">
      <alignment horizontal="center" vertic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6A1B9A"/>
      <rgbColor rgb="FF008080"/>
      <rgbColor rgb="FFC0C0C0"/>
      <rgbColor rgb="FF78909C"/>
      <rgbColor rgb="FF9999FF"/>
      <rgbColor rgb="FF993366"/>
      <rgbColor rgb="FFFFF3E0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7B1FA2"/>
      <rgbColor rgb="FF800000"/>
      <rgbColor rgb="FF008080"/>
      <rgbColor rgb="FF0000FF"/>
      <rgbColor rgb="FF00CCFF"/>
      <rgbColor rgb="FFECEFF1"/>
      <rgbColor rgb="FFF3FAF3"/>
      <rgbColor rgb="FFEFEBE9"/>
      <rgbColor rgb="FF99CCFF"/>
      <rgbColor rgb="FFFF99CC"/>
      <rgbColor rgb="FFCC99FF"/>
      <rgbColor rgb="FFF3E5F5"/>
      <rgbColor rgb="FF1976D2"/>
      <rgbColor rgb="FF33CCCC"/>
      <rgbColor rgb="FF99CC00"/>
      <rgbColor rgb="FFFFCC00"/>
      <rgbColor rgb="FFFF9900"/>
      <rgbColor rgb="FFFF6600"/>
      <rgbColor rgb="FF546E7A"/>
      <rgbColor rgb="FF90A4AE"/>
      <rgbColor rgb="FF003366"/>
      <rgbColor rgb="FF339966"/>
      <rgbColor rgb="FF003300"/>
      <rgbColor rgb="FF4E342E"/>
      <rgbColor rgb="FFBF360C"/>
      <rgbColor rgb="FF993366"/>
      <rgbColor rgb="FF4527A0"/>
      <rgbColor rgb="FF2632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3"/>
  <sheetViews>
    <sheetView tabSelected="1" zoomScaleNormal="100" workbookViewId="0">
      <pane ySplit="5" topLeftCell="A6" activePane="bottomLeft" state="frozen"/>
      <selection pane="bottomLeft" activeCell="J16" sqref="J16"/>
    </sheetView>
  </sheetViews>
  <sheetFormatPr baseColWidth="10" defaultColWidth="8.6640625" defaultRowHeight="15" x14ac:dyDescent="0.2"/>
  <cols>
    <col min="1" max="1" width="9" customWidth="1"/>
    <col min="2" max="2" width="5" customWidth="1"/>
    <col min="3" max="3" width="7" customWidth="1"/>
    <col min="4" max="4" width="8" customWidth="1"/>
    <col min="5" max="8" width="5" customWidth="1"/>
    <col min="9" max="9" width="6" customWidth="1"/>
    <col min="10" max="11" width="9" customWidth="1"/>
    <col min="12" max="15" width="5" customWidth="1"/>
    <col min="16" max="16" width="6" customWidth="1"/>
    <col min="17" max="17" width="8" customWidth="1"/>
    <col min="18" max="21" width="5" customWidth="1"/>
    <col min="22" max="23" width="6" customWidth="1"/>
    <col min="24" max="24" width="5" customWidth="1"/>
    <col min="25" max="26" width="7" customWidth="1"/>
    <col min="27" max="27" width="8" customWidth="1"/>
    <col min="28" max="28" width="10" customWidth="1"/>
    <col min="29" max="29" width="7" customWidth="1"/>
    <col min="30" max="31" width="8" customWidth="1"/>
    <col min="32" max="32" width="7" customWidth="1"/>
  </cols>
  <sheetData>
    <row r="1" spans="1:32" ht="21.7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</row>
    <row r="2" spans="1:32" ht="12.75" customHeight="1" x14ac:dyDescent="0.2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 spans="1:32" ht="13.5" customHeight="1" x14ac:dyDescent="0.2">
      <c r="A3" s="9" t="s">
        <v>2</v>
      </c>
      <c r="B3" s="9"/>
      <c r="C3" s="8" t="s">
        <v>3</v>
      </c>
      <c r="D3" s="8"/>
      <c r="E3" s="8" t="s">
        <v>4</v>
      </c>
      <c r="F3" s="8"/>
      <c r="G3" s="8"/>
      <c r="H3" s="8"/>
      <c r="I3" s="8"/>
      <c r="J3" s="7" t="s">
        <v>5</v>
      </c>
      <c r="K3" s="7"/>
      <c r="L3" s="7"/>
      <c r="M3" s="7"/>
      <c r="N3" s="7"/>
      <c r="O3" s="7"/>
      <c r="P3" s="7"/>
      <c r="Q3" s="7"/>
      <c r="R3" s="6" t="s">
        <v>6</v>
      </c>
      <c r="S3" s="6"/>
      <c r="T3" s="6"/>
      <c r="U3" s="6"/>
      <c r="V3" s="6"/>
      <c r="W3" s="5" t="s">
        <v>7</v>
      </c>
      <c r="X3" s="5"/>
      <c r="Y3" s="5"/>
      <c r="Z3" s="5"/>
      <c r="AA3" s="5"/>
      <c r="AB3" s="5"/>
      <c r="AC3" s="5"/>
      <c r="AD3" s="5"/>
      <c r="AE3" s="4" t="s">
        <v>8</v>
      </c>
      <c r="AF3" s="4"/>
    </row>
    <row r="4" spans="1:32" ht="30" customHeight="1" x14ac:dyDescent="0.2">
      <c r="A4" s="12" t="s">
        <v>9</v>
      </c>
      <c r="B4" s="12" t="s">
        <v>10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2" t="s">
        <v>16</v>
      </c>
      <c r="I4" s="12" t="s">
        <v>17</v>
      </c>
      <c r="J4" s="12" t="s">
        <v>18</v>
      </c>
      <c r="K4" s="12" t="s">
        <v>19</v>
      </c>
      <c r="L4" s="12" t="s">
        <v>13</v>
      </c>
      <c r="M4" s="12" t="s">
        <v>14</v>
      </c>
      <c r="N4" s="12" t="s">
        <v>15</v>
      </c>
      <c r="O4" s="12" t="s">
        <v>16</v>
      </c>
      <c r="P4" s="12" t="s">
        <v>17</v>
      </c>
      <c r="Q4" s="12" t="s">
        <v>20</v>
      </c>
      <c r="R4" s="12" t="s">
        <v>13</v>
      </c>
      <c r="S4" s="12" t="s">
        <v>14</v>
      </c>
      <c r="T4" s="12" t="s">
        <v>15</v>
      </c>
      <c r="U4" s="12" t="s">
        <v>16</v>
      </c>
      <c r="V4" s="12" t="s">
        <v>17</v>
      </c>
      <c r="W4" s="12" t="s">
        <v>21</v>
      </c>
      <c r="X4" s="12" t="s">
        <v>22</v>
      </c>
      <c r="Y4" s="12" t="s">
        <v>23</v>
      </c>
      <c r="Z4" s="12" t="s">
        <v>24</v>
      </c>
      <c r="AA4" s="12" t="s">
        <v>25</v>
      </c>
      <c r="AB4" s="12" t="s">
        <v>26</v>
      </c>
      <c r="AC4" s="12" t="s">
        <v>27</v>
      </c>
      <c r="AD4" s="12" t="s">
        <v>28</v>
      </c>
      <c r="AE4" s="12" t="s">
        <v>29</v>
      </c>
      <c r="AF4" s="12" t="s">
        <v>30</v>
      </c>
    </row>
    <row r="5" spans="1:32" ht="13.5" customHeight="1" x14ac:dyDescent="0.2">
      <c r="A5" s="13" t="s">
        <v>31</v>
      </c>
      <c r="B5" s="13" t="s">
        <v>32</v>
      </c>
      <c r="K5" s="14" t="s">
        <v>33</v>
      </c>
      <c r="R5" s="13">
        <v>8</v>
      </c>
      <c r="S5" s="13">
        <v>0</v>
      </c>
      <c r="T5" s="13">
        <v>0</v>
      </c>
      <c r="U5" s="13">
        <v>7</v>
      </c>
      <c r="V5" s="13">
        <v>15</v>
      </c>
      <c r="AC5" s="13">
        <v>20</v>
      </c>
      <c r="AD5" s="13">
        <v>1900</v>
      </c>
    </row>
    <row r="6" spans="1:32" ht="15" customHeight="1" x14ac:dyDescent="0.2">
      <c r="A6" s="15" t="s">
        <v>34</v>
      </c>
      <c r="B6" t="s">
        <v>35</v>
      </c>
      <c r="C6">
        <v>30</v>
      </c>
      <c r="D6">
        <f t="shared" ref="D6:D12" si="0">C6*95</f>
        <v>2850</v>
      </c>
      <c r="E6">
        <v>59</v>
      </c>
      <c r="F6">
        <v>11</v>
      </c>
      <c r="G6">
        <v>12</v>
      </c>
      <c r="H6">
        <v>64</v>
      </c>
      <c r="I6">
        <f t="shared" ref="I6:I13" si="1">E6+F6+G6+H6</f>
        <v>146</v>
      </c>
      <c r="J6" t="s">
        <v>34</v>
      </c>
      <c r="K6" t="s">
        <v>36</v>
      </c>
      <c r="L6">
        <v>67</v>
      </c>
      <c r="M6">
        <v>11</v>
      </c>
      <c r="N6">
        <v>12</v>
      </c>
      <c r="O6">
        <v>42</v>
      </c>
      <c r="P6">
        <f t="shared" ref="P6:P13" si="2">L6+M6+N6+O6</f>
        <v>132</v>
      </c>
      <c r="Q6">
        <f t="shared" ref="Q6:Q13" si="3">L6*15+M6*18+N6*17+O6*17</f>
        <v>2121</v>
      </c>
      <c r="R6">
        <f t="shared" ref="R6:R13" si="4">R5+E6-L6-IF(ISBLANK(X6),0,X6)</f>
        <v>0</v>
      </c>
      <c r="S6">
        <f t="shared" ref="S6:U13" si="5">S5+F6-M6</f>
        <v>0</v>
      </c>
      <c r="T6">
        <f t="shared" si="5"/>
        <v>0</v>
      </c>
      <c r="U6">
        <f t="shared" si="5"/>
        <v>29</v>
      </c>
      <c r="V6">
        <f t="shared" ref="V6:V13" si="6">R6+S6+T6+U6</f>
        <v>29</v>
      </c>
      <c r="W6">
        <v>6</v>
      </c>
      <c r="Y6">
        <f t="shared" ref="Y6:Y13" si="7">IF(ISBLANK(W6),0,W6)*95</f>
        <v>570</v>
      </c>
      <c r="Z6">
        <v>0</v>
      </c>
      <c r="AA6">
        <f t="shared" ref="AA6:AA13" si="8">IF(ISBLANK(Z6),0,Z6)*95</f>
        <v>0</v>
      </c>
      <c r="AB6" t="s">
        <v>37</v>
      </c>
      <c r="AC6">
        <f t="shared" ref="AC6:AC13" si="9">AC5+IF(ISBLANK(W6),0,W6)-IF(ISBLANK(Z6),0,Z6)</f>
        <v>26</v>
      </c>
      <c r="AD6">
        <f t="shared" ref="AD6:AD13" si="10">AC6*95</f>
        <v>2470</v>
      </c>
      <c r="AE6">
        <f t="shared" ref="AE6:AE13" si="11">IF(C6=0,0,D6-(E6*15+F6*18+G6*17+H6*17)-Y6)</f>
        <v>-95</v>
      </c>
      <c r="AF6">
        <f t="shared" ref="AF6:AF13" si="12">IF(C6=0,"",AE6/D6)</f>
        <v>-3.3333333333333333E-2</v>
      </c>
    </row>
    <row r="7" spans="1:32" ht="15" customHeight="1" x14ac:dyDescent="0.2">
      <c r="A7" t="s">
        <v>38</v>
      </c>
      <c r="B7" t="s">
        <v>39</v>
      </c>
      <c r="C7">
        <v>40</v>
      </c>
      <c r="D7">
        <f t="shared" si="0"/>
        <v>3800</v>
      </c>
      <c r="E7">
        <v>107</v>
      </c>
      <c r="F7">
        <v>11</v>
      </c>
      <c r="G7">
        <v>12</v>
      </c>
      <c r="H7">
        <v>110</v>
      </c>
      <c r="I7">
        <f t="shared" si="1"/>
        <v>240</v>
      </c>
      <c r="J7" t="s">
        <v>38</v>
      </c>
      <c r="K7" t="s">
        <v>40</v>
      </c>
      <c r="L7">
        <v>67</v>
      </c>
      <c r="M7">
        <v>11</v>
      </c>
      <c r="N7">
        <v>12</v>
      </c>
      <c r="O7">
        <v>97</v>
      </c>
      <c r="P7">
        <f t="shared" si="2"/>
        <v>187</v>
      </c>
      <c r="Q7">
        <f t="shared" si="3"/>
        <v>3056</v>
      </c>
      <c r="R7">
        <f t="shared" si="4"/>
        <v>40</v>
      </c>
      <c r="S7">
        <f t="shared" si="5"/>
        <v>0</v>
      </c>
      <c r="T7">
        <f t="shared" si="5"/>
        <v>0</v>
      </c>
      <c r="U7">
        <f t="shared" si="5"/>
        <v>42</v>
      </c>
      <c r="V7">
        <f t="shared" si="6"/>
        <v>82</v>
      </c>
      <c r="W7">
        <v>2</v>
      </c>
      <c r="Y7">
        <f t="shared" si="7"/>
        <v>190</v>
      </c>
      <c r="Z7">
        <v>0</v>
      </c>
      <c r="AA7">
        <f t="shared" si="8"/>
        <v>0</v>
      </c>
      <c r="AB7" t="s">
        <v>37</v>
      </c>
      <c r="AC7">
        <f t="shared" si="9"/>
        <v>28</v>
      </c>
      <c r="AD7">
        <f t="shared" si="10"/>
        <v>2660</v>
      </c>
      <c r="AE7">
        <f t="shared" si="11"/>
        <v>-267</v>
      </c>
      <c r="AF7">
        <f t="shared" si="12"/>
        <v>-7.0263157894736847E-2</v>
      </c>
    </row>
    <row r="8" spans="1:32" ht="15" customHeight="1" x14ac:dyDescent="0.2">
      <c r="A8" t="s">
        <v>41</v>
      </c>
      <c r="B8" t="s">
        <v>42</v>
      </c>
      <c r="C8">
        <v>40</v>
      </c>
      <c r="D8">
        <f t="shared" si="0"/>
        <v>3800</v>
      </c>
      <c r="E8">
        <v>45</v>
      </c>
      <c r="F8">
        <v>11</v>
      </c>
      <c r="G8">
        <v>12</v>
      </c>
      <c r="H8">
        <v>121</v>
      </c>
      <c r="I8">
        <f t="shared" si="1"/>
        <v>189</v>
      </c>
      <c r="J8" t="s">
        <v>41</v>
      </c>
      <c r="K8" t="s">
        <v>43</v>
      </c>
      <c r="L8">
        <v>67</v>
      </c>
      <c r="M8">
        <v>11</v>
      </c>
      <c r="N8">
        <v>12</v>
      </c>
      <c r="O8">
        <v>116</v>
      </c>
      <c r="P8">
        <f t="shared" si="2"/>
        <v>206</v>
      </c>
      <c r="Q8">
        <f t="shared" si="3"/>
        <v>3379</v>
      </c>
      <c r="R8">
        <f t="shared" si="4"/>
        <v>18</v>
      </c>
      <c r="S8">
        <f t="shared" si="5"/>
        <v>0</v>
      </c>
      <c r="T8">
        <f t="shared" si="5"/>
        <v>0</v>
      </c>
      <c r="U8">
        <f t="shared" si="5"/>
        <v>47</v>
      </c>
      <c r="V8">
        <f t="shared" si="6"/>
        <v>65</v>
      </c>
      <c r="W8">
        <v>7</v>
      </c>
      <c r="Y8">
        <f t="shared" si="7"/>
        <v>665</v>
      </c>
      <c r="Z8">
        <v>0</v>
      </c>
      <c r="AA8">
        <f t="shared" si="8"/>
        <v>0</v>
      </c>
      <c r="AB8" t="s">
        <v>37</v>
      </c>
      <c r="AC8">
        <f t="shared" si="9"/>
        <v>35</v>
      </c>
      <c r="AD8">
        <f t="shared" si="10"/>
        <v>3325</v>
      </c>
      <c r="AE8">
        <f t="shared" si="11"/>
        <v>1</v>
      </c>
      <c r="AF8">
        <f t="shared" si="12"/>
        <v>2.631578947368421E-4</v>
      </c>
    </row>
    <row r="9" spans="1:32" ht="15" customHeight="1" x14ac:dyDescent="0.2">
      <c r="A9" t="s">
        <v>44</v>
      </c>
      <c r="B9" t="s">
        <v>45</v>
      </c>
      <c r="C9">
        <v>40</v>
      </c>
      <c r="D9">
        <f t="shared" si="0"/>
        <v>3800</v>
      </c>
      <c r="E9">
        <v>79</v>
      </c>
      <c r="F9">
        <v>22</v>
      </c>
      <c r="G9">
        <v>21</v>
      </c>
      <c r="H9">
        <v>83</v>
      </c>
      <c r="I9">
        <f t="shared" si="1"/>
        <v>205</v>
      </c>
      <c r="J9" t="s">
        <v>44</v>
      </c>
      <c r="K9" t="s">
        <v>46</v>
      </c>
      <c r="L9">
        <v>67</v>
      </c>
      <c r="M9">
        <v>11</v>
      </c>
      <c r="N9">
        <v>9</v>
      </c>
      <c r="O9">
        <v>95</v>
      </c>
      <c r="P9">
        <f t="shared" si="2"/>
        <v>182</v>
      </c>
      <c r="Q9">
        <f t="shared" si="3"/>
        <v>2971</v>
      </c>
      <c r="R9">
        <f t="shared" si="4"/>
        <v>30</v>
      </c>
      <c r="S9">
        <f t="shared" si="5"/>
        <v>11</v>
      </c>
      <c r="T9">
        <f t="shared" si="5"/>
        <v>12</v>
      </c>
      <c r="U9">
        <f t="shared" si="5"/>
        <v>35</v>
      </c>
      <c r="V9">
        <f t="shared" si="6"/>
        <v>88</v>
      </c>
      <c r="W9">
        <v>5</v>
      </c>
      <c r="Y9">
        <f t="shared" si="7"/>
        <v>475</v>
      </c>
      <c r="Z9">
        <v>35</v>
      </c>
      <c r="AA9">
        <f t="shared" si="8"/>
        <v>3325</v>
      </c>
      <c r="AB9" t="s">
        <v>47</v>
      </c>
      <c r="AC9">
        <f t="shared" si="9"/>
        <v>5</v>
      </c>
      <c r="AD9">
        <f t="shared" si="10"/>
        <v>475</v>
      </c>
      <c r="AE9">
        <f t="shared" si="11"/>
        <v>-24</v>
      </c>
      <c r="AF9">
        <f t="shared" si="12"/>
        <v>-6.3157894736842104E-3</v>
      </c>
    </row>
    <row r="10" spans="1:32" ht="15" customHeight="1" x14ac:dyDescent="0.2">
      <c r="A10" t="s">
        <v>48</v>
      </c>
      <c r="B10" t="s">
        <v>49</v>
      </c>
      <c r="C10">
        <v>40</v>
      </c>
      <c r="D10">
        <f t="shared" si="0"/>
        <v>3800</v>
      </c>
      <c r="E10">
        <v>68</v>
      </c>
      <c r="F10">
        <v>11</v>
      </c>
      <c r="G10">
        <v>12</v>
      </c>
      <c r="H10">
        <v>116</v>
      </c>
      <c r="I10">
        <f t="shared" si="1"/>
        <v>207</v>
      </c>
      <c r="J10" t="s">
        <v>48</v>
      </c>
      <c r="K10" t="s">
        <v>50</v>
      </c>
      <c r="L10">
        <v>63</v>
      </c>
      <c r="M10">
        <v>11</v>
      </c>
      <c r="N10">
        <v>12</v>
      </c>
      <c r="O10">
        <v>115</v>
      </c>
      <c r="P10">
        <f t="shared" si="2"/>
        <v>201</v>
      </c>
      <c r="Q10">
        <f t="shared" si="3"/>
        <v>3302</v>
      </c>
      <c r="R10">
        <f t="shared" si="4"/>
        <v>35</v>
      </c>
      <c r="S10">
        <f t="shared" si="5"/>
        <v>11</v>
      </c>
      <c r="T10">
        <f t="shared" si="5"/>
        <v>12</v>
      </c>
      <c r="U10">
        <f t="shared" si="5"/>
        <v>36</v>
      </c>
      <c r="V10">
        <f t="shared" si="6"/>
        <v>94</v>
      </c>
      <c r="W10">
        <v>4</v>
      </c>
      <c r="Y10">
        <f t="shared" si="7"/>
        <v>380</v>
      </c>
      <c r="Z10">
        <v>0</v>
      </c>
      <c r="AA10">
        <f t="shared" si="8"/>
        <v>0</v>
      </c>
      <c r="AB10" t="s">
        <v>37</v>
      </c>
      <c r="AC10">
        <f t="shared" si="9"/>
        <v>9</v>
      </c>
      <c r="AD10">
        <f t="shared" si="10"/>
        <v>855</v>
      </c>
      <c r="AE10">
        <f t="shared" si="11"/>
        <v>26</v>
      </c>
      <c r="AF10">
        <f t="shared" si="12"/>
        <v>6.842105263157895E-3</v>
      </c>
    </row>
    <row r="11" spans="1:32" ht="15" customHeight="1" x14ac:dyDescent="0.2">
      <c r="A11" t="s">
        <v>51</v>
      </c>
      <c r="B11" t="s">
        <v>52</v>
      </c>
      <c r="C11">
        <v>60</v>
      </c>
      <c r="D11">
        <f t="shared" si="0"/>
        <v>5700</v>
      </c>
      <c r="E11">
        <v>99</v>
      </c>
      <c r="F11">
        <v>4</v>
      </c>
      <c r="G11">
        <v>9</v>
      </c>
      <c r="H11">
        <v>178</v>
      </c>
      <c r="I11">
        <f t="shared" si="1"/>
        <v>290</v>
      </c>
      <c r="J11" t="s">
        <v>51</v>
      </c>
      <c r="K11" t="s">
        <v>53</v>
      </c>
      <c r="L11">
        <v>67</v>
      </c>
      <c r="M11">
        <v>11</v>
      </c>
      <c r="N11">
        <v>12</v>
      </c>
      <c r="O11">
        <v>118</v>
      </c>
      <c r="P11">
        <f t="shared" si="2"/>
        <v>208</v>
      </c>
      <c r="Q11">
        <f t="shared" si="3"/>
        <v>3413</v>
      </c>
      <c r="R11">
        <f t="shared" si="4"/>
        <v>67</v>
      </c>
      <c r="S11">
        <f t="shared" si="5"/>
        <v>4</v>
      </c>
      <c r="T11">
        <f t="shared" si="5"/>
        <v>9</v>
      </c>
      <c r="U11">
        <f t="shared" si="5"/>
        <v>96</v>
      </c>
      <c r="V11">
        <f t="shared" si="6"/>
        <v>176</v>
      </c>
      <c r="W11">
        <v>10</v>
      </c>
      <c r="Y11">
        <f t="shared" si="7"/>
        <v>950</v>
      </c>
      <c r="Z11">
        <v>15</v>
      </c>
      <c r="AA11">
        <f t="shared" si="8"/>
        <v>1425</v>
      </c>
      <c r="AB11" t="s">
        <v>54</v>
      </c>
      <c r="AC11">
        <f t="shared" si="9"/>
        <v>4</v>
      </c>
      <c r="AD11">
        <f t="shared" si="10"/>
        <v>380</v>
      </c>
      <c r="AE11">
        <f t="shared" si="11"/>
        <v>14</v>
      </c>
      <c r="AF11">
        <f t="shared" si="12"/>
        <v>2.4561403508771931E-3</v>
      </c>
    </row>
    <row r="12" spans="1:32" ht="15" customHeight="1" x14ac:dyDescent="0.2">
      <c r="A12" t="s">
        <v>51</v>
      </c>
      <c r="B12" t="s">
        <v>52</v>
      </c>
      <c r="C12">
        <v>5</v>
      </c>
      <c r="D12">
        <f t="shared" si="0"/>
        <v>475</v>
      </c>
      <c r="E12">
        <v>4</v>
      </c>
      <c r="F12">
        <v>0</v>
      </c>
      <c r="G12">
        <v>0</v>
      </c>
      <c r="H12">
        <v>18</v>
      </c>
      <c r="I12">
        <f t="shared" si="1"/>
        <v>22</v>
      </c>
      <c r="J12" t="s">
        <v>51</v>
      </c>
      <c r="L12">
        <v>0</v>
      </c>
      <c r="M12">
        <v>0</v>
      </c>
      <c r="N12">
        <v>0</v>
      </c>
      <c r="O12">
        <v>0</v>
      </c>
      <c r="P12">
        <f t="shared" si="2"/>
        <v>0</v>
      </c>
      <c r="Q12">
        <f t="shared" si="3"/>
        <v>0</v>
      </c>
      <c r="R12">
        <f t="shared" si="4"/>
        <v>71</v>
      </c>
      <c r="S12">
        <f t="shared" si="5"/>
        <v>4</v>
      </c>
      <c r="T12">
        <f t="shared" si="5"/>
        <v>9</v>
      </c>
      <c r="U12">
        <f t="shared" si="5"/>
        <v>114</v>
      </c>
      <c r="V12">
        <f t="shared" si="6"/>
        <v>198</v>
      </c>
      <c r="W12">
        <v>1</v>
      </c>
      <c r="Y12">
        <f t="shared" si="7"/>
        <v>95</v>
      </c>
      <c r="Z12">
        <v>0</v>
      </c>
      <c r="AA12">
        <f t="shared" si="8"/>
        <v>0</v>
      </c>
      <c r="AC12">
        <f t="shared" si="9"/>
        <v>5</v>
      </c>
      <c r="AD12">
        <f t="shared" si="10"/>
        <v>475</v>
      </c>
      <c r="AE12">
        <f t="shared" si="11"/>
        <v>14</v>
      </c>
      <c r="AF12">
        <f t="shared" si="12"/>
        <v>2.9473684210526315E-2</v>
      </c>
    </row>
    <row r="13" spans="1:32" ht="15" customHeight="1" x14ac:dyDescent="0.2"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f t="shared" si="1"/>
        <v>0</v>
      </c>
      <c r="J13" t="s">
        <v>55</v>
      </c>
      <c r="K13" t="s">
        <v>56</v>
      </c>
      <c r="L13">
        <v>67</v>
      </c>
      <c r="M13">
        <v>4</v>
      </c>
      <c r="N13">
        <v>9</v>
      </c>
      <c r="O13">
        <v>114</v>
      </c>
      <c r="P13">
        <f t="shared" si="2"/>
        <v>194</v>
      </c>
      <c r="Q13">
        <f t="shared" si="3"/>
        <v>3168</v>
      </c>
      <c r="R13">
        <f t="shared" si="4"/>
        <v>3</v>
      </c>
      <c r="S13">
        <f t="shared" si="5"/>
        <v>0</v>
      </c>
      <c r="T13">
        <f t="shared" si="5"/>
        <v>0</v>
      </c>
      <c r="U13">
        <f t="shared" si="5"/>
        <v>0</v>
      </c>
      <c r="V13">
        <f t="shared" si="6"/>
        <v>3</v>
      </c>
      <c r="W13">
        <v>0</v>
      </c>
      <c r="X13">
        <v>1</v>
      </c>
      <c r="Y13">
        <f t="shared" si="7"/>
        <v>0</v>
      </c>
      <c r="Z13">
        <v>0</v>
      </c>
      <c r="AA13">
        <f t="shared" si="8"/>
        <v>0</v>
      </c>
      <c r="AC13">
        <f t="shared" si="9"/>
        <v>5</v>
      </c>
      <c r="AD13">
        <f t="shared" si="10"/>
        <v>475</v>
      </c>
      <c r="AE13">
        <f t="shared" si="11"/>
        <v>0</v>
      </c>
      <c r="AF13" t="str">
        <f t="shared" si="12"/>
        <v/>
      </c>
    </row>
    <row r="14" spans="1:32" ht="15.75" customHeight="1" x14ac:dyDescent="0.2">
      <c r="A14" s="3" t="s">
        <v>57</v>
      </c>
      <c r="B14" s="3"/>
      <c r="C14" s="16">
        <f t="shared" ref="C14:I14" si="13">SUM(C6:C13)</f>
        <v>255</v>
      </c>
      <c r="D14" s="16">
        <f t="shared" si="13"/>
        <v>24225</v>
      </c>
      <c r="E14" s="16">
        <f t="shared" si="13"/>
        <v>461</v>
      </c>
      <c r="F14" s="16">
        <f t="shared" si="13"/>
        <v>70</v>
      </c>
      <c r="G14" s="16">
        <f t="shared" si="13"/>
        <v>78</v>
      </c>
      <c r="H14" s="16">
        <f t="shared" si="13"/>
        <v>690</v>
      </c>
      <c r="I14" s="16">
        <f t="shared" si="13"/>
        <v>1299</v>
      </c>
      <c r="L14" s="16">
        <f t="shared" ref="L14:Q14" si="14">SUM(L6:L13)</f>
        <v>465</v>
      </c>
      <c r="M14" s="16">
        <f t="shared" si="14"/>
        <v>70</v>
      </c>
      <c r="N14" s="16">
        <f t="shared" si="14"/>
        <v>78</v>
      </c>
      <c r="O14" s="16">
        <f t="shared" si="14"/>
        <v>697</v>
      </c>
      <c r="P14" s="16">
        <f t="shared" si="14"/>
        <v>1310</v>
      </c>
      <c r="Q14" s="16">
        <f t="shared" si="14"/>
        <v>21410</v>
      </c>
      <c r="R14" s="16">
        <f>R13</f>
        <v>3</v>
      </c>
      <c r="S14" s="16">
        <f>S13</f>
        <v>0</v>
      </c>
      <c r="T14" s="16">
        <f>T13</f>
        <v>0</v>
      </c>
      <c r="U14" s="16">
        <f>U13</f>
        <v>0</v>
      </c>
      <c r="V14" s="16">
        <f>V13</f>
        <v>3</v>
      </c>
      <c r="W14" s="16">
        <f>SUM(W6:W13)</f>
        <v>35</v>
      </c>
      <c r="Y14" s="16">
        <f>SUM(Y6:Y13)</f>
        <v>3325</v>
      </c>
      <c r="Z14" s="16">
        <f>SUM(Z6:Z13)</f>
        <v>50</v>
      </c>
      <c r="AA14" s="16">
        <f>SUM(AA6:AA13)</f>
        <v>4750</v>
      </c>
      <c r="AC14" s="16">
        <f>AC13</f>
        <v>5</v>
      </c>
      <c r="AD14" s="16">
        <f>AD13</f>
        <v>475</v>
      </c>
      <c r="AE14" s="16">
        <f>SUM(AE6:AE13)</f>
        <v>-331</v>
      </c>
      <c r="AF14" s="16">
        <f>IF(D14=0,"",AE14/D14)</f>
        <v>-1.3663570691434469E-2</v>
      </c>
    </row>
    <row r="15" spans="1:32" ht="15" customHeight="1" x14ac:dyDescent="0.2">
      <c r="A15" s="15" t="s">
        <v>58</v>
      </c>
      <c r="B15" t="s">
        <v>35</v>
      </c>
      <c r="C15">
        <v>50</v>
      </c>
      <c r="D15">
        <f t="shared" ref="D15:D21" si="15">C15*95</f>
        <v>4750</v>
      </c>
      <c r="E15">
        <v>107</v>
      </c>
      <c r="F15">
        <v>11</v>
      </c>
      <c r="G15">
        <v>12</v>
      </c>
      <c r="H15">
        <v>88</v>
      </c>
      <c r="I15">
        <f t="shared" ref="I15:I21" si="16">E15+F15+G15+H15</f>
        <v>218</v>
      </c>
      <c r="J15" t="s">
        <v>58</v>
      </c>
      <c r="K15" t="s">
        <v>59</v>
      </c>
      <c r="L15">
        <v>67</v>
      </c>
      <c r="M15">
        <v>11</v>
      </c>
      <c r="N15">
        <v>12</v>
      </c>
      <c r="O15">
        <v>28</v>
      </c>
      <c r="P15">
        <f t="shared" ref="P15:P21" si="17">L15+M15+N15+O15</f>
        <v>118</v>
      </c>
      <c r="Q15">
        <f t="shared" ref="Q15:Q21" si="18">L15*15+M15*18+N15*17+O15*17</f>
        <v>1883</v>
      </c>
      <c r="R15">
        <f>R13+E15-L15-IF(ISBLANK(X15),0,X15)</f>
        <v>43</v>
      </c>
      <c r="S15">
        <f>S13+F15-M15</f>
        <v>0</v>
      </c>
      <c r="T15">
        <f>T13+G15-N15</f>
        <v>0</v>
      </c>
      <c r="U15">
        <f>U13+H15-O15</f>
        <v>60</v>
      </c>
      <c r="V15">
        <f t="shared" ref="V15:V21" si="19">R15+S15+T15+U15</f>
        <v>103</v>
      </c>
      <c r="W15">
        <v>13.5</v>
      </c>
      <c r="Y15">
        <f t="shared" ref="Y15:Y21" si="20">IF(ISBLANK(W15),0,W15)*95</f>
        <v>1282.5</v>
      </c>
      <c r="Z15">
        <v>0</v>
      </c>
      <c r="AA15">
        <f t="shared" ref="AA15:AA21" si="21">IF(ISBLANK(Z15),0,Z15)*95</f>
        <v>0</v>
      </c>
      <c r="AC15">
        <f>AC13+IF(ISBLANK(W15),0,W15)-IF(ISBLANK(Z15),0,Z15)</f>
        <v>18.5</v>
      </c>
      <c r="AD15">
        <f t="shared" ref="AD15:AD21" si="22">AC15*95</f>
        <v>1757.5</v>
      </c>
      <c r="AE15">
        <f t="shared" ref="AE15:AE21" si="23">IF(C15=0,0,D15-(E15*15+F15*18+G15*17+H15*17)-Y15)</f>
        <v>-35.5</v>
      </c>
      <c r="AF15">
        <f t="shared" ref="AF15:AF21" si="24">IF(C15=0,"",AE15/D15)</f>
        <v>-7.4736842105263155E-3</v>
      </c>
    </row>
    <row r="16" spans="1:32" ht="15" customHeight="1" x14ac:dyDescent="0.2">
      <c r="A16" s="18">
        <v>46223</v>
      </c>
      <c r="B16" t="s">
        <v>39</v>
      </c>
      <c r="C16">
        <v>70</v>
      </c>
      <c r="D16">
        <f t="shared" si="15"/>
        <v>6650</v>
      </c>
      <c r="I16">
        <f t="shared" si="16"/>
        <v>0</v>
      </c>
      <c r="P16">
        <f t="shared" si="17"/>
        <v>0</v>
      </c>
      <c r="Q16">
        <f t="shared" si="18"/>
        <v>0</v>
      </c>
      <c r="R16">
        <f t="shared" ref="R16:R21" si="25">R15+E16-L16-IF(ISBLANK(X16),0,X16)</f>
        <v>43</v>
      </c>
      <c r="S16">
        <f t="shared" ref="S16:U21" si="26">S15+F16-M16</f>
        <v>0</v>
      </c>
      <c r="T16">
        <f t="shared" si="26"/>
        <v>0</v>
      </c>
      <c r="U16">
        <f t="shared" si="26"/>
        <v>60</v>
      </c>
      <c r="V16">
        <f t="shared" si="19"/>
        <v>103</v>
      </c>
      <c r="Y16">
        <f t="shared" si="20"/>
        <v>0</v>
      </c>
      <c r="AA16">
        <f t="shared" si="21"/>
        <v>0</v>
      </c>
      <c r="AC16">
        <f t="shared" ref="AC16:AC21" si="27">AC15+IF(ISBLANK(W16),0,W16)-IF(ISBLANK(Z16),0,Z16)</f>
        <v>18.5</v>
      </c>
      <c r="AD16">
        <f t="shared" si="22"/>
        <v>1757.5</v>
      </c>
      <c r="AE16">
        <f t="shared" si="23"/>
        <v>6650</v>
      </c>
      <c r="AF16">
        <f t="shared" si="24"/>
        <v>1</v>
      </c>
    </row>
    <row r="17" spans="1:32" ht="15" customHeight="1" x14ac:dyDescent="0.2">
      <c r="D17">
        <f t="shared" si="15"/>
        <v>0</v>
      </c>
      <c r="I17">
        <f t="shared" si="16"/>
        <v>0</v>
      </c>
      <c r="P17">
        <f t="shared" si="17"/>
        <v>0</v>
      </c>
      <c r="Q17">
        <f t="shared" si="18"/>
        <v>0</v>
      </c>
      <c r="R17">
        <f t="shared" si="25"/>
        <v>43</v>
      </c>
      <c r="S17">
        <f t="shared" si="26"/>
        <v>0</v>
      </c>
      <c r="T17">
        <f t="shared" si="26"/>
        <v>0</v>
      </c>
      <c r="U17">
        <f t="shared" si="26"/>
        <v>60</v>
      </c>
      <c r="V17">
        <f t="shared" si="19"/>
        <v>103</v>
      </c>
      <c r="Y17">
        <f t="shared" si="20"/>
        <v>0</v>
      </c>
      <c r="AA17">
        <f t="shared" si="21"/>
        <v>0</v>
      </c>
      <c r="AC17">
        <f t="shared" si="27"/>
        <v>18.5</v>
      </c>
      <c r="AD17">
        <f t="shared" si="22"/>
        <v>1757.5</v>
      </c>
      <c r="AE17">
        <f t="shared" si="23"/>
        <v>0</v>
      </c>
      <c r="AF17" t="str">
        <f t="shared" si="24"/>
        <v/>
      </c>
    </row>
    <row r="18" spans="1:32" ht="15" customHeight="1" x14ac:dyDescent="0.2">
      <c r="D18">
        <f t="shared" si="15"/>
        <v>0</v>
      </c>
      <c r="I18">
        <f t="shared" si="16"/>
        <v>0</v>
      </c>
      <c r="P18">
        <f t="shared" si="17"/>
        <v>0</v>
      </c>
      <c r="Q18">
        <f t="shared" si="18"/>
        <v>0</v>
      </c>
      <c r="R18">
        <f t="shared" si="25"/>
        <v>43</v>
      </c>
      <c r="S18">
        <f t="shared" si="26"/>
        <v>0</v>
      </c>
      <c r="T18">
        <f t="shared" si="26"/>
        <v>0</v>
      </c>
      <c r="U18">
        <f t="shared" si="26"/>
        <v>60</v>
      </c>
      <c r="V18">
        <f t="shared" si="19"/>
        <v>103</v>
      </c>
      <c r="Y18">
        <f t="shared" si="20"/>
        <v>0</v>
      </c>
      <c r="AA18">
        <f t="shared" si="21"/>
        <v>0</v>
      </c>
      <c r="AC18">
        <f t="shared" si="27"/>
        <v>18.5</v>
      </c>
      <c r="AD18">
        <f t="shared" si="22"/>
        <v>1757.5</v>
      </c>
      <c r="AE18">
        <f t="shared" si="23"/>
        <v>0</v>
      </c>
      <c r="AF18" t="str">
        <f t="shared" si="24"/>
        <v/>
      </c>
    </row>
    <row r="19" spans="1:32" ht="15" customHeight="1" x14ac:dyDescent="0.2">
      <c r="D19">
        <f t="shared" si="15"/>
        <v>0</v>
      </c>
      <c r="I19">
        <f t="shared" si="16"/>
        <v>0</v>
      </c>
      <c r="P19">
        <f t="shared" si="17"/>
        <v>0</v>
      </c>
      <c r="Q19">
        <f t="shared" si="18"/>
        <v>0</v>
      </c>
      <c r="R19">
        <f t="shared" si="25"/>
        <v>43</v>
      </c>
      <c r="S19">
        <f t="shared" si="26"/>
        <v>0</v>
      </c>
      <c r="T19">
        <f t="shared" si="26"/>
        <v>0</v>
      </c>
      <c r="U19">
        <f t="shared" si="26"/>
        <v>60</v>
      </c>
      <c r="V19">
        <f t="shared" si="19"/>
        <v>103</v>
      </c>
      <c r="Y19">
        <f t="shared" si="20"/>
        <v>0</v>
      </c>
      <c r="AA19">
        <f t="shared" si="21"/>
        <v>0</v>
      </c>
      <c r="AC19">
        <f t="shared" si="27"/>
        <v>18.5</v>
      </c>
      <c r="AD19">
        <f t="shared" si="22"/>
        <v>1757.5</v>
      </c>
      <c r="AE19">
        <f t="shared" si="23"/>
        <v>0</v>
      </c>
      <c r="AF19" t="str">
        <f t="shared" si="24"/>
        <v/>
      </c>
    </row>
    <row r="20" spans="1:32" ht="15" customHeight="1" x14ac:dyDescent="0.2">
      <c r="D20">
        <f t="shared" si="15"/>
        <v>0</v>
      </c>
      <c r="I20">
        <f t="shared" si="16"/>
        <v>0</v>
      </c>
      <c r="P20">
        <f t="shared" si="17"/>
        <v>0</v>
      </c>
      <c r="Q20">
        <f t="shared" si="18"/>
        <v>0</v>
      </c>
      <c r="R20">
        <f t="shared" si="25"/>
        <v>43</v>
      </c>
      <c r="S20">
        <f t="shared" si="26"/>
        <v>0</v>
      </c>
      <c r="T20">
        <f t="shared" si="26"/>
        <v>0</v>
      </c>
      <c r="U20">
        <f t="shared" si="26"/>
        <v>60</v>
      </c>
      <c r="V20">
        <f t="shared" si="19"/>
        <v>103</v>
      </c>
      <c r="Y20">
        <f t="shared" si="20"/>
        <v>0</v>
      </c>
      <c r="AA20">
        <f t="shared" si="21"/>
        <v>0</v>
      </c>
      <c r="AC20">
        <f t="shared" si="27"/>
        <v>18.5</v>
      </c>
      <c r="AD20">
        <f t="shared" si="22"/>
        <v>1757.5</v>
      </c>
      <c r="AE20">
        <f t="shared" si="23"/>
        <v>0</v>
      </c>
      <c r="AF20" t="str">
        <f t="shared" si="24"/>
        <v/>
      </c>
    </row>
    <row r="21" spans="1:32" ht="15" customHeight="1" x14ac:dyDescent="0.2">
      <c r="D21">
        <f t="shared" si="15"/>
        <v>0</v>
      </c>
      <c r="I21">
        <f t="shared" si="16"/>
        <v>0</v>
      </c>
      <c r="P21">
        <f t="shared" si="17"/>
        <v>0</v>
      </c>
      <c r="Q21">
        <f t="shared" si="18"/>
        <v>0</v>
      </c>
      <c r="R21">
        <f t="shared" si="25"/>
        <v>43</v>
      </c>
      <c r="S21">
        <f t="shared" si="26"/>
        <v>0</v>
      </c>
      <c r="T21">
        <f t="shared" si="26"/>
        <v>0</v>
      </c>
      <c r="U21">
        <f t="shared" si="26"/>
        <v>60</v>
      </c>
      <c r="V21">
        <f t="shared" si="19"/>
        <v>103</v>
      </c>
      <c r="Y21">
        <f t="shared" si="20"/>
        <v>0</v>
      </c>
      <c r="AA21">
        <f t="shared" si="21"/>
        <v>0</v>
      </c>
      <c r="AC21">
        <f t="shared" si="27"/>
        <v>18.5</v>
      </c>
      <c r="AD21">
        <f t="shared" si="22"/>
        <v>1757.5</v>
      </c>
      <c r="AE21">
        <f t="shared" si="23"/>
        <v>0</v>
      </c>
      <c r="AF21" t="str">
        <f t="shared" si="24"/>
        <v/>
      </c>
    </row>
    <row r="22" spans="1:32" ht="15.75" customHeight="1" x14ac:dyDescent="0.2">
      <c r="A22" s="2" t="s">
        <v>60</v>
      </c>
      <c r="B22" s="2"/>
      <c r="C22" s="17">
        <f t="shared" ref="C22:I22" si="28">SUM(C15:C21)</f>
        <v>120</v>
      </c>
      <c r="D22" s="17">
        <f t="shared" si="28"/>
        <v>11400</v>
      </c>
      <c r="E22" s="17">
        <f t="shared" si="28"/>
        <v>107</v>
      </c>
      <c r="F22" s="17">
        <f t="shared" si="28"/>
        <v>11</v>
      </c>
      <c r="G22" s="17">
        <f t="shared" si="28"/>
        <v>12</v>
      </c>
      <c r="H22" s="17">
        <f t="shared" si="28"/>
        <v>88</v>
      </c>
      <c r="I22" s="17">
        <f t="shared" si="28"/>
        <v>218</v>
      </c>
      <c r="L22" s="17">
        <f t="shared" ref="L22:Q22" si="29">SUM(L15:L21)</f>
        <v>67</v>
      </c>
      <c r="M22" s="17">
        <f t="shared" si="29"/>
        <v>11</v>
      </c>
      <c r="N22" s="17">
        <f t="shared" si="29"/>
        <v>12</v>
      </c>
      <c r="O22" s="17">
        <f t="shared" si="29"/>
        <v>28</v>
      </c>
      <c r="P22" s="17">
        <f t="shared" si="29"/>
        <v>118</v>
      </c>
      <c r="Q22" s="17">
        <f t="shared" si="29"/>
        <v>1883</v>
      </c>
      <c r="R22" s="17">
        <f>R21</f>
        <v>43</v>
      </c>
      <c r="S22" s="17">
        <f>S21</f>
        <v>0</v>
      </c>
      <c r="T22" s="17">
        <f>T21</f>
        <v>0</v>
      </c>
      <c r="U22" s="17">
        <f>U21</f>
        <v>60</v>
      </c>
      <c r="V22" s="17">
        <f>V21</f>
        <v>103</v>
      </c>
      <c r="W22" s="17">
        <f>SUM(W15:W21)</f>
        <v>13.5</v>
      </c>
      <c r="Y22" s="17">
        <f>SUM(Y15:Y21)</f>
        <v>1282.5</v>
      </c>
      <c r="Z22" s="17">
        <f>SUM(Z15:Z21)</f>
        <v>0</v>
      </c>
      <c r="AA22" s="17">
        <f>SUM(AA15:AA21)</f>
        <v>0</v>
      </c>
      <c r="AC22" s="17">
        <f>AC21</f>
        <v>18.5</v>
      </c>
      <c r="AD22" s="17">
        <f>AD21</f>
        <v>1757.5</v>
      </c>
      <c r="AE22" s="17">
        <f>SUM(AE15:AE21)</f>
        <v>6614.5</v>
      </c>
      <c r="AF22" s="17">
        <f>IF(D22=0,"",AE22/D22)</f>
        <v>0.58021929824561402</v>
      </c>
    </row>
    <row r="23" spans="1:32" ht="12" customHeight="1" x14ac:dyDescent="0.2">
      <c r="A23" s="1" t="s">
        <v>61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</sheetData>
  <mergeCells count="12">
    <mergeCell ref="A14:B14"/>
    <mergeCell ref="A22:B22"/>
    <mergeCell ref="A23:AF23"/>
    <mergeCell ref="A1:AF1"/>
    <mergeCell ref="A2:AF2"/>
    <mergeCell ref="A3:B3"/>
    <mergeCell ref="C3:D3"/>
    <mergeCell ref="E3:I3"/>
    <mergeCell ref="J3:Q3"/>
    <mergeCell ref="R3:V3"/>
    <mergeCell ref="W3:AD3"/>
    <mergeCell ref="AE3:AF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Balance PLANTA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dcterms:created xsi:type="dcterms:W3CDTF">2026-07-19T18:22:44Z</dcterms:created>
  <dcterms:modified xsi:type="dcterms:W3CDTF">2026-07-20T19:23:21Z</dcterms:modified>
  <dc:language>en-US</dc:language>
</cp:coreProperties>
</file>