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lance PLANTA" sheetId="1" state="visible" r:id="rId3"/>
    <sheet name="Trazabilidad FIFO" sheetId="2" state="visible" r:id="rId4"/>
    <sheet name="FIFO_helper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<sst xmlns="http://schemas.openxmlformats.org/spreadsheetml/2006/main" count="141" uniqueCount="112">
  <si>
    <t xml:space="preserve">AGRO PACAYALES · PLANTA CAMOTE 2026  |  Balance Diario de Selección &amp; Despacho SUPESA</t>
  </si>
  <si>
    <t xml:space="preserve">Apertura Sem29: 8j cal.A · 7j cal.M · 20s chancho  ·  Conversión: A=15 · P=18 · C=17 · M=17 kg/j  ·  TRAS = jabas perdidas en trasiego (descuenta saldo A)</t>
  </si>
  <si>
    <t xml:space="preserve">IDENTIFICACIÓN</t>
  </si>
  <si>
    <t xml:space="preserve">📦 INGRESO</t>
  </si>
  <si>
    <t xml:space="preserve">🌿 SELECCIÓN (jabas)</t>
  </si>
  <si>
    <t xml:space="preserve">🚛 DESPACHO A SUPESA</t>
  </si>
  <si>
    <t xml:space="preserve">🔄 SALDO EN PLANTA</t>
  </si>
  <si>
    <t xml:space="preserve">🐷 CHANCHO</t>
  </si>
  <si>
    <t xml:space="preserve">⚖️ MERMA</t>
  </si>
  <si>
    <t xml:space="preserve">Fecha</t>
  </si>
  <si>
    <t xml:space="preserve">Día</t>
  </si>
  <si>
    <t xml:space="preserve">Sacos
ings.</t>
  </si>
  <si>
    <t xml:space="preserve">kg
ings.</t>
  </si>
  <si>
    <t xml:space="preserve">A
j</t>
  </si>
  <si>
    <t xml:space="preserve">P
j</t>
  </si>
  <si>
    <t xml:space="preserve">C
j</t>
  </si>
  <si>
    <t xml:space="preserve">M
j</t>
  </si>
  <si>
    <t xml:space="preserve">Tot
j</t>
  </si>
  <si>
    <t xml:space="preserve">Fecha
Desp.</t>
  </si>
  <si>
    <t xml:space="preserve">N° Guía</t>
  </si>
  <si>
    <t xml:space="preserve">Tot
kg</t>
  </si>
  <si>
    <t xml:space="preserve">Prod
(s)</t>
  </si>
  <si>
    <t xml:space="preserve">TRAS</t>
  </si>
  <si>
    <t xml:space="preserve">Prod
(kg)</t>
  </si>
  <si>
    <t xml:space="preserve">Venta
(s)</t>
  </si>
  <si>
    <t xml:space="preserve">Venta
(kg)</t>
  </si>
  <si>
    <t xml:space="preserve">Ticket</t>
  </si>
  <si>
    <t xml:space="preserve">Saldo
(s)</t>
  </si>
  <si>
    <t xml:space="preserve">Saldo
(kg)</t>
  </si>
  <si>
    <t xml:space="preserve">Merma
kg</t>
  </si>
  <si>
    <t xml:space="preserve">Merma
%</t>
  </si>
  <si>
    <t xml:space="preserve">11/07</t>
  </si>
  <si>
    <t xml:space="preserve">Sáb</t>
  </si>
  <si>
    <t xml:space="preserve">← saldo apertura sem.ant.</t>
  </si>
  <si>
    <t xml:space="preserve">12/07</t>
  </si>
  <si>
    <t xml:space="preserve">Dom</t>
  </si>
  <si>
    <t xml:space="preserve">G-2977</t>
  </si>
  <si>
    <t xml:space="preserve">—</t>
  </si>
  <si>
    <t xml:space="preserve">13/07</t>
  </si>
  <si>
    <t xml:space="preserve">Lun</t>
  </si>
  <si>
    <t xml:space="preserve">G-2980</t>
  </si>
  <si>
    <t xml:space="preserve">14/07</t>
  </si>
  <si>
    <t xml:space="preserve">Mar</t>
  </si>
  <si>
    <t xml:space="preserve">G-2984</t>
  </si>
  <si>
    <t xml:space="preserve">15/07</t>
  </si>
  <si>
    <t xml:space="preserve">Mié</t>
  </si>
  <si>
    <t xml:space="preserve">G-2986</t>
  </si>
  <si>
    <t xml:space="preserve">tkt 724</t>
  </si>
  <si>
    <t xml:space="preserve">16/07</t>
  </si>
  <si>
    <t xml:space="preserve">Jue</t>
  </si>
  <si>
    <t xml:space="preserve">G-2992</t>
  </si>
  <si>
    <t xml:space="preserve">17/07</t>
  </si>
  <si>
    <t xml:space="preserve">Vie</t>
  </si>
  <si>
    <t xml:space="preserve">G-2994</t>
  </si>
  <si>
    <t xml:space="preserve">tkt 002-725</t>
  </si>
  <si>
    <t xml:space="preserve">18/07</t>
  </si>
  <si>
    <t xml:space="preserve">G-2996</t>
  </si>
  <si>
    <t xml:space="preserve">19/07</t>
  </si>
  <si>
    <t xml:space="preserve">G-2998</t>
  </si>
  <si>
    <t xml:space="preserve">20/07</t>
  </si>
  <si>
    <t xml:space="preserve">G-3001</t>
  </si>
  <si>
    <t xml:space="preserve">21/07</t>
  </si>
  <si>
    <t xml:space="preserve">G-3004</t>
  </si>
  <si>
    <t xml:space="preserve">⚖️ Merma = Ingreso(s×95 kg) − Selección kg(A×15,P×18,C×17,M×17) − Chancho prod(s×95 kg)  ·  TRAS=jaba perdida en trasiego(descuenta saldo A)  ·  Chancho: 1s=95kg</t>
  </si>
  <si>
    <t xml:space="preserve">TRAZABILIDAD FIFO + CHANCHO — se llena solo a partir de la hoja "Balance PLANTA" (fórmulas)</t>
  </si>
  <si>
    <t xml:space="preserve">Fecha Compra</t>
  </si>
  <si>
    <t xml:space="preserve">Fecha Envío / Concepto</t>
  </si>
  <si>
    <t xml:space="preserve">OC</t>
  </si>
  <si>
    <t xml:space="preserve">Tipo</t>
  </si>
  <si>
    <t xml:space="preserve">Cantidad</t>
  </si>
  <si>
    <t xml:space="preserve">UM</t>
  </si>
  <si>
    <t xml:space="preserve">i</t>
  </si>
  <si>
    <t xml:space="preserve">r</t>
  </si>
  <si>
    <t xml:space="preserve">FechaCompraLbl</t>
  </si>
  <si>
    <t xml:space="preserve">kgComprado</t>
  </si>
  <si>
    <t xml:space="preserve">sacosChancho</t>
  </si>
  <si>
    <t xml:space="preserve">kgChancho</t>
  </si>
  <si>
    <t xml:space="preserve">kgNeto</t>
  </si>
  <si>
    <t xml:space="preserve">cumSupply</t>
  </si>
  <si>
    <t xml:space="preserve">kgDespacho</t>
  </si>
  <si>
    <t xml:space="preserve">cumDemand</t>
  </si>
  <si>
    <t xml:space="preserve">fechaDespacho</t>
  </si>
  <si>
    <t xml:space="preserve">guia</t>
  </si>
  <si>
    <t xml:space="preserve">jStart1</t>
  </si>
  <si>
    <t xml:space="preserve">j1</t>
  </si>
  <si>
    <t xml:space="preserve">alloc1</t>
  </si>
  <si>
    <t xml:space="preserve">fecha1</t>
  </si>
  <si>
    <t xml:space="preserve">guia1</t>
  </si>
  <si>
    <t xml:space="preserve">jStart2</t>
  </si>
  <si>
    <t xml:space="preserve">j2</t>
  </si>
  <si>
    <t xml:space="preserve">alloc2</t>
  </si>
  <si>
    <t xml:space="preserve">fecha2</t>
  </si>
  <si>
    <t xml:space="preserve">guia2</t>
  </si>
  <si>
    <t xml:space="preserve">jStart3</t>
  </si>
  <si>
    <t xml:space="preserve">j3</t>
  </si>
  <si>
    <t xml:space="preserve">alloc3</t>
  </si>
  <si>
    <t xml:space="preserve">fecha3</t>
  </si>
  <si>
    <t xml:space="preserve">guia3</t>
  </si>
  <si>
    <t xml:space="preserve">jStart4</t>
  </si>
  <si>
    <t xml:space="preserve">j4</t>
  </si>
  <si>
    <t xml:space="preserve">alloc4</t>
  </si>
  <si>
    <t xml:space="preserve">fecha4</t>
  </si>
  <si>
    <t xml:space="preserve">guia4</t>
  </si>
  <si>
    <t xml:space="preserve">remainderKg</t>
  </si>
  <si>
    <t xml:space="preserve">flat_fecha</t>
  </si>
  <si>
    <t xml:space="preserve">flat_concepto</t>
  </si>
  <si>
    <t xml:space="preserve">flat_tipo</t>
  </si>
  <si>
    <t xml:space="preserve">flat_guia</t>
  </si>
  <si>
    <t xml:space="preserve">flat_cantidad</t>
  </si>
  <si>
    <t xml:space="preserve">flat_um</t>
  </si>
  <si>
    <t xml:space="preserve">flat_isValid</t>
  </si>
  <si>
    <t xml:space="preserve">flat_cumValid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</si>
</sst>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2"/>
      <charset val="1"/>
    </font>
    <font>
      <i val="true"/>
      <sz val="7.5"/>
      <color rgb="FFFFFFFF"/>
      <name val="Arial"/>
      <family val="2"/>
      <charset val="1"/>
    </font>
    <font>
      <b val="true"/>
      <sz val="8"/>
      <color rgb="FF546E7A"/>
      <name val="Arial"/>
      <family val="2"/>
      <charset val="1"/>
    </font>
    <font>
      <b val="true"/>
      <sz val="8"/>
      <color rgb="FF1565C0"/>
      <name val="Arial"/>
      <family val="2"/>
      <charset val="1"/>
    </font>
    <font>
      <b val="true"/>
      <sz val="8"/>
      <color rgb="FF1B5E20"/>
      <name val="Arial"/>
      <family val="2"/>
      <charset val="1"/>
    </font>
    <font>
      <b val="true"/>
      <sz val="8"/>
      <color rgb="FF4527A0"/>
      <name val="Arial"/>
      <family val="2"/>
      <charset val="1"/>
    </font>
    <font>
      <b val="true"/>
      <sz val="8"/>
      <color rgb="FF4E342E"/>
      <name val="Arial"/>
      <family val="2"/>
      <charset val="1"/>
    </font>
    <font>
      <b val="true"/>
      <sz val="8"/>
      <color rgb="FFBF360C"/>
      <name val="Arial"/>
      <family val="2"/>
      <charset val="1"/>
    </font>
    <font>
      <b val="true"/>
      <sz val="7"/>
      <color rgb="FFFFFFFF"/>
      <name val="Arial"/>
      <family val="2"/>
      <charset val="1"/>
    </font>
    <font>
      <i val="true"/>
      <sz val="7"/>
      <color rgb="FF90A4AE"/>
      <name val="Arial"/>
      <family val="2"/>
      <charset val="1"/>
    </font>
    <font>
      <i val="true"/>
      <sz val="7"/>
      <color rgb="FF78909C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333333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565C0"/>
        <bgColor rgb="FF1976D2"/>
      </patternFill>
    </fill>
    <fill>
      <patternFill patternType="solid">
        <fgColor rgb="FF1976D2"/>
        <bgColor rgb="FF1565C0"/>
      </patternFill>
    </fill>
    <fill>
      <patternFill patternType="solid">
        <fgColor rgb="FFECEFF1"/>
        <bgColor rgb="FFEFEFEF"/>
      </patternFill>
    </fill>
    <fill>
      <patternFill patternType="solid">
        <fgColor rgb="FFE3F2FD"/>
        <bgColor rgb="FFECEFF1"/>
      </patternFill>
    </fill>
    <fill>
      <patternFill patternType="solid">
        <fgColor rgb="FFF3FAF3"/>
        <bgColor rgb="FFFFFFFF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FEFEF"/>
      </patternFill>
    </fill>
    <fill>
      <patternFill patternType="solid">
        <fgColor rgb="FFFFF3E0"/>
        <bgColor rgb="FFFCF3CF"/>
      </patternFill>
    </fill>
    <fill>
      <patternFill patternType="solid">
        <fgColor rgb="FF263238"/>
        <bgColor rgb="FF333333"/>
      </patternFill>
    </fill>
    <fill>
      <patternFill patternType="solid">
        <fgColor rgb="FFD9EAF7"/>
        <bgColor rgb="FFE3F2FD"/>
      </patternFill>
    </fill>
    <fill>
      <patternFill patternType="solid">
        <fgColor rgb="FFDCEFDC"/>
        <bgColor rgb="FFD9EAF7"/>
      </patternFill>
    </fill>
    <fill>
      <patternFill patternType="solid">
        <fgColor rgb="FFFBE0D9"/>
        <bgColor rgb="FFEFEBE9"/>
      </patternFill>
    </fill>
    <fill>
      <patternFill patternType="solid">
        <fgColor rgb="FFFCF3CF"/>
        <bgColor rgb="FFFFF3E0"/>
      </patternFill>
    </fill>
    <fill>
      <patternFill patternType="solid">
        <fgColor rgb="FF4527A0"/>
        <bgColor rgb="FF5E35B1"/>
      </patternFill>
    </fill>
    <fill>
      <patternFill patternType="solid">
        <fgColor rgb="FF5E35B1"/>
        <bgColor rgb="FF4527A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1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i val="1"/>
        <color rgb="FF333333"/>
      </font>
      <fill>
        <patternFill>
          <bgColor rgb="FFF2EFF9"/>
        </patternFill>
      </fill>
    </dxf>
    <dxf>
      <font>
        <i val="1"/>
        <color rgb="FF888888"/>
      </font>
      <fill>
        <patternFill>
          <bgColor rgb="FFEFEFE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AF3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EDE7F6"/>
      <rgbColor rgb="FF888888"/>
      <rgbColor rgb="FF78909C"/>
      <rgbColor rgb="FF5E35B1"/>
      <rgbColor rgb="FFFCF3CF"/>
      <rgbColor rgb="FFE3F2FD"/>
      <rgbColor rgb="FF660066"/>
      <rgbColor rgb="FFFF8080"/>
      <rgbColor rgb="FF1565C0"/>
      <rgbColor rgb="FFDDDDDD"/>
      <rgbColor rgb="FF000080"/>
      <rgbColor rgb="FFFF00FF"/>
      <rgbColor rgb="FFF2EFF9"/>
      <rgbColor rgb="FF00FFFF"/>
      <rgbColor rgb="FF800080"/>
      <rgbColor rgb="FF800000"/>
      <rgbColor rgb="FF008080"/>
      <rgbColor rgb="FF0000FF"/>
      <rgbColor rgb="FF00CCFF"/>
      <rgbColor rgb="FFD9EAF7"/>
      <rgbColor rgb="FFDCEFDC"/>
      <rgbColor rgb="FFFFF3E0"/>
      <rgbColor rgb="FFECEFF1"/>
      <rgbColor rgb="FFEFEBE9"/>
      <rgbColor rgb="FFEFEFEF"/>
      <rgbColor rgb="FFFBE0D9"/>
      <rgbColor rgb="FF1976D2"/>
      <rgbColor rgb="FF33CCCC"/>
      <rgbColor rgb="FF99CC00"/>
      <rgbColor rgb="FFFFCC00"/>
      <rgbColor rgb="FFFF9900"/>
      <rgbColor rgb="FFFF6600"/>
      <rgbColor rgb="FF546E7A"/>
      <rgbColor rgb="FF90A4AE"/>
      <rgbColor rgb="FF003366"/>
      <rgbColor rgb="FF339966"/>
      <rgbColor rgb="FF003300"/>
      <rgbColor rgb="FF263238"/>
      <rgbColor rgb="FFBF360C"/>
      <rgbColor rgb="FF4E342E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7" activeCellId="0" sqref="A1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0" width="5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8" min="5" style="0" width="5"/>
    <col collapsed="false" customWidth="true" hidden="false" outlineLevel="0" max="9" min="9" style="0" width="6"/>
    <col collapsed="false" customWidth="true" hidden="false" outlineLevel="0" max="10" min="10" style="0" width="5.83"/>
    <col collapsed="false" customWidth="true" hidden="false" outlineLevel="0" max="11" min="11" style="0" width="9"/>
    <col collapsed="false" customWidth="true" hidden="false" outlineLevel="0" max="15" min="12" style="0" width="5"/>
    <col collapsed="false" customWidth="true" hidden="false" outlineLevel="0" max="16" min="16" style="0" width="6"/>
    <col collapsed="false" customWidth="true" hidden="false" outlineLevel="0" max="17" min="17" style="0" width="8"/>
    <col collapsed="false" customWidth="true" hidden="false" outlineLevel="0" max="21" min="18" style="0" width="5"/>
    <col collapsed="false" customWidth="true" hidden="false" outlineLevel="0" max="23" min="22" style="0" width="6"/>
    <col collapsed="false" customWidth="true" hidden="false" outlineLevel="0" max="24" min="24" style="0" width="5"/>
    <col collapsed="false" customWidth="true" hidden="false" outlineLevel="0" max="26" min="25" style="0" width="7"/>
    <col collapsed="false" customWidth="true" hidden="false" outlineLevel="0" max="27" min="27" style="0" width="8"/>
    <col collapsed="false" customWidth="true" hidden="false" outlineLevel="0" max="28" min="28" style="0" width="10"/>
    <col collapsed="false" customWidth="true" hidden="false" outlineLevel="0" max="29" min="29" style="0" width="7"/>
    <col collapsed="false" customWidth="true" hidden="false" outlineLevel="0" max="31" min="30" style="0" width="8"/>
    <col collapsed="false" customWidth="true" hidden="false" outlineLevel="0" max="32" min="32" style="0" width="7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2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 customFormat="false" ht="13.5" hidden="false" customHeight="true" outlineLevel="0" collapsed="false">
      <c r="A3" s="4" t="s">
        <v>2</v>
      </c>
      <c r="B3" s="4"/>
      <c r="C3" s="5" t="s">
        <v>3</v>
      </c>
      <c r="D3" s="5"/>
      <c r="E3" s="5" t="s">
        <v>4</v>
      </c>
      <c r="F3" s="5"/>
      <c r="G3" s="5"/>
      <c r="H3" s="5"/>
      <c r="I3" s="5"/>
      <c r="J3" s="6" t="s">
        <v>5</v>
      </c>
      <c r="K3" s="6"/>
      <c r="L3" s="6"/>
      <c r="M3" s="6"/>
      <c r="N3" s="6"/>
      <c r="O3" s="6"/>
      <c r="P3" s="6"/>
      <c r="Q3" s="6"/>
      <c r="R3" s="7" t="s">
        <v>6</v>
      </c>
      <c r="S3" s="7"/>
      <c r="T3" s="7"/>
      <c r="U3" s="7"/>
      <c r="V3" s="7"/>
      <c r="W3" s="8" t="s">
        <v>7</v>
      </c>
      <c r="X3" s="8"/>
      <c r="Y3" s="8"/>
      <c r="Z3" s="8"/>
      <c r="AA3" s="8"/>
      <c r="AB3" s="8"/>
      <c r="AC3" s="8"/>
      <c r="AD3" s="8"/>
      <c r="AE3" s="9" t="s">
        <v>8</v>
      </c>
      <c r="AF3" s="9"/>
    </row>
    <row r="4" customFormat="false" ht="30" hidden="false" customHeight="true" outlineLevel="0" collapsed="false">
      <c r="A4" s="10" t="s">
        <v>9</v>
      </c>
      <c r="B4" s="10" t="s">
        <v>10</v>
      </c>
      <c r="C4" s="10" t="s">
        <v>11</v>
      </c>
      <c r="D4" s="10" t="s">
        <v>12</v>
      </c>
      <c r="E4" s="10" t="s">
        <v>13</v>
      </c>
      <c r="F4" s="10" t="s">
        <v>14</v>
      </c>
      <c r="G4" s="10" t="s">
        <v>15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13</v>
      </c>
      <c r="M4" s="10" t="s">
        <v>14</v>
      </c>
      <c r="N4" s="10" t="s">
        <v>15</v>
      </c>
      <c r="O4" s="10" t="s">
        <v>16</v>
      </c>
      <c r="P4" s="10" t="s">
        <v>17</v>
      </c>
      <c r="Q4" s="10" t="s">
        <v>20</v>
      </c>
      <c r="R4" s="10" t="s">
        <v>13</v>
      </c>
      <c r="S4" s="10" t="s">
        <v>14</v>
      </c>
      <c r="T4" s="10" t="s">
        <v>15</v>
      </c>
      <c r="U4" s="10" t="s">
        <v>16</v>
      </c>
      <c r="V4" s="10" t="s">
        <v>17</v>
      </c>
      <c r="W4" s="10" t="s">
        <v>21</v>
      </c>
      <c r="X4" s="10" t="s">
        <v>22</v>
      </c>
      <c r="Y4" s="10" t="s">
        <v>23</v>
      </c>
      <c r="Z4" s="10" t="s">
        <v>24</v>
      </c>
      <c r="AA4" s="10" t="s">
        <v>25</v>
      </c>
      <c r="AB4" s="10" t="s">
        <v>26</v>
      </c>
      <c r="AC4" s="10" t="s">
        <v>27</v>
      </c>
      <c r="AD4" s="10" t="s">
        <v>28</v>
      </c>
      <c r="AE4" s="10" t="s">
        <v>29</v>
      </c>
      <c r="AF4" s="10" t="s">
        <v>30</v>
      </c>
    </row>
    <row r="5" customFormat="false" ht="13.5" hidden="false" customHeight="true" outlineLevel="0" collapsed="false">
      <c r="A5" s="11" t="s">
        <v>31</v>
      </c>
      <c r="B5" s="12" t="s">
        <v>32</v>
      </c>
      <c r="C5" s="13"/>
      <c r="D5" s="13"/>
      <c r="E5" s="14"/>
      <c r="F5" s="14"/>
      <c r="G5" s="14"/>
      <c r="H5" s="14"/>
      <c r="I5" s="14"/>
      <c r="J5" s="15"/>
      <c r="K5" s="16" t="s">
        <v>33</v>
      </c>
      <c r="L5" s="14"/>
      <c r="M5" s="14"/>
      <c r="N5" s="14"/>
      <c r="O5" s="14"/>
      <c r="P5" s="14"/>
      <c r="Q5" s="14"/>
      <c r="R5" s="17" t="n">
        <v>8</v>
      </c>
      <c r="S5" s="17" t="n">
        <v>0</v>
      </c>
      <c r="T5" s="17" t="n">
        <v>0</v>
      </c>
      <c r="U5" s="17" t="n">
        <v>7</v>
      </c>
      <c r="V5" s="17" t="n">
        <v>15</v>
      </c>
      <c r="W5" s="18"/>
      <c r="X5" s="18"/>
      <c r="Y5" s="18"/>
      <c r="Z5" s="18"/>
      <c r="AA5" s="18"/>
      <c r="AB5" s="18"/>
      <c r="AC5" s="19" t="n">
        <v>20</v>
      </c>
      <c r="AD5" s="19" t="n">
        <v>1900</v>
      </c>
      <c r="AE5" s="20"/>
      <c r="AF5" s="20"/>
    </row>
    <row r="6" customFormat="false" ht="15" hidden="false" customHeight="true" outlineLevel="0" collapsed="false">
      <c r="A6" s="21" t="s">
        <v>34</v>
      </c>
      <c r="B6" s="0" t="s">
        <v>35</v>
      </c>
      <c r="C6" s="13" t="n">
        <v>30</v>
      </c>
      <c r="D6" s="13" t="n">
        <f aca="false">C6*95</f>
        <v>2850</v>
      </c>
      <c r="E6" s="14" t="n">
        <v>59</v>
      </c>
      <c r="F6" s="14" t="n">
        <v>11</v>
      </c>
      <c r="G6" s="14" t="n">
        <v>12</v>
      </c>
      <c r="H6" s="14" t="n">
        <v>64</v>
      </c>
      <c r="I6" s="14" t="n">
        <f aca="false">E6+F6+G6+H6</f>
        <v>146</v>
      </c>
      <c r="J6" s="15" t="s">
        <v>34</v>
      </c>
      <c r="K6" s="14" t="s">
        <v>36</v>
      </c>
      <c r="L6" s="14" t="n">
        <v>67</v>
      </c>
      <c r="M6" s="14" t="n">
        <v>11</v>
      </c>
      <c r="N6" s="14" t="n">
        <v>12</v>
      </c>
      <c r="O6" s="14" t="n">
        <v>42</v>
      </c>
      <c r="P6" s="14" t="n">
        <f aca="false">L6+M6+N6+O6</f>
        <v>132</v>
      </c>
      <c r="Q6" s="14" t="n">
        <f aca="false">L6*15+M6*18+N6*17+O6*17</f>
        <v>2121</v>
      </c>
      <c r="R6" s="14" t="n">
        <f aca="false">R5+E6-L6-IF(ISBLANK(X6),0,X6)</f>
        <v>0</v>
      </c>
      <c r="S6" s="14" t="n">
        <f aca="false">S5+F6-M6</f>
        <v>0</v>
      </c>
      <c r="T6" s="14" t="n">
        <f aca="false">T5+G6-N6</f>
        <v>0</v>
      </c>
      <c r="U6" s="14" t="n">
        <f aca="false">U5+H6-O6</f>
        <v>29</v>
      </c>
      <c r="V6" s="14" t="n">
        <f aca="false">R6+S6+T6+U6</f>
        <v>29</v>
      </c>
      <c r="W6" s="18" t="n">
        <v>6</v>
      </c>
      <c r="X6" s="18"/>
      <c r="Y6" s="18" t="n">
        <f aca="false">IF(ISBLANK(W6),0,W6)*95</f>
        <v>570</v>
      </c>
      <c r="Z6" s="18" t="n">
        <v>0</v>
      </c>
      <c r="AA6" s="18" t="n">
        <f aca="false">IF(ISBLANK(Z6),0,Z6)*95</f>
        <v>0</v>
      </c>
      <c r="AB6" s="18" t="s">
        <v>37</v>
      </c>
      <c r="AC6" s="18" t="n">
        <f aca="false">AC5+IF(ISBLANK(W6),0,W6)-IF(ISBLANK(Z6),0,Z6)</f>
        <v>26</v>
      </c>
      <c r="AD6" s="18" t="n">
        <f aca="false">AC6*95</f>
        <v>2470</v>
      </c>
      <c r="AE6" s="20" t="n">
        <f aca="false">IF(C6=0,0,D6-(E6*15+F6*18+G6*17+H6*17)-Y6)</f>
        <v>-95</v>
      </c>
      <c r="AF6" s="20" t="n">
        <f aca="false">IF(C6=0,"",AE6/D6)</f>
        <v>-0.0333333333333333</v>
      </c>
    </row>
    <row r="7" customFormat="false" ht="15" hidden="false" customHeight="true" outlineLevel="0" collapsed="false">
      <c r="A7" s="21" t="s">
        <v>38</v>
      </c>
      <c r="B7" s="0" t="s">
        <v>39</v>
      </c>
      <c r="C7" s="13" t="n">
        <v>40</v>
      </c>
      <c r="D7" s="13" t="n">
        <f aca="false">C7*95</f>
        <v>3800</v>
      </c>
      <c r="E7" s="14" t="n">
        <v>107</v>
      </c>
      <c r="F7" s="14" t="n">
        <v>11</v>
      </c>
      <c r="G7" s="14" t="n">
        <v>12</v>
      </c>
      <c r="H7" s="14" t="n">
        <v>110</v>
      </c>
      <c r="I7" s="14" t="n">
        <f aca="false">E7+F7+G7+H7</f>
        <v>240</v>
      </c>
      <c r="J7" s="15" t="s">
        <v>38</v>
      </c>
      <c r="K7" s="14" t="s">
        <v>40</v>
      </c>
      <c r="L7" s="14" t="n">
        <v>67</v>
      </c>
      <c r="M7" s="14" t="n">
        <v>11</v>
      </c>
      <c r="N7" s="14" t="n">
        <v>12</v>
      </c>
      <c r="O7" s="14" t="n">
        <v>97</v>
      </c>
      <c r="P7" s="14" t="n">
        <f aca="false">L7+M7+N7+O7</f>
        <v>187</v>
      </c>
      <c r="Q7" s="14" t="n">
        <f aca="false">L7*15+M7*18+N7*17+O7*17</f>
        <v>3056</v>
      </c>
      <c r="R7" s="14" t="n">
        <f aca="false">R6+E7-L7-IF(ISBLANK(X7),0,X7)</f>
        <v>40</v>
      </c>
      <c r="S7" s="14" t="n">
        <f aca="false">S6+F7-M7</f>
        <v>0</v>
      </c>
      <c r="T7" s="14" t="n">
        <f aca="false">T6+G7-N7</f>
        <v>0</v>
      </c>
      <c r="U7" s="14" t="n">
        <f aca="false">U6+H7-O7</f>
        <v>42</v>
      </c>
      <c r="V7" s="14" t="n">
        <f aca="false">R7+S7+T7+U7</f>
        <v>82</v>
      </c>
      <c r="W7" s="18" t="n">
        <v>2</v>
      </c>
      <c r="X7" s="18"/>
      <c r="Y7" s="18" t="n">
        <f aca="false">IF(ISBLANK(W7),0,W7)*95</f>
        <v>190</v>
      </c>
      <c r="Z7" s="18" t="n">
        <v>0</v>
      </c>
      <c r="AA7" s="18" t="n">
        <f aca="false">IF(ISBLANK(Z7),0,Z7)*95</f>
        <v>0</v>
      </c>
      <c r="AB7" s="18" t="s">
        <v>37</v>
      </c>
      <c r="AC7" s="18" t="n">
        <f aca="false">AC6+IF(ISBLANK(W7),0,W7)-IF(ISBLANK(Z7),0,Z7)</f>
        <v>28</v>
      </c>
      <c r="AD7" s="18" t="n">
        <f aca="false">AC7*95</f>
        <v>2660</v>
      </c>
      <c r="AE7" s="20" t="n">
        <f aca="false">IF(C7=0,0,D7-(E7*15+F7*18+G7*17+H7*17)-Y7)</f>
        <v>-267</v>
      </c>
      <c r="AF7" s="20" t="n">
        <f aca="false">IF(C7=0,"",AE7/D7)</f>
        <v>-0.0702631578947369</v>
      </c>
    </row>
    <row r="8" customFormat="false" ht="15" hidden="false" customHeight="true" outlineLevel="0" collapsed="false">
      <c r="A8" s="21" t="s">
        <v>41</v>
      </c>
      <c r="B8" s="0" t="s">
        <v>42</v>
      </c>
      <c r="C8" s="13" t="n">
        <v>40</v>
      </c>
      <c r="D8" s="13" t="n">
        <f aca="false">C8*95</f>
        <v>3800</v>
      </c>
      <c r="E8" s="14" t="n">
        <v>45</v>
      </c>
      <c r="F8" s="14" t="n">
        <v>11</v>
      </c>
      <c r="G8" s="14" t="n">
        <v>12</v>
      </c>
      <c r="H8" s="14" t="n">
        <v>121</v>
      </c>
      <c r="I8" s="14" t="n">
        <f aca="false">E8+F8+G8+H8</f>
        <v>189</v>
      </c>
      <c r="J8" s="15" t="s">
        <v>41</v>
      </c>
      <c r="K8" s="14" t="s">
        <v>43</v>
      </c>
      <c r="L8" s="14" t="n">
        <v>67</v>
      </c>
      <c r="M8" s="14" t="n">
        <v>11</v>
      </c>
      <c r="N8" s="14" t="n">
        <v>12</v>
      </c>
      <c r="O8" s="14" t="n">
        <v>116</v>
      </c>
      <c r="P8" s="14" t="n">
        <f aca="false">L8+M8+N8+O8</f>
        <v>206</v>
      </c>
      <c r="Q8" s="14" t="n">
        <f aca="false">L8*15+M8*18+N8*17+O8*17</f>
        <v>3379</v>
      </c>
      <c r="R8" s="14" t="n">
        <f aca="false">R7+E8-L8-IF(ISBLANK(X8),0,X8)</f>
        <v>18</v>
      </c>
      <c r="S8" s="14" t="n">
        <f aca="false">S7+F8-M8</f>
        <v>0</v>
      </c>
      <c r="T8" s="14" t="n">
        <f aca="false">T7+G8-N8</f>
        <v>0</v>
      </c>
      <c r="U8" s="14" t="n">
        <f aca="false">U7+H8-O8</f>
        <v>47</v>
      </c>
      <c r="V8" s="14" t="n">
        <f aca="false">R8+S8+T8+U8</f>
        <v>65</v>
      </c>
      <c r="W8" s="18" t="n">
        <v>7</v>
      </c>
      <c r="X8" s="18"/>
      <c r="Y8" s="18" t="n">
        <f aca="false">IF(ISBLANK(W8),0,W8)*95</f>
        <v>665</v>
      </c>
      <c r="Z8" s="18" t="n">
        <v>0</v>
      </c>
      <c r="AA8" s="18" t="n">
        <f aca="false">IF(ISBLANK(Z8),0,Z8)*95</f>
        <v>0</v>
      </c>
      <c r="AB8" s="18" t="s">
        <v>37</v>
      </c>
      <c r="AC8" s="18" t="n">
        <f aca="false">AC7+IF(ISBLANK(W8),0,W8)-IF(ISBLANK(Z8),0,Z8)</f>
        <v>35</v>
      </c>
      <c r="AD8" s="18" t="n">
        <f aca="false">AC8*95</f>
        <v>3325</v>
      </c>
      <c r="AE8" s="20" t="n">
        <f aca="false">IF(C8=0,0,D8-(E8*15+F8*18+G8*17+H8*17)-Y8)</f>
        <v>1</v>
      </c>
      <c r="AF8" s="20" t="n">
        <f aca="false">IF(C8=0,"",AE8/D8)</f>
        <v>0.000263157894736842</v>
      </c>
    </row>
    <row r="9" customFormat="false" ht="15" hidden="false" customHeight="true" outlineLevel="0" collapsed="false">
      <c r="A9" s="21" t="s">
        <v>44</v>
      </c>
      <c r="B9" s="0" t="s">
        <v>45</v>
      </c>
      <c r="C9" s="13" t="n">
        <v>40</v>
      </c>
      <c r="D9" s="13" t="n">
        <f aca="false">C9*95</f>
        <v>3800</v>
      </c>
      <c r="E9" s="14" t="n">
        <v>79</v>
      </c>
      <c r="F9" s="14" t="n">
        <v>22</v>
      </c>
      <c r="G9" s="14" t="n">
        <v>21</v>
      </c>
      <c r="H9" s="14" t="n">
        <v>83</v>
      </c>
      <c r="I9" s="14" t="n">
        <f aca="false">E9+F9+G9+H9</f>
        <v>205</v>
      </c>
      <c r="J9" s="15" t="s">
        <v>44</v>
      </c>
      <c r="K9" s="14" t="s">
        <v>46</v>
      </c>
      <c r="L9" s="14" t="n">
        <v>67</v>
      </c>
      <c r="M9" s="14" t="n">
        <v>11</v>
      </c>
      <c r="N9" s="14" t="n">
        <v>9</v>
      </c>
      <c r="O9" s="14" t="n">
        <v>95</v>
      </c>
      <c r="P9" s="14" t="n">
        <f aca="false">L9+M9+N9+O9</f>
        <v>182</v>
      </c>
      <c r="Q9" s="14" t="n">
        <f aca="false">L9*15+M9*18+N9*17+O9*17</f>
        <v>2971</v>
      </c>
      <c r="R9" s="14" t="n">
        <f aca="false">R8+E9-L9-IF(ISBLANK(X9),0,X9)</f>
        <v>30</v>
      </c>
      <c r="S9" s="14" t="n">
        <f aca="false">S8+F9-M9</f>
        <v>11</v>
      </c>
      <c r="T9" s="14" t="n">
        <f aca="false">T8+G9-N9</f>
        <v>12</v>
      </c>
      <c r="U9" s="14" t="n">
        <f aca="false">U8+H9-O9</f>
        <v>35</v>
      </c>
      <c r="V9" s="14" t="n">
        <f aca="false">R9+S9+T9+U9</f>
        <v>88</v>
      </c>
      <c r="W9" s="18" t="n">
        <v>5</v>
      </c>
      <c r="X9" s="18"/>
      <c r="Y9" s="18" t="n">
        <f aca="false">IF(ISBLANK(W9),0,W9)*95</f>
        <v>475</v>
      </c>
      <c r="Z9" s="18" t="n">
        <v>35</v>
      </c>
      <c r="AA9" s="18" t="n">
        <f aca="false">IF(ISBLANK(Z9),0,Z9)*95</f>
        <v>3325</v>
      </c>
      <c r="AB9" s="18" t="s">
        <v>47</v>
      </c>
      <c r="AC9" s="18" t="n">
        <f aca="false">AC8+IF(ISBLANK(W9),0,W9)-IF(ISBLANK(Z9),0,Z9)</f>
        <v>5</v>
      </c>
      <c r="AD9" s="18" t="n">
        <f aca="false">AC9*95</f>
        <v>475</v>
      </c>
      <c r="AE9" s="20" t="n">
        <f aca="false">IF(C9=0,0,D9-(E9*15+F9*18+G9*17+H9*17)-Y9)</f>
        <v>-24</v>
      </c>
      <c r="AF9" s="20" t="n">
        <f aca="false">IF(C9=0,"",AE9/D9)</f>
        <v>-0.00631578947368421</v>
      </c>
    </row>
    <row r="10" customFormat="false" ht="15" hidden="false" customHeight="true" outlineLevel="0" collapsed="false">
      <c r="A10" s="21" t="s">
        <v>48</v>
      </c>
      <c r="B10" s="0" t="s">
        <v>49</v>
      </c>
      <c r="C10" s="13" t="n">
        <v>40</v>
      </c>
      <c r="D10" s="13" t="n">
        <f aca="false">C10*95</f>
        <v>3800</v>
      </c>
      <c r="E10" s="14" t="n">
        <v>68</v>
      </c>
      <c r="F10" s="14" t="n">
        <v>11</v>
      </c>
      <c r="G10" s="14" t="n">
        <v>12</v>
      </c>
      <c r="H10" s="14" t="n">
        <v>116</v>
      </c>
      <c r="I10" s="14" t="n">
        <f aca="false">E10+F10+G10+H10</f>
        <v>207</v>
      </c>
      <c r="J10" s="15" t="s">
        <v>48</v>
      </c>
      <c r="K10" s="14" t="s">
        <v>50</v>
      </c>
      <c r="L10" s="14" t="n">
        <v>63</v>
      </c>
      <c r="M10" s="14" t="n">
        <v>11</v>
      </c>
      <c r="N10" s="14" t="n">
        <v>12</v>
      </c>
      <c r="O10" s="14" t="n">
        <v>115</v>
      </c>
      <c r="P10" s="14" t="n">
        <f aca="false">L10+M10+N10+O10</f>
        <v>201</v>
      </c>
      <c r="Q10" s="14" t="n">
        <f aca="false">L10*15+M10*18+N10*17+O10*17</f>
        <v>3302</v>
      </c>
      <c r="R10" s="14" t="n">
        <f aca="false">R9+E10-L10-IF(ISBLANK(X10),0,X10)</f>
        <v>35</v>
      </c>
      <c r="S10" s="14" t="n">
        <f aca="false">S9+F10-M10</f>
        <v>11</v>
      </c>
      <c r="T10" s="14" t="n">
        <f aca="false">T9+G10-N10</f>
        <v>12</v>
      </c>
      <c r="U10" s="14" t="n">
        <f aca="false">U9+H10-O10</f>
        <v>36</v>
      </c>
      <c r="V10" s="14" t="n">
        <f aca="false">R10+S10+T10+U10</f>
        <v>94</v>
      </c>
      <c r="W10" s="18" t="n">
        <v>4</v>
      </c>
      <c r="X10" s="18"/>
      <c r="Y10" s="18" t="n">
        <f aca="false">IF(ISBLANK(W10),0,W10)*95</f>
        <v>380</v>
      </c>
      <c r="Z10" s="18" t="n">
        <v>0</v>
      </c>
      <c r="AA10" s="18" t="n">
        <f aca="false">IF(ISBLANK(Z10),0,Z10)*95</f>
        <v>0</v>
      </c>
      <c r="AB10" s="18" t="s">
        <v>37</v>
      </c>
      <c r="AC10" s="18" t="n">
        <f aca="false">AC9+IF(ISBLANK(W10),0,W10)-IF(ISBLANK(Z10),0,Z10)</f>
        <v>9</v>
      </c>
      <c r="AD10" s="18" t="n">
        <f aca="false">AC10*95</f>
        <v>855</v>
      </c>
      <c r="AE10" s="20" t="n">
        <f aca="false">IF(C10=0,0,D10-(E10*15+F10*18+G10*17+H10*17)-Y10)</f>
        <v>26</v>
      </c>
      <c r="AF10" s="20" t="n">
        <f aca="false">IF(C10=0,"",AE10/D10)</f>
        <v>0.0068421052631579</v>
      </c>
    </row>
    <row r="11" customFormat="false" ht="15" hidden="false" customHeight="true" outlineLevel="0" collapsed="false">
      <c r="A11" s="21" t="s">
        <v>51</v>
      </c>
      <c r="B11" s="0" t="s">
        <v>52</v>
      </c>
      <c r="C11" s="13" t="n">
        <v>60</v>
      </c>
      <c r="D11" s="13" t="n">
        <f aca="false">C11*95</f>
        <v>5700</v>
      </c>
      <c r="E11" s="14" t="n">
        <v>99</v>
      </c>
      <c r="F11" s="14" t="n">
        <v>4</v>
      </c>
      <c r="G11" s="14" t="n">
        <v>9</v>
      </c>
      <c r="H11" s="14" t="n">
        <v>178</v>
      </c>
      <c r="I11" s="14" t="n">
        <f aca="false">E11+F11+G11+H11</f>
        <v>290</v>
      </c>
      <c r="J11" s="15" t="s">
        <v>51</v>
      </c>
      <c r="K11" s="14" t="s">
        <v>53</v>
      </c>
      <c r="L11" s="14" t="n">
        <v>67</v>
      </c>
      <c r="M11" s="14" t="n">
        <v>11</v>
      </c>
      <c r="N11" s="14" t="n">
        <v>12</v>
      </c>
      <c r="O11" s="14" t="n">
        <v>118</v>
      </c>
      <c r="P11" s="14" t="n">
        <f aca="false">L11+M11+N11+O11</f>
        <v>208</v>
      </c>
      <c r="Q11" s="14" t="n">
        <f aca="false">L11*15+M11*18+N11*17+O11*17</f>
        <v>3413</v>
      </c>
      <c r="R11" s="14" t="n">
        <f aca="false">R10+E11-L11-IF(ISBLANK(X11),0,X11)</f>
        <v>67</v>
      </c>
      <c r="S11" s="14" t="n">
        <f aca="false">S10+F11-M11</f>
        <v>4</v>
      </c>
      <c r="T11" s="14" t="n">
        <f aca="false">T10+G11-N11</f>
        <v>9</v>
      </c>
      <c r="U11" s="14" t="n">
        <f aca="false">U10+H11-O11</f>
        <v>96</v>
      </c>
      <c r="V11" s="14" t="n">
        <f aca="false">R11+S11+T11+U11</f>
        <v>176</v>
      </c>
      <c r="W11" s="18" t="n">
        <v>10</v>
      </c>
      <c r="X11" s="18"/>
      <c r="Y11" s="18" t="n">
        <f aca="false">IF(ISBLANK(W11),0,W11)*95</f>
        <v>950</v>
      </c>
      <c r="Z11" s="18" t="n">
        <v>15</v>
      </c>
      <c r="AA11" s="18" t="n">
        <f aca="false">IF(ISBLANK(Z11),0,Z11)*95</f>
        <v>1425</v>
      </c>
      <c r="AB11" s="18" t="s">
        <v>54</v>
      </c>
      <c r="AC11" s="18" t="n">
        <f aca="false">AC10+IF(ISBLANK(W11),0,W11)-IF(ISBLANK(Z11),0,Z11)</f>
        <v>4</v>
      </c>
      <c r="AD11" s="18" t="n">
        <f aca="false">AC11*95</f>
        <v>380</v>
      </c>
      <c r="AE11" s="20" t="n">
        <f aca="false">IF(C11=0,0,D11-(E11*15+F11*18+G11*17+H11*17)-Y11)</f>
        <v>14</v>
      </c>
      <c r="AF11" s="20" t="n">
        <f aca="false">IF(C11=0,"",AE11/D11)</f>
        <v>0.00245614035087719</v>
      </c>
    </row>
    <row r="12" customFormat="false" ht="15" hidden="false" customHeight="true" outlineLevel="0" collapsed="false">
      <c r="A12" s="21" t="s">
        <v>51</v>
      </c>
      <c r="B12" s="0" t="s">
        <v>52</v>
      </c>
      <c r="C12" s="13" t="n">
        <v>5</v>
      </c>
      <c r="D12" s="13" t="n">
        <f aca="false">C12*95</f>
        <v>475</v>
      </c>
      <c r="E12" s="14" t="n">
        <v>4</v>
      </c>
      <c r="F12" s="14" t="n">
        <v>0</v>
      </c>
      <c r="G12" s="14" t="n">
        <v>0</v>
      </c>
      <c r="H12" s="14" t="n">
        <v>18</v>
      </c>
      <c r="I12" s="14" t="n">
        <f aca="false">E12+F12+G12+H12</f>
        <v>22</v>
      </c>
      <c r="J12" s="15" t="s">
        <v>51</v>
      </c>
      <c r="K12" s="14"/>
      <c r="L12" s="14" t="n">
        <v>0</v>
      </c>
      <c r="M12" s="14" t="n">
        <v>0</v>
      </c>
      <c r="N12" s="14" t="n">
        <v>0</v>
      </c>
      <c r="O12" s="14" t="n">
        <v>0</v>
      </c>
      <c r="P12" s="14" t="n">
        <f aca="false">L12+M12+N12+O12</f>
        <v>0</v>
      </c>
      <c r="Q12" s="14" t="n">
        <f aca="false">L12*15+M12*18+N12*17+O12*17</f>
        <v>0</v>
      </c>
      <c r="R12" s="14" t="n">
        <f aca="false">R11+E12-L12-IF(ISBLANK(X12),0,X12)</f>
        <v>71</v>
      </c>
      <c r="S12" s="14" t="n">
        <f aca="false">S11+F12-M12</f>
        <v>4</v>
      </c>
      <c r="T12" s="14" t="n">
        <f aca="false">T11+G12-N12</f>
        <v>9</v>
      </c>
      <c r="U12" s="14" t="n">
        <f aca="false">U11+H12-O12</f>
        <v>114</v>
      </c>
      <c r="V12" s="14" t="n">
        <f aca="false">R12+S12+T12+U12</f>
        <v>198</v>
      </c>
      <c r="W12" s="18" t="n">
        <v>1</v>
      </c>
      <c r="X12" s="18"/>
      <c r="Y12" s="18" t="n">
        <f aca="false">IF(ISBLANK(W12),0,W12)*95</f>
        <v>95</v>
      </c>
      <c r="Z12" s="18" t="n">
        <v>0</v>
      </c>
      <c r="AA12" s="18" t="n">
        <f aca="false">IF(ISBLANK(Z12),0,Z12)*95</f>
        <v>0</v>
      </c>
      <c r="AB12" s="18"/>
      <c r="AC12" s="18" t="n">
        <f aca="false">AC11+IF(ISBLANK(W12),0,W12)-IF(ISBLANK(Z12),0,Z12)</f>
        <v>5</v>
      </c>
      <c r="AD12" s="18" t="n">
        <f aca="false">AC12*95</f>
        <v>475</v>
      </c>
      <c r="AE12" s="20" t="n">
        <f aca="false">IF(C12=0,0,D12-(E12*15+F12*18+G12*17+H12*17)-Y12)</f>
        <v>14</v>
      </c>
      <c r="AF12" s="20" t="n">
        <f aca="false">IF(C12=0,"",AE12/D12)</f>
        <v>0.0294736842105263</v>
      </c>
    </row>
    <row r="13" customFormat="false" ht="15" hidden="false" customHeight="true" outlineLevel="0" collapsed="false">
      <c r="A13" s="22"/>
      <c r="C13" s="13" t="n">
        <v>0</v>
      </c>
      <c r="D13" s="13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f aca="false">E13+F13+G13+H13</f>
        <v>0</v>
      </c>
      <c r="J13" s="15" t="s">
        <v>55</v>
      </c>
      <c r="K13" s="14" t="s">
        <v>56</v>
      </c>
      <c r="L13" s="14" t="n">
        <v>67</v>
      </c>
      <c r="M13" s="14" t="n">
        <v>4</v>
      </c>
      <c r="N13" s="14" t="n">
        <v>9</v>
      </c>
      <c r="O13" s="14" t="n">
        <v>114</v>
      </c>
      <c r="P13" s="14" t="n">
        <f aca="false">L13+M13+N13+O13</f>
        <v>194</v>
      </c>
      <c r="Q13" s="14" t="n">
        <f aca="false">L13*15+M13*18+N13*17+O13*17</f>
        <v>3168</v>
      </c>
      <c r="R13" s="14" t="n">
        <f aca="false">R12+E13-L13-IF(ISBLANK(X13),0,X13)</f>
        <v>3</v>
      </c>
      <c r="S13" s="14" t="n">
        <f aca="false">S12+F13-M13</f>
        <v>0</v>
      </c>
      <c r="T13" s="14" t="n">
        <f aca="false">T12+G13-N13</f>
        <v>0</v>
      </c>
      <c r="U13" s="14" t="n">
        <f aca="false">U12+H13-O13</f>
        <v>0</v>
      </c>
      <c r="V13" s="14" t="n">
        <f aca="false">R13+S13+T13+U13</f>
        <v>3</v>
      </c>
      <c r="W13" s="18" t="n">
        <v>0</v>
      </c>
      <c r="X13" s="18" t="n">
        <v>1</v>
      </c>
      <c r="Y13" s="18" t="n">
        <f aca="false">IF(ISBLANK(W13),0,W13)*95</f>
        <v>0</v>
      </c>
      <c r="Z13" s="18" t="n">
        <v>0</v>
      </c>
      <c r="AA13" s="18" t="n">
        <f aca="false">IF(ISBLANK(Z13),0,Z13)*95</f>
        <v>0</v>
      </c>
      <c r="AB13" s="18"/>
      <c r="AC13" s="18" t="n">
        <f aca="false">AC12+IF(ISBLANK(W13),0,W13)-IF(ISBLANK(Z13),0,Z13)</f>
        <v>5</v>
      </c>
      <c r="AD13" s="18" t="n">
        <f aca="false">AC13*95</f>
        <v>475</v>
      </c>
      <c r="AE13" s="20" t="n">
        <f aca="false">IF(C13=0,0,D13-(E13*15+F13*18+G13*17+H13*17)-Y13)</f>
        <v>0</v>
      </c>
      <c r="AF13" s="20" t="str">
        <f aca="false">IF(C13=0,"",AE13/D13)</f>
        <v/>
      </c>
    </row>
    <row r="14" customFormat="false" ht="15.75" hidden="false" customHeight="true" outlineLevel="0" collapsed="false">
      <c r="A14" s="21" t="s">
        <v>57</v>
      </c>
      <c r="B14" s="0" t="s">
        <v>35</v>
      </c>
      <c r="C14" s="13" t="n">
        <v>50</v>
      </c>
      <c r="D14" s="13" t="n">
        <f aca="false">C14*95</f>
        <v>4750</v>
      </c>
      <c r="E14" s="14" t="n">
        <v>107</v>
      </c>
      <c r="F14" s="14" t="n">
        <v>11</v>
      </c>
      <c r="G14" s="14" t="n">
        <v>12</v>
      </c>
      <c r="H14" s="14" t="n">
        <v>88</v>
      </c>
      <c r="I14" s="14" t="n">
        <f aca="false">E14+F14+G14+H14</f>
        <v>218</v>
      </c>
      <c r="J14" s="15" t="s">
        <v>57</v>
      </c>
      <c r="K14" s="14" t="s">
        <v>58</v>
      </c>
      <c r="L14" s="14" t="n">
        <v>67</v>
      </c>
      <c r="M14" s="14" t="n">
        <v>11</v>
      </c>
      <c r="N14" s="14" t="n">
        <v>12</v>
      </c>
      <c r="O14" s="14" t="n">
        <v>28</v>
      </c>
      <c r="P14" s="14" t="n">
        <f aca="false">L14+M14+N14+O14</f>
        <v>118</v>
      </c>
      <c r="Q14" s="14" t="n">
        <f aca="false">L14*15+M14*18+N14*17+O14*17</f>
        <v>1883</v>
      </c>
      <c r="R14" s="14" t="n">
        <f aca="false">R13+E14-L14-IF(ISBLANK(X14),0,X14)</f>
        <v>43</v>
      </c>
      <c r="S14" s="14" t="n">
        <f aca="false">S13+F14-M14</f>
        <v>0</v>
      </c>
      <c r="T14" s="14" t="n">
        <f aca="false">T13+G14-N14</f>
        <v>0</v>
      </c>
      <c r="U14" s="14" t="n">
        <f aca="false">U13+H14-O14</f>
        <v>60</v>
      </c>
      <c r="V14" s="14" t="n">
        <f aca="false">R14+S14+T14+U14</f>
        <v>103</v>
      </c>
      <c r="W14" s="18" t="n">
        <v>13.5</v>
      </c>
      <c r="X14" s="18"/>
      <c r="Y14" s="18" t="n">
        <f aca="false">IF(ISBLANK(W14),0,W14)*95</f>
        <v>1282.5</v>
      </c>
      <c r="Z14" s="18" t="n">
        <v>0</v>
      </c>
      <c r="AA14" s="18" t="n">
        <f aca="false">IF(ISBLANK(Z14),0,Z14)*95</f>
        <v>0</v>
      </c>
      <c r="AB14" s="18"/>
      <c r="AC14" s="18" t="n">
        <f aca="false">AC13+IF(ISBLANK(W14),0,W14)-IF(ISBLANK(Z14),0,Z14)</f>
        <v>18.5</v>
      </c>
      <c r="AD14" s="18" t="n">
        <f aca="false">AC14*95</f>
        <v>1757.5</v>
      </c>
      <c r="AE14" s="20" t="n">
        <f aca="false">IF(OR(C14=0,AND(I14=0,P14=0)),0,D14-(E14*15+F14*18+G14*17+H14*17)-Y14)</f>
        <v>-35.5</v>
      </c>
      <c r="AF14" s="20" t="n">
        <f aca="false">IF(OR(C14=0,AND(I14=0,P14=0)),"",AE14/D14)</f>
        <v>-0.00747368421052632</v>
      </c>
    </row>
    <row r="15" customFormat="false" ht="15" hidden="false" customHeight="true" outlineLevel="0" collapsed="false">
      <c r="A15" s="21" t="s">
        <v>59</v>
      </c>
      <c r="B15" s="0" t="s">
        <v>39</v>
      </c>
      <c r="C15" s="13" t="n">
        <v>48</v>
      </c>
      <c r="D15" s="13" t="n">
        <f aca="false">C15*95</f>
        <v>4560</v>
      </c>
      <c r="E15" s="14" t="n">
        <v>68</v>
      </c>
      <c r="F15" s="14" t="n">
        <v>23</v>
      </c>
      <c r="G15" s="14" t="n">
        <v>23</v>
      </c>
      <c r="H15" s="14" t="n">
        <v>129</v>
      </c>
      <c r="I15" s="14" t="n">
        <f aca="false">E15+F15+G15+H15</f>
        <v>243</v>
      </c>
      <c r="J15" s="15" t="s">
        <v>59</v>
      </c>
      <c r="K15" s="14" t="s">
        <v>60</v>
      </c>
      <c r="L15" s="14" t="n">
        <v>67</v>
      </c>
      <c r="M15" s="14" t="n">
        <v>11</v>
      </c>
      <c r="N15" s="14" t="n">
        <v>12</v>
      </c>
      <c r="O15" s="14" t="n">
        <v>111</v>
      </c>
      <c r="P15" s="14" t="n">
        <f aca="false">L15+M15+N15+O15</f>
        <v>201</v>
      </c>
      <c r="Q15" s="14" t="n">
        <f aca="false">L15*15+M15*18+N15*17+O15*17</f>
        <v>3294</v>
      </c>
      <c r="R15" s="14" t="n">
        <f aca="false">R14+E15-L15-IF(ISBLANK(X15),0,X15)</f>
        <v>44</v>
      </c>
      <c r="S15" s="14" t="n">
        <f aca="false">S14+F15-M15</f>
        <v>12</v>
      </c>
      <c r="T15" s="14" t="n">
        <f aca="false">T14+G15-N15</f>
        <v>11</v>
      </c>
      <c r="U15" s="14" t="n">
        <f aca="false">U14+H15-O15</f>
        <v>78</v>
      </c>
      <c r="V15" s="14" t="n">
        <f aca="false">R15+S15+T15+U15</f>
        <v>145</v>
      </c>
      <c r="W15" s="18" t="n">
        <v>6.5</v>
      </c>
      <c r="X15" s="18"/>
      <c r="Y15" s="18" t="n">
        <f aca="false">IF(ISBLANK(W15),0,W15)*95</f>
        <v>617.5</v>
      </c>
      <c r="Z15" s="18" t="n">
        <v>18</v>
      </c>
      <c r="AA15" s="18" t="n">
        <f aca="false">IF(ISBLANK(Z15),0,Z15)*95</f>
        <v>1710</v>
      </c>
      <c r="AB15" s="18"/>
      <c r="AC15" s="18" t="n">
        <f aca="false">AC14+IF(ISBLANK(W15),0,W15)-IF(ISBLANK(Z15),0,Z15)</f>
        <v>7</v>
      </c>
      <c r="AD15" s="18" t="n">
        <f aca="false">AC15*95</f>
        <v>665</v>
      </c>
      <c r="AE15" s="20" t="n">
        <f aca="false">IF(OR(C15=0,AND(I15=0,P15=0)),0,D15-(E15*15+F15*18+G15*17+H15*17)-Y15)</f>
        <v>-75.5</v>
      </c>
      <c r="AF15" s="20" t="n">
        <f aca="false">IF(OR(C15=0,AND(I15=0,P15=0)),"",AE15/D15)</f>
        <v>-0.0165570175438597</v>
      </c>
    </row>
    <row r="16" customFormat="false" ht="15" hidden="false" customHeight="true" outlineLevel="0" collapsed="false">
      <c r="A16" s="21" t="s">
        <v>61</v>
      </c>
      <c r="B16" s="0" t="s">
        <v>42</v>
      </c>
      <c r="C16" s="13" t="n">
        <v>22</v>
      </c>
      <c r="D16" s="13" t="n">
        <f aca="false">C16*95</f>
        <v>2090</v>
      </c>
      <c r="E16" s="14" t="n">
        <v>43</v>
      </c>
      <c r="F16" s="14"/>
      <c r="G16" s="14"/>
      <c r="H16" s="14" t="n">
        <v>72</v>
      </c>
      <c r="I16" s="14" t="n">
        <f aca="false">E16+F16+G16+H16</f>
        <v>115</v>
      </c>
      <c r="J16" s="15" t="s">
        <v>61</v>
      </c>
      <c r="K16" s="14" t="s">
        <v>62</v>
      </c>
      <c r="L16" s="14" t="n">
        <v>67</v>
      </c>
      <c r="M16" s="14" t="n">
        <v>11</v>
      </c>
      <c r="N16" s="14" t="n">
        <v>10</v>
      </c>
      <c r="O16" s="14" t="n">
        <v>111</v>
      </c>
      <c r="P16" s="14" t="n">
        <f aca="false">L16+M16+N16+O16</f>
        <v>199</v>
      </c>
      <c r="Q16" s="14" t="n">
        <f aca="false">L16*15+M16*18+N16*17+O16*17</f>
        <v>3260</v>
      </c>
      <c r="R16" s="14" t="n">
        <f aca="false">R15+E16-L16-IF(ISBLANK(X16),0,X16)</f>
        <v>20</v>
      </c>
      <c r="S16" s="14" t="n">
        <f aca="false">S15+F16-M16</f>
        <v>1</v>
      </c>
      <c r="T16" s="14" t="n">
        <f aca="false">T15+G16-N16</f>
        <v>1</v>
      </c>
      <c r="U16" s="14" t="n">
        <f aca="false">U15+H16-O16</f>
        <v>39</v>
      </c>
      <c r="V16" s="14" t="n">
        <f aca="false">R16+S16+T16+U16</f>
        <v>61</v>
      </c>
      <c r="W16" s="18" t="n">
        <v>3</v>
      </c>
      <c r="X16" s="18"/>
      <c r="Y16" s="18" t="n">
        <f aca="false">IF(ISBLANK(W16),0,W16)*95</f>
        <v>285</v>
      </c>
      <c r="Z16" s="18"/>
      <c r="AA16" s="18" t="n">
        <f aca="false">IF(ISBLANK(Z16),0,Z16)*95</f>
        <v>0</v>
      </c>
      <c r="AB16" s="18"/>
      <c r="AC16" s="18" t="n">
        <f aca="false">AC15+IF(ISBLANK(W16),0,W16)-IF(ISBLANK(Z16),0,Z16)</f>
        <v>10</v>
      </c>
      <c r="AD16" s="18" t="n">
        <f aca="false">AC16*95</f>
        <v>950</v>
      </c>
      <c r="AE16" s="20" t="n">
        <f aca="false">IF(OR(C16=0,AND(I16=0,P16=0)),0,D16-(E16*15+F16*18+G16*17+H16*17)-Y16)</f>
        <v>-64</v>
      </c>
      <c r="AF16" s="20" t="n">
        <f aca="false">IF(OR(C16=0,AND(I16=0,P16=0)),"",AE16/D16)</f>
        <v>-0.030622009569378</v>
      </c>
    </row>
    <row r="17" customFormat="false" ht="15" hidden="false" customHeight="true" outlineLevel="0" collapsed="false">
      <c r="A17" s="21"/>
      <c r="C17" s="13"/>
      <c r="D17" s="13" t="n">
        <f aca="false">C17*95</f>
        <v>0</v>
      </c>
      <c r="E17" s="14"/>
      <c r="F17" s="14"/>
      <c r="G17" s="14"/>
      <c r="H17" s="14"/>
      <c r="I17" s="14" t="n">
        <f aca="false">E17+F17+G17+H17</f>
        <v>0</v>
      </c>
      <c r="J17" s="15"/>
      <c r="K17" s="14"/>
      <c r="L17" s="14"/>
      <c r="M17" s="14"/>
      <c r="N17" s="14"/>
      <c r="O17" s="14"/>
      <c r="P17" s="14" t="n">
        <f aca="false">L17+M17+N17+O17</f>
        <v>0</v>
      </c>
      <c r="Q17" s="14" t="n">
        <f aca="false">L17*15+M17*18+N17*17+O17*17</f>
        <v>0</v>
      </c>
      <c r="R17" s="14" t="n">
        <f aca="false">R16+E17-L17-IF(ISBLANK(X17),0,X17)</f>
        <v>20</v>
      </c>
      <c r="S17" s="14" t="n">
        <f aca="false">S16+F17-M17</f>
        <v>1</v>
      </c>
      <c r="T17" s="14" t="n">
        <f aca="false">T16+G17-N17</f>
        <v>1</v>
      </c>
      <c r="U17" s="14" t="n">
        <f aca="false">U16+H17-O17</f>
        <v>39</v>
      </c>
      <c r="V17" s="14" t="n">
        <f aca="false">R17+S17+T17+U17</f>
        <v>61</v>
      </c>
      <c r="W17" s="18"/>
      <c r="X17" s="18"/>
      <c r="Y17" s="18" t="n">
        <f aca="false">IF(ISBLANK(W17),0,W17)*95</f>
        <v>0</v>
      </c>
      <c r="Z17" s="18"/>
      <c r="AA17" s="18" t="n">
        <f aca="false">IF(ISBLANK(Z17),0,Z17)*95</f>
        <v>0</v>
      </c>
      <c r="AB17" s="18"/>
      <c r="AC17" s="18" t="n">
        <f aca="false">AC16+IF(ISBLANK(W17),0,W17)-IF(ISBLANK(Z17),0,Z17)</f>
        <v>10</v>
      </c>
      <c r="AD17" s="18" t="n">
        <f aca="false">AC17*95</f>
        <v>950</v>
      </c>
      <c r="AE17" s="20" t="n">
        <f aca="false">IF(OR(C17=0,AND(I17=0,P17=0)),0,D17-(E17*15+F17*18+G17*17+H17*17)-Y17)</f>
        <v>0</v>
      </c>
      <c r="AF17" s="20" t="str">
        <f aca="false">IF(OR(C17=0,AND(I17=0,P17=0)),"",AE17/D17)</f>
        <v/>
      </c>
    </row>
    <row r="18" customFormat="false" ht="15" hidden="false" customHeight="true" outlineLevel="0" collapsed="false">
      <c r="A18" s="22"/>
      <c r="C18" s="13"/>
      <c r="D18" s="13" t="n">
        <f aca="false">C18*95</f>
        <v>0</v>
      </c>
      <c r="E18" s="14"/>
      <c r="F18" s="14"/>
      <c r="G18" s="14"/>
      <c r="H18" s="14"/>
      <c r="I18" s="14" t="n">
        <f aca="false">E18+F18+G18+H18</f>
        <v>0</v>
      </c>
      <c r="J18" s="15"/>
      <c r="K18" s="14"/>
      <c r="L18" s="14"/>
      <c r="M18" s="14"/>
      <c r="N18" s="14"/>
      <c r="O18" s="14"/>
      <c r="P18" s="14" t="n">
        <f aca="false">L18+M18+N18+O18</f>
        <v>0</v>
      </c>
      <c r="Q18" s="14" t="n">
        <f aca="false">L18*15+M18*18+N18*17+O18*17</f>
        <v>0</v>
      </c>
      <c r="R18" s="14" t="n">
        <f aca="false">R17+E18-L18-IF(ISBLANK(X18),0,X18)</f>
        <v>20</v>
      </c>
      <c r="S18" s="14" t="n">
        <f aca="false">S17+F18-M18</f>
        <v>1</v>
      </c>
      <c r="T18" s="14" t="n">
        <f aca="false">T17+G18-N18</f>
        <v>1</v>
      </c>
      <c r="U18" s="14" t="n">
        <f aca="false">U17+H18-O18</f>
        <v>39</v>
      </c>
      <c r="V18" s="14" t="n">
        <f aca="false">R18+S18+T18+U18</f>
        <v>61</v>
      </c>
      <c r="W18" s="18"/>
      <c r="X18" s="18"/>
      <c r="Y18" s="18" t="n">
        <f aca="false">IF(ISBLANK(W18),0,W18)*95</f>
        <v>0</v>
      </c>
      <c r="Z18" s="18"/>
      <c r="AA18" s="18" t="n">
        <f aca="false">IF(ISBLANK(Z18),0,Z18)*95</f>
        <v>0</v>
      </c>
      <c r="AB18" s="18"/>
      <c r="AC18" s="18" t="n">
        <f aca="false">AC17+IF(ISBLANK(W18),0,W18)-IF(ISBLANK(Z18),0,Z18)</f>
        <v>10</v>
      </c>
      <c r="AD18" s="18" t="n">
        <f aca="false">AC18*95</f>
        <v>950</v>
      </c>
      <c r="AE18" s="20" t="n">
        <f aca="false">IF(OR(C18=0,AND(I18=0,P18=0)),0,D18-(E18*15+F18*18+G18*17+H18*17)-Y18)</f>
        <v>0</v>
      </c>
      <c r="AF18" s="20" t="str">
        <f aca="false">IF(OR(C18=0,AND(I18=0,P18=0)),"",AE18/D18)</f>
        <v/>
      </c>
    </row>
    <row r="19" customFormat="false" ht="15" hidden="false" customHeight="true" outlineLevel="0" collapsed="false">
      <c r="A19" s="22"/>
      <c r="C19" s="13"/>
      <c r="D19" s="13" t="n">
        <f aca="false">C19*95</f>
        <v>0</v>
      </c>
      <c r="E19" s="14"/>
      <c r="F19" s="14"/>
      <c r="G19" s="14"/>
      <c r="H19" s="14"/>
      <c r="I19" s="14" t="n">
        <f aca="false">E19+F19+G19+H19</f>
        <v>0</v>
      </c>
      <c r="J19" s="15"/>
      <c r="K19" s="14"/>
      <c r="L19" s="14"/>
      <c r="M19" s="14"/>
      <c r="N19" s="14"/>
      <c r="O19" s="14"/>
      <c r="P19" s="14" t="n">
        <f aca="false">L19+M19+N19+O19</f>
        <v>0</v>
      </c>
      <c r="Q19" s="14" t="n">
        <f aca="false">L19*15+M19*18+N19*17+O19*17</f>
        <v>0</v>
      </c>
      <c r="R19" s="14" t="n">
        <f aca="false">R18+E19-L19-IF(ISBLANK(X19),0,X19)</f>
        <v>20</v>
      </c>
      <c r="S19" s="14" t="n">
        <f aca="false">S18+F19-M19</f>
        <v>1</v>
      </c>
      <c r="T19" s="14" t="n">
        <f aca="false">T18+G19-N19</f>
        <v>1</v>
      </c>
      <c r="U19" s="14" t="n">
        <f aca="false">U18+H19-O19</f>
        <v>39</v>
      </c>
      <c r="V19" s="14" t="n">
        <f aca="false">R19+S19+T19+U19</f>
        <v>61</v>
      </c>
      <c r="W19" s="18"/>
      <c r="X19" s="18"/>
      <c r="Y19" s="18" t="n">
        <f aca="false">IF(ISBLANK(W19),0,W19)*95</f>
        <v>0</v>
      </c>
      <c r="Z19" s="18"/>
      <c r="AA19" s="18" t="n">
        <f aca="false">IF(ISBLANK(Z19),0,Z19)*95</f>
        <v>0</v>
      </c>
      <c r="AB19" s="18"/>
      <c r="AC19" s="18" t="n">
        <f aca="false">AC18+IF(ISBLANK(W19),0,W19)-IF(ISBLANK(Z19),0,Z19)</f>
        <v>10</v>
      </c>
      <c r="AD19" s="18" t="n">
        <f aca="false">AC19*95</f>
        <v>950</v>
      </c>
      <c r="AE19" s="20" t="n">
        <f aca="false">IF(OR(C19=0,AND(I19=0,P19=0)),0,D19-(E19*15+F19*18+G19*17+H19*17)-Y19)</f>
        <v>0</v>
      </c>
      <c r="AF19" s="20" t="str">
        <f aca="false">IF(OR(C19=0,AND(I19=0,P19=0)),"",AE19/D19)</f>
        <v/>
      </c>
    </row>
    <row r="20" customFormat="false" ht="15" hidden="false" customHeight="true" outlineLevel="0" collapsed="false">
      <c r="A20" s="22"/>
      <c r="C20" s="13"/>
      <c r="D20" s="13" t="n">
        <f aca="false">C20*95</f>
        <v>0</v>
      </c>
      <c r="E20" s="14"/>
      <c r="F20" s="14"/>
      <c r="G20" s="14"/>
      <c r="H20" s="14"/>
      <c r="I20" s="14" t="n">
        <f aca="false">E20+F20+G20+H20</f>
        <v>0</v>
      </c>
      <c r="J20" s="15"/>
      <c r="K20" s="14"/>
      <c r="L20" s="14"/>
      <c r="M20" s="14"/>
      <c r="N20" s="14"/>
      <c r="O20" s="14"/>
      <c r="P20" s="14" t="n">
        <f aca="false">L20+M20+N20+O20</f>
        <v>0</v>
      </c>
      <c r="Q20" s="14" t="n">
        <f aca="false">L20*15+M20*18+N20*17+O20*17</f>
        <v>0</v>
      </c>
      <c r="R20" s="14" t="n">
        <f aca="false">R19+E20-L20-IF(ISBLANK(X20),0,X20)</f>
        <v>20</v>
      </c>
      <c r="S20" s="14" t="n">
        <f aca="false">S19+F20-M20</f>
        <v>1</v>
      </c>
      <c r="T20" s="14" t="n">
        <f aca="false">T19+G20-N20</f>
        <v>1</v>
      </c>
      <c r="U20" s="14" t="n">
        <f aca="false">U19+H20-O20</f>
        <v>39</v>
      </c>
      <c r="V20" s="14" t="n">
        <f aca="false">R20+S20+T20+U20</f>
        <v>61</v>
      </c>
      <c r="W20" s="18"/>
      <c r="X20" s="18"/>
      <c r="Y20" s="18" t="n">
        <f aca="false">IF(ISBLANK(W20),0,W20)*95</f>
        <v>0</v>
      </c>
      <c r="Z20" s="18"/>
      <c r="AA20" s="18" t="n">
        <f aca="false">IF(ISBLANK(Z20),0,Z20)*95</f>
        <v>0</v>
      </c>
      <c r="AB20" s="18"/>
      <c r="AC20" s="18" t="n">
        <f aca="false">AC19+IF(ISBLANK(W20),0,W20)-IF(ISBLANK(Z20),0,Z20)</f>
        <v>10</v>
      </c>
      <c r="AD20" s="18" t="n">
        <f aca="false">AC20*95</f>
        <v>950</v>
      </c>
      <c r="AE20" s="20" t="n">
        <f aca="false">IF(OR(C20=0,AND(I20=0,P20=0)),0,D20-(E20*15+F20*18+G20*17+H20*17)-Y20)</f>
        <v>0</v>
      </c>
      <c r="AF20" s="20" t="str">
        <f aca="false">IF(OR(C20=0,AND(I20=0,P20=0)),"",AE20/D20)</f>
        <v/>
      </c>
    </row>
    <row r="21" customFormat="false" ht="15" hidden="false" customHeight="true" outlineLevel="0" collapsed="false">
      <c r="A21" s="23" t="s">
        <v>63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customFormat="false" ht="15.75" hidden="false" customHeight="true" outlineLevel="0" collapsed="false">
      <c r="C22" s="13"/>
      <c r="D22" s="13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8"/>
      <c r="X22" s="18"/>
      <c r="Y22" s="18"/>
      <c r="Z22" s="18"/>
      <c r="AA22" s="18"/>
      <c r="AB22" s="18"/>
      <c r="AC22" s="18"/>
      <c r="AD22" s="18"/>
      <c r="AE22" s="20"/>
      <c r="AF22" s="20"/>
    </row>
    <row r="23" customFormat="false" ht="12" hidden="false" customHeight="true" outlineLevel="0" collapsed="false">
      <c r="C23" s="13"/>
      <c r="D23" s="13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8"/>
      <c r="X23" s="18"/>
      <c r="Y23" s="18"/>
      <c r="Z23" s="18"/>
      <c r="AA23" s="18"/>
      <c r="AB23" s="18"/>
      <c r="AC23" s="18"/>
      <c r="AD23" s="18"/>
      <c r="AE23" s="20"/>
      <c r="AF23" s="20"/>
    </row>
    <row r="24" customFormat="false" ht="15" hidden="false" customHeight="false" outlineLevel="0" collapsed="false">
      <c r="C24" s="13"/>
      <c r="D24" s="13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8"/>
      <c r="X24" s="18"/>
      <c r="Y24" s="18"/>
      <c r="Z24" s="18"/>
      <c r="AA24" s="18"/>
      <c r="AB24" s="18"/>
      <c r="AC24" s="18"/>
      <c r="AD24" s="18"/>
      <c r="AE24" s="20"/>
      <c r="AF24" s="20"/>
    </row>
    <row r="25" customFormat="false" ht="15" hidden="false" customHeight="false" outlineLevel="0" collapsed="false">
      <c r="C25" s="13"/>
      <c r="D25" s="13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8"/>
      <c r="X25" s="18"/>
      <c r="Y25" s="18"/>
      <c r="Z25" s="18"/>
      <c r="AA25" s="18"/>
      <c r="AB25" s="18"/>
      <c r="AC25" s="18"/>
      <c r="AD25" s="18"/>
      <c r="AE25" s="20"/>
      <c r="AF25" s="20"/>
    </row>
    <row r="26" customFormat="false" ht="15" hidden="false" customHeight="false" outlineLevel="0" collapsed="false">
      <c r="C26" s="13"/>
      <c r="D26" s="13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8"/>
      <c r="X26" s="18"/>
      <c r="Y26" s="18"/>
      <c r="Z26" s="18"/>
      <c r="AA26" s="18"/>
      <c r="AB26" s="18"/>
      <c r="AC26" s="18"/>
      <c r="AD26" s="18"/>
      <c r="AE26" s="20"/>
      <c r="AF26" s="20"/>
    </row>
    <row r="27" customFormat="false" ht="15" hidden="false" customHeight="false" outlineLevel="0" collapsed="false">
      <c r="C27" s="13"/>
      <c r="D27" s="13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8"/>
      <c r="X27" s="18"/>
      <c r="Y27" s="18"/>
      <c r="Z27" s="18"/>
      <c r="AA27" s="18"/>
      <c r="AB27" s="18"/>
      <c r="AC27" s="18"/>
      <c r="AD27" s="18"/>
      <c r="AE27" s="20"/>
      <c r="AF27" s="20"/>
    </row>
    <row r="28" customFormat="false" ht="15" hidden="false" customHeight="false" outlineLevel="0" collapsed="false">
      <c r="C28" s="13"/>
      <c r="D28" s="13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8"/>
      <c r="X28" s="18"/>
      <c r="Y28" s="18"/>
      <c r="Z28" s="18"/>
      <c r="AA28" s="18"/>
      <c r="AB28" s="18"/>
      <c r="AC28" s="18"/>
      <c r="AD28" s="18"/>
      <c r="AE28" s="20"/>
      <c r="AF28" s="20"/>
    </row>
    <row r="29" customFormat="false" ht="15" hidden="false" customHeight="false" outlineLevel="0" collapsed="false">
      <c r="C29" s="13"/>
      <c r="D29" s="13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8"/>
      <c r="X29" s="18"/>
      <c r="Y29" s="18"/>
      <c r="Z29" s="18"/>
      <c r="AA29" s="18"/>
      <c r="AB29" s="18"/>
      <c r="AC29" s="18"/>
      <c r="AD29" s="18"/>
      <c r="AE29" s="20"/>
      <c r="AF29" s="20"/>
    </row>
    <row r="30" customFormat="false" ht="15" hidden="false" customHeight="false" outlineLevel="0" collapsed="false">
      <c r="C30" s="13"/>
      <c r="D30" s="13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8"/>
      <c r="X30" s="18"/>
      <c r="Y30" s="18"/>
      <c r="Z30" s="18"/>
      <c r="AA30" s="18"/>
      <c r="AB30" s="18"/>
      <c r="AC30" s="18"/>
      <c r="AD30" s="18"/>
      <c r="AE30" s="20"/>
      <c r="AF30" s="20"/>
    </row>
  </sheetData>
  <mergeCells count="10">
    <mergeCell ref="A1:AF1"/>
    <mergeCell ref="A2:AF2"/>
    <mergeCell ref="A3:B3"/>
    <mergeCell ref="C3:D3"/>
    <mergeCell ref="E3:I3"/>
    <mergeCell ref="J3:Q3"/>
    <mergeCell ref="R3:V3"/>
    <mergeCell ref="W3:AD3"/>
    <mergeCell ref="AE3:AF3"/>
    <mergeCell ref="A21:A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9"/>
  </cols>
  <sheetData>
    <row r="1" customFormat="false" ht="21.75" hidden="false" customHeight="true" outlineLevel="0" collapsed="false">
      <c r="A1" s="24" t="s">
        <v>64</v>
      </c>
      <c r="B1" s="24"/>
      <c r="C1" s="24"/>
      <c r="D1" s="24"/>
      <c r="E1" s="24"/>
      <c r="F1" s="24"/>
      <c r="G1" s="24"/>
    </row>
    <row r="2" customFormat="false" ht="15" hidden="false" customHeight="false" outlineLevel="0" collapsed="false">
      <c r="A2" s="25" t="s">
        <v>65</v>
      </c>
      <c r="B2" s="25" t="s">
        <v>66</v>
      </c>
      <c r="C2" s="25" t="s">
        <v>67</v>
      </c>
      <c r="D2" s="25" t="s">
        <v>68</v>
      </c>
      <c r="E2" s="25" t="s">
        <v>19</v>
      </c>
      <c r="F2" s="25" t="s">
        <v>69</v>
      </c>
      <c r="G2" s="25" t="s">
        <v>70</v>
      </c>
    </row>
    <row r="3" customFormat="false" ht="15" hidden="false" customHeight="false" outlineLevel="0" collapsed="false">
      <c r="A3" s="26" t="str">
        <f aca="false">IFERROR(INDEX(FIFO_helper!$AP$1:$AP$241,MATCH(1,FIFO_helper!$AW$1:$AW$241,0)),"")</f>
        <v>sem. ant.</v>
      </c>
      <c r="B3" s="26" t="str">
        <f aca="false">IFERROR(INDEX(FIFO_helper!$AQ$1:$AQ$241,MATCH(1,FIFO_helper!$AW$1:$AW$241,0)),"")</f>
        <v>12/07</v>
      </c>
      <c r="C3" s="26"/>
      <c r="D3" s="26" t="str">
        <f aca="false">IFERROR(INDEX(FIFO_helper!$AR$1:$AR$241,MATCH(1,FIFO_helper!$AW$1:$AW$241,0)),"")</f>
        <v>PRIMERA</v>
      </c>
      <c r="E3" s="26" t="str">
        <f aca="false">IFERROR(INDEX(FIFO_helper!$AS$1:$AS$241,MATCH(1,FIFO_helper!$AW$1:$AW$241,0)),"")</f>
        <v>G-2977</v>
      </c>
      <c r="F3" s="26" t="n">
        <f aca="false">IFERROR(INDEX(FIFO_helper!$AT$1:$AT$241,MATCH(1,FIFO_helper!$AW$1:$AW$241,0)),"")</f>
        <v>239</v>
      </c>
      <c r="G3" s="26" t="str">
        <f aca="false">IFERROR(INDEX(FIFO_helper!$AU$1:$AU$241,MATCH(1,FIFO_helper!$AW$1:$AW$241,0)),"")</f>
        <v>kg</v>
      </c>
    </row>
    <row r="4" customFormat="false" ht="15" hidden="false" customHeight="false" outlineLevel="0" collapsed="false">
      <c r="A4" s="26" t="str">
        <f aca="false">IFERROR(INDEX(FIFO_helper!$AP$1:$AP$241,MATCH(2,FIFO_helper!$AW$1:$AW$241,0)),"")</f>
        <v>12/07</v>
      </c>
      <c r="B4" s="26" t="str">
        <f aca="false">IFERROR(INDEX(FIFO_helper!$AQ$1:$AQ$241,MATCH(2,FIFO_helper!$AW$1:$AW$241,0)),"")</f>
        <v>12/07</v>
      </c>
      <c r="C4" s="26"/>
      <c r="D4" s="26" t="str">
        <f aca="false">IFERROR(INDEX(FIFO_helper!$AR$1:$AR$241,MATCH(2,FIFO_helper!$AW$1:$AW$241,0)),"")</f>
        <v>PRIMERA</v>
      </c>
      <c r="E4" s="26" t="str">
        <f aca="false">IFERROR(INDEX(FIFO_helper!$AS$1:$AS$241,MATCH(2,FIFO_helper!$AW$1:$AW$241,0)),"")</f>
        <v>G-2977</v>
      </c>
      <c r="F4" s="26" t="n">
        <f aca="false">IFERROR(INDEX(FIFO_helper!$AT$1:$AT$241,MATCH(2,FIFO_helper!$AW$1:$AW$241,0)),"")</f>
        <v>1882</v>
      </c>
      <c r="G4" s="26" t="str">
        <f aca="false">IFERROR(INDEX(FIFO_helper!$AU$1:$AU$241,MATCH(2,FIFO_helper!$AW$1:$AW$241,0)),"")</f>
        <v>kg</v>
      </c>
    </row>
    <row r="5" customFormat="false" ht="15" hidden="false" customHeight="false" outlineLevel="0" collapsed="false">
      <c r="A5" s="26" t="str">
        <f aca="false">IFERROR(INDEX(FIFO_helper!$AP$1:$AP$241,MATCH(3,FIFO_helper!$AW$1:$AW$241,0)),"")</f>
        <v>12/07</v>
      </c>
      <c r="B5" s="26" t="str">
        <f aca="false">IFERROR(INDEX(FIFO_helper!$AQ$1:$AQ$241,MATCH(3,FIFO_helper!$AW$1:$AW$241,0)),"")</f>
        <v>13/07</v>
      </c>
      <c r="C5" s="26"/>
      <c r="D5" s="26" t="str">
        <f aca="false">IFERROR(INDEX(FIFO_helper!$AR$1:$AR$241,MATCH(3,FIFO_helper!$AW$1:$AW$241,0)),"")</f>
        <v>PRIMERA</v>
      </c>
      <c r="E5" s="26" t="str">
        <f aca="false">IFERROR(INDEX(FIFO_helper!$AS$1:$AS$241,MATCH(3,FIFO_helper!$AW$1:$AW$241,0)),"")</f>
        <v>G-2980</v>
      </c>
      <c r="F5" s="26" t="n">
        <f aca="false">IFERROR(INDEX(FIFO_helper!$AT$1:$AT$241,MATCH(3,FIFO_helper!$AW$1:$AW$241,0)),"")</f>
        <v>398</v>
      </c>
      <c r="G5" s="26" t="str">
        <f aca="false">IFERROR(INDEX(FIFO_helper!$AU$1:$AU$241,MATCH(3,FIFO_helper!$AW$1:$AW$241,0)),"")</f>
        <v>kg</v>
      </c>
    </row>
    <row r="6" customFormat="false" ht="15" hidden="false" customHeight="false" outlineLevel="0" collapsed="false">
      <c r="A6" s="26" t="str">
        <f aca="false">IFERROR(INDEX(FIFO_helper!$AP$1:$AP$241,MATCH(4,FIFO_helper!$AW$1:$AW$241,0)),"")</f>
        <v>12/07</v>
      </c>
      <c r="B6" s="26" t="str">
        <f aca="false">IFERROR(INDEX(FIFO_helper!$AQ$1:$AQ$241,MATCH(4,FIFO_helper!$AW$1:$AW$241,0)),"")</f>
        <v>↳ Chancho (prod.)</v>
      </c>
      <c r="C6" s="26"/>
      <c r="D6" s="26" t="str">
        <f aca="false">IFERROR(INDEX(FIFO_helper!$AR$1:$AR$241,MATCH(4,FIFO_helper!$AW$1:$AW$241,0)),"")</f>
        <v>CHANCHO</v>
      </c>
      <c r="E6" s="26" t="str">
        <f aca="false">IFERROR(INDEX(FIFO_helper!$AS$1:$AS$241,MATCH(4,FIFO_helper!$AW$1:$AW$241,0)),"")</f>
        <v/>
      </c>
      <c r="F6" s="26" t="n">
        <f aca="false">IFERROR(INDEX(FIFO_helper!$AT$1:$AT$241,MATCH(4,FIFO_helper!$AW$1:$AW$241,0)),"")</f>
        <v>6</v>
      </c>
      <c r="G6" s="26" t="str">
        <f aca="false">IFERROR(INDEX(FIFO_helper!$AU$1:$AU$241,MATCH(4,FIFO_helper!$AW$1:$AW$241,0)),"")</f>
        <v>sacos</v>
      </c>
    </row>
    <row r="7" customFormat="false" ht="15" hidden="false" customHeight="false" outlineLevel="0" collapsed="false">
      <c r="A7" s="26" t="str">
        <f aca="false">IFERROR(INDEX(FIFO_helper!$AP$1:$AP$241,MATCH(5,FIFO_helper!$AW$1:$AW$241,0)),"")</f>
        <v>13/07</v>
      </c>
      <c r="B7" s="26" t="str">
        <f aca="false">IFERROR(INDEX(FIFO_helper!$AQ$1:$AQ$241,MATCH(5,FIFO_helper!$AW$1:$AW$241,0)),"")</f>
        <v>13/07</v>
      </c>
      <c r="C7" s="26"/>
      <c r="D7" s="26" t="str">
        <f aca="false">IFERROR(INDEX(FIFO_helper!$AR$1:$AR$241,MATCH(5,FIFO_helper!$AW$1:$AW$241,0)),"")</f>
        <v>PRIMERA</v>
      </c>
      <c r="E7" s="26" t="str">
        <f aca="false">IFERROR(INDEX(FIFO_helper!$AS$1:$AS$241,MATCH(5,FIFO_helper!$AW$1:$AW$241,0)),"")</f>
        <v>G-2980</v>
      </c>
      <c r="F7" s="26" t="n">
        <f aca="false">IFERROR(INDEX(FIFO_helper!$AT$1:$AT$241,MATCH(5,FIFO_helper!$AW$1:$AW$241,0)),"")</f>
        <v>2658</v>
      </c>
      <c r="G7" s="26" t="str">
        <f aca="false">IFERROR(INDEX(FIFO_helper!$AU$1:$AU$241,MATCH(5,FIFO_helper!$AW$1:$AW$241,0)),"")</f>
        <v>kg</v>
      </c>
    </row>
    <row r="8" customFormat="false" ht="15" hidden="false" customHeight="false" outlineLevel="0" collapsed="false">
      <c r="A8" s="26" t="str">
        <f aca="false">IFERROR(INDEX(FIFO_helper!$AP$1:$AP$241,MATCH(6,FIFO_helper!$AW$1:$AW$241,0)),"")</f>
        <v>13/07</v>
      </c>
      <c r="B8" s="26" t="str">
        <f aca="false">IFERROR(INDEX(FIFO_helper!$AQ$1:$AQ$241,MATCH(6,FIFO_helper!$AW$1:$AW$241,0)),"")</f>
        <v>14/07</v>
      </c>
      <c r="C8" s="26"/>
      <c r="D8" s="26" t="str">
        <f aca="false">IFERROR(INDEX(FIFO_helper!$AR$1:$AR$241,MATCH(6,FIFO_helper!$AW$1:$AW$241,0)),"")</f>
        <v>PRIMERA</v>
      </c>
      <c r="E8" s="26" t="str">
        <f aca="false">IFERROR(INDEX(FIFO_helper!$AS$1:$AS$241,MATCH(6,FIFO_helper!$AW$1:$AW$241,0)),"")</f>
        <v>G-2984</v>
      </c>
      <c r="F8" s="26" t="n">
        <f aca="false">IFERROR(INDEX(FIFO_helper!$AT$1:$AT$241,MATCH(6,FIFO_helper!$AW$1:$AW$241,0)),"")</f>
        <v>952</v>
      </c>
      <c r="G8" s="26" t="str">
        <f aca="false">IFERROR(INDEX(FIFO_helper!$AU$1:$AU$241,MATCH(6,FIFO_helper!$AW$1:$AW$241,0)),"")</f>
        <v>kg</v>
      </c>
    </row>
    <row r="9" customFormat="false" ht="15" hidden="false" customHeight="false" outlineLevel="0" collapsed="false">
      <c r="A9" s="26" t="str">
        <f aca="false">IFERROR(INDEX(FIFO_helper!$AP$1:$AP$241,MATCH(7,FIFO_helper!$AW$1:$AW$241,0)),"")</f>
        <v>13/07</v>
      </c>
      <c r="B9" s="26" t="str">
        <f aca="false">IFERROR(INDEX(FIFO_helper!$AQ$1:$AQ$241,MATCH(7,FIFO_helper!$AW$1:$AW$241,0)),"")</f>
        <v>↳ Chancho (prod.)</v>
      </c>
      <c r="C9" s="26"/>
      <c r="D9" s="26" t="str">
        <f aca="false">IFERROR(INDEX(FIFO_helper!$AR$1:$AR$241,MATCH(7,FIFO_helper!$AW$1:$AW$241,0)),"")</f>
        <v>CHANCHO</v>
      </c>
      <c r="E9" s="26" t="str">
        <f aca="false">IFERROR(INDEX(FIFO_helper!$AS$1:$AS$241,MATCH(7,FIFO_helper!$AW$1:$AW$241,0)),"")</f>
        <v/>
      </c>
      <c r="F9" s="26" t="n">
        <f aca="false">IFERROR(INDEX(FIFO_helper!$AT$1:$AT$241,MATCH(7,FIFO_helper!$AW$1:$AW$241,0)),"")</f>
        <v>2</v>
      </c>
      <c r="G9" s="26" t="str">
        <f aca="false">IFERROR(INDEX(FIFO_helper!$AU$1:$AU$241,MATCH(7,FIFO_helper!$AW$1:$AW$241,0)),"")</f>
        <v>sacos</v>
      </c>
    </row>
    <row r="10" customFormat="false" ht="15" hidden="false" customHeight="false" outlineLevel="0" collapsed="false">
      <c r="A10" s="26" t="str">
        <f aca="false">IFERROR(INDEX(FIFO_helper!$AP$1:$AP$241,MATCH(8,FIFO_helper!$AW$1:$AW$241,0)),"")</f>
        <v>14/07</v>
      </c>
      <c r="B10" s="26" t="str">
        <f aca="false">IFERROR(INDEX(FIFO_helper!$AQ$1:$AQ$241,MATCH(8,FIFO_helper!$AW$1:$AW$241,0)),"")</f>
        <v>14/07</v>
      </c>
      <c r="C10" s="26"/>
      <c r="D10" s="26" t="str">
        <f aca="false">IFERROR(INDEX(FIFO_helper!$AR$1:$AR$241,MATCH(8,FIFO_helper!$AW$1:$AW$241,0)),"")</f>
        <v>PRIMERA</v>
      </c>
      <c r="E10" s="26" t="str">
        <f aca="false">IFERROR(INDEX(FIFO_helper!$AS$1:$AS$241,MATCH(8,FIFO_helper!$AW$1:$AW$241,0)),"")</f>
        <v>G-2984</v>
      </c>
      <c r="F10" s="26" t="n">
        <f aca="false">IFERROR(INDEX(FIFO_helper!$AT$1:$AT$241,MATCH(8,FIFO_helper!$AW$1:$AW$241,0)),"")</f>
        <v>2427</v>
      </c>
      <c r="G10" s="26" t="str">
        <f aca="false">IFERROR(INDEX(FIFO_helper!$AU$1:$AU$241,MATCH(8,FIFO_helper!$AW$1:$AW$241,0)),"")</f>
        <v>kg</v>
      </c>
    </row>
    <row r="11" customFormat="false" ht="15" hidden="false" customHeight="false" outlineLevel="0" collapsed="false">
      <c r="A11" s="26" t="str">
        <f aca="false">IFERROR(INDEX(FIFO_helper!$AP$1:$AP$241,MATCH(9,FIFO_helper!$AW$1:$AW$241,0)),"")</f>
        <v>14/07</v>
      </c>
      <c r="B11" s="26" t="str">
        <f aca="false">IFERROR(INDEX(FIFO_helper!$AQ$1:$AQ$241,MATCH(9,FIFO_helper!$AW$1:$AW$241,0)),"")</f>
        <v>15/07</v>
      </c>
      <c r="C11" s="26"/>
      <c r="D11" s="26" t="str">
        <f aca="false">IFERROR(INDEX(FIFO_helper!$AR$1:$AR$241,MATCH(9,FIFO_helper!$AW$1:$AW$241,0)),"")</f>
        <v>PRIMERA</v>
      </c>
      <c r="E11" s="26" t="str">
        <f aca="false">IFERROR(INDEX(FIFO_helper!$AS$1:$AS$241,MATCH(9,FIFO_helper!$AW$1:$AW$241,0)),"")</f>
        <v>G-2986</v>
      </c>
      <c r="F11" s="26" t="n">
        <f aca="false">IFERROR(INDEX(FIFO_helper!$AT$1:$AT$241,MATCH(9,FIFO_helper!$AW$1:$AW$241,0)),"")</f>
        <v>708</v>
      </c>
      <c r="G11" s="26" t="str">
        <f aca="false">IFERROR(INDEX(FIFO_helper!$AU$1:$AU$241,MATCH(9,FIFO_helper!$AW$1:$AW$241,0)),"")</f>
        <v>kg</v>
      </c>
    </row>
    <row r="12" customFormat="false" ht="15" hidden="false" customHeight="false" outlineLevel="0" collapsed="false">
      <c r="A12" s="26" t="str">
        <f aca="false">IFERROR(INDEX(FIFO_helper!$AP$1:$AP$241,MATCH(10,FIFO_helper!$AW$1:$AW$241,0)),"")</f>
        <v>14/07</v>
      </c>
      <c r="B12" s="26" t="str">
        <f aca="false">IFERROR(INDEX(FIFO_helper!$AQ$1:$AQ$241,MATCH(10,FIFO_helper!$AW$1:$AW$241,0)),"")</f>
        <v>↳ Chancho (prod.)</v>
      </c>
      <c r="C12" s="26"/>
      <c r="D12" s="26" t="str">
        <f aca="false">IFERROR(INDEX(FIFO_helper!$AR$1:$AR$241,MATCH(10,FIFO_helper!$AW$1:$AW$241,0)),"")</f>
        <v>CHANCHO</v>
      </c>
      <c r="E12" s="26" t="str">
        <f aca="false">IFERROR(INDEX(FIFO_helper!$AS$1:$AS$241,MATCH(10,FIFO_helper!$AW$1:$AW$241,0)),"")</f>
        <v/>
      </c>
      <c r="F12" s="26" t="n">
        <f aca="false">IFERROR(INDEX(FIFO_helper!$AT$1:$AT$241,MATCH(10,FIFO_helper!$AW$1:$AW$241,0)),"")</f>
        <v>7</v>
      </c>
      <c r="G12" s="26" t="str">
        <f aca="false">IFERROR(INDEX(FIFO_helper!$AU$1:$AU$241,MATCH(10,FIFO_helper!$AW$1:$AW$241,0)),"")</f>
        <v>sacos</v>
      </c>
    </row>
    <row r="13" customFormat="false" ht="15" hidden="false" customHeight="false" outlineLevel="0" collapsed="false">
      <c r="A13" s="26" t="str">
        <f aca="false">IFERROR(INDEX(FIFO_helper!$AP$1:$AP$241,MATCH(11,FIFO_helper!$AW$1:$AW$241,0)),"")</f>
        <v>15/07</v>
      </c>
      <c r="B13" s="26" t="str">
        <f aca="false">IFERROR(INDEX(FIFO_helper!$AQ$1:$AQ$241,MATCH(11,FIFO_helper!$AW$1:$AW$241,0)),"")</f>
        <v>15/07</v>
      </c>
      <c r="C13" s="26"/>
      <c r="D13" s="26" t="str">
        <f aca="false">IFERROR(INDEX(FIFO_helper!$AR$1:$AR$241,MATCH(11,FIFO_helper!$AW$1:$AW$241,0)),"")</f>
        <v>PRIMERA</v>
      </c>
      <c r="E13" s="26" t="str">
        <f aca="false">IFERROR(INDEX(FIFO_helper!$AS$1:$AS$241,MATCH(11,FIFO_helper!$AW$1:$AW$241,0)),"")</f>
        <v>G-2986</v>
      </c>
      <c r="F13" s="26" t="n">
        <f aca="false">IFERROR(INDEX(FIFO_helper!$AT$1:$AT$241,MATCH(11,FIFO_helper!$AW$1:$AW$241,0)),"")</f>
        <v>2263</v>
      </c>
      <c r="G13" s="26" t="str">
        <f aca="false">IFERROR(INDEX(FIFO_helper!$AU$1:$AU$241,MATCH(11,FIFO_helper!$AW$1:$AW$241,0)),"")</f>
        <v>kg</v>
      </c>
    </row>
    <row r="14" customFormat="false" ht="15" hidden="false" customHeight="false" outlineLevel="0" collapsed="false">
      <c r="A14" s="26" t="str">
        <f aca="false">IFERROR(INDEX(FIFO_helper!$AP$1:$AP$241,MATCH(12,FIFO_helper!$AW$1:$AW$241,0)),"")</f>
        <v>15/07</v>
      </c>
      <c r="B14" s="26" t="str">
        <f aca="false">IFERROR(INDEX(FIFO_helper!$AQ$1:$AQ$241,MATCH(12,FIFO_helper!$AW$1:$AW$241,0)),"")</f>
        <v>16/07</v>
      </c>
      <c r="C14" s="26"/>
      <c r="D14" s="26" t="str">
        <f aca="false">IFERROR(INDEX(FIFO_helper!$AR$1:$AR$241,MATCH(12,FIFO_helper!$AW$1:$AW$241,0)),"")</f>
        <v>PRIMERA</v>
      </c>
      <c r="E14" s="26" t="str">
        <f aca="false">IFERROR(INDEX(FIFO_helper!$AS$1:$AS$241,MATCH(12,FIFO_helper!$AW$1:$AW$241,0)),"")</f>
        <v>G-2992</v>
      </c>
      <c r="F14" s="26" t="n">
        <f aca="false">IFERROR(INDEX(FIFO_helper!$AT$1:$AT$241,MATCH(12,FIFO_helper!$AW$1:$AW$241,0)),"")</f>
        <v>1062</v>
      </c>
      <c r="G14" s="26" t="str">
        <f aca="false">IFERROR(INDEX(FIFO_helper!$AU$1:$AU$241,MATCH(12,FIFO_helper!$AW$1:$AW$241,0)),"")</f>
        <v>kg</v>
      </c>
    </row>
    <row r="15" customFormat="false" ht="15" hidden="false" customHeight="false" outlineLevel="0" collapsed="false">
      <c r="A15" s="26" t="str">
        <f aca="false">IFERROR(INDEX(FIFO_helper!$AP$1:$AP$241,MATCH(13,FIFO_helper!$AW$1:$AW$241,0)),"")</f>
        <v>15/07</v>
      </c>
      <c r="B15" s="26" t="str">
        <f aca="false">IFERROR(INDEX(FIFO_helper!$AQ$1:$AQ$241,MATCH(13,FIFO_helper!$AW$1:$AW$241,0)),"")</f>
        <v>↳ Chancho (prod.)</v>
      </c>
      <c r="C15" s="26"/>
      <c r="D15" s="26" t="str">
        <f aca="false">IFERROR(INDEX(FIFO_helper!$AR$1:$AR$241,MATCH(13,FIFO_helper!$AW$1:$AW$241,0)),"")</f>
        <v>CHANCHO</v>
      </c>
      <c r="E15" s="26" t="str">
        <f aca="false">IFERROR(INDEX(FIFO_helper!$AS$1:$AS$241,MATCH(13,FIFO_helper!$AW$1:$AW$241,0)),"")</f>
        <v/>
      </c>
      <c r="F15" s="26" t="n">
        <f aca="false">IFERROR(INDEX(FIFO_helper!$AT$1:$AT$241,MATCH(13,FIFO_helper!$AW$1:$AW$241,0)),"")</f>
        <v>5</v>
      </c>
      <c r="G15" s="26" t="str">
        <f aca="false">IFERROR(INDEX(FIFO_helper!$AU$1:$AU$241,MATCH(13,FIFO_helper!$AW$1:$AW$241,0)),"")</f>
        <v>sacos</v>
      </c>
    </row>
    <row r="16" customFormat="false" ht="15" hidden="false" customHeight="false" outlineLevel="0" collapsed="false">
      <c r="A16" s="26" t="str">
        <f aca="false">IFERROR(INDEX(FIFO_helper!$AP$1:$AP$241,MATCH(14,FIFO_helper!$AW$1:$AW$241,0)),"")</f>
        <v>16/07</v>
      </c>
      <c r="B16" s="26" t="str">
        <f aca="false">IFERROR(INDEX(FIFO_helper!$AQ$1:$AQ$241,MATCH(14,FIFO_helper!$AW$1:$AW$241,0)),"")</f>
        <v>16/07</v>
      </c>
      <c r="C16" s="26"/>
      <c r="D16" s="26" t="str">
        <f aca="false">IFERROR(INDEX(FIFO_helper!$AR$1:$AR$241,MATCH(14,FIFO_helper!$AW$1:$AW$241,0)),"")</f>
        <v>PRIMERA</v>
      </c>
      <c r="E16" s="26" t="str">
        <f aca="false">IFERROR(INDEX(FIFO_helper!$AS$1:$AS$241,MATCH(14,FIFO_helper!$AW$1:$AW$241,0)),"")</f>
        <v>G-2992</v>
      </c>
      <c r="F16" s="26" t="n">
        <f aca="false">IFERROR(INDEX(FIFO_helper!$AT$1:$AT$241,MATCH(14,FIFO_helper!$AW$1:$AW$241,0)),"")</f>
        <v>2240</v>
      </c>
      <c r="G16" s="26" t="str">
        <f aca="false">IFERROR(INDEX(FIFO_helper!$AU$1:$AU$241,MATCH(14,FIFO_helper!$AW$1:$AW$241,0)),"")</f>
        <v>kg</v>
      </c>
    </row>
    <row r="17" customFormat="false" ht="15" hidden="false" customHeight="false" outlineLevel="0" collapsed="false">
      <c r="A17" s="26" t="str">
        <f aca="false">IFERROR(INDEX(FIFO_helper!$AP$1:$AP$241,MATCH(15,FIFO_helper!$AW$1:$AW$241,0)),"")</f>
        <v>16/07</v>
      </c>
      <c r="B17" s="26" t="str">
        <f aca="false">IFERROR(INDEX(FIFO_helper!$AQ$1:$AQ$241,MATCH(15,FIFO_helper!$AW$1:$AW$241,0)),"")</f>
        <v>17/07</v>
      </c>
      <c r="C17" s="26"/>
      <c r="D17" s="26" t="str">
        <f aca="false">IFERROR(INDEX(FIFO_helper!$AR$1:$AR$241,MATCH(15,FIFO_helper!$AW$1:$AW$241,0)),"")</f>
        <v>PRIMERA</v>
      </c>
      <c r="E17" s="26" t="str">
        <f aca="false">IFERROR(INDEX(FIFO_helper!$AS$1:$AS$241,MATCH(15,FIFO_helper!$AW$1:$AW$241,0)),"")</f>
        <v>G-2994</v>
      </c>
      <c r="F17" s="26" t="n">
        <f aca="false">IFERROR(INDEX(FIFO_helper!$AT$1:$AT$241,MATCH(15,FIFO_helper!$AW$1:$AW$241,0)),"")</f>
        <v>1180</v>
      </c>
      <c r="G17" s="26" t="str">
        <f aca="false">IFERROR(INDEX(FIFO_helper!$AU$1:$AU$241,MATCH(15,FIFO_helper!$AW$1:$AW$241,0)),"")</f>
        <v>kg</v>
      </c>
    </row>
    <row r="18" customFormat="false" ht="15" hidden="false" customHeight="false" outlineLevel="0" collapsed="false">
      <c r="A18" s="26" t="str">
        <f aca="false">IFERROR(INDEX(FIFO_helper!$AP$1:$AP$241,MATCH(16,FIFO_helper!$AW$1:$AW$241,0)),"")</f>
        <v>16/07</v>
      </c>
      <c r="B18" s="26" t="str">
        <f aca="false">IFERROR(INDEX(FIFO_helper!$AQ$1:$AQ$241,MATCH(16,FIFO_helper!$AW$1:$AW$241,0)),"")</f>
        <v>↳ Chancho (prod.)</v>
      </c>
      <c r="C18" s="26"/>
      <c r="D18" s="26" t="str">
        <f aca="false">IFERROR(INDEX(FIFO_helper!$AR$1:$AR$241,MATCH(16,FIFO_helper!$AW$1:$AW$241,0)),"")</f>
        <v>CHANCHO</v>
      </c>
      <c r="E18" s="26" t="str">
        <f aca="false">IFERROR(INDEX(FIFO_helper!$AS$1:$AS$241,MATCH(16,FIFO_helper!$AW$1:$AW$241,0)),"")</f>
        <v/>
      </c>
      <c r="F18" s="26" t="n">
        <f aca="false">IFERROR(INDEX(FIFO_helper!$AT$1:$AT$241,MATCH(16,FIFO_helper!$AW$1:$AW$241,0)),"")</f>
        <v>4</v>
      </c>
      <c r="G18" s="26" t="str">
        <f aca="false">IFERROR(INDEX(FIFO_helper!$AU$1:$AU$241,MATCH(16,FIFO_helper!$AW$1:$AW$241,0)),"")</f>
        <v>sacos</v>
      </c>
    </row>
    <row r="19" customFormat="false" ht="15" hidden="false" customHeight="false" outlineLevel="0" collapsed="false">
      <c r="A19" s="26" t="str">
        <f aca="false">IFERROR(INDEX(FIFO_helper!$AP$1:$AP$241,MATCH(17,FIFO_helper!$AW$1:$AW$241,0)),"")</f>
        <v>17/07</v>
      </c>
      <c r="B19" s="26" t="str">
        <f aca="false">IFERROR(INDEX(FIFO_helper!$AQ$1:$AQ$241,MATCH(17,FIFO_helper!$AW$1:$AW$241,0)),"")</f>
        <v>17/07</v>
      </c>
      <c r="C19" s="26"/>
      <c r="D19" s="26" t="str">
        <f aca="false">IFERROR(INDEX(FIFO_helper!$AR$1:$AR$241,MATCH(17,FIFO_helper!$AW$1:$AW$241,0)),"")</f>
        <v>PRIMERA</v>
      </c>
      <c r="E19" s="26" t="str">
        <f aca="false">IFERROR(INDEX(FIFO_helper!$AS$1:$AS$241,MATCH(17,FIFO_helper!$AW$1:$AW$241,0)),"")</f>
        <v>G-2994</v>
      </c>
      <c r="F19" s="26" t="n">
        <f aca="false">IFERROR(INDEX(FIFO_helper!$AT$1:$AT$241,MATCH(17,FIFO_helper!$AW$1:$AW$241,0)),"")</f>
        <v>2233</v>
      </c>
      <c r="G19" s="26" t="str">
        <f aca="false">IFERROR(INDEX(FIFO_helper!$AU$1:$AU$241,MATCH(17,FIFO_helper!$AW$1:$AW$241,0)),"")</f>
        <v>kg</v>
      </c>
    </row>
    <row r="20" customFormat="false" ht="15" hidden="false" customHeight="false" outlineLevel="0" collapsed="false">
      <c r="A20" s="26" t="str">
        <f aca="false">IFERROR(INDEX(FIFO_helper!$AP$1:$AP$241,MATCH(18,FIFO_helper!$AW$1:$AW$241,0)),"")</f>
        <v>17/07</v>
      </c>
      <c r="B20" s="26" t="str">
        <f aca="false">IFERROR(INDEX(FIFO_helper!$AQ$1:$AQ$241,MATCH(18,FIFO_helper!$AW$1:$AW$241,0)),"")</f>
        <v>18/07</v>
      </c>
      <c r="C20" s="26"/>
      <c r="D20" s="26" t="str">
        <f aca="false">IFERROR(INDEX(FIFO_helper!$AR$1:$AR$241,MATCH(18,FIFO_helper!$AW$1:$AW$241,0)),"")</f>
        <v>PRIMERA</v>
      </c>
      <c r="E20" s="26" t="str">
        <f aca="false">IFERROR(INDEX(FIFO_helper!$AS$1:$AS$241,MATCH(18,FIFO_helper!$AW$1:$AW$241,0)),"")</f>
        <v>G-2996</v>
      </c>
      <c r="F20" s="26" t="n">
        <f aca="false">IFERROR(INDEX(FIFO_helper!$AT$1:$AT$241,MATCH(18,FIFO_helper!$AW$1:$AW$241,0)),"")</f>
        <v>2517</v>
      </c>
      <c r="G20" s="26" t="str">
        <f aca="false">IFERROR(INDEX(FIFO_helper!$AU$1:$AU$241,MATCH(18,FIFO_helper!$AW$1:$AW$241,0)),"")</f>
        <v>kg</v>
      </c>
    </row>
    <row r="21" customFormat="false" ht="15" hidden="false" customHeight="false" outlineLevel="0" collapsed="false">
      <c r="A21" s="26" t="str">
        <f aca="false">IFERROR(INDEX(FIFO_helper!$AP$1:$AP$241,MATCH(19,FIFO_helper!$AW$1:$AW$241,0)),"")</f>
        <v>17/07</v>
      </c>
      <c r="B21" s="26" t="str">
        <f aca="false">IFERROR(INDEX(FIFO_helper!$AQ$1:$AQ$241,MATCH(19,FIFO_helper!$AW$1:$AW$241,0)),"")</f>
        <v>↳ Chancho (prod.)</v>
      </c>
      <c r="C21" s="26"/>
      <c r="D21" s="26" t="str">
        <f aca="false">IFERROR(INDEX(FIFO_helper!$AR$1:$AR$241,MATCH(19,FIFO_helper!$AW$1:$AW$241,0)),"")</f>
        <v>CHANCHO</v>
      </c>
      <c r="E21" s="26" t="str">
        <f aca="false">IFERROR(INDEX(FIFO_helper!$AS$1:$AS$241,MATCH(19,FIFO_helper!$AW$1:$AW$241,0)),"")</f>
        <v/>
      </c>
      <c r="F21" s="26" t="n">
        <f aca="false">IFERROR(INDEX(FIFO_helper!$AT$1:$AT$241,MATCH(19,FIFO_helper!$AW$1:$AW$241,0)),"")</f>
        <v>10</v>
      </c>
      <c r="G21" s="26" t="str">
        <f aca="false">IFERROR(INDEX(FIFO_helper!$AU$1:$AU$241,MATCH(19,FIFO_helper!$AW$1:$AW$241,0)),"")</f>
        <v>sacos</v>
      </c>
    </row>
    <row r="22" customFormat="false" ht="15" hidden="false" customHeight="false" outlineLevel="0" collapsed="false">
      <c r="A22" s="26" t="str">
        <f aca="false">IFERROR(INDEX(FIFO_helper!$AP$1:$AP$241,MATCH(20,FIFO_helper!$AW$1:$AW$241,0)),"")</f>
        <v>17/07</v>
      </c>
      <c r="B22" s="26" t="str">
        <f aca="false">IFERROR(INDEX(FIFO_helper!$AQ$1:$AQ$241,MATCH(20,FIFO_helper!$AW$1:$AW$241,0)),"")</f>
        <v>18/07</v>
      </c>
      <c r="C22" s="26"/>
      <c r="D22" s="26" t="str">
        <f aca="false">IFERROR(INDEX(FIFO_helper!$AR$1:$AR$241,MATCH(20,FIFO_helper!$AW$1:$AW$241,0)),"")</f>
        <v>PRIMERA</v>
      </c>
      <c r="E22" s="26" t="str">
        <f aca="false">IFERROR(INDEX(FIFO_helper!$AS$1:$AS$241,MATCH(20,FIFO_helper!$AW$1:$AW$241,0)),"")</f>
        <v>G-2996</v>
      </c>
      <c r="F22" s="26" t="n">
        <f aca="false">IFERROR(INDEX(FIFO_helper!$AT$1:$AT$241,MATCH(20,FIFO_helper!$AW$1:$AW$241,0)),"")</f>
        <v>380</v>
      </c>
      <c r="G22" s="26" t="str">
        <f aca="false">IFERROR(INDEX(FIFO_helper!$AU$1:$AU$241,MATCH(20,FIFO_helper!$AW$1:$AW$241,0)),"")</f>
        <v>kg</v>
      </c>
    </row>
    <row r="23" customFormat="false" ht="15" hidden="false" customHeight="false" outlineLevel="0" collapsed="false">
      <c r="A23" s="26" t="str">
        <f aca="false">IFERROR(INDEX(FIFO_helper!$AP$1:$AP$241,MATCH(21,FIFO_helper!$AW$1:$AW$241,0)),"")</f>
        <v>17/07</v>
      </c>
      <c r="B23" s="26" t="str">
        <f aca="false">IFERROR(INDEX(FIFO_helper!$AQ$1:$AQ$241,MATCH(21,FIFO_helper!$AW$1:$AW$241,0)),"")</f>
        <v>↳ Chancho (prod.)</v>
      </c>
      <c r="C23" s="26"/>
      <c r="D23" s="26" t="str">
        <f aca="false">IFERROR(INDEX(FIFO_helper!$AR$1:$AR$241,MATCH(21,FIFO_helper!$AW$1:$AW$241,0)),"")</f>
        <v>CHANCHO</v>
      </c>
      <c r="E23" s="26" t="str">
        <f aca="false">IFERROR(INDEX(FIFO_helper!$AS$1:$AS$241,MATCH(21,FIFO_helper!$AW$1:$AW$241,0)),"")</f>
        <v/>
      </c>
      <c r="F23" s="26" t="n">
        <f aca="false">IFERROR(INDEX(FIFO_helper!$AT$1:$AT$241,MATCH(21,FIFO_helper!$AW$1:$AW$241,0)),"")</f>
        <v>1</v>
      </c>
      <c r="G23" s="26" t="str">
        <f aca="false">IFERROR(INDEX(FIFO_helper!$AU$1:$AU$241,MATCH(21,FIFO_helper!$AW$1:$AW$241,0)),"")</f>
        <v>sacos</v>
      </c>
    </row>
    <row r="24" customFormat="false" ht="15" hidden="false" customHeight="false" outlineLevel="0" collapsed="false">
      <c r="A24" s="26" t="str">
        <f aca="false">IFERROR(INDEX(FIFO_helper!$AP$1:$AP$241,MATCH(22,FIFO_helper!$AW$1:$AW$241,0)),"")</f>
        <v>19/07</v>
      </c>
      <c r="B24" s="26" t="str">
        <f aca="false">IFERROR(INDEX(FIFO_helper!$AQ$1:$AQ$241,MATCH(22,FIFO_helper!$AW$1:$AW$241,0)),"")</f>
        <v>18/07</v>
      </c>
      <c r="C24" s="26"/>
      <c r="D24" s="26" t="str">
        <f aca="false">IFERROR(INDEX(FIFO_helper!$AR$1:$AR$241,MATCH(22,FIFO_helper!$AW$1:$AW$241,0)),"")</f>
        <v>PRIMERA</v>
      </c>
      <c r="E24" s="26" t="str">
        <f aca="false">IFERROR(INDEX(FIFO_helper!$AS$1:$AS$241,MATCH(22,FIFO_helper!$AW$1:$AW$241,0)),"")</f>
        <v>G-2996</v>
      </c>
      <c r="F24" s="26" t="n">
        <f aca="false">IFERROR(INDEX(FIFO_helper!$AT$1:$AT$241,MATCH(22,FIFO_helper!$AW$1:$AW$241,0)),"")</f>
        <v>271</v>
      </c>
      <c r="G24" s="26" t="str">
        <f aca="false">IFERROR(INDEX(FIFO_helper!$AU$1:$AU$241,MATCH(22,FIFO_helper!$AW$1:$AW$241,0)),"")</f>
        <v>kg</v>
      </c>
    </row>
    <row r="25" customFormat="false" ht="15" hidden="false" customHeight="false" outlineLevel="0" collapsed="false">
      <c r="A25" s="26" t="str">
        <f aca="false">IFERROR(INDEX(FIFO_helper!$AP$1:$AP$241,MATCH(23,FIFO_helper!$AW$1:$AW$241,0)),"")</f>
        <v>19/07</v>
      </c>
      <c r="B25" s="26" t="str">
        <f aca="false">IFERROR(INDEX(FIFO_helper!$AQ$1:$AQ$241,MATCH(23,FIFO_helper!$AW$1:$AW$241,0)),"")</f>
        <v>19/07</v>
      </c>
      <c r="C25" s="26"/>
      <c r="D25" s="26" t="str">
        <f aca="false">IFERROR(INDEX(FIFO_helper!$AR$1:$AR$241,MATCH(23,FIFO_helper!$AW$1:$AW$241,0)),"")</f>
        <v>PRIMERA</v>
      </c>
      <c r="E25" s="26" t="str">
        <f aca="false">IFERROR(INDEX(FIFO_helper!$AS$1:$AS$241,MATCH(23,FIFO_helper!$AW$1:$AW$241,0)),"")</f>
        <v>G-2998</v>
      </c>
      <c r="F25" s="26" t="n">
        <f aca="false">IFERROR(INDEX(FIFO_helper!$AT$1:$AT$241,MATCH(23,FIFO_helper!$AW$1:$AW$241,0)),"")</f>
        <v>1883</v>
      </c>
      <c r="G25" s="26" t="str">
        <f aca="false">IFERROR(INDEX(FIFO_helper!$AU$1:$AU$241,MATCH(23,FIFO_helper!$AW$1:$AW$241,0)),"")</f>
        <v>kg</v>
      </c>
    </row>
    <row r="26" customFormat="false" ht="15" hidden="false" customHeight="false" outlineLevel="0" collapsed="false">
      <c r="A26" s="26" t="str">
        <f aca="false">IFERROR(INDEX(FIFO_helper!$AP$1:$AP$241,MATCH(24,FIFO_helper!$AW$1:$AW$241,0)),"")</f>
        <v>19/07</v>
      </c>
      <c r="B26" s="26" t="str">
        <f aca="false">IFERROR(INDEX(FIFO_helper!$AQ$1:$AQ$241,MATCH(24,FIFO_helper!$AW$1:$AW$241,0)),"")</f>
        <v>20/07</v>
      </c>
      <c r="C26" s="26"/>
      <c r="D26" s="26" t="str">
        <f aca="false">IFERROR(INDEX(FIFO_helper!$AR$1:$AR$241,MATCH(24,FIFO_helper!$AW$1:$AW$241,0)),"")</f>
        <v>PRIMERA</v>
      </c>
      <c r="E26" s="26" t="str">
        <f aca="false">IFERROR(INDEX(FIFO_helper!$AS$1:$AS$241,MATCH(24,FIFO_helper!$AW$1:$AW$241,0)),"")</f>
        <v>G-3001</v>
      </c>
      <c r="F26" s="26" t="n">
        <f aca="false">IFERROR(INDEX(FIFO_helper!$AT$1:$AT$241,MATCH(24,FIFO_helper!$AW$1:$AW$241,0)),"")</f>
        <v>1313.5</v>
      </c>
      <c r="G26" s="26" t="str">
        <f aca="false">IFERROR(INDEX(FIFO_helper!$AU$1:$AU$241,MATCH(24,FIFO_helper!$AW$1:$AW$241,0)),"")</f>
        <v>kg</v>
      </c>
    </row>
    <row r="27" customFormat="false" ht="15" hidden="false" customHeight="false" outlineLevel="0" collapsed="false">
      <c r="A27" s="26" t="str">
        <f aca="false">IFERROR(INDEX(FIFO_helper!$AP$1:$AP$241,MATCH(25,FIFO_helper!$AW$1:$AW$241,0)),"")</f>
        <v>19/07</v>
      </c>
      <c r="B27" s="26" t="str">
        <f aca="false">IFERROR(INDEX(FIFO_helper!$AQ$1:$AQ$241,MATCH(25,FIFO_helper!$AW$1:$AW$241,0)),"")</f>
        <v>↳ Chancho (prod.)</v>
      </c>
      <c r="C27" s="26"/>
      <c r="D27" s="26" t="str">
        <f aca="false">IFERROR(INDEX(FIFO_helper!$AR$1:$AR$241,MATCH(25,FIFO_helper!$AW$1:$AW$241,0)),"")</f>
        <v>CHANCHO</v>
      </c>
      <c r="E27" s="26" t="str">
        <f aca="false">IFERROR(INDEX(FIFO_helper!$AS$1:$AS$241,MATCH(25,FIFO_helper!$AW$1:$AW$241,0)),"")</f>
        <v/>
      </c>
      <c r="F27" s="26" t="n">
        <f aca="false">IFERROR(INDEX(FIFO_helper!$AT$1:$AT$241,MATCH(25,FIFO_helper!$AW$1:$AW$241,0)),"")</f>
        <v>13.5</v>
      </c>
      <c r="G27" s="26" t="str">
        <f aca="false">IFERROR(INDEX(FIFO_helper!$AU$1:$AU$241,MATCH(25,FIFO_helper!$AW$1:$AW$241,0)),"")</f>
        <v>sacos</v>
      </c>
    </row>
    <row r="28" customFormat="false" ht="15" hidden="false" customHeight="false" outlineLevel="0" collapsed="false">
      <c r="A28" s="26" t="str">
        <f aca="false">IFERROR(INDEX(FIFO_helper!$AP$1:$AP$241,MATCH(26,FIFO_helper!$AW$1:$AW$241,0)),"")</f>
        <v>20/07</v>
      </c>
      <c r="B28" s="26" t="str">
        <f aca="false">IFERROR(INDEX(FIFO_helper!$AQ$1:$AQ$241,MATCH(26,FIFO_helper!$AW$1:$AW$241,0)),"")</f>
        <v>20/07</v>
      </c>
      <c r="C28" s="26"/>
      <c r="D28" s="26" t="str">
        <f aca="false">IFERROR(INDEX(FIFO_helper!$AR$1:$AR$241,MATCH(26,FIFO_helper!$AW$1:$AW$241,0)),"")</f>
        <v>PRIMERA</v>
      </c>
      <c r="E28" s="26" t="str">
        <f aca="false">IFERROR(INDEX(FIFO_helper!$AS$1:$AS$241,MATCH(26,FIFO_helper!$AW$1:$AW$241,0)),"")</f>
        <v>G-3001</v>
      </c>
      <c r="F28" s="26" t="n">
        <f aca="false">IFERROR(INDEX(FIFO_helper!$AT$1:$AT$241,MATCH(26,FIFO_helper!$AW$1:$AW$241,0)),"")</f>
        <v>1980.5</v>
      </c>
      <c r="G28" s="26" t="str">
        <f aca="false">IFERROR(INDEX(FIFO_helper!$AU$1:$AU$241,MATCH(26,FIFO_helper!$AW$1:$AW$241,0)),"")</f>
        <v>kg</v>
      </c>
    </row>
    <row r="29" customFormat="false" ht="15" hidden="false" customHeight="false" outlineLevel="0" collapsed="false">
      <c r="A29" s="26" t="str">
        <f aca="false">IFERROR(INDEX(FIFO_helper!$AP$1:$AP$241,MATCH(27,FIFO_helper!$AW$1:$AW$241,0)),"")</f>
        <v>20/07</v>
      </c>
      <c r="B29" s="26" t="str">
        <f aca="false">IFERROR(INDEX(FIFO_helper!$AQ$1:$AQ$241,MATCH(27,FIFO_helper!$AW$1:$AW$241,0)),"")</f>
        <v>21/07</v>
      </c>
      <c r="C29" s="26"/>
      <c r="D29" s="26" t="str">
        <f aca="false">IFERROR(INDEX(FIFO_helper!$AR$1:$AR$241,MATCH(27,FIFO_helper!$AW$1:$AW$241,0)),"")</f>
        <v>PRIMERA</v>
      </c>
      <c r="E29" s="26" t="str">
        <f aca="false">IFERROR(INDEX(FIFO_helper!$AS$1:$AS$241,MATCH(27,FIFO_helper!$AW$1:$AW$241,0)),"")</f>
        <v>G-3004</v>
      </c>
      <c r="F29" s="26" t="n">
        <f aca="false">IFERROR(INDEX(FIFO_helper!$AT$1:$AT$241,MATCH(27,FIFO_helper!$AW$1:$AW$241,0)),"")</f>
        <v>1962</v>
      </c>
      <c r="G29" s="26" t="str">
        <f aca="false">IFERROR(INDEX(FIFO_helper!$AU$1:$AU$241,MATCH(27,FIFO_helper!$AW$1:$AW$241,0)),"")</f>
        <v>kg</v>
      </c>
    </row>
    <row r="30" customFormat="false" ht="15" hidden="false" customHeight="false" outlineLevel="0" collapsed="false">
      <c r="A30" s="26" t="str">
        <f aca="false">IFERROR(INDEX(FIFO_helper!$AP$1:$AP$241,MATCH(28,FIFO_helper!$AW$1:$AW$241,0)),"")</f>
        <v>20/07</v>
      </c>
      <c r="B30" s="26" t="str">
        <f aca="false">IFERROR(INDEX(FIFO_helper!$AQ$1:$AQ$241,MATCH(28,FIFO_helper!$AW$1:$AW$241,0)),"")</f>
        <v>↳ Chancho (prod.)</v>
      </c>
      <c r="C30" s="26"/>
      <c r="D30" s="26" t="str">
        <f aca="false">IFERROR(INDEX(FIFO_helper!$AR$1:$AR$241,MATCH(28,FIFO_helper!$AW$1:$AW$241,0)),"")</f>
        <v>CHANCHO</v>
      </c>
      <c r="E30" s="26" t="str">
        <f aca="false">IFERROR(INDEX(FIFO_helper!$AS$1:$AS$241,MATCH(28,FIFO_helper!$AW$1:$AW$241,0)),"")</f>
        <v/>
      </c>
      <c r="F30" s="26" t="n">
        <f aca="false">IFERROR(INDEX(FIFO_helper!$AT$1:$AT$241,MATCH(28,FIFO_helper!$AW$1:$AW$241,0)),"")</f>
        <v>6.5</v>
      </c>
      <c r="G30" s="26" t="str">
        <f aca="false">IFERROR(INDEX(FIFO_helper!$AU$1:$AU$241,MATCH(28,FIFO_helper!$AW$1:$AW$241,0)),"")</f>
        <v>sacos</v>
      </c>
    </row>
    <row r="31" customFormat="false" ht="15" hidden="false" customHeight="false" outlineLevel="0" collapsed="false">
      <c r="A31" s="26" t="str">
        <f aca="false">IFERROR(INDEX(FIFO_helper!$AP$1:$AP$241,MATCH(29,FIFO_helper!$AW$1:$AW$241,0)),"")</f>
        <v>21/07</v>
      </c>
      <c r="B31" s="26" t="str">
        <f aca="false">IFERROR(INDEX(FIFO_helper!$AQ$1:$AQ$241,MATCH(29,FIFO_helper!$AW$1:$AW$241,0)),"")</f>
        <v>21/07</v>
      </c>
      <c r="C31" s="26"/>
      <c r="D31" s="26" t="str">
        <f aca="false">IFERROR(INDEX(FIFO_helper!$AR$1:$AR$241,MATCH(29,FIFO_helper!$AW$1:$AW$241,0)),"")</f>
        <v>PRIMERA</v>
      </c>
      <c r="E31" s="26" t="str">
        <f aca="false">IFERROR(INDEX(FIFO_helper!$AS$1:$AS$241,MATCH(29,FIFO_helper!$AW$1:$AW$241,0)),"")</f>
        <v>G-3004</v>
      </c>
      <c r="F31" s="26" t="n">
        <f aca="false">IFERROR(INDEX(FIFO_helper!$AT$1:$AT$241,MATCH(29,FIFO_helper!$AW$1:$AW$241,0)),"")</f>
        <v>1298</v>
      </c>
      <c r="G31" s="26" t="str">
        <f aca="false">IFERROR(INDEX(FIFO_helper!$AU$1:$AU$241,MATCH(29,FIFO_helper!$AW$1:$AW$241,0)),"")</f>
        <v>kg</v>
      </c>
    </row>
    <row r="32" customFormat="false" ht="15" hidden="false" customHeight="false" outlineLevel="0" collapsed="false">
      <c r="A32" s="26" t="str">
        <f aca="false">IFERROR(INDEX(FIFO_helper!$AP$1:$AP$241,MATCH(30,FIFO_helper!$AW$1:$AW$241,0)),"")</f>
        <v>21/07</v>
      </c>
      <c r="B32" s="26" t="str">
        <f aca="false">IFERROR(INDEX(FIFO_helper!$AQ$1:$AQ$241,MATCH(30,FIFO_helper!$AW$1:$AW$241,0)),"")</f>
        <v>(queda en planta)</v>
      </c>
      <c r="C32" s="26"/>
      <c r="D32" s="26" t="str">
        <f aca="false">IFERROR(INDEX(FIFO_helper!$AR$1:$AR$241,MATCH(30,FIFO_helper!$AW$1:$AW$241,0)),"")</f>
        <v>PRIMERA</v>
      </c>
      <c r="E32" s="26" t="str">
        <f aca="false">IFERROR(INDEX(FIFO_helper!$AS$1:$AS$241,MATCH(30,FIFO_helper!$AW$1:$AW$241,0)),"")</f>
        <v/>
      </c>
      <c r="F32" s="26" t="n">
        <f aca="false">IFERROR(INDEX(FIFO_helper!$AT$1:$AT$241,MATCH(30,FIFO_helper!$AW$1:$AW$241,0)),"")</f>
        <v>507</v>
      </c>
      <c r="G32" s="26" t="str">
        <f aca="false">IFERROR(INDEX(FIFO_helper!$AU$1:$AU$241,MATCH(30,FIFO_helper!$AW$1:$AW$241,0)),"")</f>
        <v>kg</v>
      </c>
    </row>
    <row r="33" customFormat="false" ht="15" hidden="false" customHeight="false" outlineLevel="0" collapsed="false">
      <c r="A33" s="26" t="str">
        <f aca="false">IFERROR(INDEX(FIFO_helper!$AP$1:$AP$241,MATCH(31,FIFO_helper!$AW$1:$AW$241,0)),"")</f>
        <v>21/07</v>
      </c>
      <c r="B33" s="26" t="str">
        <f aca="false">IFERROR(INDEX(FIFO_helper!$AQ$1:$AQ$241,MATCH(31,FIFO_helper!$AW$1:$AW$241,0)),"")</f>
        <v>↳ Chancho (prod.)</v>
      </c>
      <c r="C33" s="26"/>
      <c r="D33" s="26" t="str">
        <f aca="false">IFERROR(INDEX(FIFO_helper!$AR$1:$AR$241,MATCH(31,FIFO_helper!$AW$1:$AW$241,0)),"")</f>
        <v>CHANCHO</v>
      </c>
      <c r="E33" s="26" t="str">
        <f aca="false">IFERROR(INDEX(FIFO_helper!$AS$1:$AS$241,MATCH(31,FIFO_helper!$AW$1:$AW$241,0)),"")</f>
        <v/>
      </c>
      <c r="F33" s="26" t="n">
        <f aca="false">IFERROR(INDEX(FIFO_helper!$AT$1:$AT$241,MATCH(31,FIFO_helper!$AW$1:$AW$241,0)),"")</f>
        <v>3</v>
      </c>
      <c r="G33" s="26" t="str">
        <f aca="false">IFERROR(INDEX(FIFO_helper!$AU$1:$AU$241,MATCH(31,FIFO_helper!$AW$1:$AW$241,0)),"")</f>
        <v>sacos</v>
      </c>
    </row>
    <row r="34" customFormat="false" ht="15" hidden="false" customHeight="false" outlineLevel="0" collapsed="false">
      <c r="A34" s="26" t="str">
        <f aca="false">IFERROR(INDEX(FIFO_helper!$AP$1:$AP$241,MATCH(32,FIFO_helper!$AW$1:$AW$241,0)),"")</f>
        <v/>
      </c>
      <c r="B34" s="26" t="str">
        <f aca="false">IFERROR(INDEX(FIFO_helper!$AQ$1:$AQ$241,MATCH(32,FIFO_helper!$AW$1:$AW$241,0)),"")</f>
        <v/>
      </c>
      <c r="C34" s="26"/>
      <c r="D34" s="26" t="str">
        <f aca="false">IFERROR(INDEX(FIFO_helper!$AR$1:$AR$241,MATCH(32,FIFO_helper!$AW$1:$AW$241,0)),"")</f>
        <v/>
      </c>
      <c r="E34" s="26" t="str">
        <f aca="false">IFERROR(INDEX(FIFO_helper!$AS$1:$AS$241,MATCH(32,FIFO_helper!$AW$1:$AW$241,0)),"")</f>
        <v/>
      </c>
      <c r="F34" s="26" t="str">
        <f aca="false">IFERROR(INDEX(FIFO_helper!$AT$1:$AT$241,MATCH(32,FIFO_helper!$AW$1:$AW$241,0)),"")</f>
        <v/>
      </c>
      <c r="G34" s="26" t="str">
        <f aca="false">IFERROR(INDEX(FIFO_helper!$AU$1:$AU$241,MATCH(32,FIFO_helper!$AW$1:$AW$241,0)),"")</f>
        <v/>
      </c>
    </row>
    <row r="35" customFormat="false" ht="15" hidden="false" customHeight="false" outlineLevel="0" collapsed="false">
      <c r="A35" s="26" t="str">
        <f aca="false">IFERROR(INDEX(FIFO_helper!$AP$1:$AP$241,MATCH(33,FIFO_helper!$AW$1:$AW$241,0)),"")</f>
        <v/>
      </c>
      <c r="B35" s="26" t="str">
        <f aca="false">IFERROR(INDEX(FIFO_helper!$AQ$1:$AQ$241,MATCH(33,FIFO_helper!$AW$1:$AW$241,0)),"")</f>
        <v/>
      </c>
      <c r="C35" s="26"/>
      <c r="D35" s="26" t="str">
        <f aca="false">IFERROR(INDEX(FIFO_helper!$AR$1:$AR$241,MATCH(33,FIFO_helper!$AW$1:$AW$241,0)),"")</f>
        <v/>
      </c>
      <c r="E35" s="26" t="str">
        <f aca="false">IFERROR(INDEX(FIFO_helper!$AS$1:$AS$241,MATCH(33,FIFO_helper!$AW$1:$AW$241,0)),"")</f>
        <v/>
      </c>
      <c r="F35" s="26" t="str">
        <f aca="false">IFERROR(INDEX(FIFO_helper!$AT$1:$AT$241,MATCH(33,FIFO_helper!$AW$1:$AW$241,0)),"")</f>
        <v/>
      </c>
      <c r="G35" s="26" t="str">
        <f aca="false">IFERROR(INDEX(FIFO_helper!$AU$1:$AU$241,MATCH(33,FIFO_helper!$AW$1:$AW$241,0)),"")</f>
        <v/>
      </c>
    </row>
    <row r="36" customFormat="false" ht="15" hidden="false" customHeight="false" outlineLevel="0" collapsed="false">
      <c r="A36" s="26" t="str">
        <f aca="false">IFERROR(INDEX(FIFO_helper!$AP$1:$AP$241,MATCH(34,FIFO_helper!$AW$1:$AW$241,0)),"")</f>
        <v/>
      </c>
      <c r="B36" s="26" t="str">
        <f aca="false">IFERROR(INDEX(FIFO_helper!$AQ$1:$AQ$241,MATCH(34,FIFO_helper!$AW$1:$AW$241,0)),"")</f>
        <v/>
      </c>
      <c r="C36" s="26"/>
      <c r="D36" s="26" t="str">
        <f aca="false">IFERROR(INDEX(FIFO_helper!$AR$1:$AR$241,MATCH(34,FIFO_helper!$AW$1:$AW$241,0)),"")</f>
        <v/>
      </c>
      <c r="E36" s="26" t="str">
        <f aca="false">IFERROR(INDEX(FIFO_helper!$AS$1:$AS$241,MATCH(34,FIFO_helper!$AW$1:$AW$241,0)),"")</f>
        <v/>
      </c>
      <c r="F36" s="26" t="str">
        <f aca="false">IFERROR(INDEX(FIFO_helper!$AT$1:$AT$241,MATCH(34,FIFO_helper!$AW$1:$AW$241,0)),"")</f>
        <v/>
      </c>
      <c r="G36" s="26" t="str">
        <f aca="false">IFERROR(INDEX(FIFO_helper!$AU$1:$AU$241,MATCH(34,FIFO_helper!$AW$1:$AW$241,0)),"")</f>
        <v/>
      </c>
    </row>
    <row r="37" customFormat="false" ht="15" hidden="false" customHeight="false" outlineLevel="0" collapsed="false">
      <c r="A37" s="26" t="str">
        <f aca="false">IFERROR(INDEX(FIFO_helper!$AP$1:$AP$241,MATCH(35,FIFO_helper!$AW$1:$AW$241,0)),"")</f>
        <v/>
      </c>
      <c r="B37" s="26" t="str">
        <f aca="false">IFERROR(INDEX(FIFO_helper!$AQ$1:$AQ$241,MATCH(35,FIFO_helper!$AW$1:$AW$241,0)),"")</f>
        <v/>
      </c>
      <c r="C37" s="26"/>
      <c r="D37" s="26" t="str">
        <f aca="false">IFERROR(INDEX(FIFO_helper!$AR$1:$AR$241,MATCH(35,FIFO_helper!$AW$1:$AW$241,0)),"")</f>
        <v/>
      </c>
      <c r="E37" s="26" t="str">
        <f aca="false">IFERROR(INDEX(FIFO_helper!$AS$1:$AS$241,MATCH(35,FIFO_helper!$AW$1:$AW$241,0)),"")</f>
        <v/>
      </c>
      <c r="F37" s="26" t="str">
        <f aca="false">IFERROR(INDEX(FIFO_helper!$AT$1:$AT$241,MATCH(35,FIFO_helper!$AW$1:$AW$241,0)),"")</f>
        <v/>
      </c>
      <c r="G37" s="26" t="str">
        <f aca="false">IFERROR(INDEX(FIFO_helper!$AU$1:$AU$241,MATCH(35,FIFO_helper!$AW$1:$AW$241,0)),"")</f>
        <v/>
      </c>
    </row>
    <row r="38" customFormat="false" ht="15" hidden="false" customHeight="false" outlineLevel="0" collapsed="false">
      <c r="A38" s="26" t="str">
        <f aca="false">IFERROR(INDEX(FIFO_helper!$AP$1:$AP$241,MATCH(36,FIFO_helper!$AW$1:$AW$241,0)),"")</f>
        <v/>
      </c>
      <c r="B38" s="26" t="str">
        <f aca="false">IFERROR(INDEX(FIFO_helper!$AQ$1:$AQ$241,MATCH(36,FIFO_helper!$AW$1:$AW$241,0)),"")</f>
        <v/>
      </c>
      <c r="C38" s="26"/>
      <c r="D38" s="26" t="str">
        <f aca="false">IFERROR(INDEX(FIFO_helper!$AR$1:$AR$241,MATCH(36,FIFO_helper!$AW$1:$AW$241,0)),"")</f>
        <v/>
      </c>
      <c r="E38" s="26" t="str">
        <f aca="false">IFERROR(INDEX(FIFO_helper!$AS$1:$AS$241,MATCH(36,FIFO_helper!$AW$1:$AW$241,0)),"")</f>
        <v/>
      </c>
      <c r="F38" s="26" t="str">
        <f aca="false">IFERROR(INDEX(FIFO_helper!$AT$1:$AT$241,MATCH(36,FIFO_helper!$AW$1:$AW$241,0)),"")</f>
        <v/>
      </c>
      <c r="G38" s="26" t="str">
        <f aca="false">IFERROR(INDEX(FIFO_helper!$AU$1:$AU$241,MATCH(36,FIFO_helper!$AW$1:$AW$241,0)),"")</f>
        <v/>
      </c>
    </row>
    <row r="39" customFormat="false" ht="15" hidden="false" customHeight="false" outlineLevel="0" collapsed="false">
      <c r="A39" s="26" t="str">
        <f aca="false">IFERROR(INDEX(FIFO_helper!$AP$1:$AP$241,MATCH(37,FIFO_helper!$AW$1:$AW$241,0)),"")</f>
        <v/>
      </c>
      <c r="B39" s="26" t="str">
        <f aca="false">IFERROR(INDEX(FIFO_helper!$AQ$1:$AQ$241,MATCH(37,FIFO_helper!$AW$1:$AW$241,0)),"")</f>
        <v/>
      </c>
      <c r="C39" s="26"/>
      <c r="D39" s="26" t="str">
        <f aca="false">IFERROR(INDEX(FIFO_helper!$AR$1:$AR$241,MATCH(37,FIFO_helper!$AW$1:$AW$241,0)),"")</f>
        <v/>
      </c>
      <c r="E39" s="26" t="str">
        <f aca="false">IFERROR(INDEX(FIFO_helper!$AS$1:$AS$241,MATCH(37,FIFO_helper!$AW$1:$AW$241,0)),"")</f>
        <v/>
      </c>
      <c r="F39" s="26" t="str">
        <f aca="false">IFERROR(INDEX(FIFO_helper!$AT$1:$AT$241,MATCH(37,FIFO_helper!$AW$1:$AW$241,0)),"")</f>
        <v/>
      </c>
      <c r="G39" s="26" t="str">
        <f aca="false">IFERROR(INDEX(FIFO_helper!$AU$1:$AU$241,MATCH(37,FIFO_helper!$AW$1:$AW$241,0)),"")</f>
        <v/>
      </c>
    </row>
    <row r="40" customFormat="false" ht="15" hidden="false" customHeight="false" outlineLevel="0" collapsed="false">
      <c r="A40" s="26" t="str">
        <f aca="false">IFERROR(INDEX(FIFO_helper!$AP$1:$AP$241,MATCH(38,FIFO_helper!$AW$1:$AW$241,0)),"")</f>
        <v/>
      </c>
      <c r="B40" s="26" t="str">
        <f aca="false">IFERROR(INDEX(FIFO_helper!$AQ$1:$AQ$241,MATCH(38,FIFO_helper!$AW$1:$AW$241,0)),"")</f>
        <v/>
      </c>
      <c r="C40" s="26"/>
      <c r="D40" s="26" t="str">
        <f aca="false">IFERROR(INDEX(FIFO_helper!$AR$1:$AR$241,MATCH(38,FIFO_helper!$AW$1:$AW$241,0)),"")</f>
        <v/>
      </c>
      <c r="E40" s="26" t="str">
        <f aca="false">IFERROR(INDEX(FIFO_helper!$AS$1:$AS$241,MATCH(38,FIFO_helper!$AW$1:$AW$241,0)),"")</f>
        <v/>
      </c>
      <c r="F40" s="26" t="str">
        <f aca="false">IFERROR(INDEX(FIFO_helper!$AT$1:$AT$241,MATCH(38,FIFO_helper!$AW$1:$AW$241,0)),"")</f>
        <v/>
      </c>
      <c r="G40" s="26" t="str">
        <f aca="false">IFERROR(INDEX(FIFO_helper!$AU$1:$AU$241,MATCH(38,FIFO_helper!$AW$1:$AW$241,0)),"")</f>
        <v/>
      </c>
    </row>
    <row r="41" customFormat="false" ht="15" hidden="false" customHeight="false" outlineLevel="0" collapsed="false">
      <c r="A41" s="26" t="str">
        <f aca="false">IFERROR(INDEX(FIFO_helper!$AP$1:$AP$241,MATCH(39,FIFO_helper!$AW$1:$AW$241,0)),"")</f>
        <v/>
      </c>
      <c r="B41" s="26" t="str">
        <f aca="false">IFERROR(INDEX(FIFO_helper!$AQ$1:$AQ$241,MATCH(39,FIFO_helper!$AW$1:$AW$241,0)),"")</f>
        <v/>
      </c>
      <c r="C41" s="26"/>
      <c r="D41" s="26" t="str">
        <f aca="false">IFERROR(INDEX(FIFO_helper!$AR$1:$AR$241,MATCH(39,FIFO_helper!$AW$1:$AW$241,0)),"")</f>
        <v/>
      </c>
      <c r="E41" s="26" t="str">
        <f aca="false">IFERROR(INDEX(FIFO_helper!$AS$1:$AS$241,MATCH(39,FIFO_helper!$AW$1:$AW$241,0)),"")</f>
        <v/>
      </c>
      <c r="F41" s="26" t="str">
        <f aca="false">IFERROR(INDEX(FIFO_helper!$AT$1:$AT$241,MATCH(39,FIFO_helper!$AW$1:$AW$241,0)),"")</f>
        <v/>
      </c>
      <c r="G41" s="26" t="str">
        <f aca="false">IFERROR(INDEX(FIFO_helper!$AU$1:$AU$241,MATCH(39,FIFO_helper!$AW$1:$AW$241,0)),"")</f>
        <v/>
      </c>
    </row>
    <row r="42" customFormat="false" ht="15" hidden="false" customHeight="false" outlineLevel="0" collapsed="false">
      <c r="A42" s="26" t="str">
        <f aca="false">IFERROR(INDEX(FIFO_helper!$AP$1:$AP$241,MATCH(40,FIFO_helper!$AW$1:$AW$241,0)),"")</f>
        <v/>
      </c>
      <c r="B42" s="26" t="str">
        <f aca="false">IFERROR(INDEX(FIFO_helper!$AQ$1:$AQ$241,MATCH(40,FIFO_helper!$AW$1:$AW$241,0)),"")</f>
        <v/>
      </c>
      <c r="C42" s="26"/>
      <c r="D42" s="26" t="str">
        <f aca="false">IFERROR(INDEX(FIFO_helper!$AR$1:$AR$241,MATCH(40,FIFO_helper!$AW$1:$AW$241,0)),"")</f>
        <v/>
      </c>
      <c r="E42" s="26" t="str">
        <f aca="false">IFERROR(INDEX(FIFO_helper!$AS$1:$AS$241,MATCH(40,FIFO_helper!$AW$1:$AW$241,0)),"")</f>
        <v/>
      </c>
      <c r="F42" s="26" t="str">
        <f aca="false">IFERROR(INDEX(FIFO_helper!$AT$1:$AT$241,MATCH(40,FIFO_helper!$AW$1:$AW$241,0)),"")</f>
        <v/>
      </c>
      <c r="G42" s="26" t="str">
        <f aca="false">IFERROR(INDEX(FIFO_helper!$AU$1:$AU$241,MATCH(40,FIFO_helper!$AW$1:$AW$241,0)),"")</f>
        <v/>
      </c>
    </row>
    <row r="43" customFormat="false" ht="15" hidden="false" customHeight="false" outlineLevel="0" collapsed="false">
      <c r="A43" s="26" t="str">
        <f aca="false">IFERROR(INDEX(FIFO_helper!$AP$1:$AP$241,MATCH(41,FIFO_helper!$AW$1:$AW$241,0)),"")</f>
        <v/>
      </c>
      <c r="B43" s="26" t="str">
        <f aca="false">IFERROR(INDEX(FIFO_helper!$AQ$1:$AQ$241,MATCH(41,FIFO_helper!$AW$1:$AW$241,0)),"")</f>
        <v/>
      </c>
      <c r="C43" s="26"/>
      <c r="D43" s="26" t="str">
        <f aca="false">IFERROR(INDEX(FIFO_helper!$AR$1:$AR$241,MATCH(41,FIFO_helper!$AW$1:$AW$241,0)),"")</f>
        <v/>
      </c>
      <c r="E43" s="26" t="str">
        <f aca="false">IFERROR(INDEX(FIFO_helper!$AS$1:$AS$241,MATCH(41,FIFO_helper!$AW$1:$AW$241,0)),"")</f>
        <v/>
      </c>
      <c r="F43" s="26" t="str">
        <f aca="false">IFERROR(INDEX(FIFO_helper!$AT$1:$AT$241,MATCH(41,FIFO_helper!$AW$1:$AW$241,0)),"")</f>
        <v/>
      </c>
      <c r="G43" s="26" t="str">
        <f aca="false">IFERROR(INDEX(FIFO_helper!$AU$1:$AU$241,MATCH(41,FIFO_helper!$AW$1:$AW$241,0)),"")</f>
        <v/>
      </c>
    </row>
    <row r="44" customFormat="false" ht="15" hidden="false" customHeight="false" outlineLevel="0" collapsed="false">
      <c r="A44" s="26" t="str">
        <f aca="false">IFERROR(INDEX(FIFO_helper!$AP$1:$AP$241,MATCH(42,FIFO_helper!$AW$1:$AW$241,0)),"")</f>
        <v/>
      </c>
      <c r="B44" s="26" t="str">
        <f aca="false">IFERROR(INDEX(FIFO_helper!$AQ$1:$AQ$241,MATCH(42,FIFO_helper!$AW$1:$AW$241,0)),"")</f>
        <v/>
      </c>
      <c r="C44" s="26"/>
      <c r="D44" s="26" t="str">
        <f aca="false">IFERROR(INDEX(FIFO_helper!$AR$1:$AR$241,MATCH(42,FIFO_helper!$AW$1:$AW$241,0)),"")</f>
        <v/>
      </c>
      <c r="E44" s="26" t="str">
        <f aca="false">IFERROR(INDEX(FIFO_helper!$AS$1:$AS$241,MATCH(42,FIFO_helper!$AW$1:$AW$241,0)),"")</f>
        <v/>
      </c>
      <c r="F44" s="26" t="str">
        <f aca="false">IFERROR(INDEX(FIFO_helper!$AT$1:$AT$241,MATCH(42,FIFO_helper!$AW$1:$AW$241,0)),"")</f>
        <v/>
      </c>
      <c r="G44" s="26" t="str">
        <f aca="false">IFERROR(INDEX(FIFO_helper!$AU$1:$AU$241,MATCH(42,FIFO_helper!$AW$1:$AW$241,0)),"")</f>
        <v/>
      </c>
    </row>
    <row r="45" customFormat="false" ht="15" hidden="false" customHeight="false" outlineLevel="0" collapsed="false">
      <c r="A45" s="26" t="str">
        <f aca="false">IFERROR(INDEX(FIFO_helper!$AP$1:$AP$241,MATCH(43,FIFO_helper!$AW$1:$AW$241,0)),"")</f>
        <v/>
      </c>
      <c r="B45" s="26" t="str">
        <f aca="false">IFERROR(INDEX(FIFO_helper!$AQ$1:$AQ$241,MATCH(43,FIFO_helper!$AW$1:$AW$241,0)),"")</f>
        <v/>
      </c>
      <c r="C45" s="26"/>
      <c r="D45" s="26" t="str">
        <f aca="false">IFERROR(INDEX(FIFO_helper!$AR$1:$AR$241,MATCH(43,FIFO_helper!$AW$1:$AW$241,0)),"")</f>
        <v/>
      </c>
      <c r="E45" s="26" t="str">
        <f aca="false">IFERROR(INDEX(FIFO_helper!$AS$1:$AS$241,MATCH(43,FIFO_helper!$AW$1:$AW$241,0)),"")</f>
        <v/>
      </c>
      <c r="F45" s="26" t="str">
        <f aca="false">IFERROR(INDEX(FIFO_helper!$AT$1:$AT$241,MATCH(43,FIFO_helper!$AW$1:$AW$241,0)),"")</f>
        <v/>
      </c>
      <c r="G45" s="26" t="str">
        <f aca="false">IFERROR(INDEX(FIFO_helper!$AU$1:$AU$241,MATCH(43,FIFO_helper!$AW$1:$AW$241,0)),"")</f>
        <v/>
      </c>
    </row>
    <row r="46" customFormat="false" ht="15" hidden="false" customHeight="false" outlineLevel="0" collapsed="false">
      <c r="A46" s="26" t="str">
        <f aca="false">IFERROR(INDEX(FIFO_helper!$AP$1:$AP$241,MATCH(44,FIFO_helper!$AW$1:$AW$241,0)),"")</f>
        <v/>
      </c>
      <c r="B46" s="26" t="str">
        <f aca="false">IFERROR(INDEX(FIFO_helper!$AQ$1:$AQ$241,MATCH(44,FIFO_helper!$AW$1:$AW$241,0)),"")</f>
        <v/>
      </c>
      <c r="C46" s="26"/>
      <c r="D46" s="26" t="str">
        <f aca="false">IFERROR(INDEX(FIFO_helper!$AR$1:$AR$241,MATCH(44,FIFO_helper!$AW$1:$AW$241,0)),"")</f>
        <v/>
      </c>
      <c r="E46" s="26" t="str">
        <f aca="false">IFERROR(INDEX(FIFO_helper!$AS$1:$AS$241,MATCH(44,FIFO_helper!$AW$1:$AW$241,0)),"")</f>
        <v/>
      </c>
      <c r="F46" s="26" t="str">
        <f aca="false">IFERROR(INDEX(FIFO_helper!$AT$1:$AT$241,MATCH(44,FIFO_helper!$AW$1:$AW$241,0)),"")</f>
        <v/>
      </c>
      <c r="G46" s="26" t="str">
        <f aca="false">IFERROR(INDEX(FIFO_helper!$AU$1:$AU$241,MATCH(44,FIFO_helper!$AW$1:$AW$241,0)),"")</f>
        <v/>
      </c>
    </row>
    <row r="47" customFormat="false" ht="15" hidden="false" customHeight="false" outlineLevel="0" collapsed="false">
      <c r="A47" s="26" t="str">
        <f aca="false">IFERROR(INDEX(FIFO_helper!$AP$1:$AP$241,MATCH(45,FIFO_helper!$AW$1:$AW$241,0)),"")</f>
        <v/>
      </c>
      <c r="B47" s="26" t="str">
        <f aca="false">IFERROR(INDEX(FIFO_helper!$AQ$1:$AQ$241,MATCH(45,FIFO_helper!$AW$1:$AW$241,0)),"")</f>
        <v/>
      </c>
      <c r="C47" s="26"/>
      <c r="D47" s="26" t="str">
        <f aca="false">IFERROR(INDEX(FIFO_helper!$AR$1:$AR$241,MATCH(45,FIFO_helper!$AW$1:$AW$241,0)),"")</f>
        <v/>
      </c>
      <c r="E47" s="26" t="str">
        <f aca="false">IFERROR(INDEX(FIFO_helper!$AS$1:$AS$241,MATCH(45,FIFO_helper!$AW$1:$AW$241,0)),"")</f>
        <v/>
      </c>
      <c r="F47" s="26" t="str">
        <f aca="false">IFERROR(INDEX(FIFO_helper!$AT$1:$AT$241,MATCH(45,FIFO_helper!$AW$1:$AW$241,0)),"")</f>
        <v/>
      </c>
      <c r="G47" s="26" t="str">
        <f aca="false">IFERROR(INDEX(FIFO_helper!$AU$1:$AU$241,MATCH(45,FIFO_helper!$AW$1:$AW$241,0)),"")</f>
        <v/>
      </c>
    </row>
    <row r="48" customFormat="false" ht="15" hidden="false" customHeight="false" outlineLevel="0" collapsed="false">
      <c r="A48" s="26" t="str">
        <f aca="false">IFERROR(INDEX(FIFO_helper!$AP$1:$AP$241,MATCH(46,FIFO_helper!$AW$1:$AW$241,0)),"")</f>
        <v/>
      </c>
      <c r="B48" s="26" t="str">
        <f aca="false">IFERROR(INDEX(FIFO_helper!$AQ$1:$AQ$241,MATCH(46,FIFO_helper!$AW$1:$AW$241,0)),"")</f>
        <v/>
      </c>
      <c r="C48" s="26"/>
      <c r="D48" s="26" t="str">
        <f aca="false">IFERROR(INDEX(FIFO_helper!$AR$1:$AR$241,MATCH(46,FIFO_helper!$AW$1:$AW$241,0)),"")</f>
        <v/>
      </c>
      <c r="E48" s="26" t="str">
        <f aca="false">IFERROR(INDEX(FIFO_helper!$AS$1:$AS$241,MATCH(46,FIFO_helper!$AW$1:$AW$241,0)),"")</f>
        <v/>
      </c>
      <c r="F48" s="26" t="str">
        <f aca="false">IFERROR(INDEX(FIFO_helper!$AT$1:$AT$241,MATCH(46,FIFO_helper!$AW$1:$AW$241,0)),"")</f>
        <v/>
      </c>
      <c r="G48" s="26" t="str">
        <f aca="false">IFERROR(INDEX(FIFO_helper!$AU$1:$AU$241,MATCH(46,FIFO_helper!$AW$1:$AW$241,0)),"")</f>
        <v/>
      </c>
    </row>
    <row r="49" customFormat="false" ht="15" hidden="false" customHeight="false" outlineLevel="0" collapsed="false">
      <c r="A49" s="26" t="str">
        <f aca="false">IFERROR(INDEX(FIFO_helper!$AP$1:$AP$241,MATCH(47,FIFO_helper!$AW$1:$AW$241,0)),"")</f>
        <v/>
      </c>
      <c r="B49" s="26" t="str">
        <f aca="false">IFERROR(INDEX(FIFO_helper!$AQ$1:$AQ$241,MATCH(47,FIFO_helper!$AW$1:$AW$241,0)),"")</f>
        <v/>
      </c>
      <c r="C49" s="26"/>
      <c r="D49" s="26" t="str">
        <f aca="false">IFERROR(INDEX(FIFO_helper!$AR$1:$AR$241,MATCH(47,FIFO_helper!$AW$1:$AW$241,0)),"")</f>
        <v/>
      </c>
      <c r="E49" s="26" t="str">
        <f aca="false">IFERROR(INDEX(FIFO_helper!$AS$1:$AS$241,MATCH(47,FIFO_helper!$AW$1:$AW$241,0)),"")</f>
        <v/>
      </c>
      <c r="F49" s="26" t="str">
        <f aca="false">IFERROR(INDEX(FIFO_helper!$AT$1:$AT$241,MATCH(47,FIFO_helper!$AW$1:$AW$241,0)),"")</f>
        <v/>
      </c>
      <c r="G49" s="26" t="str">
        <f aca="false">IFERROR(INDEX(FIFO_helper!$AU$1:$AU$241,MATCH(47,FIFO_helper!$AW$1:$AW$241,0)),"")</f>
        <v/>
      </c>
    </row>
    <row r="50" customFormat="false" ht="15" hidden="false" customHeight="false" outlineLevel="0" collapsed="false">
      <c r="A50" s="26" t="str">
        <f aca="false">IFERROR(INDEX(FIFO_helper!$AP$1:$AP$241,MATCH(48,FIFO_helper!$AW$1:$AW$241,0)),"")</f>
        <v/>
      </c>
      <c r="B50" s="26" t="str">
        <f aca="false">IFERROR(INDEX(FIFO_helper!$AQ$1:$AQ$241,MATCH(48,FIFO_helper!$AW$1:$AW$241,0)),"")</f>
        <v/>
      </c>
      <c r="C50" s="26"/>
      <c r="D50" s="26" t="str">
        <f aca="false">IFERROR(INDEX(FIFO_helper!$AR$1:$AR$241,MATCH(48,FIFO_helper!$AW$1:$AW$241,0)),"")</f>
        <v/>
      </c>
      <c r="E50" s="26" t="str">
        <f aca="false">IFERROR(INDEX(FIFO_helper!$AS$1:$AS$241,MATCH(48,FIFO_helper!$AW$1:$AW$241,0)),"")</f>
        <v/>
      </c>
      <c r="F50" s="26" t="str">
        <f aca="false">IFERROR(INDEX(FIFO_helper!$AT$1:$AT$241,MATCH(48,FIFO_helper!$AW$1:$AW$241,0)),"")</f>
        <v/>
      </c>
      <c r="G50" s="26" t="str">
        <f aca="false">IFERROR(INDEX(FIFO_helper!$AU$1:$AU$241,MATCH(48,FIFO_helper!$AW$1:$AW$241,0)),"")</f>
        <v/>
      </c>
    </row>
    <row r="51" customFormat="false" ht="15" hidden="false" customHeight="false" outlineLevel="0" collapsed="false">
      <c r="A51" s="26" t="str">
        <f aca="false">IFERROR(INDEX(FIFO_helper!$AP$1:$AP$241,MATCH(49,FIFO_helper!$AW$1:$AW$241,0)),"")</f>
        <v/>
      </c>
      <c r="B51" s="26" t="str">
        <f aca="false">IFERROR(INDEX(FIFO_helper!$AQ$1:$AQ$241,MATCH(49,FIFO_helper!$AW$1:$AW$241,0)),"")</f>
        <v/>
      </c>
      <c r="C51" s="26"/>
      <c r="D51" s="26" t="str">
        <f aca="false">IFERROR(INDEX(FIFO_helper!$AR$1:$AR$241,MATCH(49,FIFO_helper!$AW$1:$AW$241,0)),"")</f>
        <v/>
      </c>
      <c r="E51" s="26" t="str">
        <f aca="false">IFERROR(INDEX(FIFO_helper!$AS$1:$AS$241,MATCH(49,FIFO_helper!$AW$1:$AW$241,0)),"")</f>
        <v/>
      </c>
      <c r="F51" s="26" t="str">
        <f aca="false">IFERROR(INDEX(FIFO_helper!$AT$1:$AT$241,MATCH(49,FIFO_helper!$AW$1:$AW$241,0)),"")</f>
        <v/>
      </c>
      <c r="G51" s="26" t="str">
        <f aca="false">IFERROR(INDEX(FIFO_helper!$AU$1:$AU$241,MATCH(49,FIFO_helper!$AW$1:$AW$241,0)),"")</f>
        <v/>
      </c>
    </row>
    <row r="52" customFormat="false" ht="15" hidden="false" customHeight="false" outlineLevel="0" collapsed="false">
      <c r="A52" s="26" t="str">
        <f aca="false">IFERROR(INDEX(FIFO_helper!$AP$1:$AP$241,MATCH(50,FIFO_helper!$AW$1:$AW$241,0)),"")</f>
        <v/>
      </c>
      <c r="B52" s="26" t="str">
        <f aca="false">IFERROR(INDEX(FIFO_helper!$AQ$1:$AQ$241,MATCH(50,FIFO_helper!$AW$1:$AW$241,0)),"")</f>
        <v/>
      </c>
      <c r="C52" s="26"/>
      <c r="D52" s="26" t="str">
        <f aca="false">IFERROR(INDEX(FIFO_helper!$AR$1:$AR$241,MATCH(50,FIFO_helper!$AW$1:$AW$241,0)),"")</f>
        <v/>
      </c>
      <c r="E52" s="26" t="str">
        <f aca="false">IFERROR(INDEX(FIFO_helper!$AS$1:$AS$241,MATCH(50,FIFO_helper!$AW$1:$AW$241,0)),"")</f>
        <v/>
      </c>
      <c r="F52" s="26" t="str">
        <f aca="false">IFERROR(INDEX(FIFO_helper!$AT$1:$AT$241,MATCH(50,FIFO_helper!$AW$1:$AW$241,0)),"")</f>
        <v/>
      </c>
      <c r="G52" s="26" t="str">
        <f aca="false">IFERROR(INDEX(FIFO_helper!$AU$1:$AU$241,MATCH(50,FIFO_helper!$AW$1:$AW$241,0)),"")</f>
        <v/>
      </c>
    </row>
    <row r="53" customFormat="false" ht="15" hidden="false" customHeight="false" outlineLevel="0" collapsed="false">
      <c r="A53" s="26" t="str">
        <f aca="false">IFERROR(INDEX(FIFO_helper!$AP$1:$AP$241,MATCH(51,FIFO_helper!$AW$1:$AW$241,0)),"")</f>
        <v/>
      </c>
      <c r="B53" s="26" t="str">
        <f aca="false">IFERROR(INDEX(FIFO_helper!$AQ$1:$AQ$241,MATCH(51,FIFO_helper!$AW$1:$AW$241,0)),"")</f>
        <v/>
      </c>
      <c r="C53" s="26"/>
      <c r="D53" s="26" t="str">
        <f aca="false">IFERROR(INDEX(FIFO_helper!$AR$1:$AR$241,MATCH(51,FIFO_helper!$AW$1:$AW$241,0)),"")</f>
        <v/>
      </c>
      <c r="E53" s="26" t="str">
        <f aca="false">IFERROR(INDEX(FIFO_helper!$AS$1:$AS$241,MATCH(51,FIFO_helper!$AW$1:$AW$241,0)),"")</f>
        <v/>
      </c>
      <c r="F53" s="26" t="str">
        <f aca="false">IFERROR(INDEX(FIFO_helper!$AT$1:$AT$241,MATCH(51,FIFO_helper!$AW$1:$AW$241,0)),"")</f>
        <v/>
      </c>
      <c r="G53" s="26" t="str">
        <f aca="false">IFERROR(INDEX(FIFO_helper!$AU$1:$AU$241,MATCH(51,FIFO_helper!$AW$1:$AW$241,0)),"")</f>
        <v/>
      </c>
    </row>
    <row r="54" customFormat="false" ht="15" hidden="false" customHeight="false" outlineLevel="0" collapsed="false">
      <c r="A54" s="26" t="str">
        <f aca="false">IFERROR(INDEX(FIFO_helper!$AP$1:$AP$241,MATCH(52,FIFO_helper!$AW$1:$AW$241,0)),"")</f>
        <v/>
      </c>
      <c r="B54" s="26" t="str">
        <f aca="false">IFERROR(INDEX(FIFO_helper!$AQ$1:$AQ$241,MATCH(52,FIFO_helper!$AW$1:$AW$241,0)),"")</f>
        <v/>
      </c>
      <c r="C54" s="26"/>
      <c r="D54" s="26" t="str">
        <f aca="false">IFERROR(INDEX(FIFO_helper!$AR$1:$AR$241,MATCH(52,FIFO_helper!$AW$1:$AW$241,0)),"")</f>
        <v/>
      </c>
      <c r="E54" s="26" t="str">
        <f aca="false">IFERROR(INDEX(FIFO_helper!$AS$1:$AS$241,MATCH(52,FIFO_helper!$AW$1:$AW$241,0)),"")</f>
        <v/>
      </c>
      <c r="F54" s="26" t="str">
        <f aca="false">IFERROR(INDEX(FIFO_helper!$AT$1:$AT$241,MATCH(52,FIFO_helper!$AW$1:$AW$241,0)),"")</f>
        <v/>
      </c>
      <c r="G54" s="26" t="str">
        <f aca="false">IFERROR(INDEX(FIFO_helper!$AU$1:$AU$241,MATCH(52,FIFO_helper!$AW$1:$AW$241,0)),"")</f>
        <v/>
      </c>
    </row>
    <row r="55" customFormat="false" ht="15" hidden="false" customHeight="false" outlineLevel="0" collapsed="false">
      <c r="A55" s="26" t="str">
        <f aca="false">IFERROR(INDEX(FIFO_helper!$AP$1:$AP$241,MATCH(53,FIFO_helper!$AW$1:$AW$241,0)),"")</f>
        <v/>
      </c>
      <c r="B55" s="26" t="str">
        <f aca="false">IFERROR(INDEX(FIFO_helper!$AQ$1:$AQ$241,MATCH(53,FIFO_helper!$AW$1:$AW$241,0)),"")</f>
        <v/>
      </c>
      <c r="C55" s="26"/>
      <c r="D55" s="26" t="str">
        <f aca="false">IFERROR(INDEX(FIFO_helper!$AR$1:$AR$241,MATCH(53,FIFO_helper!$AW$1:$AW$241,0)),"")</f>
        <v/>
      </c>
      <c r="E55" s="26" t="str">
        <f aca="false">IFERROR(INDEX(FIFO_helper!$AS$1:$AS$241,MATCH(53,FIFO_helper!$AW$1:$AW$241,0)),"")</f>
        <v/>
      </c>
      <c r="F55" s="26" t="str">
        <f aca="false">IFERROR(INDEX(FIFO_helper!$AT$1:$AT$241,MATCH(53,FIFO_helper!$AW$1:$AW$241,0)),"")</f>
        <v/>
      </c>
      <c r="G55" s="26" t="str">
        <f aca="false">IFERROR(INDEX(FIFO_helper!$AU$1:$AU$241,MATCH(53,FIFO_helper!$AW$1:$AW$241,0)),"")</f>
        <v/>
      </c>
    </row>
    <row r="56" customFormat="false" ht="15" hidden="false" customHeight="false" outlineLevel="0" collapsed="false">
      <c r="A56" s="26" t="str">
        <f aca="false">IFERROR(INDEX(FIFO_helper!$AP$1:$AP$241,MATCH(54,FIFO_helper!$AW$1:$AW$241,0)),"")</f>
        <v/>
      </c>
      <c r="B56" s="26" t="str">
        <f aca="false">IFERROR(INDEX(FIFO_helper!$AQ$1:$AQ$241,MATCH(54,FIFO_helper!$AW$1:$AW$241,0)),"")</f>
        <v/>
      </c>
      <c r="C56" s="26"/>
      <c r="D56" s="26" t="str">
        <f aca="false">IFERROR(INDEX(FIFO_helper!$AR$1:$AR$241,MATCH(54,FIFO_helper!$AW$1:$AW$241,0)),"")</f>
        <v/>
      </c>
      <c r="E56" s="26" t="str">
        <f aca="false">IFERROR(INDEX(FIFO_helper!$AS$1:$AS$241,MATCH(54,FIFO_helper!$AW$1:$AW$241,0)),"")</f>
        <v/>
      </c>
      <c r="F56" s="26" t="str">
        <f aca="false">IFERROR(INDEX(FIFO_helper!$AT$1:$AT$241,MATCH(54,FIFO_helper!$AW$1:$AW$241,0)),"")</f>
        <v/>
      </c>
      <c r="G56" s="26" t="str">
        <f aca="false">IFERROR(INDEX(FIFO_helper!$AU$1:$AU$241,MATCH(54,FIFO_helper!$AW$1:$AW$241,0)),"")</f>
        <v/>
      </c>
    </row>
    <row r="57" customFormat="false" ht="15" hidden="false" customHeight="false" outlineLevel="0" collapsed="false">
      <c r="A57" s="26" t="str">
        <f aca="false">IFERROR(INDEX(FIFO_helper!$AP$1:$AP$241,MATCH(55,FIFO_helper!$AW$1:$AW$241,0)),"")</f>
        <v/>
      </c>
      <c r="B57" s="26" t="str">
        <f aca="false">IFERROR(INDEX(FIFO_helper!$AQ$1:$AQ$241,MATCH(55,FIFO_helper!$AW$1:$AW$241,0)),"")</f>
        <v/>
      </c>
      <c r="C57" s="26"/>
      <c r="D57" s="26" t="str">
        <f aca="false">IFERROR(INDEX(FIFO_helper!$AR$1:$AR$241,MATCH(55,FIFO_helper!$AW$1:$AW$241,0)),"")</f>
        <v/>
      </c>
      <c r="E57" s="26" t="str">
        <f aca="false">IFERROR(INDEX(FIFO_helper!$AS$1:$AS$241,MATCH(55,FIFO_helper!$AW$1:$AW$241,0)),"")</f>
        <v/>
      </c>
      <c r="F57" s="26" t="str">
        <f aca="false">IFERROR(INDEX(FIFO_helper!$AT$1:$AT$241,MATCH(55,FIFO_helper!$AW$1:$AW$241,0)),"")</f>
        <v/>
      </c>
      <c r="G57" s="26" t="str">
        <f aca="false">IFERROR(INDEX(FIFO_helper!$AU$1:$AU$241,MATCH(55,FIFO_helper!$AW$1:$AW$241,0)),"")</f>
        <v/>
      </c>
    </row>
    <row r="58" customFormat="false" ht="15" hidden="false" customHeight="false" outlineLevel="0" collapsed="false">
      <c r="A58" s="26" t="str">
        <f aca="false">IFERROR(INDEX(FIFO_helper!$AP$1:$AP$241,MATCH(56,FIFO_helper!$AW$1:$AW$241,0)),"")</f>
        <v/>
      </c>
      <c r="B58" s="26" t="str">
        <f aca="false">IFERROR(INDEX(FIFO_helper!$AQ$1:$AQ$241,MATCH(56,FIFO_helper!$AW$1:$AW$241,0)),"")</f>
        <v/>
      </c>
      <c r="C58" s="26"/>
      <c r="D58" s="26" t="str">
        <f aca="false">IFERROR(INDEX(FIFO_helper!$AR$1:$AR$241,MATCH(56,FIFO_helper!$AW$1:$AW$241,0)),"")</f>
        <v/>
      </c>
      <c r="E58" s="26" t="str">
        <f aca="false">IFERROR(INDEX(FIFO_helper!$AS$1:$AS$241,MATCH(56,FIFO_helper!$AW$1:$AW$241,0)),"")</f>
        <v/>
      </c>
      <c r="F58" s="26" t="str">
        <f aca="false">IFERROR(INDEX(FIFO_helper!$AT$1:$AT$241,MATCH(56,FIFO_helper!$AW$1:$AW$241,0)),"")</f>
        <v/>
      </c>
      <c r="G58" s="26" t="str">
        <f aca="false">IFERROR(INDEX(FIFO_helper!$AU$1:$AU$241,MATCH(56,FIFO_helper!$AW$1:$AW$241,0)),"")</f>
        <v/>
      </c>
    </row>
    <row r="59" customFormat="false" ht="15" hidden="false" customHeight="false" outlineLevel="0" collapsed="false">
      <c r="A59" s="26" t="str">
        <f aca="false">IFERROR(INDEX(FIFO_helper!$AP$1:$AP$241,MATCH(57,FIFO_helper!$AW$1:$AW$241,0)),"")</f>
        <v/>
      </c>
      <c r="B59" s="26" t="str">
        <f aca="false">IFERROR(INDEX(FIFO_helper!$AQ$1:$AQ$241,MATCH(57,FIFO_helper!$AW$1:$AW$241,0)),"")</f>
        <v/>
      </c>
      <c r="C59" s="26"/>
      <c r="D59" s="26" t="str">
        <f aca="false">IFERROR(INDEX(FIFO_helper!$AR$1:$AR$241,MATCH(57,FIFO_helper!$AW$1:$AW$241,0)),"")</f>
        <v/>
      </c>
      <c r="E59" s="26" t="str">
        <f aca="false">IFERROR(INDEX(FIFO_helper!$AS$1:$AS$241,MATCH(57,FIFO_helper!$AW$1:$AW$241,0)),"")</f>
        <v/>
      </c>
      <c r="F59" s="26" t="str">
        <f aca="false">IFERROR(INDEX(FIFO_helper!$AT$1:$AT$241,MATCH(57,FIFO_helper!$AW$1:$AW$241,0)),"")</f>
        <v/>
      </c>
      <c r="G59" s="26" t="str">
        <f aca="false">IFERROR(INDEX(FIFO_helper!$AU$1:$AU$241,MATCH(57,FIFO_helper!$AW$1:$AW$241,0)),"")</f>
        <v/>
      </c>
    </row>
    <row r="60" customFormat="false" ht="15" hidden="false" customHeight="false" outlineLevel="0" collapsed="false">
      <c r="A60" s="26" t="str">
        <f aca="false">IFERROR(INDEX(FIFO_helper!$AP$1:$AP$241,MATCH(58,FIFO_helper!$AW$1:$AW$241,0)),"")</f>
        <v/>
      </c>
      <c r="B60" s="26" t="str">
        <f aca="false">IFERROR(INDEX(FIFO_helper!$AQ$1:$AQ$241,MATCH(58,FIFO_helper!$AW$1:$AW$241,0)),"")</f>
        <v/>
      </c>
      <c r="C60" s="26"/>
      <c r="D60" s="26" t="str">
        <f aca="false">IFERROR(INDEX(FIFO_helper!$AR$1:$AR$241,MATCH(58,FIFO_helper!$AW$1:$AW$241,0)),"")</f>
        <v/>
      </c>
      <c r="E60" s="26" t="str">
        <f aca="false">IFERROR(INDEX(FIFO_helper!$AS$1:$AS$241,MATCH(58,FIFO_helper!$AW$1:$AW$241,0)),"")</f>
        <v/>
      </c>
      <c r="F60" s="26" t="str">
        <f aca="false">IFERROR(INDEX(FIFO_helper!$AT$1:$AT$241,MATCH(58,FIFO_helper!$AW$1:$AW$241,0)),"")</f>
        <v/>
      </c>
      <c r="G60" s="26" t="str">
        <f aca="false">IFERROR(INDEX(FIFO_helper!$AU$1:$AU$241,MATCH(58,FIFO_helper!$AW$1:$AW$241,0)),"")</f>
        <v/>
      </c>
    </row>
    <row r="61" customFormat="false" ht="15" hidden="false" customHeight="false" outlineLevel="0" collapsed="false">
      <c r="A61" s="26" t="str">
        <f aca="false">IFERROR(INDEX(FIFO_helper!$AP$1:$AP$241,MATCH(59,FIFO_helper!$AW$1:$AW$241,0)),"")</f>
        <v/>
      </c>
      <c r="B61" s="26" t="str">
        <f aca="false">IFERROR(INDEX(FIFO_helper!$AQ$1:$AQ$241,MATCH(59,FIFO_helper!$AW$1:$AW$241,0)),"")</f>
        <v/>
      </c>
      <c r="C61" s="26"/>
      <c r="D61" s="26" t="str">
        <f aca="false">IFERROR(INDEX(FIFO_helper!$AR$1:$AR$241,MATCH(59,FIFO_helper!$AW$1:$AW$241,0)),"")</f>
        <v/>
      </c>
      <c r="E61" s="26" t="str">
        <f aca="false">IFERROR(INDEX(FIFO_helper!$AS$1:$AS$241,MATCH(59,FIFO_helper!$AW$1:$AW$241,0)),"")</f>
        <v/>
      </c>
      <c r="F61" s="26" t="str">
        <f aca="false">IFERROR(INDEX(FIFO_helper!$AT$1:$AT$241,MATCH(59,FIFO_helper!$AW$1:$AW$241,0)),"")</f>
        <v/>
      </c>
      <c r="G61" s="26" t="str">
        <f aca="false">IFERROR(INDEX(FIFO_helper!$AU$1:$AU$241,MATCH(59,FIFO_helper!$AW$1:$AW$241,0)),"")</f>
        <v/>
      </c>
    </row>
    <row r="62" customFormat="false" ht="15" hidden="false" customHeight="false" outlineLevel="0" collapsed="false">
      <c r="A62" s="26" t="str">
        <f aca="false">IFERROR(INDEX(FIFO_helper!$AP$1:$AP$241,MATCH(60,FIFO_helper!$AW$1:$AW$241,0)),"")</f>
        <v/>
      </c>
      <c r="B62" s="26" t="str">
        <f aca="false">IFERROR(INDEX(FIFO_helper!$AQ$1:$AQ$241,MATCH(60,FIFO_helper!$AW$1:$AW$241,0)),"")</f>
        <v/>
      </c>
      <c r="C62" s="26"/>
      <c r="D62" s="26" t="str">
        <f aca="false">IFERROR(INDEX(FIFO_helper!$AR$1:$AR$241,MATCH(60,FIFO_helper!$AW$1:$AW$241,0)),"")</f>
        <v/>
      </c>
      <c r="E62" s="26" t="str">
        <f aca="false">IFERROR(INDEX(FIFO_helper!$AS$1:$AS$241,MATCH(60,FIFO_helper!$AW$1:$AW$241,0)),"")</f>
        <v/>
      </c>
      <c r="F62" s="26" t="str">
        <f aca="false">IFERROR(INDEX(FIFO_helper!$AT$1:$AT$241,MATCH(60,FIFO_helper!$AW$1:$AW$241,0)),"")</f>
        <v/>
      </c>
      <c r="G62" s="26" t="str">
        <f aca="false">IFERROR(INDEX(FIFO_helper!$AU$1:$AU$241,MATCH(60,FIFO_helper!$AW$1:$AW$241,0)),"")</f>
        <v/>
      </c>
    </row>
    <row r="63" customFormat="false" ht="15" hidden="false" customHeight="false" outlineLevel="0" collapsed="false">
      <c r="A63" s="26" t="str">
        <f aca="false">IFERROR(INDEX(FIFO_helper!$AP$1:$AP$241,MATCH(61,FIFO_helper!$AW$1:$AW$241,0)),"")</f>
        <v/>
      </c>
      <c r="B63" s="26" t="str">
        <f aca="false">IFERROR(INDEX(FIFO_helper!$AQ$1:$AQ$241,MATCH(61,FIFO_helper!$AW$1:$AW$241,0)),"")</f>
        <v/>
      </c>
      <c r="C63" s="26"/>
      <c r="D63" s="26" t="str">
        <f aca="false">IFERROR(INDEX(FIFO_helper!$AR$1:$AR$241,MATCH(61,FIFO_helper!$AW$1:$AW$241,0)),"")</f>
        <v/>
      </c>
      <c r="E63" s="26" t="str">
        <f aca="false">IFERROR(INDEX(FIFO_helper!$AS$1:$AS$241,MATCH(61,FIFO_helper!$AW$1:$AW$241,0)),"")</f>
        <v/>
      </c>
      <c r="F63" s="26" t="str">
        <f aca="false">IFERROR(INDEX(FIFO_helper!$AT$1:$AT$241,MATCH(61,FIFO_helper!$AW$1:$AW$241,0)),"")</f>
        <v/>
      </c>
      <c r="G63" s="26" t="str">
        <f aca="false">IFERROR(INDEX(FIFO_helper!$AU$1:$AU$241,MATCH(61,FIFO_helper!$AW$1:$AW$241,0)),"")</f>
        <v/>
      </c>
    </row>
    <row r="64" customFormat="false" ht="15" hidden="false" customHeight="false" outlineLevel="0" collapsed="false">
      <c r="A64" s="26" t="str">
        <f aca="false">IFERROR(INDEX(FIFO_helper!$AP$1:$AP$241,MATCH(62,FIFO_helper!$AW$1:$AW$241,0)),"")</f>
        <v/>
      </c>
      <c r="B64" s="26" t="str">
        <f aca="false">IFERROR(INDEX(FIFO_helper!$AQ$1:$AQ$241,MATCH(62,FIFO_helper!$AW$1:$AW$241,0)),"")</f>
        <v/>
      </c>
      <c r="C64" s="26"/>
      <c r="D64" s="26" t="str">
        <f aca="false">IFERROR(INDEX(FIFO_helper!$AR$1:$AR$241,MATCH(62,FIFO_helper!$AW$1:$AW$241,0)),"")</f>
        <v/>
      </c>
      <c r="E64" s="26" t="str">
        <f aca="false">IFERROR(INDEX(FIFO_helper!$AS$1:$AS$241,MATCH(62,FIFO_helper!$AW$1:$AW$241,0)),"")</f>
        <v/>
      </c>
      <c r="F64" s="26" t="str">
        <f aca="false">IFERROR(INDEX(FIFO_helper!$AT$1:$AT$241,MATCH(62,FIFO_helper!$AW$1:$AW$241,0)),"")</f>
        <v/>
      </c>
      <c r="G64" s="26" t="str">
        <f aca="false">IFERROR(INDEX(FIFO_helper!$AU$1:$AU$241,MATCH(62,FIFO_helper!$AW$1:$AW$241,0)),"")</f>
        <v/>
      </c>
    </row>
    <row r="65" customFormat="false" ht="15" hidden="false" customHeight="false" outlineLevel="0" collapsed="false">
      <c r="A65" s="26" t="str">
        <f aca="false">IFERROR(INDEX(FIFO_helper!$AP$1:$AP$241,MATCH(63,FIFO_helper!$AW$1:$AW$241,0)),"")</f>
        <v/>
      </c>
      <c r="B65" s="26" t="str">
        <f aca="false">IFERROR(INDEX(FIFO_helper!$AQ$1:$AQ$241,MATCH(63,FIFO_helper!$AW$1:$AW$241,0)),"")</f>
        <v/>
      </c>
      <c r="C65" s="26"/>
      <c r="D65" s="26" t="str">
        <f aca="false">IFERROR(INDEX(FIFO_helper!$AR$1:$AR$241,MATCH(63,FIFO_helper!$AW$1:$AW$241,0)),"")</f>
        <v/>
      </c>
      <c r="E65" s="26" t="str">
        <f aca="false">IFERROR(INDEX(FIFO_helper!$AS$1:$AS$241,MATCH(63,FIFO_helper!$AW$1:$AW$241,0)),"")</f>
        <v/>
      </c>
      <c r="F65" s="26" t="str">
        <f aca="false">IFERROR(INDEX(FIFO_helper!$AT$1:$AT$241,MATCH(63,FIFO_helper!$AW$1:$AW$241,0)),"")</f>
        <v/>
      </c>
      <c r="G65" s="26" t="str">
        <f aca="false">IFERROR(INDEX(FIFO_helper!$AU$1:$AU$241,MATCH(63,FIFO_helper!$AW$1:$AW$241,0)),"")</f>
        <v/>
      </c>
    </row>
    <row r="66" customFormat="false" ht="15" hidden="false" customHeight="false" outlineLevel="0" collapsed="false">
      <c r="A66" s="26" t="str">
        <f aca="false">IFERROR(INDEX(FIFO_helper!$AP$1:$AP$241,MATCH(64,FIFO_helper!$AW$1:$AW$241,0)),"")</f>
        <v/>
      </c>
      <c r="B66" s="26" t="str">
        <f aca="false">IFERROR(INDEX(FIFO_helper!$AQ$1:$AQ$241,MATCH(64,FIFO_helper!$AW$1:$AW$241,0)),"")</f>
        <v/>
      </c>
      <c r="C66" s="26"/>
      <c r="D66" s="26" t="str">
        <f aca="false">IFERROR(INDEX(FIFO_helper!$AR$1:$AR$241,MATCH(64,FIFO_helper!$AW$1:$AW$241,0)),"")</f>
        <v/>
      </c>
      <c r="E66" s="26" t="str">
        <f aca="false">IFERROR(INDEX(FIFO_helper!$AS$1:$AS$241,MATCH(64,FIFO_helper!$AW$1:$AW$241,0)),"")</f>
        <v/>
      </c>
      <c r="F66" s="26" t="str">
        <f aca="false">IFERROR(INDEX(FIFO_helper!$AT$1:$AT$241,MATCH(64,FIFO_helper!$AW$1:$AW$241,0)),"")</f>
        <v/>
      </c>
      <c r="G66" s="26" t="str">
        <f aca="false">IFERROR(INDEX(FIFO_helper!$AU$1:$AU$241,MATCH(64,FIFO_helper!$AW$1:$AW$241,0)),"")</f>
        <v/>
      </c>
    </row>
    <row r="67" customFormat="false" ht="15" hidden="false" customHeight="false" outlineLevel="0" collapsed="false">
      <c r="A67" s="26" t="str">
        <f aca="false">IFERROR(INDEX(FIFO_helper!$AP$1:$AP$241,MATCH(65,FIFO_helper!$AW$1:$AW$241,0)),"")</f>
        <v/>
      </c>
      <c r="B67" s="26" t="str">
        <f aca="false">IFERROR(INDEX(FIFO_helper!$AQ$1:$AQ$241,MATCH(65,FIFO_helper!$AW$1:$AW$241,0)),"")</f>
        <v/>
      </c>
      <c r="C67" s="26"/>
      <c r="D67" s="26" t="str">
        <f aca="false">IFERROR(INDEX(FIFO_helper!$AR$1:$AR$241,MATCH(65,FIFO_helper!$AW$1:$AW$241,0)),"")</f>
        <v/>
      </c>
      <c r="E67" s="26" t="str">
        <f aca="false">IFERROR(INDEX(FIFO_helper!$AS$1:$AS$241,MATCH(65,FIFO_helper!$AW$1:$AW$241,0)),"")</f>
        <v/>
      </c>
      <c r="F67" s="26" t="str">
        <f aca="false">IFERROR(INDEX(FIFO_helper!$AT$1:$AT$241,MATCH(65,FIFO_helper!$AW$1:$AW$241,0)),"")</f>
        <v/>
      </c>
      <c r="G67" s="26" t="str">
        <f aca="false">IFERROR(INDEX(FIFO_helper!$AU$1:$AU$241,MATCH(65,FIFO_helper!$AW$1:$AW$241,0)),"")</f>
        <v/>
      </c>
    </row>
    <row r="68" customFormat="false" ht="15" hidden="false" customHeight="false" outlineLevel="0" collapsed="false">
      <c r="A68" s="26" t="str">
        <f aca="false">IFERROR(INDEX(FIFO_helper!$AP$1:$AP$241,MATCH(66,FIFO_helper!$AW$1:$AW$241,0)),"")</f>
        <v/>
      </c>
      <c r="B68" s="26" t="str">
        <f aca="false">IFERROR(INDEX(FIFO_helper!$AQ$1:$AQ$241,MATCH(66,FIFO_helper!$AW$1:$AW$241,0)),"")</f>
        <v/>
      </c>
      <c r="C68" s="26"/>
      <c r="D68" s="26" t="str">
        <f aca="false">IFERROR(INDEX(FIFO_helper!$AR$1:$AR$241,MATCH(66,FIFO_helper!$AW$1:$AW$241,0)),"")</f>
        <v/>
      </c>
      <c r="E68" s="26" t="str">
        <f aca="false">IFERROR(INDEX(FIFO_helper!$AS$1:$AS$241,MATCH(66,FIFO_helper!$AW$1:$AW$241,0)),"")</f>
        <v/>
      </c>
      <c r="F68" s="26" t="str">
        <f aca="false">IFERROR(INDEX(FIFO_helper!$AT$1:$AT$241,MATCH(66,FIFO_helper!$AW$1:$AW$241,0)),"")</f>
        <v/>
      </c>
      <c r="G68" s="26" t="str">
        <f aca="false">IFERROR(INDEX(FIFO_helper!$AU$1:$AU$241,MATCH(66,FIFO_helper!$AW$1:$AW$241,0)),"")</f>
        <v/>
      </c>
    </row>
    <row r="69" customFormat="false" ht="15" hidden="false" customHeight="false" outlineLevel="0" collapsed="false">
      <c r="A69" s="26" t="str">
        <f aca="false">IFERROR(INDEX(FIFO_helper!$AP$1:$AP$241,MATCH(67,FIFO_helper!$AW$1:$AW$241,0)),"")</f>
        <v/>
      </c>
      <c r="B69" s="26" t="str">
        <f aca="false">IFERROR(INDEX(FIFO_helper!$AQ$1:$AQ$241,MATCH(67,FIFO_helper!$AW$1:$AW$241,0)),"")</f>
        <v/>
      </c>
      <c r="C69" s="26"/>
      <c r="D69" s="26" t="str">
        <f aca="false">IFERROR(INDEX(FIFO_helper!$AR$1:$AR$241,MATCH(67,FIFO_helper!$AW$1:$AW$241,0)),"")</f>
        <v/>
      </c>
      <c r="E69" s="26" t="str">
        <f aca="false">IFERROR(INDEX(FIFO_helper!$AS$1:$AS$241,MATCH(67,FIFO_helper!$AW$1:$AW$241,0)),"")</f>
        <v/>
      </c>
      <c r="F69" s="26" t="str">
        <f aca="false">IFERROR(INDEX(FIFO_helper!$AT$1:$AT$241,MATCH(67,FIFO_helper!$AW$1:$AW$241,0)),"")</f>
        <v/>
      </c>
      <c r="G69" s="26" t="str">
        <f aca="false">IFERROR(INDEX(FIFO_helper!$AU$1:$AU$241,MATCH(67,FIFO_helper!$AW$1:$AW$241,0)),"")</f>
        <v/>
      </c>
    </row>
    <row r="70" customFormat="false" ht="15" hidden="false" customHeight="false" outlineLevel="0" collapsed="false">
      <c r="A70" s="26" t="str">
        <f aca="false">IFERROR(INDEX(FIFO_helper!$AP$1:$AP$241,MATCH(68,FIFO_helper!$AW$1:$AW$241,0)),"")</f>
        <v/>
      </c>
      <c r="B70" s="26" t="str">
        <f aca="false">IFERROR(INDEX(FIFO_helper!$AQ$1:$AQ$241,MATCH(68,FIFO_helper!$AW$1:$AW$241,0)),"")</f>
        <v/>
      </c>
      <c r="C70" s="26"/>
      <c r="D70" s="26" t="str">
        <f aca="false">IFERROR(INDEX(FIFO_helper!$AR$1:$AR$241,MATCH(68,FIFO_helper!$AW$1:$AW$241,0)),"")</f>
        <v/>
      </c>
      <c r="E70" s="26" t="str">
        <f aca="false">IFERROR(INDEX(FIFO_helper!$AS$1:$AS$241,MATCH(68,FIFO_helper!$AW$1:$AW$241,0)),"")</f>
        <v/>
      </c>
      <c r="F70" s="26" t="str">
        <f aca="false">IFERROR(INDEX(FIFO_helper!$AT$1:$AT$241,MATCH(68,FIFO_helper!$AW$1:$AW$241,0)),"")</f>
        <v/>
      </c>
      <c r="G70" s="26" t="str">
        <f aca="false">IFERROR(INDEX(FIFO_helper!$AU$1:$AU$241,MATCH(68,FIFO_helper!$AW$1:$AW$241,0)),"")</f>
        <v/>
      </c>
    </row>
    <row r="71" customFormat="false" ht="15" hidden="false" customHeight="false" outlineLevel="0" collapsed="false">
      <c r="A71" s="26" t="str">
        <f aca="false">IFERROR(INDEX(FIFO_helper!$AP$1:$AP$241,MATCH(69,FIFO_helper!$AW$1:$AW$241,0)),"")</f>
        <v/>
      </c>
      <c r="B71" s="26" t="str">
        <f aca="false">IFERROR(INDEX(FIFO_helper!$AQ$1:$AQ$241,MATCH(69,FIFO_helper!$AW$1:$AW$241,0)),"")</f>
        <v/>
      </c>
      <c r="C71" s="26"/>
      <c r="D71" s="26" t="str">
        <f aca="false">IFERROR(INDEX(FIFO_helper!$AR$1:$AR$241,MATCH(69,FIFO_helper!$AW$1:$AW$241,0)),"")</f>
        <v/>
      </c>
      <c r="E71" s="26" t="str">
        <f aca="false">IFERROR(INDEX(FIFO_helper!$AS$1:$AS$241,MATCH(69,FIFO_helper!$AW$1:$AW$241,0)),"")</f>
        <v/>
      </c>
      <c r="F71" s="26" t="str">
        <f aca="false">IFERROR(INDEX(FIFO_helper!$AT$1:$AT$241,MATCH(69,FIFO_helper!$AW$1:$AW$241,0)),"")</f>
        <v/>
      </c>
      <c r="G71" s="26" t="str">
        <f aca="false">IFERROR(INDEX(FIFO_helper!$AU$1:$AU$241,MATCH(69,FIFO_helper!$AW$1:$AW$241,0)),"")</f>
        <v/>
      </c>
    </row>
    <row r="72" customFormat="false" ht="15" hidden="false" customHeight="false" outlineLevel="0" collapsed="false">
      <c r="A72" s="26" t="str">
        <f aca="false">IFERROR(INDEX(FIFO_helper!$AP$1:$AP$241,MATCH(70,FIFO_helper!$AW$1:$AW$241,0)),"")</f>
        <v/>
      </c>
      <c r="B72" s="26" t="str">
        <f aca="false">IFERROR(INDEX(FIFO_helper!$AQ$1:$AQ$241,MATCH(70,FIFO_helper!$AW$1:$AW$241,0)),"")</f>
        <v/>
      </c>
      <c r="C72" s="26"/>
      <c r="D72" s="26" t="str">
        <f aca="false">IFERROR(INDEX(FIFO_helper!$AR$1:$AR$241,MATCH(70,FIFO_helper!$AW$1:$AW$241,0)),"")</f>
        <v/>
      </c>
      <c r="E72" s="26" t="str">
        <f aca="false">IFERROR(INDEX(FIFO_helper!$AS$1:$AS$241,MATCH(70,FIFO_helper!$AW$1:$AW$241,0)),"")</f>
        <v/>
      </c>
      <c r="F72" s="26" t="str">
        <f aca="false">IFERROR(INDEX(FIFO_helper!$AT$1:$AT$241,MATCH(70,FIFO_helper!$AW$1:$AW$241,0)),"")</f>
        <v/>
      </c>
      <c r="G72" s="26" t="str">
        <f aca="false">IFERROR(INDEX(FIFO_helper!$AU$1:$AU$241,MATCH(70,FIFO_helper!$AW$1:$AW$241,0)),"")</f>
        <v/>
      </c>
    </row>
    <row r="73" customFormat="false" ht="15" hidden="false" customHeight="false" outlineLevel="0" collapsed="false">
      <c r="A73" s="26" t="str">
        <f aca="false">IFERROR(INDEX(FIFO_helper!$AP$1:$AP$241,MATCH(71,FIFO_helper!$AW$1:$AW$241,0)),"")</f>
        <v/>
      </c>
      <c r="B73" s="26" t="str">
        <f aca="false">IFERROR(INDEX(FIFO_helper!$AQ$1:$AQ$241,MATCH(71,FIFO_helper!$AW$1:$AW$241,0)),"")</f>
        <v/>
      </c>
      <c r="C73" s="26"/>
      <c r="D73" s="26" t="str">
        <f aca="false">IFERROR(INDEX(FIFO_helper!$AR$1:$AR$241,MATCH(71,FIFO_helper!$AW$1:$AW$241,0)),"")</f>
        <v/>
      </c>
      <c r="E73" s="26" t="str">
        <f aca="false">IFERROR(INDEX(FIFO_helper!$AS$1:$AS$241,MATCH(71,FIFO_helper!$AW$1:$AW$241,0)),"")</f>
        <v/>
      </c>
      <c r="F73" s="26" t="str">
        <f aca="false">IFERROR(INDEX(FIFO_helper!$AT$1:$AT$241,MATCH(71,FIFO_helper!$AW$1:$AW$241,0)),"")</f>
        <v/>
      </c>
      <c r="G73" s="26" t="str">
        <f aca="false">IFERROR(INDEX(FIFO_helper!$AU$1:$AU$241,MATCH(71,FIFO_helper!$AW$1:$AW$241,0)),"")</f>
        <v/>
      </c>
    </row>
    <row r="74" customFormat="false" ht="15" hidden="false" customHeight="false" outlineLevel="0" collapsed="false">
      <c r="A74" s="26" t="str">
        <f aca="false">IFERROR(INDEX(FIFO_helper!$AP$1:$AP$241,MATCH(72,FIFO_helper!$AW$1:$AW$241,0)),"")</f>
        <v/>
      </c>
      <c r="B74" s="26" t="str">
        <f aca="false">IFERROR(INDEX(FIFO_helper!$AQ$1:$AQ$241,MATCH(72,FIFO_helper!$AW$1:$AW$241,0)),"")</f>
        <v/>
      </c>
      <c r="C74" s="26"/>
      <c r="D74" s="26" t="str">
        <f aca="false">IFERROR(INDEX(FIFO_helper!$AR$1:$AR$241,MATCH(72,FIFO_helper!$AW$1:$AW$241,0)),"")</f>
        <v/>
      </c>
      <c r="E74" s="26" t="str">
        <f aca="false">IFERROR(INDEX(FIFO_helper!$AS$1:$AS$241,MATCH(72,FIFO_helper!$AW$1:$AW$241,0)),"")</f>
        <v/>
      </c>
      <c r="F74" s="26" t="str">
        <f aca="false">IFERROR(INDEX(FIFO_helper!$AT$1:$AT$241,MATCH(72,FIFO_helper!$AW$1:$AW$241,0)),"")</f>
        <v/>
      </c>
      <c r="G74" s="26" t="str">
        <f aca="false">IFERROR(INDEX(FIFO_helper!$AU$1:$AU$241,MATCH(72,FIFO_helper!$AW$1:$AW$241,0)),"")</f>
        <v/>
      </c>
    </row>
    <row r="75" customFormat="false" ht="15" hidden="false" customHeight="false" outlineLevel="0" collapsed="false">
      <c r="A75" s="26" t="str">
        <f aca="false">IFERROR(INDEX(FIFO_helper!$AP$1:$AP$241,MATCH(73,FIFO_helper!$AW$1:$AW$241,0)),"")</f>
        <v/>
      </c>
      <c r="B75" s="26" t="str">
        <f aca="false">IFERROR(INDEX(FIFO_helper!$AQ$1:$AQ$241,MATCH(73,FIFO_helper!$AW$1:$AW$241,0)),"")</f>
        <v/>
      </c>
      <c r="C75" s="26"/>
      <c r="D75" s="26" t="str">
        <f aca="false">IFERROR(INDEX(FIFO_helper!$AR$1:$AR$241,MATCH(73,FIFO_helper!$AW$1:$AW$241,0)),"")</f>
        <v/>
      </c>
      <c r="E75" s="26" t="str">
        <f aca="false">IFERROR(INDEX(FIFO_helper!$AS$1:$AS$241,MATCH(73,FIFO_helper!$AW$1:$AW$241,0)),"")</f>
        <v/>
      </c>
      <c r="F75" s="26" t="str">
        <f aca="false">IFERROR(INDEX(FIFO_helper!$AT$1:$AT$241,MATCH(73,FIFO_helper!$AW$1:$AW$241,0)),"")</f>
        <v/>
      </c>
      <c r="G75" s="26" t="str">
        <f aca="false">IFERROR(INDEX(FIFO_helper!$AU$1:$AU$241,MATCH(73,FIFO_helper!$AW$1:$AW$241,0)),"")</f>
        <v/>
      </c>
    </row>
    <row r="76" customFormat="false" ht="15" hidden="false" customHeight="false" outlineLevel="0" collapsed="false">
      <c r="A76" s="26" t="str">
        <f aca="false">IFERROR(INDEX(FIFO_helper!$AP$1:$AP$241,MATCH(74,FIFO_helper!$AW$1:$AW$241,0)),"")</f>
        <v/>
      </c>
      <c r="B76" s="26" t="str">
        <f aca="false">IFERROR(INDEX(FIFO_helper!$AQ$1:$AQ$241,MATCH(74,FIFO_helper!$AW$1:$AW$241,0)),"")</f>
        <v/>
      </c>
      <c r="C76" s="26"/>
      <c r="D76" s="26" t="str">
        <f aca="false">IFERROR(INDEX(FIFO_helper!$AR$1:$AR$241,MATCH(74,FIFO_helper!$AW$1:$AW$241,0)),"")</f>
        <v/>
      </c>
      <c r="E76" s="26" t="str">
        <f aca="false">IFERROR(INDEX(FIFO_helper!$AS$1:$AS$241,MATCH(74,FIFO_helper!$AW$1:$AW$241,0)),"")</f>
        <v/>
      </c>
      <c r="F76" s="26" t="str">
        <f aca="false">IFERROR(INDEX(FIFO_helper!$AT$1:$AT$241,MATCH(74,FIFO_helper!$AW$1:$AW$241,0)),"")</f>
        <v/>
      </c>
      <c r="G76" s="26" t="str">
        <f aca="false">IFERROR(INDEX(FIFO_helper!$AU$1:$AU$241,MATCH(74,FIFO_helper!$AW$1:$AW$241,0)),"")</f>
        <v/>
      </c>
    </row>
    <row r="77" customFormat="false" ht="15" hidden="false" customHeight="false" outlineLevel="0" collapsed="false">
      <c r="A77" s="26" t="str">
        <f aca="false">IFERROR(INDEX(FIFO_helper!$AP$1:$AP$241,MATCH(75,FIFO_helper!$AW$1:$AW$241,0)),"")</f>
        <v/>
      </c>
      <c r="B77" s="26" t="str">
        <f aca="false">IFERROR(INDEX(FIFO_helper!$AQ$1:$AQ$241,MATCH(75,FIFO_helper!$AW$1:$AW$241,0)),"")</f>
        <v/>
      </c>
      <c r="C77" s="26"/>
      <c r="D77" s="26" t="str">
        <f aca="false">IFERROR(INDEX(FIFO_helper!$AR$1:$AR$241,MATCH(75,FIFO_helper!$AW$1:$AW$241,0)),"")</f>
        <v/>
      </c>
      <c r="E77" s="26" t="str">
        <f aca="false">IFERROR(INDEX(FIFO_helper!$AS$1:$AS$241,MATCH(75,FIFO_helper!$AW$1:$AW$241,0)),"")</f>
        <v/>
      </c>
      <c r="F77" s="26" t="str">
        <f aca="false">IFERROR(INDEX(FIFO_helper!$AT$1:$AT$241,MATCH(75,FIFO_helper!$AW$1:$AW$241,0)),"")</f>
        <v/>
      </c>
      <c r="G77" s="26" t="str">
        <f aca="false">IFERROR(INDEX(FIFO_helper!$AU$1:$AU$241,MATCH(75,FIFO_helper!$AW$1:$AW$241,0)),"")</f>
        <v/>
      </c>
    </row>
    <row r="78" customFormat="false" ht="15" hidden="false" customHeight="false" outlineLevel="0" collapsed="false">
      <c r="A78" s="26" t="str">
        <f aca="false">IFERROR(INDEX(FIFO_helper!$AP$1:$AP$241,MATCH(76,FIFO_helper!$AW$1:$AW$241,0)),"")</f>
        <v/>
      </c>
      <c r="B78" s="26" t="str">
        <f aca="false">IFERROR(INDEX(FIFO_helper!$AQ$1:$AQ$241,MATCH(76,FIFO_helper!$AW$1:$AW$241,0)),"")</f>
        <v/>
      </c>
      <c r="C78" s="26"/>
      <c r="D78" s="26" t="str">
        <f aca="false">IFERROR(INDEX(FIFO_helper!$AR$1:$AR$241,MATCH(76,FIFO_helper!$AW$1:$AW$241,0)),"")</f>
        <v/>
      </c>
      <c r="E78" s="26" t="str">
        <f aca="false">IFERROR(INDEX(FIFO_helper!$AS$1:$AS$241,MATCH(76,FIFO_helper!$AW$1:$AW$241,0)),"")</f>
        <v/>
      </c>
      <c r="F78" s="26" t="str">
        <f aca="false">IFERROR(INDEX(FIFO_helper!$AT$1:$AT$241,MATCH(76,FIFO_helper!$AW$1:$AW$241,0)),"")</f>
        <v/>
      </c>
      <c r="G78" s="26" t="str">
        <f aca="false">IFERROR(INDEX(FIFO_helper!$AU$1:$AU$241,MATCH(76,FIFO_helper!$AW$1:$AW$241,0)),"")</f>
        <v/>
      </c>
    </row>
    <row r="79" customFormat="false" ht="15" hidden="false" customHeight="false" outlineLevel="0" collapsed="false">
      <c r="A79" s="26" t="str">
        <f aca="false">IFERROR(INDEX(FIFO_helper!$AP$1:$AP$241,MATCH(77,FIFO_helper!$AW$1:$AW$241,0)),"")</f>
        <v/>
      </c>
      <c r="B79" s="26" t="str">
        <f aca="false">IFERROR(INDEX(FIFO_helper!$AQ$1:$AQ$241,MATCH(77,FIFO_helper!$AW$1:$AW$241,0)),"")</f>
        <v/>
      </c>
      <c r="C79" s="26"/>
      <c r="D79" s="26" t="str">
        <f aca="false">IFERROR(INDEX(FIFO_helper!$AR$1:$AR$241,MATCH(77,FIFO_helper!$AW$1:$AW$241,0)),"")</f>
        <v/>
      </c>
      <c r="E79" s="26" t="str">
        <f aca="false">IFERROR(INDEX(FIFO_helper!$AS$1:$AS$241,MATCH(77,FIFO_helper!$AW$1:$AW$241,0)),"")</f>
        <v/>
      </c>
      <c r="F79" s="26" t="str">
        <f aca="false">IFERROR(INDEX(FIFO_helper!$AT$1:$AT$241,MATCH(77,FIFO_helper!$AW$1:$AW$241,0)),"")</f>
        <v/>
      </c>
      <c r="G79" s="26" t="str">
        <f aca="false">IFERROR(INDEX(FIFO_helper!$AU$1:$AU$241,MATCH(77,FIFO_helper!$AW$1:$AW$241,0)),"")</f>
        <v/>
      </c>
    </row>
    <row r="80" customFormat="false" ht="15" hidden="false" customHeight="false" outlineLevel="0" collapsed="false">
      <c r="A80" s="26" t="str">
        <f aca="false">IFERROR(INDEX(FIFO_helper!$AP$1:$AP$241,MATCH(78,FIFO_helper!$AW$1:$AW$241,0)),"")</f>
        <v/>
      </c>
      <c r="B80" s="26" t="str">
        <f aca="false">IFERROR(INDEX(FIFO_helper!$AQ$1:$AQ$241,MATCH(78,FIFO_helper!$AW$1:$AW$241,0)),"")</f>
        <v/>
      </c>
      <c r="C80" s="26"/>
      <c r="D80" s="26" t="str">
        <f aca="false">IFERROR(INDEX(FIFO_helper!$AR$1:$AR$241,MATCH(78,FIFO_helper!$AW$1:$AW$241,0)),"")</f>
        <v/>
      </c>
      <c r="E80" s="26" t="str">
        <f aca="false">IFERROR(INDEX(FIFO_helper!$AS$1:$AS$241,MATCH(78,FIFO_helper!$AW$1:$AW$241,0)),"")</f>
        <v/>
      </c>
      <c r="F80" s="26" t="str">
        <f aca="false">IFERROR(INDEX(FIFO_helper!$AT$1:$AT$241,MATCH(78,FIFO_helper!$AW$1:$AW$241,0)),"")</f>
        <v/>
      </c>
      <c r="G80" s="26" t="str">
        <f aca="false">IFERROR(INDEX(FIFO_helper!$AU$1:$AU$241,MATCH(78,FIFO_helper!$AW$1:$AW$241,0)),"")</f>
        <v/>
      </c>
    </row>
    <row r="81" customFormat="false" ht="15" hidden="false" customHeight="false" outlineLevel="0" collapsed="false">
      <c r="A81" s="26" t="str">
        <f aca="false">IFERROR(INDEX(FIFO_helper!$AP$1:$AP$241,MATCH(79,FIFO_helper!$AW$1:$AW$241,0)),"")</f>
        <v/>
      </c>
      <c r="B81" s="26" t="str">
        <f aca="false">IFERROR(INDEX(FIFO_helper!$AQ$1:$AQ$241,MATCH(79,FIFO_helper!$AW$1:$AW$241,0)),"")</f>
        <v/>
      </c>
      <c r="C81" s="26"/>
      <c r="D81" s="26" t="str">
        <f aca="false">IFERROR(INDEX(FIFO_helper!$AR$1:$AR$241,MATCH(79,FIFO_helper!$AW$1:$AW$241,0)),"")</f>
        <v/>
      </c>
      <c r="E81" s="26" t="str">
        <f aca="false">IFERROR(INDEX(FIFO_helper!$AS$1:$AS$241,MATCH(79,FIFO_helper!$AW$1:$AW$241,0)),"")</f>
        <v/>
      </c>
      <c r="F81" s="26" t="str">
        <f aca="false">IFERROR(INDEX(FIFO_helper!$AT$1:$AT$241,MATCH(79,FIFO_helper!$AW$1:$AW$241,0)),"")</f>
        <v/>
      </c>
      <c r="G81" s="26" t="str">
        <f aca="false">IFERROR(INDEX(FIFO_helper!$AU$1:$AU$241,MATCH(79,FIFO_helper!$AW$1:$AW$241,0)),"")</f>
        <v/>
      </c>
    </row>
    <row r="82" customFormat="false" ht="15" hidden="false" customHeight="false" outlineLevel="0" collapsed="false">
      <c r="A82" s="26" t="str">
        <f aca="false">IFERROR(INDEX(FIFO_helper!$AP$1:$AP$241,MATCH(80,FIFO_helper!$AW$1:$AW$241,0)),"")</f>
        <v/>
      </c>
      <c r="B82" s="26" t="str">
        <f aca="false">IFERROR(INDEX(FIFO_helper!$AQ$1:$AQ$241,MATCH(80,FIFO_helper!$AW$1:$AW$241,0)),"")</f>
        <v/>
      </c>
      <c r="C82" s="26"/>
      <c r="D82" s="26" t="str">
        <f aca="false">IFERROR(INDEX(FIFO_helper!$AR$1:$AR$241,MATCH(80,FIFO_helper!$AW$1:$AW$241,0)),"")</f>
        <v/>
      </c>
      <c r="E82" s="26" t="str">
        <f aca="false">IFERROR(INDEX(FIFO_helper!$AS$1:$AS$241,MATCH(80,FIFO_helper!$AW$1:$AW$241,0)),"")</f>
        <v/>
      </c>
      <c r="F82" s="26" t="str">
        <f aca="false">IFERROR(INDEX(FIFO_helper!$AT$1:$AT$241,MATCH(80,FIFO_helper!$AW$1:$AW$241,0)),"")</f>
        <v/>
      </c>
      <c r="G82" s="26" t="str">
        <f aca="false">IFERROR(INDEX(FIFO_helper!$AU$1:$AU$241,MATCH(80,FIFO_helper!$AW$1:$AW$241,0)),"")</f>
        <v/>
      </c>
    </row>
    <row r="83" customFormat="false" ht="15" hidden="false" customHeight="false" outlineLevel="0" collapsed="false">
      <c r="A83" s="26" t="str">
        <f aca="false">IFERROR(INDEX(FIFO_helper!$AP$1:$AP$241,MATCH(81,FIFO_helper!$AW$1:$AW$241,0)),"")</f>
        <v/>
      </c>
      <c r="B83" s="26" t="str">
        <f aca="false">IFERROR(INDEX(FIFO_helper!$AQ$1:$AQ$241,MATCH(81,FIFO_helper!$AW$1:$AW$241,0)),"")</f>
        <v/>
      </c>
      <c r="C83" s="26"/>
      <c r="D83" s="26" t="str">
        <f aca="false">IFERROR(INDEX(FIFO_helper!$AR$1:$AR$241,MATCH(81,FIFO_helper!$AW$1:$AW$241,0)),"")</f>
        <v/>
      </c>
      <c r="E83" s="26" t="str">
        <f aca="false">IFERROR(INDEX(FIFO_helper!$AS$1:$AS$241,MATCH(81,FIFO_helper!$AW$1:$AW$241,0)),"")</f>
        <v/>
      </c>
      <c r="F83" s="26" t="str">
        <f aca="false">IFERROR(INDEX(FIFO_helper!$AT$1:$AT$241,MATCH(81,FIFO_helper!$AW$1:$AW$241,0)),"")</f>
        <v/>
      </c>
      <c r="G83" s="26" t="str">
        <f aca="false">IFERROR(INDEX(FIFO_helper!$AU$1:$AU$241,MATCH(81,FIFO_helper!$AW$1:$AW$241,0)),"")</f>
        <v/>
      </c>
    </row>
    <row r="84" customFormat="false" ht="15" hidden="false" customHeight="false" outlineLevel="0" collapsed="false">
      <c r="A84" s="26" t="str">
        <f aca="false">IFERROR(INDEX(FIFO_helper!$AP$1:$AP$241,MATCH(82,FIFO_helper!$AW$1:$AW$241,0)),"")</f>
        <v/>
      </c>
      <c r="B84" s="26" t="str">
        <f aca="false">IFERROR(INDEX(FIFO_helper!$AQ$1:$AQ$241,MATCH(82,FIFO_helper!$AW$1:$AW$241,0)),"")</f>
        <v/>
      </c>
      <c r="C84" s="26"/>
      <c r="D84" s="26" t="str">
        <f aca="false">IFERROR(INDEX(FIFO_helper!$AR$1:$AR$241,MATCH(82,FIFO_helper!$AW$1:$AW$241,0)),"")</f>
        <v/>
      </c>
      <c r="E84" s="26" t="str">
        <f aca="false">IFERROR(INDEX(FIFO_helper!$AS$1:$AS$241,MATCH(82,FIFO_helper!$AW$1:$AW$241,0)),"")</f>
        <v/>
      </c>
      <c r="F84" s="26" t="str">
        <f aca="false">IFERROR(INDEX(FIFO_helper!$AT$1:$AT$241,MATCH(82,FIFO_helper!$AW$1:$AW$241,0)),"")</f>
        <v/>
      </c>
      <c r="G84" s="26" t="str">
        <f aca="false">IFERROR(INDEX(FIFO_helper!$AU$1:$AU$241,MATCH(82,FIFO_helper!$AW$1:$AW$241,0)),"")</f>
        <v/>
      </c>
    </row>
    <row r="85" customFormat="false" ht="15" hidden="false" customHeight="false" outlineLevel="0" collapsed="false">
      <c r="A85" s="26" t="str">
        <f aca="false">IFERROR(INDEX(FIFO_helper!$AP$1:$AP$241,MATCH(83,FIFO_helper!$AW$1:$AW$241,0)),"")</f>
        <v/>
      </c>
      <c r="B85" s="26" t="str">
        <f aca="false">IFERROR(INDEX(FIFO_helper!$AQ$1:$AQ$241,MATCH(83,FIFO_helper!$AW$1:$AW$241,0)),"")</f>
        <v/>
      </c>
      <c r="C85" s="26"/>
      <c r="D85" s="26" t="str">
        <f aca="false">IFERROR(INDEX(FIFO_helper!$AR$1:$AR$241,MATCH(83,FIFO_helper!$AW$1:$AW$241,0)),"")</f>
        <v/>
      </c>
      <c r="E85" s="26" t="str">
        <f aca="false">IFERROR(INDEX(FIFO_helper!$AS$1:$AS$241,MATCH(83,FIFO_helper!$AW$1:$AW$241,0)),"")</f>
        <v/>
      </c>
      <c r="F85" s="26" t="str">
        <f aca="false">IFERROR(INDEX(FIFO_helper!$AT$1:$AT$241,MATCH(83,FIFO_helper!$AW$1:$AW$241,0)),"")</f>
        <v/>
      </c>
      <c r="G85" s="26" t="str">
        <f aca="false">IFERROR(INDEX(FIFO_helper!$AU$1:$AU$241,MATCH(83,FIFO_helper!$AW$1:$AW$241,0)),"")</f>
        <v/>
      </c>
    </row>
    <row r="86" customFormat="false" ht="15" hidden="false" customHeight="false" outlineLevel="0" collapsed="false">
      <c r="A86" s="26" t="str">
        <f aca="false">IFERROR(INDEX(FIFO_helper!$AP$1:$AP$241,MATCH(84,FIFO_helper!$AW$1:$AW$241,0)),"")</f>
        <v/>
      </c>
      <c r="B86" s="26" t="str">
        <f aca="false">IFERROR(INDEX(FIFO_helper!$AQ$1:$AQ$241,MATCH(84,FIFO_helper!$AW$1:$AW$241,0)),"")</f>
        <v/>
      </c>
      <c r="C86" s="26"/>
      <c r="D86" s="26" t="str">
        <f aca="false">IFERROR(INDEX(FIFO_helper!$AR$1:$AR$241,MATCH(84,FIFO_helper!$AW$1:$AW$241,0)),"")</f>
        <v/>
      </c>
      <c r="E86" s="26" t="str">
        <f aca="false">IFERROR(INDEX(FIFO_helper!$AS$1:$AS$241,MATCH(84,FIFO_helper!$AW$1:$AW$241,0)),"")</f>
        <v/>
      </c>
      <c r="F86" s="26" t="str">
        <f aca="false">IFERROR(INDEX(FIFO_helper!$AT$1:$AT$241,MATCH(84,FIFO_helper!$AW$1:$AW$241,0)),"")</f>
        <v/>
      </c>
      <c r="G86" s="26" t="str">
        <f aca="false">IFERROR(INDEX(FIFO_helper!$AU$1:$AU$241,MATCH(84,FIFO_helper!$AW$1:$AW$241,0)),"")</f>
        <v/>
      </c>
    </row>
    <row r="87" customFormat="false" ht="15" hidden="false" customHeight="false" outlineLevel="0" collapsed="false">
      <c r="A87" s="26" t="str">
        <f aca="false">IFERROR(INDEX(FIFO_helper!$AP$1:$AP$241,MATCH(85,FIFO_helper!$AW$1:$AW$241,0)),"")</f>
        <v/>
      </c>
      <c r="B87" s="26" t="str">
        <f aca="false">IFERROR(INDEX(FIFO_helper!$AQ$1:$AQ$241,MATCH(85,FIFO_helper!$AW$1:$AW$241,0)),"")</f>
        <v/>
      </c>
      <c r="C87" s="26"/>
      <c r="D87" s="26" t="str">
        <f aca="false">IFERROR(INDEX(FIFO_helper!$AR$1:$AR$241,MATCH(85,FIFO_helper!$AW$1:$AW$241,0)),"")</f>
        <v/>
      </c>
      <c r="E87" s="26" t="str">
        <f aca="false">IFERROR(INDEX(FIFO_helper!$AS$1:$AS$241,MATCH(85,FIFO_helper!$AW$1:$AW$241,0)),"")</f>
        <v/>
      </c>
      <c r="F87" s="26" t="str">
        <f aca="false">IFERROR(INDEX(FIFO_helper!$AT$1:$AT$241,MATCH(85,FIFO_helper!$AW$1:$AW$241,0)),"")</f>
        <v/>
      </c>
      <c r="G87" s="26" t="str">
        <f aca="false">IFERROR(INDEX(FIFO_helper!$AU$1:$AU$241,MATCH(85,FIFO_helper!$AW$1:$AW$241,0)),"")</f>
        <v/>
      </c>
    </row>
    <row r="88" customFormat="false" ht="15" hidden="false" customHeight="false" outlineLevel="0" collapsed="false">
      <c r="A88" s="26" t="str">
        <f aca="false">IFERROR(INDEX(FIFO_helper!$AP$1:$AP$241,MATCH(86,FIFO_helper!$AW$1:$AW$241,0)),"")</f>
        <v/>
      </c>
      <c r="B88" s="26" t="str">
        <f aca="false">IFERROR(INDEX(FIFO_helper!$AQ$1:$AQ$241,MATCH(86,FIFO_helper!$AW$1:$AW$241,0)),"")</f>
        <v/>
      </c>
      <c r="C88" s="26"/>
      <c r="D88" s="26" t="str">
        <f aca="false">IFERROR(INDEX(FIFO_helper!$AR$1:$AR$241,MATCH(86,FIFO_helper!$AW$1:$AW$241,0)),"")</f>
        <v/>
      </c>
      <c r="E88" s="26" t="str">
        <f aca="false">IFERROR(INDEX(FIFO_helper!$AS$1:$AS$241,MATCH(86,FIFO_helper!$AW$1:$AW$241,0)),"")</f>
        <v/>
      </c>
      <c r="F88" s="26" t="str">
        <f aca="false">IFERROR(INDEX(FIFO_helper!$AT$1:$AT$241,MATCH(86,FIFO_helper!$AW$1:$AW$241,0)),"")</f>
        <v/>
      </c>
      <c r="G88" s="26" t="str">
        <f aca="false">IFERROR(INDEX(FIFO_helper!$AU$1:$AU$241,MATCH(86,FIFO_helper!$AW$1:$AW$241,0)),"")</f>
        <v/>
      </c>
    </row>
    <row r="89" customFormat="false" ht="15" hidden="false" customHeight="false" outlineLevel="0" collapsed="false">
      <c r="A89" s="26" t="str">
        <f aca="false">IFERROR(INDEX(FIFO_helper!$AP$1:$AP$241,MATCH(87,FIFO_helper!$AW$1:$AW$241,0)),"")</f>
        <v/>
      </c>
      <c r="B89" s="26" t="str">
        <f aca="false">IFERROR(INDEX(FIFO_helper!$AQ$1:$AQ$241,MATCH(87,FIFO_helper!$AW$1:$AW$241,0)),"")</f>
        <v/>
      </c>
      <c r="C89" s="26"/>
      <c r="D89" s="26" t="str">
        <f aca="false">IFERROR(INDEX(FIFO_helper!$AR$1:$AR$241,MATCH(87,FIFO_helper!$AW$1:$AW$241,0)),"")</f>
        <v/>
      </c>
      <c r="E89" s="26" t="str">
        <f aca="false">IFERROR(INDEX(FIFO_helper!$AS$1:$AS$241,MATCH(87,FIFO_helper!$AW$1:$AW$241,0)),"")</f>
        <v/>
      </c>
      <c r="F89" s="26" t="str">
        <f aca="false">IFERROR(INDEX(FIFO_helper!$AT$1:$AT$241,MATCH(87,FIFO_helper!$AW$1:$AW$241,0)),"")</f>
        <v/>
      </c>
      <c r="G89" s="26" t="str">
        <f aca="false">IFERROR(INDEX(FIFO_helper!$AU$1:$AU$241,MATCH(87,FIFO_helper!$AW$1:$AW$241,0)),"")</f>
        <v/>
      </c>
    </row>
    <row r="90" customFormat="false" ht="15" hidden="false" customHeight="false" outlineLevel="0" collapsed="false">
      <c r="A90" s="26" t="str">
        <f aca="false">IFERROR(INDEX(FIFO_helper!$AP$1:$AP$241,MATCH(88,FIFO_helper!$AW$1:$AW$241,0)),"")</f>
        <v/>
      </c>
      <c r="B90" s="26" t="str">
        <f aca="false">IFERROR(INDEX(FIFO_helper!$AQ$1:$AQ$241,MATCH(88,FIFO_helper!$AW$1:$AW$241,0)),"")</f>
        <v/>
      </c>
      <c r="C90" s="26"/>
      <c r="D90" s="26" t="str">
        <f aca="false">IFERROR(INDEX(FIFO_helper!$AR$1:$AR$241,MATCH(88,FIFO_helper!$AW$1:$AW$241,0)),"")</f>
        <v/>
      </c>
      <c r="E90" s="26" t="str">
        <f aca="false">IFERROR(INDEX(FIFO_helper!$AS$1:$AS$241,MATCH(88,FIFO_helper!$AW$1:$AW$241,0)),"")</f>
        <v/>
      </c>
      <c r="F90" s="26" t="str">
        <f aca="false">IFERROR(INDEX(FIFO_helper!$AT$1:$AT$241,MATCH(88,FIFO_helper!$AW$1:$AW$241,0)),"")</f>
        <v/>
      </c>
      <c r="G90" s="26" t="str">
        <f aca="false">IFERROR(INDEX(FIFO_helper!$AU$1:$AU$241,MATCH(88,FIFO_helper!$AW$1:$AW$241,0)),"")</f>
        <v/>
      </c>
    </row>
    <row r="91" customFormat="false" ht="15" hidden="false" customHeight="false" outlineLevel="0" collapsed="false">
      <c r="A91" s="26" t="str">
        <f aca="false">IFERROR(INDEX(FIFO_helper!$AP$1:$AP$241,MATCH(89,FIFO_helper!$AW$1:$AW$241,0)),"")</f>
        <v/>
      </c>
      <c r="B91" s="26" t="str">
        <f aca="false">IFERROR(INDEX(FIFO_helper!$AQ$1:$AQ$241,MATCH(89,FIFO_helper!$AW$1:$AW$241,0)),"")</f>
        <v/>
      </c>
      <c r="C91" s="26"/>
      <c r="D91" s="26" t="str">
        <f aca="false">IFERROR(INDEX(FIFO_helper!$AR$1:$AR$241,MATCH(89,FIFO_helper!$AW$1:$AW$241,0)),"")</f>
        <v/>
      </c>
      <c r="E91" s="26" t="str">
        <f aca="false">IFERROR(INDEX(FIFO_helper!$AS$1:$AS$241,MATCH(89,FIFO_helper!$AW$1:$AW$241,0)),"")</f>
        <v/>
      </c>
      <c r="F91" s="26" t="str">
        <f aca="false">IFERROR(INDEX(FIFO_helper!$AT$1:$AT$241,MATCH(89,FIFO_helper!$AW$1:$AW$241,0)),"")</f>
        <v/>
      </c>
      <c r="G91" s="26" t="str">
        <f aca="false">IFERROR(INDEX(FIFO_helper!$AU$1:$AU$241,MATCH(89,FIFO_helper!$AW$1:$AW$241,0)),"")</f>
        <v/>
      </c>
    </row>
    <row r="92" customFormat="false" ht="15" hidden="false" customHeight="false" outlineLevel="0" collapsed="false">
      <c r="A92" s="26" t="str">
        <f aca="false">IFERROR(INDEX(FIFO_helper!$AP$1:$AP$241,MATCH(90,FIFO_helper!$AW$1:$AW$241,0)),"")</f>
        <v/>
      </c>
      <c r="B92" s="26" t="str">
        <f aca="false">IFERROR(INDEX(FIFO_helper!$AQ$1:$AQ$241,MATCH(90,FIFO_helper!$AW$1:$AW$241,0)),"")</f>
        <v/>
      </c>
      <c r="C92" s="26"/>
      <c r="D92" s="26" t="str">
        <f aca="false">IFERROR(INDEX(FIFO_helper!$AR$1:$AR$241,MATCH(90,FIFO_helper!$AW$1:$AW$241,0)),"")</f>
        <v/>
      </c>
      <c r="E92" s="26" t="str">
        <f aca="false">IFERROR(INDEX(FIFO_helper!$AS$1:$AS$241,MATCH(90,FIFO_helper!$AW$1:$AW$241,0)),"")</f>
        <v/>
      </c>
      <c r="F92" s="26" t="str">
        <f aca="false">IFERROR(INDEX(FIFO_helper!$AT$1:$AT$241,MATCH(90,FIFO_helper!$AW$1:$AW$241,0)),"")</f>
        <v/>
      </c>
      <c r="G92" s="26" t="str">
        <f aca="false">IFERROR(INDEX(FIFO_helper!$AU$1:$AU$241,MATCH(90,FIFO_helper!$AW$1:$AW$241,0)),"")</f>
        <v/>
      </c>
    </row>
    <row r="93" customFormat="false" ht="15" hidden="false" customHeight="false" outlineLevel="0" collapsed="false">
      <c r="A93" s="26" t="str">
        <f aca="false">IFERROR(INDEX(FIFO_helper!$AP$1:$AP$241,MATCH(91,FIFO_helper!$AW$1:$AW$241,0)),"")</f>
        <v/>
      </c>
      <c r="B93" s="26" t="str">
        <f aca="false">IFERROR(INDEX(FIFO_helper!$AQ$1:$AQ$241,MATCH(91,FIFO_helper!$AW$1:$AW$241,0)),"")</f>
        <v/>
      </c>
      <c r="C93" s="26"/>
      <c r="D93" s="26" t="str">
        <f aca="false">IFERROR(INDEX(FIFO_helper!$AR$1:$AR$241,MATCH(91,FIFO_helper!$AW$1:$AW$241,0)),"")</f>
        <v/>
      </c>
      <c r="E93" s="26" t="str">
        <f aca="false">IFERROR(INDEX(FIFO_helper!$AS$1:$AS$241,MATCH(91,FIFO_helper!$AW$1:$AW$241,0)),"")</f>
        <v/>
      </c>
      <c r="F93" s="26" t="str">
        <f aca="false">IFERROR(INDEX(FIFO_helper!$AT$1:$AT$241,MATCH(91,FIFO_helper!$AW$1:$AW$241,0)),"")</f>
        <v/>
      </c>
      <c r="G93" s="26" t="str">
        <f aca="false">IFERROR(INDEX(FIFO_helper!$AU$1:$AU$241,MATCH(91,FIFO_helper!$AW$1:$AW$241,0)),"")</f>
        <v/>
      </c>
    </row>
    <row r="94" customFormat="false" ht="15" hidden="false" customHeight="false" outlineLevel="0" collapsed="false">
      <c r="A94" s="26" t="str">
        <f aca="false">IFERROR(INDEX(FIFO_helper!$AP$1:$AP$241,MATCH(92,FIFO_helper!$AW$1:$AW$241,0)),"")</f>
        <v/>
      </c>
      <c r="B94" s="26" t="str">
        <f aca="false">IFERROR(INDEX(FIFO_helper!$AQ$1:$AQ$241,MATCH(92,FIFO_helper!$AW$1:$AW$241,0)),"")</f>
        <v/>
      </c>
      <c r="C94" s="26"/>
      <c r="D94" s="26" t="str">
        <f aca="false">IFERROR(INDEX(FIFO_helper!$AR$1:$AR$241,MATCH(92,FIFO_helper!$AW$1:$AW$241,0)),"")</f>
        <v/>
      </c>
      <c r="E94" s="26" t="str">
        <f aca="false">IFERROR(INDEX(FIFO_helper!$AS$1:$AS$241,MATCH(92,FIFO_helper!$AW$1:$AW$241,0)),"")</f>
        <v/>
      </c>
      <c r="F94" s="26" t="str">
        <f aca="false">IFERROR(INDEX(FIFO_helper!$AT$1:$AT$241,MATCH(92,FIFO_helper!$AW$1:$AW$241,0)),"")</f>
        <v/>
      </c>
      <c r="G94" s="26" t="str">
        <f aca="false">IFERROR(INDEX(FIFO_helper!$AU$1:$AU$241,MATCH(92,FIFO_helper!$AW$1:$AW$241,0)),"")</f>
        <v/>
      </c>
    </row>
    <row r="95" customFormat="false" ht="15" hidden="false" customHeight="false" outlineLevel="0" collapsed="false">
      <c r="A95" s="26" t="str">
        <f aca="false">IFERROR(INDEX(FIFO_helper!$AP$1:$AP$241,MATCH(93,FIFO_helper!$AW$1:$AW$241,0)),"")</f>
        <v/>
      </c>
      <c r="B95" s="26" t="str">
        <f aca="false">IFERROR(INDEX(FIFO_helper!$AQ$1:$AQ$241,MATCH(93,FIFO_helper!$AW$1:$AW$241,0)),"")</f>
        <v/>
      </c>
      <c r="C95" s="26"/>
      <c r="D95" s="26" t="str">
        <f aca="false">IFERROR(INDEX(FIFO_helper!$AR$1:$AR$241,MATCH(93,FIFO_helper!$AW$1:$AW$241,0)),"")</f>
        <v/>
      </c>
      <c r="E95" s="26" t="str">
        <f aca="false">IFERROR(INDEX(FIFO_helper!$AS$1:$AS$241,MATCH(93,FIFO_helper!$AW$1:$AW$241,0)),"")</f>
        <v/>
      </c>
      <c r="F95" s="26" t="str">
        <f aca="false">IFERROR(INDEX(FIFO_helper!$AT$1:$AT$241,MATCH(93,FIFO_helper!$AW$1:$AW$241,0)),"")</f>
        <v/>
      </c>
      <c r="G95" s="26" t="str">
        <f aca="false">IFERROR(INDEX(FIFO_helper!$AU$1:$AU$241,MATCH(93,FIFO_helper!$AW$1:$AW$241,0)),"")</f>
        <v/>
      </c>
    </row>
    <row r="96" customFormat="false" ht="15" hidden="false" customHeight="false" outlineLevel="0" collapsed="false">
      <c r="A96" s="26" t="str">
        <f aca="false">IFERROR(INDEX(FIFO_helper!$AP$1:$AP$241,MATCH(94,FIFO_helper!$AW$1:$AW$241,0)),"")</f>
        <v/>
      </c>
      <c r="B96" s="26" t="str">
        <f aca="false">IFERROR(INDEX(FIFO_helper!$AQ$1:$AQ$241,MATCH(94,FIFO_helper!$AW$1:$AW$241,0)),"")</f>
        <v/>
      </c>
      <c r="C96" s="26"/>
      <c r="D96" s="26" t="str">
        <f aca="false">IFERROR(INDEX(FIFO_helper!$AR$1:$AR$241,MATCH(94,FIFO_helper!$AW$1:$AW$241,0)),"")</f>
        <v/>
      </c>
      <c r="E96" s="26" t="str">
        <f aca="false">IFERROR(INDEX(FIFO_helper!$AS$1:$AS$241,MATCH(94,FIFO_helper!$AW$1:$AW$241,0)),"")</f>
        <v/>
      </c>
      <c r="F96" s="26" t="str">
        <f aca="false">IFERROR(INDEX(FIFO_helper!$AT$1:$AT$241,MATCH(94,FIFO_helper!$AW$1:$AW$241,0)),"")</f>
        <v/>
      </c>
      <c r="G96" s="26" t="str">
        <f aca="false">IFERROR(INDEX(FIFO_helper!$AU$1:$AU$241,MATCH(94,FIFO_helper!$AW$1:$AW$241,0)),"")</f>
        <v/>
      </c>
    </row>
    <row r="97" customFormat="false" ht="15" hidden="false" customHeight="false" outlineLevel="0" collapsed="false">
      <c r="A97" s="26" t="str">
        <f aca="false">IFERROR(INDEX(FIFO_helper!$AP$1:$AP$241,MATCH(95,FIFO_helper!$AW$1:$AW$241,0)),"")</f>
        <v/>
      </c>
      <c r="B97" s="26" t="str">
        <f aca="false">IFERROR(INDEX(FIFO_helper!$AQ$1:$AQ$241,MATCH(95,FIFO_helper!$AW$1:$AW$241,0)),"")</f>
        <v/>
      </c>
      <c r="C97" s="26"/>
      <c r="D97" s="26" t="str">
        <f aca="false">IFERROR(INDEX(FIFO_helper!$AR$1:$AR$241,MATCH(95,FIFO_helper!$AW$1:$AW$241,0)),"")</f>
        <v/>
      </c>
      <c r="E97" s="26" t="str">
        <f aca="false">IFERROR(INDEX(FIFO_helper!$AS$1:$AS$241,MATCH(95,FIFO_helper!$AW$1:$AW$241,0)),"")</f>
        <v/>
      </c>
      <c r="F97" s="26" t="str">
        <f aca="false">IFERROR(INDEX(FIFO_helper!$AT$1:$AT$241,MATCH(95,FIFO_helper!$AW$1:$AW$241,0)),"")</f>
        <v/>
      </c>
      <c r="G97" s="26" t="str">
        <f aca="false">IFERROR(INDEX(FIFO_helper!$AU$1:$AU$241,MATCH(95,FIFO_helper!$AW$1:$AW$241,0)),"")</f>
        <v/>
      </c>
    </row>
    <row r="98" customFormat="false" ht="15" hidden="false" customHeight="false" outlineLevel="0" collapsed="false">
      <c r="A98" s="26" t="str">
        <f aca="false">IFERROR(INDEX(FIFO_helper!$AP$1:$AP$241,MATCH(96,FIFO_helper!$AW$1:$AW$241,0)),"")</f>
        <v/>
      </c>
      <c r="B98" s="26" t="str">
        <f aca="false">IFERROR(INDEX(FIFO_helper!$AQ$1:$AQ$241,MATCH(96,FIFO_helper!$AW$1:$AW$241,0)),"")</f>
        <v/>
      </c>
      <c r="C98" s="26"/>
      <c r="D98" s="26" t="str">
        <f aca="false">IFERROR(INDEX(FIFO_helper!$AR$1:$AR$241,MATCH(96,FIFO_helper!$AW$1:$AW$241,0)),"")</f>
        <v/>
      </c>
      <c r="E98" s="26" t="str">
        <f aca="false">IFERROR(INDEX(FIFO_helper!$AS$1:$AS$241,MATCH(96,FIFO_helper!$AW$1:$AW$241,0)),"")</f>
        <v/>
      </c>
      <c r="F98" s="26" t="str">
        <f aca="false">IFERROR(INDEX(FIFO_helper!$AT$1:$AT$241,MATCH(96,FIFO_helper!$AW$1:$AW$241,0)),"")</f>
        <v/>
      </c>
      <c r="G98" s="26" t="str">
        <f aca="false">IFERROR(INDEX(FIFO_helper!$AU$1:$AU$241,MATCH(96,FIFO_helper!$AW$1:$AW$241,0)),"")</f>
        <v/>
      </c>
    </row>
    <row r="99" customFormat="false" ht="15" hidden="false" customHeight="false" outlineLevel="0" collapsed="false">
      <c r="A99" s="26" t="str">
        <f aca="false">IFERROR(INDEX(FIFO_helper!$AP$1:$AP$241,MATCH(97,FIFO_helper!$AW$1:$AW$241,0)),"")</f>
        <v/>
      </c>
      <c r="B99" s="26" t="str">
        <f aca="false">IFERROR(INDEX(FIFO_helper!$AQ$1:$AQ$241,MATCH(97,FIFO_helper!$AW$1:$AW$241,0)),"")</f>
        <v/>
      </c>
      <c r="C99" s="26"/>
      <c r="D99" s="26" t="str">
        <f aca="false">IFERROR(INDEX(FIFO_helper!$AR$1:$AR$241,MATCH(97,FIFO_helper!$AW$1:$AW$241,0)),"")</f>
        <v/>
      </c>
      <c r="E99" s="26" t="str">
        <f aca="false">IFERROR(INDEX(FIFO_helper!$AS$1:$AS$241,MATCH(97,FIFO_helper!$AW$1:$AW$241,0)),"")</f>
        <v/>
      </c>
      <c r="F99" s="26" t="str">
        <f aca="false">IFERROR(INDEX(FIFO_helper!$AT$1:$AT$241,MATCH(97,FIFO_helper!$AW$1:$AW$241,0)),"")</f>
        <v/>
      </c>
      <c r="G99" s="26" t="str">
        <f aca="false">IFERROR(INDEX(FIFO_helper!$AU$1:$AU$241,MATCH(97,FIFO_helper!$AW$1:$AW$241,0)),"")</f>
        <v/>
      </c>
    </row>
    <row r="100" customFormat="false" ht="15" hidden="false" customHeight="false" outlineLevel="0" collapsed="false">
      <c r="A100" s="26" t="str">
        <f aca="false">IFERROR(INDEX(FIFO_helper!$AP$1:$AP$241,MATCH(98,FIFO_helper!$AW$1:$AW$241,0)),"")</f>
        <v/>
      </c>
      <c r="B100" s="26" t="str">
        <f aca="false">IFERROR(INDEX(FIFO_helper!$AQ$1:$AQ$241,MATCH(98,FIFO_helper!$AW$1:$AW$241,0)),"")</f>
        <v/>
      </c>
      <c r="C100" s="26"/>
      <c r="D100" s="26" t="str">
        <f aca="false">IFERROR(INDEX(FIFO_helper!$AR$1:$AR$241,MATCH(98,FIFO_helper!$AW$1:$AW$241,0)),"")</f>
        <v/>
      </c>
      <c r="E100" s="26" t="str">
        <f aca="false">IFERROR(INDEX(FIFO_helper!$AS$1:$AS$241,MATCH(98,FIFO_helper!$AW$1:$AW$241,0)),"")</f>
        <v/>
      </c>
      <c r="F100" s="26" t="str">
        <f aca="false">IFERROR(INDEX(FIFO_helper!$AT$1:$AT$241,MATCH(98,FIFO_helper!$AW$1:$AW$241,0)),"")</f>
        <v/>
      </c>
      <c r="G100" s="26" t="str">
        <f aca="false">IFERROR(INDEX(FIFO_helper!$AU$1:$AU$241,MATCH(98,FIFO_helper!$AW$1:$AW$241,0)),"")</f>
        <v/>
      </c>
    </row>
    <row r="101" customFormat="false" ht="15" hidden="false" customHeight="false" outlineLevel="0" collapsed="false">
      <c r="A101" s="26" t="str">
        <f aca="false">IFERROR(INDEX(FIFO_helper!$AP$1:$AP$241,MATCH(99,FIFO_helper!$AW$1:$AW$241,0)),"")</f>
        <v/>
      </c>
      <c r="B101" s="26" t="str">
        <f aca="false">IFERROR(INDEX(FIFO_helper!$AQ$1:$AQ$241,MATCH(99,FIFO_helper!$AW$1:$AW$241,0)),"")</f>
        <v/>
      </c>
      <c r="C101" s="26"/>
      <c r="D101" s="26" t="str">
        <f aca="false">IFERROR(INDEX(FIFO_helper!$AR$1:$AR$241,MATCH(99,FIFO_helper!$AW$1:$AW$241,0)),"")</f>
        <v/>
      </c>
      <c r="E101" s="26" t="str">
        <f aca="false">IFERROR(INDEX(FIFO_helper!$AS$1:$AS$241,MATCH(99,FIFO_helper!$AW$1:$AW$241,0)),"")</f>
        <v/>
      </c>
      <c r="F101" s="26" t="str">
        <f aca="false">IFERROR(INDEX(FIFO_helper!$AT$1:$AT$241,MATCH(99,FIFO_helper!$AW$1:$AW$241,0)),"")</f>
        <v/>
      </c>
      <c r="G101" s="26" t="str">
        <f aca="false">IFERROR(INDEX(FIFO_helper!$AU$1:$AU$241,MATCH(99,FIFO_helper!$AW$1:$AW$241,0)),"")</f>
        <v/>
      </c>
    </row>
    <row r="102" customFormat="false" ht="15" hidden="false" customHeight="false" outlineLevel="0" collapsed="false">
      <c r="A102" s="26" t="str">
        <f aca="false">IFERROR(INDEX(FIFO_helper!$AP$1:$AP$241,MATCH(100,FIFO_helper!$AW$1:$AW$241,0)),"")</f>
        <v/>
      </c>
      <c r="B102" s="26" t="str">
        <f aca="false">IFERROR(INDEX(FIFO_helper!$AQ$1:$AQ$241,MATCH(100,FIFO_helper!$AW$1:$AW$241,0)),"")</f>
        <v/>
      </c>
      <c r="C102" s="26"/>
      <c r="D102" s="26" t="str">
        <f aca="false">IFERROR(INDEX(FIFO_helper!$AR$1:$AR$241,MATCH(100,FIFO_helper!$AW$1:$AW$241,0)),"")</f>
        <v/>
      </c>
      <c r="E102" s="26" t="str">
        <f aca="false">IFERROR(INDEX(FIFO_helper!$AS$1:$AS$241,MATCH(100,FIFO_helper!$AW$1:$AW$241,0)),"")</f>
        <v/>
      </c>
      <c r="F102" s="26" t="str">
        <f aca="false">IFERROR(INDEX(FIFO_helper!$AT$1:$AT$241,MATCH(100,FIFO_helper!$AW$1:$AW$241,0)),"")</f>
        <v/>
      </c>
      <c r="G102" s="26" t="str">
        <f aca="false">IFERROR(INDEX(FIFO_helper!$AU$1:$AU$241,MATCH(100,FIFO_helper!$AW$1:$AW$241,0)),"")</f>
        <v/>
      </c>
    </row>
  </sheetData>
  <mergeCells count="1">
    <mergeCell ref="A1:G1"/>
  </mergeCells>
  <conditionalFormatting sqref="A3:G102">
    <cfRule type="expression" priority="2" aboveAverage="0" equalAverage="0" bottom="0" percent="0" rank="0" text="" dxfId="0">
      <formula>$D3="CHANCHO"</formula>
    </cfRule>
    <cfRule type="expression" priority="3" aboveAverage="0" equalAverage="0" bottom="0" percent="0" rank="0" text="" dxfId="1">
      <formula>$B3="(queda en planta)"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71</v>
      </c>
      <c r="B1" s="0" t="s">
        <v>72</v>
      </c>
      <c r="C1" s="0" t="s">
        <v>73</v>
      </c>
      <c r="D1" s="0" t="s">
        <v>74</v>
      </c>
      <c r="E1" s="0" t="s">
        <v>75</v>
      </c>
      <c r="F1" s="0" t="s">
        <v>76</v>
      </c>
      <c r="G1" s="0" t="s">
        <v>77</v>
      </c>
      <c r="H1" s="0" t="s">
        <v>78</v>
      </c>
      <c r="I1" s="0" t="s">
        <v>79</v>
      </c>
      <c r="J1" s="0" t="s">
        <v>80</v>
      </c>
      <c r="K1" s="0" t="s">
        <v>81</v>
      </c>
      <c r="L1" s="0" t="s">
        <v>82</v>
      </c>
      <c r="N1" s="0" t="n">
        <f aca="false">MAX(J2:J41)</f>
        <v>29847</v>
      </c>
      <c r="P1" s="0" t="s">
        <v>83</v>
      </c>
      <c r="Q1" s="0" t="s">
        <v>84</v>
      </c>
      <c r="R1" s="0" t="s">
        <v>85</v>
      </c>
      <c r="S1" s="0" t="s">
        <v>86</v>
      </c>
      <c r="T1" s="0" t="s">
        <v>87</v>
      </c>
      <c r="V1" s="0" t="s">
        <v>88</v>
      </c>
      <c r="W1" s="0" t="s">
        <v>89</v>
      </c>
      <c r="X1" s="0" t="s">
        <v>90</v>
      </c>
      <c r="Y1" s="0" t="s">
        <v>91</v>
      </c>
      <c r="Z1" s="0" t="s">
        <v>92</v>
      </c>
      <c r="AB1" s="0" t="s">
        <v>93</v>
      </c>
      <c r="AC1" s="0" t="s">
        <v>94</v>
      </c>
      <c r="AD1" s="0" t="s">
        <v>95</v>
      </c>
      <c r="AE1" s="0" t="s">
        <v>96</v>
      </c>
      <c r="AF1" s="0" t="s">
        <v>97</v>
      </c>
      <c r="AH1" s="0" t="s">
        <v>98</v>
      </c>
      <c r="AI1" s="0" t="s">
        <v>99</v>
      </c>
      <c r="AJ1" s="0" t="s">
        <v>100</v>
      </c>
      <c r="AK1" s="0" t="s">
        <v>101</v>
      </c>
      <c r="AL1" s="0" t="s">
        <v>102</v>
      </c>
      <c r="AN1" s="0" t="s">
        <v>103</v>
      </c>
      <c r="AP1" s="0" t="s">
        <v>104</v>
      </c>
      <c r="AQ1" s="0" t="s">
        <v>105</v>
      </c>
      <c r="AR1" s="0" t="s">
        <v>106</v>
      </c>
      <c r="AS1" s="0" t="s">
        <v>107</v>
      </c>
      <c r="AT1" s="0" t="s">
        <v>108</v>
      </c>
      <c r="AU1" s="0" t="s">
        <v>109</v>
      </c>
      <c r="AV1" s="0" t="s">
        <v>110</v>
      </c>
      <c r="AW1" s="0" t="s">
        <v>111</v>
      </c>
    </row>
    <row r="2" customFormat="false" ht="15" hidden="false" customHeight="false" outlineLevel="0" collapsed="false">
      <c r="A2" s="0" t="n">
        <v>1</v>
      </c>
      <c r="B2" s="0" t="n">
        <f aca="false">A2+4</f>
        <v>5</v>
      </c>
      <c r="C2" s="0" t="str">
        <f aca="false">IF(B2=5,"sem. ant.",INDEX('Balance PLANTA'!$A:$A,B2))</f>
        <v>sem. ant.</v>
      </c>
      <c r="D2" s="0" t="n">
        <f aca="false">IF(B2=5,INDEX('Balance PLANTA'!$R:$R,B2)*15+INDEX('Balance PLANTA'!$S:$S,B2)*18+INDEX('Balance PLANTA'!$T:$T,B2)*17+INDEX('Balance PLANTA'!$U:$U,B2)*17,IFERROR(INDEX('Balance PLANTA'!$C:$C,B2)*95,0))</f>
        <v>239</v>
      </c>
      <c r="E2" s="0" t="n">
        <f aca="false">IF(B2=5,0,IFERROR(INDEX('Balance PLANTA'!$W:$W,B2),0))</f>
        <v>0</v>
      </c>
      <c r="F2" s="0" t="n">
        <f aca="false">E2*95</f>
        <v>0</v>
      </c>
      <c r="G2" s="0" t="n">
        <f aca="false">D2-F2</f>
        <v>239</v>
      </c>
      <c r="H2" s="0" t="n">
        <f aca="false">G2</f>
        <v>239</v>
      </c>
      <c r="I2" s="0" t="n">
        <f aca="false">IFERROR(INDEX('Balance PLANTA'!$L:$L,B2)*15+INDEX('Balance PLANTA'!$M:$M,B2)*18+INDEX('Balance PLANTA'!$N:$N,B2)*17+INDEX('Balance PLANTA'!$O:$O,B2)*17,0)</f>
        <v>0</v>
      </c>
      <c r="J2" s="0" t="n">
        <f aca="false">I2</f>
        <v>0</v>
      </c>
      <c r="K2" s="0" t="str">
        <f aca="false">IF(INDEX('Balance PLANTA'!$J:$J,B2)=0,"",INDEX('Balance PLANTA'!$J:$J,B2))</f>
        <v/>
      </c>
      <c r="L2" s="0" t="str">
        <f aca="false">IFERROR(INDEX('Balance PLANTA'!$K:$K,B2),"")</f>
        <v>← saldo apertura sem.ant.</v>
      </c>
      <c r="Q2" s="0" t="n">
        <f aca="false">IFERROR(MATCH(0,$J$2:$J$41,1),0)+1</f>
        <v>2</v>
      </c>
      <c r="R2" s="0" t="n">
        <f aca="false">IF(Q2&gt;40,0,MAX(0,MIN(H2,IFERROR(INDEX($J$2:$J$41,Q2),$N$1))-MAX(0,IF(Q2=1,0,IFERROR(INDEX($J$2:$J$41,Q2-1),0)))))</f>
        <v>239</v>
      </c>
      <c r="S2" s="0" t="str">
        <f aca="false">IF(R2&lt;=0,"",IFERROR(INDEX($K$2:$K$41,Q2),""))</f>
        <v>12/07</v>
      </c>
      <c r="T2" s="0" t="str">
        <f aca="false">IF(R2&lt;=0,"",IFERROR(INDEX($L$2:$L$41,Q2),""))</f>
        <v>G-2977</v>
      </c>
      <c r="W2" s="0" t="n">
        <f aca="false">Q2+1</f>
        <v>3</v>
      </c>
      <c r="X2" s="0" t="n">
        <f aca="false">IF(W2&gt;40,0,MAX(0,MIN(H2,IFERROR(INDEX($J$2:$J$41,W2),$N$1))-MAX(0,IF(W2=1,0,IFERROR(INDEX($J$2:$J$41,W2-1),0)))))</f>
        <v>0</v>
      </c>
      <c r="Y2" s="0" t="str">
        <f aca="false">IF(X2&lt;=0,"",IFERROR(INDEX($K$2:$K$41,W2),""))</f>
        <v/>
      </c>
      <c r="Z2" s="0" t="str">
        <f aca="false">IF(X2&lt;=0,"",IFERROR(INDEX($L$2:$L$41,W2),""))</f>
        <v/>
      </c>
      <c r="AC2" s="0" t="n">
        <f aca="false">W2+1</f>
        <v>4</v>
      </c>
      <c r="AD2" s="0" t="n">
        <f aca="false">IF(AC2&gt;40,0,MAX(0,MIN(H2,IFERROR(INDEX($J$2:$J$41,AC2),$N$1))-MAX(0,IF(AC2=1,0,IFERROR(INDEX($J$2:$J$41,AC2-1),0)))))</f>
        <v>0</v>
      </c>
      <c r="AE2" s="0" t="str">
        <f aca="false">IF(AD2&lt;=0,"",IFERROR(INDEX($K$2:$K$41,AC2),""))</f>
        <v/>
      </c>
      <c r="AF2" s="0" t="str">
        <f aca="false">IF(AD2&lt;=0,"",IFERROR(INDEX($L$2:$L$41,AC2),""))</f>
        <v/>
      </c>
      <c r="AI2" s="0" t="n">
        <f aca="false">AC2+1</f>
        <v>5</v>
      </c>
      <c r="AJ2" s="0" t="n">
        <f aca="false">IF(AI2&gt;40,0,MAX(0,MIN(H2,IFERROR(INDEX($J$2:$J$41,AI2),$N$1))-MAX(0,IF(AI2=1,0,IFERROR(INDEX($J$2:$J$41,AI2-1),0)))))</f>
        <v>0</v>
      </c>
      <c r="AK2" s="0" t="str">
        <f aca="false">IF(AJ2&lt;=0,"",IFERROR(INDEX($K$2:$K$41,AI2),""))</f>
        <v/>
      </c>
      <c r="AL2" s="0" t="str">
        <f aca="false">IF(AJ2&lt;=0,"",IFERROR(INDEX($L$2:$L$41,AI2),""))</f>
        <v/>
      </c>
      <c r="AN2" s="0" t="n">
        <f aca="false">MAX(0,H2-MAX(0,$N$1))</f>
        <v>0</v>
      </c>
      <c r="AP2" s="0" t="str">
        <f aca="false">IF($R$2&lt;=0,"",FIFO_helper!$C$2)</f>
        <v>sem. ant.</v>
      </c>
      <c r="AQ2" s="0" t="str">
        <f aca="false">IF($R$2&lt;=0,"",$S$2)</f>
        <v>12/07</v>
      </c>
      <c r="AR2" s="0" t="str">
        <f aca="false">IF($R$2&lt;=0,"","PRIMERA")</f>
        <v>PRIMERA</v>
      </c>
      <c r="AS2" s="0" t="str">
        <f aca="false">IF($R$2&lt;=0,"",$T$2)</f>
        <v>G-2977</v>
      </c>
      <c r="AT2" s="0" t="n">
        <f aca="false">IF($R$2&lt;=0,"",$R$2)</f>
        <v>239</v>
      </c>
      <c r="AU2" s="0" t="str">
        <f aca="false">IF($R$2&lt;=0,"","kg")</f>
        <v>kg</v>
      </c>
      <c r="AV2" s="0" t="n">
        <f aca="false">IF($R$2&lt;=0,0,1)</f>
        <v>1</v>
      </c>
      <c r="AW2" s="0" t="n">
        <f aca="false">AV2</f>
        <v>1</v>
      </c>
    </row>
    <row r="3" customFormat="false" ht="15" hidden="false" customHeight="false" outlineLevel="0" collapsed="false">
      <c r="A3" s="0" t="n">
        <v>2</v>
      </c>
      <c r="B3" s="0" t="n">
        <f aca="false">A3+4</f>
        <v>6</v>
      </c>
      <c r="C3" s="0" t="str">
        <f aca="false">IF(B3=5,"sem. ant.",INDEX('Balance PLANTA'!$A:$A,B3))</f>
        <v>12/07</v>
      </c>
      <c r="D3" s="0" t="n">
        <f aca="false">IF(B3=5,INDEX('Balance PLANTA'!$R:$R,B3)*15+INDEX('Balance PLANTA'!$S:$S,B3)*18+INDEX('Balance PLANTA'!$T:$T,B3)*17+INDEX('Balance PLANTA'!$U:$U,B3)*17,IFERROR(INDEX('Balance PLANTA'!$C:$C,B3)*95,0))</f>
        <v>2850</v>
      </c>
      <c r="E3" s="0" t="n">
        <f aca="false">IF(B3=5,0,IFERROR(INDEX('Balance PLANTA'!$W:$W,B3),0))</f>
        <v>6</v>
      </c>
      <c r="F3" s="0" t="n">
        <f aca="false">E3*95</f>
        <v>570</v>
      </c>
      <c r="G3" s="0" t="n">
        <f aca="false">D3-F3</f>
        <v>2280</v>
      </c>
      <c r="H3" s="0" t="n">
        <f aca="false">H2+G3</f>
        <v>2519</v>
      </c>
      <c r="I3" s="0" t="n">
        <f aca="false">IFERROR(INDEX('Balance PLANTA'!$L:$L,B3)*15+INDEX('Balance PLANTA'!$M:$M,B3)*18+INDEX('Balance PLANTA'!$N:$N,B3)*17+INDEX('Balance PLANTA'!$O:$O,B3)*17,0)</f>
        <v>2121</v>
      </c>
      <c r="J3" s="0" t="n">
        <f aca="false">J2+I3</f>
        <v>2121</v>
      </c>
      <c r="K3" s="0" t="str">
        <f aca="false">IF(INDEX('Balance PLANTA'!$J:$J,B3)=0,"",INDEX('Balance PLANTA'!$J:$J,B3))</f>
        <v>12/07</v>
      </c>
      <c r="L3" s="0" t="str">
        <f aca="false">IFERROR(INDEX('Balance PLANTA'!$K:$K,B3),"")</f>
        <v>G-2977</v>
      </c>
      <c r="Q3" s="0" t="n">
        <f aca="false">IFERROR(MATCH(H2,$J$2:$J$41,1),0)+1</f>
        <v>2</v>
      </c>
      <c r="R3" s="0" t="n">
        <f aca="false">IF(Q3&gt;40,0,MAX(0,MIN(H3,IFERROR(INDEX($J$2:$J$41,Q3),$N$1))-MAX(H2,IF(Q3=1,0,IFERROR(INDEX($J$2:$J$41,Q3-1),0)))))</f>
        <v>1882</v>
      </c>
      <c r="S3" s="0" t="str">
        <f aca="false">IF(R3&lt;=0,"",IFERROR(INDEX($K$2:$K$41,Q3),""))</f>
        <v>12/07</v>
      </c>
      <c r="T3" s="0" t="str">
        <f aca="false">IF(R3&lt;=0,"",IFERROR(INDEX($L$2:$L$41,Q3),""))</f>
        <v>G-2977</v>
      </c>
      <c r="W3" s="0" t="n">
        <f aca="false">Q3+1</f>
        <v>3</v>
      </c>
      <c r="X3" s="0" t="n">
        <f aca="false">IF(W3&gt;40,0,MAX(0,MIN(H3,IFERROR(INDEX($J$2:$J$41,W3),$N$1))-MAX(H2,IF(W3=1,0,IFERROR(INDEX($J$2:$J$41,W3-1),0)))))</f>
        <v>398</v>
      </c>
      <c r="Y3" s="0" t="str">
        <f aca="false">IF(X3&lt;=0,"",IFERROR(INDEX($K$2:$K$41,W3),""))</f>
        <v>13/07</v>
      </c>
      <c r="Z3" s="0" t="str">
        <f aca="false">IF(X3&lt;=0,"",IFERROR(INDEX($L$2:$L$41,W3),""))</f>
        <v>G-2980</v>
      </c>
      <c r="AC3" s="0" t="n">
        <f aca="false">W3+1</f>
        <v>4</v>
      </c>
      <c r="AD3" s="0" t="n">
        <f aca="false">IF(AC3&gt;40,0,MAX(0,MIN(H3,IFERROR(INDEX($J$2:$J$41,AC3),$N$1))-MAX(H2,IF(AC3=1,0,IFERROR(INDEX($J$2:$J$41,AC3-1),0)))))</f>
        <v>0</v>
      </c>
      <c r="AE3" s="0" t="str">
        <f aca="false">IF(AD3&lt;=0,"",IFERROR(INDEX($K$2:$K$41,AC3),""))</f>
        <v/>
      </c>
      <c r="AF3" s="0" t="str">
        <f aca="false">IF(AD3&lt;=0,"",IFERROR(INDEX($L$2:$L$41,AC3),""))</f>
        <v/>
      </c>
      <c r="AI3" s="0" t="n">
        <f aca="false">AC3+1</f>
        <v>5</v>
      </c>
      <c r="AJ3" s="0" t="n">
        <f aca="false">IF(AI3&gt;40,0,MAX(0,MIN(H3,IFERROR(INDEX($J$2:$J$41,AI3),$N$1))-MAX(H2,IF(AI3=1,0,IFERROR(INDEX($J$2:$J$41,AI3-1),0)))))</f>
        <v>0</v>
      </c>
      <c r="AK3" s="0" t="str">
        <f aca="false">IF(AJ3&lt;=0,"",IFERROR(INDEX($K$2:$K$41,AI3),""))</f>
        <v/>
      </c>
      <c r="AL3" s="0" t="str">
        <f aca="false">IF(AJ3&lt;=0,"",IFERROR(INDEX($L$2:$L$41,AI3),""))</f>
        <v/>
      </c>
      <c r="AN3" s="0" t="n">
        <f aca="false">MAX(0,H3-MAX(H2,$N$1))</f>
        <v>0</v>
      </c>
      <c r="AP3" s="0" t="str">
        <f aca="false">IF($X$2&lt;=0,"",FIFO_helper!$C$2)</f>
        <v/>
      </c>
      <c r="AQ3" s="0" t="str">
        <f aca="false">IF($X$2&lt;=0,"",$Y$2)</f>
        <v/>
      </c>
      <c r="AR3" s="0" t="str">
        <f aca="false">IF($X$2&lt;=0,"","PRIMERA")</f>
        <v/>
      </c>
      <c r="AS3" s="0" t="str">
        <f aca="false">IF($X$2&lt;=0,"",$Z$2)</f>
        <v/>
      </c>
      <c r="AT3" s="0" t="str">
        <f aca="false">IF($X$2&lt;=0,"",$X$2)</f>
        <v/>
      </c>
      <c r="AU3" s="0" t="str">
        <f aca="false">IF($X$2&lt;=0,"","kg")</f>
        <v/>
      </c>
      <c r="AV3" s="0" t="n">
        <f aca="false">IF($X$2&lt;=0,0,1)</f>
        <v>0</v>
      </c>
      <c r="AW3" s="0" t="n">
        <f aca="false">AW2+AV3</f>
        <v>1</v>
      </c>
    </row>
    <row r="4" customFormat="false" ht="15" hidden="false" customHeight="false" outlineLevel="0" collapsed="false">
      <c r="A4" s="0" t="n">
        <v>3</v>
      </c>
      <c r="B4" s="0" t="n">
        <f aca="false">A4+4</f>
        <v>7</v>
      </c>
      <c r="C4" s="0" t="str">
        <f aca="false">IF(B4=5,"sem. ant.",INDEX('Balance PLANTA'!$A:$A,B4))</f>
        <v>13/07</v>
      </c>
      <c r="D4" s="0" t="n">
        <f aca="false">IF(B4=5,INDEX('Balance PLANTA'!$R:$R,B4)*15+INDEX('Balance PLANTA'!$S:$S,B4)*18+INDEX('Balance PLANTA'!$T:$T,B4)*17+INDEX('Balance PLANTA'!$U:$U,B4)*17,IFERROR(INDEX('Balance PLANTA'!$C:$C,B4)*95,0))</f>
        <v>3800</v>
      </c>
      <c r="E4" s="0" t="n">
        <f aca="false">IF(B4=5,0,IFERROR(INDEX('Balance PLANTA'!$W:$W,B4),0))</f>
        <v>2</v>
      </c>
      <c r="F4" s="0" t="n">
        <f aca="false">E4*95</f>
        <v>190</v>
      </c>
      <c r="G4" s="0" t="n">
        <f aca="false">D4-F4</f>
        <v>3610</v>
      </c>
      <c r="H4" s="0" t="n">
        <f aca="false">H3+G4</f>
        <v>6129</v>
      </c>
      <c r="I4" s="0" t="n">
        <f aca="false">IFERROR(INDEX('Balance PLANTA'!$L:$L,B4)*15+INDEX('Balance PLANTA'!$M:$M,B4)*18+INDEX('Balance PLANTA'!$N:$N,B4)*17+INDEX('Balance PLANTA'!$O:$O,B4)*17,0)</f>
        <v>3056</v>
      </c>
      <c r="J4" s="0" t="n">
        <f aca="false">J3+I4</f>
        <v>5177</v>
      </c>
      <c r="K4" s="0" t="str">
        <f aca="false">IF(INDEX('Balance PLANTA'!$J:$J,B4)=0,"",INDEX('Balance PLANTA'!$J:$J,B4))</f>
        <v>13/07</v>
      </c>
      <c r="L4" s="0" t="str">
        <f aca="false">IFERROR(INDEX('Balance PLANTA'!$K:$K,B4),"")</f>
        <v>G-2980</v>
      </c>
      <c r="Q4" s="0" t="n">
        <f aca="false">IFERROR(MATCH(H3,$J$2:$J$41,1),0)+1</f>
        <v>3</v>
      </c>
      <c r="R4" s="0" t="n">
        <f aca="false">IF(Q4&gt;40,0,MAX(0,MIN(H4,IFERROR(INDEX($J$2:$J$41,Q4),$N$1))-MAX(H3,IF(Q4=1,0,IFERROR(INDEX($J$2:$J$41,Q4-1),0)))))</f>
        <v>2658</v>
      </c>
      <c r="S4" s="0" t="str">
        <f aca="false">IF(R4&lt;=0,"",IFERROR(INDEX($K$2:$K$41,Q4),""))</f>
        <v>13/07</v>
      </c>
      <c r="T4" s="0" t="str">
        <f aca="false">IF(R4&lt;=0,"",IFERROR(INDEX($L$2:$L$41,Q4),""))</f>
        <v>G-2980</v>
      </c>
      <c r="W4" s="0" t="n">
        <f aca="false">Q4+1</f>
        <v>4</v>
      </c>
      <c r="X4" s="0" t="n">
        <f aca="false">IF(W4&gt;40,0,MAX(0,MIN(H4,IFERROR(INDEX($J$2:$J$41,W4),$N$1))-MAX(H3,IF(W4=1,0,IFERROR(INDEX($J$2:$J$41,W4-1),0)))))</f>
        <v>952</v>
      </c>
      <c r="Y4" s="0" t="str">
        <f aca="false">IF(X4&lt;=0,"",IFERROR(INDEX($K$2:$K$41,W4),""))</f>
        <v>14/07</v>
      </c>
      <c r="Z4" s="0" t="str">
        <f aca="false">IF(X4&lt;=0,"",IFERROR(INDEX($L$2:$L$41,W4),""))</f>
        <v>G-2984</v>
      </c>
      <c r="AC4" s="0" t="n">
        <f aca="false">W4+1</f>
        <v>5</v>
      </c>
      <c r="AD4" s="0" t="n">
        <f aca="false">IF(AC4&gt;40,0,MAX(0,MIN(H4,IFERROR(INDEX($J$2:$J$41,AC4),$N$1))-MAX(H3,IF(AC4=1,0,IFERROR(INDEX($J$2:$J$41,AC4-1),0)))))</f>
        <v>0</v>
      </c>
      <c r="AE4" s="0" t="str">
        <f aca="false">IF(AD4&lt;=0,"",IFERROR(INDEX($K$2:$K$41,AC4),""))</f>
        <v/>
      </c>
      <c r="AF4" s="0" t="str">
        <f aca="false">IF(AD4&lt;=0,"",IFERROR(INDEX($L$2:$L$41,AC4),""))</f>
        <v/>
      </c>
      <c r="AI4" s="0" t="n">
        <f aca="false">AC4+1</f>
        <v>6</v>
      </c>
      <c r="AJ4" s="0" t="n">
        <f aca="false">IF(AI4&gt;40,0,MAX(0,MIN(H4,IFERROR(INDEX($J$2:$J$41,AI4),$N$1))-MAX(H3,IF(AI4=1,0,IFERROR(INDEX($J$2:$J$41,AI4-1),0)))))</f>
        <v>0</v>
      </c>
      <c r="AK4" s="0" t="str">
        <f aca="false">IF(AJ4&lt;=0,"",IFERROR(INDEX($K$2:$K$41,AI4),""))</f>
        <v/>
      </c>
      <c r="AL4" s="0" t="str">
        <f aca="false">IF(AJ4&lt;=0,"",IFERROR(INDEX($L$2:$L$41,AI4),""))</f>
        <v/>
      </c>
      <c r="AN4" s="0" t="n">
        <f aca="false">MAX(0,H4-MAX(H3,$N$1))</f>
        <v>0</v>
      </c>
      <c r="AP4" s="0" t="str">
        <f aca="false">IF($AD$2&lt;=0,"",FIFO_helper!$C$2)</f>
        <v/>
      </c>
      <c r="AQ4" s="0" t="str">
        <f aca="false">IF($AD$2&lt;=0,"",$AE$2)</f>
        <v/>
      </c>
      <c r="AR4" s="0" t="str">
        <f aca="false">IF($AD$2&lt;=0,"","PRIMERA")</f>
        <v/>
      </c>
      <c r="AS4" s="0" t="str">
        <f aca="false">IF($AD$2&lt;=0,"",$AF$2)</f>
        <v/>
      </c>
      <c r="AT4" s="0" t="str">
        <f aca="false">IF($AD$2&lt;=0,"",$AD$2)</f>
        <v/>
      </c>
      <c r="AU4" s="0" t="str">
        <f aca="false">IF($AD$2&lt;=0,"","kg")</f>
        <v/>
      </c>
      <c r="AV4" s="0" t="n">
        <f aca="false">IF($AD$2&lt;=0,0,1)</f>
        <v>0</v>
      </c>
      <c r="AW4" s="0" t="n">
        <f aca="false">AW3+AV4</f>
        <v>1</v>
      </c>
    </row>
    <row r="5" customFormat="false" ht="15" hidden="false" customHeight="false" outlineLevel="0" collapsed="false">
      <c r="A5" s="0" t="n">
        <v>4</v>
      </c>
      <c r="B5" s="0" t="n">
        <f aca="false">A5+4</f>
        <v>8</v>
      </c>
      <c r="C5" s="0" t="str">
        <f aca="false">IF(B5=5,"sem. ant.",INDEX('Balance PLANTA'!$A:$A,B5))</f>
        <v>14/07</v>
      </c>
      <c r="D5" s="0" t="n">
        <f aca="false">IF(B5=5,INDEX('Balance PLANTA'!$R:$R,B5)*15+INDEX('Balance PLANTA'!$S:$S,B5)*18+INDEX('Balance PLANTA'!$T:$T,B5)*17+INDEX('Balance PLANTA'!$U:$U,B5)*17,IFERROR(INDEX('Balance PLANTA'!$C:$C,B5)*95,0))</f>
        <v>3800</v>
      </c>
      <c r="E5" s="0" t="n">
        <f aca="false">IF(B5=5,0,IFERROR(INDEX('Balance PLANTA'!$W:$W,B5),0))</f>
        <v>7</v>
      </c>
      <c r="F5" s="0" t="n">
        <f aca="false">E5*95</f>
        <v>665</v>
      </c>
      <c r="G5" s="0" t="n">
        <f aca="false">D5-F5</f>
        <v>3135</v>
      </c>
      <c r="H5" s="0" t="n">
        <f aca="false">H4+G5</f>
        <v>9264</v>
      </c>
      <c r="I5" s="0" t="n">
        <f aca="false">IFERROR(INDEX('Balance PLANTA'!$L:$L,B5)*15+INDEX('Balance PLANTA'!$M:$M,B5)*18+INDEX('Balance PLANTA'!$N:$N,B5)*17+INDEX('Balance PLANTA'!$O:$O,B5)*17,0)</f>
        <v>3379</v>
      </c>
      <c r="J5" s="0" t="n">
        <f aca="false">J4+I5</f>
        <v>8556</v>
      </c>
      <c r="K5" s="0" t="str">
        <f aca="false">IF(INDEX('Balance PLANTA'!$J:$J,B5)=0,"",INDEX('Balance PLANTA'!$J:$J,B5))</f>
        <v>14/07</v>
      </c>
      <c r="L5" s="0" t="str">
        <f aca="false">IFERROR(INDEX('Balance PLANTA'!$K:$K,B5),"")</f>
        <v>G-2984</v>
      </c>
      <c r="Q5" s="0" t="n">
        <f aca="false">IFERROR(MATCH(H4,$J$2:$J$41,1),0)+1</f>
        <v>4</v>
      </c>
      <c r="R5" s="0" t="n">
        <f aca="false">IF(Q5&gt;40,0,MAX(0,MIN(H5,IFERROR(INDEX($J$2:$J$41,Q5),$N$1))-MAX(H4,IF(Q5=1,0,IFERROR(INDEX($J$2:$J$41,Q5-1),0)))))</f>
        <v>2427</v>
      </c>
      <c r="S5" s="0" t="str">
        <f aca="false">IF(R5&lt;=0,"",IFERROR(INDEX($K$2:$K$41,Q5),""))</f>
        <v>14/07</v>
      </c>
      <c r="T5" s="0" t="str">
        <f aca="false">IF(R5&lt;=0,"",IFERROR(INDEX($L$2:$L$41,Q5),""))</f>
        <v>G-2984</v>
      </c>
      <c r="W5" s="0" t="n">
        <f aca="false">Q5+1</f>
        <v>5</v>
      </c>
      <c r="X5" s="0" t="n">
        <f aca="false">IF(W5&gt;40,0,MAX(0,MIN(H5,IFERROR(INDEX($J$2:$J$41,W5),$N$1))-MAX(H4,IF(W5=1,0,IFERROR(INDEX($J$2:$J$41,W5-1),0)))))</f>
        <v>708</v>
      </c>
      <c r="Y5" s="0" t="str">
        <f aca="false">IF(X5&lt;=0,"",IFERROR(INDEX($K$2:$K$41,W5),""))</f>
        <v>15/07</v>
      </c>
      <c r="Z5" s="0" t="str">
        <f aca="false">IF(X5&lt;=0,"",IFERROR(INDEX($L$2:$L$41,W5),""))</f>
        <v>G-2986</v>
      </c>
      <c r="AC5" s="0" t="n">
        <f aca="false">W5+1</f>
        <v>6</v>
      </c>
      <c r="AD5" s="0" t="n">
        <f aca="false">IF(AC5&gt;40,0,MAX(0,MIN(H5,IFERROR(INDEX($J$2:$J$41,AC5),$N$1))-MAX(H4,IF(AC5=1,0,IFERROR(INDEX($J$2:$J$41,AC5-1),0)))))</f>
        <v>0</v>
      </c>
      <c r="AE5" s="0" t="str">
        <f aca="false">IF(AD5&lt;=0,"",IFERROR(INDEX($K$2:$K$41,AC5),""))</f>
        <v/>
      </c>
      <c r="AF5" s="0" t="str">
        <f aca="false">IF(AD5&lt;=0,"",IFERROR(INDEX($L$2:$L$41,AC5),""))</f>
        <v/>
      </c>
      <c r="AI5" s="0" t="n">
        <f aca="false">AC5+1</f>
        <v>7</v>
      </c>
      <c r="AJ5" s="0" t="n">
        <f aca="false">IF(AI5&gt;40,0,MAX(0,MIN(H5,IFERROR(INDEX($J$2:$J$41,AI5),$N$1))-MAX(H4,IF(AI5=1,0,IFERROR(INDEX($J$2:$J$41,AI5-1),0)))))</f>
        <v>0</v>
      </c>
      <c r="AK5" s="0" t="str">
        <f aca="false">IF(AJ5&lt;=0,"",IFERROR(INDEX($K$2:$K$41,AI5),""))</f>
        <v/>
      </c>
      <c r="AL5" s="0" t="str">
        <f aca="false">IF(AJ5&lt;=0,"",IFERROR(INDEX($L$2:$L$41,AI5),""))</f>
        <v/>
      </c>
      <c r="AN5" s="0" t="n">
        <f aca="false">MAX(0,H5-MAX(H4,$N$1))</f>
        <v>0</v>
      </c>
      <c r="AP5" s="0" t="str">
        <f aca="false">IF($AJ$2&lt;=0,"",FIFO_helper!$C$2)</f>
        <v/>
      </c>
      <c r="AQ5" s="0" t="str">
        <f aca="false">IF($AJ$2&lt;=0,"",$AK$2)</f>
        <v/>
      </c>
      <c r="AR5" s="0" t="str">
        <f aca="false">IF($AJ$2&lt;=0,"","PRIMERA")</f>
        <v/>
      </c>
      <c r="AS5" s="0" t="str">
        <f aca="false">IF($AJ$2&lt;=0,"",$AL$2)</f>
        <v/>
      </c>
      <c r="AT5" s="0" t="str">
        <f aca="false">IF($AJ$2&lt;=0,"",$AJ$2)</f>
        <v/>
      </c>
      <c r="AU5" s="0" t="str">
        <f aca="false">IF($AJ$2&lt;=0,"","kg")</f>
        <v/>
      </c>
      <c r="AV5" s="0" t="n">
        <f aca="false">IF($AJ$2&lt;=0,0,1)</f>
        <v>0</v>
      </c>
      <c r="AW5" s="0" t="n">
        <f aca="false">AW4+AV5</f>
        <v>1</v>
      </c>
    </row>
    <row r="6" customFormat="false" ht="15" hidden="false" customHeight="false" outlineLevel="0" collapsed="false">
      <c r="A6" s="0" t="n">
        <v>5</v>
      </c>
      <c r="B6" s="0" t="n">
        <f aca="false">A6+4</f>
        <v>9</v>
      </c>
      <c r="C6" s="0" t="str">
        <f aca="false">IF(B6=5,"sem. ant.",INDEX('Balance PLANTA'!$A:$A,B6))</f>
        <v>15/07</v>
      </c>
      <c r="D6" s="0" t="n">
        <f aca="false">IF(B6=5,INDEX('Balance PLANTA'!$R:$R,B6)*15+INDEX('Balance PLANTA'!$S:$S,B6)*18+INDEX('Balance PLANTA'!$T:$T,B6)*17+INDEX('Balance PLANTA'!$U:$U,B6)*17,IFERROR(INDEX('Balance PLANTA'!$C:$C,B6)*95,0))</f>
        <v>3800</v>
      </c>
      <c r="E6" s="0" t="n">
        <f aca="false">IF(B6=5,0,IFERROR(INDEX('Balance PLANTA'!$W:$W,B6),0))</f>
        <v>5</v>
      </c>
      <c r="F6" s="0" t="n">
        <f aca="false">E6*95</f>
        <v>475</v>
      </c>
      <c r="G6" s="0" t="n">
        <f aca="false">D6-F6</f>
        <v>3325</v>
      </c>
      <c r="H6" s="0" t="n">
        <f aca="false">H5+G6</f>
        <v>12589</v>
      </c>
      <c r="I6" s="0" t="n">
        <f aca="false">IFERROR(INDEX('Balance PLANTA'!$L:$L,B6)*15+INDEX('Balance PLANTA'!$M:$M,B6)*18+INDEX('Balance PLANTA'!$N:$N,B6)*17+INDEX('Balance PLANTA'!$O:$O,B6)*17,0)</f>
        <v>2971</v>
      </c>
      <c r="J6" s="0" t="n">
        <f aca="false">J5+I6</f>
        <v>11527</v>
      </c>
      <c r="K6" s="0" t="str">
        <f aca="false">IF(INDEX('Balance PLANTA'!$J:$J,B6)=0,"",INDEX('Balance PLANTA'!$J:$J,B6))</f>
        <v>15/07</v>
      </c>
      <c r="L6" s="0" t="str">
        <f aca="false">IFERROR(INDEX('Balance PLANTA'!$K:$K,B6),"")</f>
        <v>G-2986</v>
      </c>
      <c r="Q6" s="0" t="n">
        <f aca="false">IFERROR(MATCH(H5,$J$2:$J$41,1),0)+1</f>
        <v>5</v>
      </c>
      <c r="R6" s="0" t="n">
        <f aca="false">IF(Q6&gt;40,0,MAX(0,MIN(H6,IFERROR(INDEX($J$2:$J$41,Q6),$N$1))-MAX(H5,IF(Q6=1,0,IFERROR(INDEX($J$2:$J$41,Q6-1),0)))))</f>
        <v>2263</v>
      </c>
      <c r="S6" s="0" t="str">
        <f aca="false">IF(R6&lt;=0,"",IFERROR(INDEX($K$2:$K$41,Q6),""))</f>
        <v>15/07</v>
      </c>
      <c r="T6" s="0" t="str">
        <f aca="false">IF(R6&lt;=0,"",IFERROR(INDEX($L$2:$L$41,Q6),""))</f>
        <v>G-2986</v>
      </c>
      <c r="W6" s="0" t="n">
        <f aca="false">Q6+1</f>
        <v>6</v>
      </c>
      <c r="X6" s="0" t="n">
        <f aca="false">IF(W6&gt;40,0,MAX(0,MIN(H6,IFERROR(INDEX($J$2:$J$41,W6),$N$1))-MAX(H5,IF(W6=1,0,IFERROR(INDEX($J$2:$J$41,W6-1),0)))))</f>
        <v>1062</v>
      </c>
      <c r="Y6" s="0" t="str">
        <f aca="false">IF(X6&lt;=0,"",IFERROR(INDEX($K$2:$K$41,W6),""))</f>
        <v>16/07</v>
      </c>
      <c r="Z6" s="0" t="str">
        <f aca="false">IF(X6&lt;=0,"",IFERROR(INDEX($L$2:$L$41,W6),""))</f>
        <v>G-2992</v>
      </c>
      <c r="AC6" s="0" t="n">
        <f aca="false">W6+1</f>
        <v>7</v>
      </c>
      <c r="AD6" s="0" t="n">
        <f aca="false">IF(AC6&gt;40,0,MAX(0,MIN(H6,IFERROR(INDEX($J$2:$J$41,AC6),$N$1))-MAX(H5,IF(AC6=1,0,IFERROR(INDEX($J$2:$J$41,AC6-1),0)))))</f>
        <v>0</v>
      </c>
      <c r="AE6" s="0" t="str">
        <f aca="false">IF(AD6&lt;=0,"",IFERROR(INDEX($K$2:$K$41,AC6),""))</f>
        <v/>
      </c>
      <c r="AF6" s="0" t="str">
        <f aca="false">IF(AD6&lt;=0,"",IFERROR(INDEX($L$2:$L$41,AC6),""))</f>
        <v/>
      </c>
      <c r="AI6" s="0" t="n">
        <f aca="false">AC6+1</f>
        <v>8</v>
      </c>
      <c r="AJ6" s="0" t="n">
        <f aca="false">IF(AI6&gt;40,0,MAX(0,MIN(H6,IFERROR(INDEX($J$2:$J$41,AI6),$N$1))-MAX(H5,IF(AI6=1,0,IFERROR(INDEX($J$2:$J$41,AI6-1),0)))))</f>
        <v>0</v>
      </c>
      <c r="AK6" s="0" t="str">
        <f aca="false">IF(AJ6&lt;=0,"",IFERROR(INDEX($K$2:$K$41,AI6),""))</f>
        <v/>
      </c>
      <c r="AL6" s="0" t="str">
        <f aca="false">IF(AJ6&lt;=0,"",IFERROR(INDEX($L$2:$L$41,AI6),""))</f>
        <v/>
      </c>
      <c r="AN6" s="0" t="n">
        <f aca="false">MAX(0,H6-MAX(H5,$N$1))</f>
        <v>0</v>
      </c>
      <c r="AP6" s="0" t="str">
        <f aca="false">IF($AN$2&lt;=0,"",FIFO_helper!$C$2)</f>
        <v/>
      </c>
      <c r="AQ6" s="0" t="str">
        <f aca="false">IF($AN$2&lt;=0,"","(queda en planta)")</f>
        <v/>
      </c>
      <c r="AR6" s="0" t="str">
        <f aca="false">IF($AN$2&lt;=0,"","PRIMERA")</f>
        <v/>
      </c>
      <c r="AS6" s="0" t="str">
        <f aca="false">""</f>
        <v/>
      </c>
      <c r="AT6" s="0" t="str">
        <f aca="false">IF($AN$2&lt;=0,"",$AN$2)</f>
        <v/>
      </c>
      <c r="AU6" s="0" t="str">
        <f aca="false">IF($AN$2&lt;=0,"","kg")</f>
        <v/>
      </c>
      <c r="AV6" s="0" t="n">
        <f aca="false">IF($AN$2&lt;=0,0,1)</f>
        <v>0</v>
      </c>
      <c r="AW6" s="0" t="n">
        <f aca="false">AW5+AV6</f>
        <v>1</v>
      </c>
    </row>
    <row r="7" customFormat="false" ht="15" hidden="false" customHeight="false" outlineLevel="0" collapsed="false">
      <c r="A7" s="0" t="n">
        <v>6</v>
      </c>
      <c r="B7" s="0" t="n">
        <f aca="false">A7+4</f>
        <v>10</v>
      </c>
      <c r="C7" s="0" t="str">
        <f aca="false">IF(B7=5,"sem. ant.",INDEX('Balance PLANTA'!$A:$A,B7))</f>
        <v>16/07</v>
      </c>
      <c r="D7" s="0" t="n">
        <f aca="false">IF(B7=5,INDEX('Balance PLANTA'!$R:$R,B7)*15+INDEX('Balance PLANTA'!$S:$S,B7)*18+INDEX('Balance PLANTA'!$T:$T,B7)*17+INDEX('Balance PLANTA'!$U:$U,B7)*17,IFERROR(INDEX('Balance PLANTA'!$C:$C,B7)*95,0))</f>
        <v>3800</v>
      </c>
      <c r="E7" s="0" t="n">
        <f aca="false">IF(B7=5,0,IFERROR(INDEX('Balance PLANTA'!$W:$W,B7),0))</f>
        <v>4</v>
      </c>
      <c r="F7" s="0" t="n">
        <f aca="false">E7*95</f>
        <v>380</v>
      </c>
      <c r="G7" s="0" t="n">
        <f aca="false">D7-F7</f>
        <v>3420</v>
      </c>
      <c r="H7" s="0" t="n">
        <f aca="false">H6+G7</f>
        <v>16009</v>
      </c>
      <c r="I7" s="0" t="n">
        <f aca="false">IFERROR(INDEX('Balance PLANTA'!$L:$L,B7)*15+INDEX('Balance PLANTA'!$M:$M,B7)*18+INDEX('Balance PLANTA'!$N:$N,B7)*17+INDEX('Balance PLANTA'!$O:$O,B7)*17,0)</f>
        <v>3302</v>
      </c>
      <c r="J7" s="0" t="n">
        <f aca="false">J6+I7</f>
        <v>14829</v>
      </c>
      <c r="K7" s="0" t="str">
        <f aca="false">IF(INDEX('Balance PLANTA'!$J:$J,B7)=0,"",INDEX('Balance PLANTA'!$J:$J,B7))</f>
        <v>16/07</v>
      </c>
      <c r="L7" s="0" t="str">
        <f aca="false">IFERROR(INDEX('Balance PLANTA'!$K:$K,B7),"")</f>
        <v>G-2992</v>
      </c>
      <c r="Q7" s="0" t="n">
        <f aca="false">IFERROR(MATCH(H6,$J$2:$J$41,1),0)+1</f>
        <v>6</v>
      </c>
      <c r="R7" s="0" t="n">
        <f aca="false">IF(Q7&gt;40,0,MAX(0,MIN(H7,IFERROR(INDEX($J$2:$J$41,Q7),$N$1))-MAX(H6,IF(Q7=1,0,IFERROR(INDEX($J$2:$J$41,Q7-1),0)))))</f>
        <v>2240</v>
      </c>
      <c r="S7" s="0" t="str">
        <f aca="false">IF(R7&lt;=0,"",IFERROR(INDEX($K$2:$K$41,Q7),""))</f>
        <v>16/07</v>
      </c>
      <c r="T7" s="0" t="str">
        <f aca="false">IF(R7&lt;=0,"",IFERROR(INDEX($L$2:$L$41,Q7),""))</f>
        <v>G-2992</v>
      </c>
      <c r="W7" s="0" t="n">
        <f aca="false">Q7+1</f>
        <v>7</v>
      </c>
      <c r="X7" s="0" t="n">
        <f aca="false">IF(W7&gt;40,0,MAX(0,MIN(H7,IFERROR(INDEX($J$2:$J$41,W7),$N$1))-MAX(H6,IF(W7=1,0,IFERROR(INDEX($J$2:$J$41,W7-1),0)))))</f>
        <v>1180</v>
      </c>
      <c r="Y7" s="0" t="str">
        <f aca="false">IF(X7&lt;=0,"",IFERROR(INDEX($K$2:$K$41,W7),""))</f>
        <v>17/07</v>
      </c>
      <c r="Z7" s="0" t="str">
        <f aca="false">IF(X7&lt;=0,"",IFERROR(INDEX($L$2:$L$41,W7),""))</f>
        <v>G-2994</v>
      </c>
      <c r="AC7" s="0" t="n">
        <f aca="false">W7+1</f>
        <v>8</v>
      </c>
      <c r="AD7" s="0" t="n">
        <f aca="false">IF(AC7&gt;40,0,MAX(0,MIN(H7,IFERROR(INDEX($J$2:$J$41,AC7),$N$1))-MAX(H6,IF(AC7=1,0,IFERROR(INDEX($J$2:$J$41,AC7-1),0)))))</f>
        <v>0</v>
      </c>
      <c r="AE7" s="0" t="str">
        <f aca="false">IF(AD7&lt;=0,"",IFERROR(INDEX($K$2:$K$41,AC7),""))</f>
        <v/>
      </c>
      <c r="AF7" s="0" t="str">
        <f aca="false">IF(AD7&lt;=0,"",IFERROR(INDEX($L$2:$L$41,AC7),""))</f>
        <v/>
      </c>
      <c r="AI7" s="0" t="n">
        <f aca="false">AC7+1</f>
        <v>9</v>
      </c>
      <c r="AJ7" s="0" t="n">
        <f aca="false">IF(AI7&gt;40,0,MAX(0,MIN(H7,IFERROR(INDEX($J$2:$J$41,AI7),$N$1))-MAX(H6,IF(AI7=1,0,IFERROR(INDEX($J$2:$J$41,AI7-1),0)))))</f>
        <v>0</v>
      </c>
      <c r="AK7" s="0" t="str">
        <f aca="false">IF(AJ7&lt;=0,"",IFERROR(INDEX($K$2:$K$41,AI7),""))</f>
        <v/>
      </c>
      <c r="AL7" s="0" t="str">
        <f aca="false">IF(AJ7&lt;=0,"",IFERROR(INDEX($L$2:$L$41,AI7),""))</f>
        <v/>
      </c>
      <c r="AN7" s="0" t="n">
        <f aca="false">MAX(0,H7-MAX(H6,$N$1))</f>
        <v>0</v>
      </c>
      <c r="AP7" s="0" t="str">
        <f aca="false">IF($E$2&lt;=0,"",FIFO_helper!$C$2)</f>
        <v/>
      </c>
      <c r="AQ7" s="0" t="str">
        <f aca="false">IF($E$2&lt;=0,"","↳ Chancho (prod.)")</f>
        <v/>
      </c>
      <c r="AR7" s="0" t="str">
        <f aca="false">IF($E$2&lt;=0,"","CHANCHO")</f>
        <v/>
      </c>
      <c r="AS7" s="0" t="str">
        <f aca="false">""</f>
        <v/>
      </c>
      <c r="AT7" s="0" t="str">
        <f aca="false">IF($E$2&lt;=0,"",$E$2)</f>
        <v/>
      </c>
      <c r="AU7" s="0" t="str">
        <f aca="false">IF($E$2&lt;=0,"","sacos")</f>
        <v/>
      </c>
      <c r="AV7" s="0" t="n">
        <f aca="false">IF($E$2&lt;=0,0,1)</f>
        <v>0</v>
      </c>
      <c r="AW7" s="0" t="n">
        <f aca="false">AW6+AV7</f>
        <v>1</v>
      </c>
    </row>
    <row r="8" customFormat="false" ht="15" hidden="false" customHeight="false" outlineLevel="0" collapsed="false">
      <c r="A8" s="0" t="n">
        <v>7</v>
      </c>
      <c r="B8" s="0" t="n">
        <f aca="false">A8+4</f>
        <v>11</v>
      </c>
      <c r="C8" s="0" t="str">
        <f aca="false">IF(B8=5,"sem. ant.",INDEX('Balance PLANTA'!$A:$A,B8))</f>
        <v>17/07</v>
      </c>
      <c r="D8" s="0" t="n">
        <f aca="false">IF(B8=5,INDEX('Balance PLANTA'!$R:$R,B8)*15+INDEX('Balance PLANTA'!$S:$S,B8)*18+INDEX('Balance PLANTA'!$T:$T,B8)*17+INDEX('Balance PLANTA'!$U:$U,B8)*17,IFERROR(INDEX('Balance PLANTA'!$C:$C,B8)*95,0))</f>
        <v>5700</v>
      </c>
      <c r="E8" s="0" t="n">
        <f aca="false">IF(B8=5,0,IFERROR(INDEX('Balance PLANTA'!$W:$W,B8),0))</f>
        <v>10</v>
      </c>
      <c r="F8" s="0" t="n">
        <f aca="false">E8*95</f>
        <v>950</v>
      </c>
      <c r="G8" s="0" t="n">
        <f aca="false">D8-F8</f>
        <v>4750</v>
      </c>
      <c r="H8" s="0" t="n">
        <f aca="false">H7+G8</f>
        <v>20759</v>
      </c>
      <c r="I8" s="0" t="n">
        <f aca="false">IFERROR(INDEX('Balance PLANTA'!$L:$L,B8)*15+INDEX('Balance PLANTA'!$M:$M,B8)*18+INDEX('Balance PLANTA'!$N:$N,B8)*17+INDEX('Balance PLANTA'!$O:$O,B8)*17,0)</f>
        <v>3413</v>
      </c>
      <c r="J8" s="0" t="n">
        <f aca="false">J7+I8</f>
        <v>18242</v>
      </c>
      <c r="K8" s="0" t="str">
        <f aca="false">IF(INDEX('Balance PLANTA'!$J:$J,B8)=0,"",INDEX('Balance PLANTA'!$J:$J,B8))</f>
        <v>17/07</v>
      </c>
      <c r="L8" s="0" t="str">
        <f aca="false">IFERROR(INDEX('Balance PLANTA'!$K:$K,B8),"")</f>
        <v>G-2994</v>
      </c>
      <c r="Q8" s="0" t="n">
        <f aca="false">IFERROR(MATCH(H7,$J$2:$J$41,1),0)+1</f>
        <v>7</v>
      </c>
      <c r="R8" s="0" t="n">
        <f aca="false">IF(Q8&gt;40,0,MAX(0,MIN(H8,IFERROR(INDEX($J$2:$J$41,Q8),$N$1))-MAX(H7,IF(Q8=1,0,IFERROR(INDEX($J$2:$J$41,Q8-1),0)))))</f>
        <v>2233</v>
      </c>
      <c r="S8" s="0" t="str">
        <f aca="false">IF(R8&lt;=0,"",IFERROR(INDEX($K$2:$K$41,Q8),""))</f>
        <v>17/07</v>
      </c>
      <c r="T8" s="0" t="str">
        <f aca="false">IF(R8&lt;=0,"",IFERROR(INDEX($L$2:$L$41,Q8),""))</f>
        <v>G-2994</v>
      </c>
      <c r="W8" s="0" t="n">
        <f aca="false">Q8+1</f>
        <v>8</v>
      </c>
      <c r="X8" s="0" t="n">
        <f aca="false">IF(W8&gt;40,0,MAX(0,MIN(H8,IFERROR(INDEX($J$2:$J$41,W8),$N$1))-MAX(H7,IF(W8=1,0,IFERROR(INDEX($J$2:$J$41,W8-1),0)))))</f>
        <v>0</v>
      </c>
      <c r="Y8" s="0" t="str">
        <f aca="false">IF(X8&lt;=0,"",IFERROR(INDEX($K$2:$K$41,W8),""))</f>
        <v/>
      </c>
      <c r="Z8" s="0" t="str">
        <f aca="false">IF(X8&lt;=0,"",IFERROR(INDEX($L$2:$L$41,W8),""))</f>
        <v/>
      </c>
      <c r="AC8" s="0" t="n">
        <f aca="false">W8+1</f>
        <v>9</v>
      </c>
      <c r="AD8" s="0" t="n">
        <f aca="false">IF(AC8&gt;40,0,MAX(0,MIN(H8,IFERROR(INDEX($J$2:$J$41,AC8),$N$1))-MAX(H7,IF(AC8=1,0,IFERROR(INDEX($J$2:$J$41,AC8-1),0)))))</f>
        <v>2517</v>
      </c>
      <c r="AE8" s="0" t="str">
        <f aca="false">IF(AD8&lt;=0,"",IFERROR(INDEX($K$2:$K$41,AC8),""))</f>
        <v>18/07</v>
      </c>
      <c r="AF8" s="0" t="str">
        <f aca="false">IF(AD8&lt;=0,"",IFERROR(INDEX($L$2:$L$41,AC8),""))</f>
        <v>G-2996</v>
      </c>
      <c r="AI8" s="0" t="n">
        <f aca="false">AC8+1</f>
        <v>10</v>
      </c>
      <c r="AJ8" s="0" t="n">
        <f aca="false">IF(AI8&gt;40,0,MAX(0,MIN(H8,IFERROR(INDEX($J$2:$J$41,AI8),$N$1))-MAX(H7,IF(AI8=1,0,IFERROR(INDEX($J$2:$J$41,AI8-1),0)))))</f>
        <v>0</v>
      </c>
      <c r="AK8" s="0" t="str">
        <f aca="false">IF(AJ8&lt;=0,"",IFERROR(INDEX($K$2:$K$41,AI8),""))</f>
        <v/>
      </c>
      <c r="AL8" s="0" t="str">
        <f aca="false">IF(AJ8&lt;=0,"",IFERROR(INDEX($L$2:$L$41,AI8),""))</f>
        <v/>
      </c>
      <c r="AN8" s="0" t="n">
        <f aca="false">MAX(0,H8-MAX(H7,$N$1))</f>
        <v>0</v>
      </c>
      <c r="AP8" s="0" t="str">
        <f aca="false">IF($R$3&lt;=0,"",FIFO_helper!$C$3)</f>
        <v>12/07</v>
      </c>
      <c r="AQ8" s="0" t="str">
        <f aca="false">IF($R$3&lt;=0,"",$S$3)</f>
        <v>12/07</v>
      </c>
      <c r="AR8" s="0" t="str">
        <f aca="false">IF($R$3&lt;=0,"","PRIMERA")</f>
        <v>PRIMERA</v>
      </c>
      <c r="AS8" s="0" t="str">
        <f aca="false">IF($R$3&lt;=0,"",$T$3)</f>
        <v>G-2977</v>
      </c>
      <c r="AT8" s="0" t="n">
        <f aca="false">IF($R$3&lt;=0,"",$R$3)</f>
        <v>1882</v>
      </c>
      <c r="AU8" s="0" t="str">
        <f aca="false">IF($R$3&lt;=0,"","kg")</f>
        <v>kg</v>
      </c>
      <c r="AV8" s="0" t="n">
        <f aca="false">IF($R$3&lt;=0,0,1)</f>
        <v>1</v>
      </c>
      <c r="AW8" s="0" t="n">
        <f aca="false">AW7+AV8</f>
        <v>2</v>
      </c>
    </row>
    <row r="9" customFormat="false" ht="15" hidden="false" customHeight="false" outlineLevel="0" collapsed="false">
      <c r="A9" s="0" t="n">
        <v>8</v>
      </c>
      <c r="B9" s="0" t="n">
        <f aca="false">A9+4</f>
        <v>12</v>
      </c>
      <c r="C9" s="0" t="str">
        <f aca="false">IF(B9=5,"sem. ant.",INDEX('Balance PLANTA'!$A:$A,B9))</f>
        <v>17/07</v>
      </c>
      <c r="D9" s="0" t="n">
        <f aca="false">IF(B9=5,INDEX('Balance PLANTA'!$R:$R,B9)*15+INDEX('Balance PLANTA'!$S:$S,B9)*18+INDEX('Balance PLANTA'!$T:$T,B9)*17+INDEX('Balance PLANTA'!$U:$U,B9)*17,IFERROR(INDEX('Balance PLANTA'!$C:$C,B9)*95,0))</f>
        <v>475</v>
      </c>
      <c r="E9" s="0" t="n">
        <f aca="false">IF(B9=5,0,IFERROR(INDEX('Balance PLANTA'!$W:$W,B9),0))</f>
        <v>1</v>
      </c>
      <c r="F9" s="0" t="n">
        <f aca="false">E9*95</f>
        <v>95</v>
      </c>
      <c r="G9" s="0" t="n">
        <f aca="false">D9-F9</f>
        <v>380</v>
      </c>
      <c r="H9" s="0" t="n">
        <f aca="false">H8+G9</f>
        <v>21139</v>
      </c>
      <c r="I9" s="0" t="n">
        <f aca="false">IFERROR(INDEX('Balance PLANTA'!$L:$L,B9)*15+INDEX('Balance PLANTA'!$M:$M,B9)*18+INDEX('Balance PLANTA'!$N:$N,B9)*17+INDEX('Balance PLANTA'!$O:$O,B9)*17,0)</f>
        <v>0</v>
      </c>
      <c r="J9" s="0" t="n">
        <f aca="false">J8+I9</f>
        <v>18242</v>
      </c>
      <c r="K9" s="0" t="str">
        <f aca="false">IF(INDEX('Balance PLANTA'!$J:$J,B9)=0,"",INDEX('Balance PLANTA'!$J:$J,B9))</f>
        <v>17/07</v>
      </c>
      <c r="L9" s="0" t="n">
        <f aca="false">IFERROR(INDEX('Balance PLANTA'!$K:$K,B9),"")</f>
        <v>0</v>
      </c>
      <c r="Q9" s="0" t="n">
        <f aca="false">IFERROR(MATCH(H8,$J$2:$J$41,1),0)+1</f>
        <v>9</v>
      </c>
      <c r="R9" s="0" t="n">
        <f aca="false">IF(Q9&gt;40,0,MAX(0,MIN(H9,IFERROR(INDEX($J$2:$J$41,Q9),$N$1))-MAX(H8,IF(Q9=1,0,IFERROR(INDEX($J$2:$J$41,Q9-1),0)))))</f>
        <v>380</v>
      </c>
      <c r="S9" s="0" t="str">
        <f aca="false">IF(R9&lt;=0,"",IFERROR(INDEX($K$2:$K$41,Q9),""))</f>
        <v>18/07</v>
      </c>
      <c r="T9" s="0" t="str">
        <f aca="false">IF(R9&lt;=0,"",IFERROR(INDEX($L$2:$L$41,Q9),""))</f>
        <v>G-2996</v>
      </c>
      <c r="W9" s="0" t="n">
        <f aca="false">Q9+1</f>
        <v>10</v>
      </c>
      <c r="X9" s="0" t="n">
        <f aca="false">IF(W9&gt;40,0,MAX(0,MIN(H9,IFERROR(INDEX($J$2:$J$41,W9),$N$1))-MAX(H8,IF(W9=1,0,IFERROR(INDEX($J$2:$J$41,W9-1),0)))))</f>
        <v>0</v>
      </c>
      <c r="Y9" s="0" t="str">
        <f aca="false">IF(X9&lt;=0,"",IFERROR(INDEX($K$2:$K$41,W9),""))</f>
        <v/>
      </c>
      <c r="Z9" s="0" t="str">
        <f aca="false">IF(X9&lt;=0,"",IFERROR(INDEX($L$2:$L$41,W9),""))</f>
        <v/>
      </c>
      <c r="AC9" s="0" t="n">
        <f aca="false">W9+1</f>
        <v>11</v>
      </c>
      <c r="AD9" s="0" t="n">
        <f aca="false">IF(AC9&gt;40,0,MAX(0,MIN(H9,IFERROR(INDEX($J$2:$J$41,AC9),$N$1))-MAX(H8,IF(AC9=1,0,IFERROR(INDEX($J$2:$J$41,AC9-1),0)))))</f>
        <v>0</v>
      </c>
      <c r="AE9" s="0" t="str">
        <f aca="false">IF(AD9&lt;=0,"",IFERROR(INDEX($K$2:$K$41,AC9),""))</f>
        <v/>
      </c>
      <c r="AF9" s="0" t="str">
        <f aca="false">IF(AD9&lt;=0,"",IFERROR(INDEX($L$2:$L$41,AC9),""))</f>
        <v/>
      </c>
      <c r="AI9" s="0" t="n">
        <f aca="false">AC9+1</f>
        <v>12</v>
      </c>
      <c r="AJ9" s="0" t="n">
        <f aca="false">IF(AI9&gt;40,0,MAX(0,MIN(H9,IFERROR(INDEX($J$2:$J$41,AI9),$N$1))-MAX(H8,IF(AI9=1,0,IFERROR(INDEX($J$2:$J$41,AI9-1),0)))))</f>
        <v>0</v>
      </c>
      <c r="AK9" s="0" t="str">
        <f aca="false">IF(AJ9&lt;=0,"",IFERROR(INDEX($K$2:$K$41,AI9),""))</f>
        <v/>
      </c>
      <c r="AL9" s="0" t="str">
        <f aca="false">IF(AJ9&lt;=0,"",IFERROR(INDEX($L$2:$L$41,AI9),""))</f>
        <v/>
      </c>
      <c r="AN9" s="0" t="n">
        <f aca="false">MAX(0,H9-MAX(H8,$N$1))</f>
        <v>0</v>
      </c>
      <c r="AP9" s="0" t="str">
        <f aca="false">IF($X$3&lt;=0,"",FIFO_helper!$C$3)</f>
        <v>12/07</v>
      </c>
      <c r="AQ9" s="0" t="str">
        <f aca="false">IF($X$3&lt;=0,"",$Y$3)</f>
        <v>13/07</v>
      </c>
      <c r="AR9" s="0" t="str">
        <f aca="false">IF($X$3&lt;=0,"","PRIMERA")</f>
        <v>PRIMERA</v>
      </c>
      <c r="AS9" s="0" t="str">
        <f aca="false">IF($X$3&lt;=0,"",$Z$3)</f>
        <v>G-2980</v>
      </c>
      <c r="AT9" s="0" t="n">
        <f aca="false">IF($X$3&lt;=0,"",$X$3)</f>
        <v>398</v>
      </c>
      <c r="AU9" s="0" t="str">
        <f aca="false">IF($X$3&lt;=0,"","kg")</f>
        <v>kg</v>
      </c>
      <c r="AV9" s="0" t="n">
        <f aca="false">IF($X$3&lt;=0,0,1)</f>
        <v>1</v>
      </c>
      <c r="AW9" s="0" t="n">
        <f aca="false">AW8+AV9</f>
        <v>3</v>
      </c>
    </row>
    <row r="10" customFormat="false" ht="15" hidden="false" customHeight="false" outlineLevel="0" collapsed="false">
      <c r="A10" s="0" t="n">
        <v>9</v>
      </c>
      <c r="B10" s="0" t="n">
        <f aca="false">A10+4</f>
        <v>13</v>
      </c>
      <c r="C10" s="0" t="n">
        <f aca="false">IF(B10=5,"sem. ant.",INDEX('Balance PLANTA'!$A:$A,B10))</f>
        <v>0</v>
      </c>
      <c r="D10" s="0" t="n">
        <f aca="false">IF(B10=5,INDEX('Balance PLANTA'!$R:$R,B10)*15+INDEX('Balance PLANTA'!$S:$S,B10)*18+INDEX('Balance PLANTA'!$T:$T,B10)*17+INDEX('Balance PLANTA'!$U:$U,B10)*17,IFERROR(INDEX('Balance PLANTA'!$C:$C,B10)*95,0))</f>
        <v>0</v>
      </c>
      <c r="E10" s="0" t="n">
        <f aca="false">IF(B10=5,0,IFERROR(INDEX('Balance PLANTA'!$W:$W,B10),0))</f>
        <v>0</v>
      </c>
      <c r="F10" s="0" t="n">
        <f aca="false">E10*95</f>
        <v>0</v>
      </c>
      <c r="G10" s="0" t="n">
        <f aca="false">D10-F10</f>
        <v>0</v>
      </c>
      <c r="H10" s="0" t="n">
        <f aca="false">H9+G10</f>
        <v>21139</v>
      </c>
      <c r="I10" s="0" t="n">
        <f aca="false">IFERROR(INDEX('Balance PLANTA'!$L:$L,B10)*15+INDEX('Balance PLANTA'!$M:$M,B10)*18+INDEX('Balance PLANTA'!$N:$N,B10)*17+INDEX('Balance PLANTA'!$O:$O,B10)*17,0)</f>
        <v>3168</v>
      </c>
      <c r="J10" s="0" t="n">
        <f aca="false">J9+I10</f>
        <v>21410</v>
      </c>
      <c r="K10" s="0" t="str">
        <f aca="false">IF(INDEX('Balance PLANTA'!$J:$J,B10)=0,"",INDEX('Balance PLANTA'!$J:$J,B10))</f>
        <v>18/07</v>
      </c>
      <c r="L10" s="0" t="str">
        <f aca="false">IFERROR(INDEX('Balance PLANTA'!$K:$K,B10),"")</f>
        <v>G-2996</v>
      </c>
      <c r="Q10" s="0" t="n">
        <f aca="false">IFERROR(MATCH(H9,$J$2:$J$41,1),0)+1</f>
        <v>9</v>
      </c>
      <c r="R10" s="0" t="n">
        <f aca="false">IF(Q10&gt;40,0,MAX(0,MIN(H10,IFERROR(INDEX($J$2:$J$41,Q10),$N$1))-MAX(H9,IF(Q10=1,0,IFERROR(INDEX($J$2:$J$41,Q10-1),0)))))</f>
        <v>0</v>
      </c>
      <c r="S10" s="0" t="str">
        <f aca="false">IF(R10&lt;=0,"",IFERROR(INDEX($K$2:$K$41,Q10),""))</f>
        <v/>
      </c>
      <c r="T10" s="0" t="str">
        <f aca="false">IF(R10&lt;=0,"",IFERROR(INDEX($L$2:$L$41,Q10),""))</f>
        <v/>
      </c>
      <c r="W10" s="0" t="n">
        <f aca="false">Q10+1</f>
        <v>10</v>
      </c>
      <c r="X10" s="0" t="n">
        <f aca="false">IF(W10&gt;40,0,MAX(0,MIN(H10,IFERROR(INDEX($J$2:$J$41,W10),$N$1))-MAX(H9,IF(W10=1,0,IFERROR(INDEX($J$2:$J$41,W10-1),0)))))</f>
        <v>0</v>
      </c>
      <c r="Y10" s="0" t="str">
        <f aca="false">IF(X10&lt;=0,"",IFERROR(INDEX($K$2:$K$41,W10),""))</f>
        <v/>
      </c>
      <c r="Z10" s="0" t="str">
        <f aca="false">IF(X10&lt;=0,"",IFERROR(INDEX($L$2:$L$41,W10),""))</f>
        <v/>
      </c>
      <c r="AC10" s="0" t="n">
        <f aca="false">W10+1</f>
        <v>11</v>
      </c>
      <c r="AD10" s="0" t="n">
        <f aca="false">IF(AC10&gt;40,0,MAX(0,MIN(H10,IFERROR(INDEX($J$2:$J$41,AC10),$N$1))-MAX(H9,IF(AC10=1,0,IFERROR(INDEX($J$2:$J$41,AC10-1),0)))))</f>
        <v>0</v>
      </c>
      <c r="AE10" s="0" t="str">
        <f aca="false">IF(AD10&lt;=0,"",IFERROR(INDEX($K$2:$K$41,AC10),""))</f>
        <v/>
      </c>
      <c r="AF10" s="0" t="str">
        <f aca="false">IF(AD10&lt;=0,"",IFERROR(INDEX($L$2:$L$41,AC10),""))</f>
        <v/>
      </c>
      <c r="AI10" s="0" t="n">
        <f aca="false">AC10+1</f>
        <v>12</v>
      </c>
      <c r="AJ10" s="0" t="n">
        <f aca="false">IF(AI10&gt;40,0,MAX(0,MIN(H10,IFERROR(INDEX($J$2:$J$41,AI10),$N$1))-MAX(H9,IF(AI10=1,0,IFERROR(INDEX($J$2:$J$41,AI10-1),0)))))</f>
        <v>0</v>
      </c>
      <c r="AK10" s="0" t="str">
        <f aca="false">IF(AJ10&lt;=0,"",IFERROR(INDEX($K$2:$K$41,AI10),""))</f>
        <v/>
      </c>
      <c r="AL10" s="0" t="str">
        <f aca="false">IF(AJ10&lt;=0,"",IFERROR(INDEX($L$2:$L$41,AI10),""))</f>
        <v/>
      </c>
      <c r="AN10" s="0" t="n">
        <f aca="false">MAX(0,H10-MAX(H9,$N$1))</f>
        <v>0</v>
      </c>
      <c r="AP10" s="0" t="str">
        <f aca="false">IF($AD$3&lt;=0,"",FIFO_helper!$C$3)</f>
        <v/>
      </c>
      <c r="AQ10" s="0" t="str">
        <f aca="false">IF($AD$3&lt;=0,"",$AE$3)</f>
        <v/>
      </c>
      <c r="AR10" s="0" t="str">
        <f aca="false">IF($AD$3&lt;=0,"","PRIMERA")</f>
        <v/>
      </c>
      <c r="AS10" s="0" t="str">
        <f aca="false">IF($AD$3&lt;=0,"",$AF$3)</f>
        <v/>
      </c>
      <c r="AT10" s="0" t="str">
        <f aca="false">IF($AD$3&lt;=0,"",$AD$3)</f>
        <v/>
      </c>
      <c r="AU10" s="0" t="str">
        <f aca="false">IF($AD$3&lt;=0,"","kg")</f>
        <v/>
      </c>
      <c r="AV10" s="0" t="n">
        <f aca="false">IF($AD$3&lt;=0,0,1)</f>
        <v>0</v>
      </c>
      <c r="AW10" s="0" t="n">
        <f aca="false">AW9+AV10</f>
        <v>3</v>
      </c>
    </row>
    <row r="11" customFormat="false" ht="15" hidden="false" customHeight="false" outlineLevel="0" collapsed="false">
      <c r="A11" s="0" t="n">
        <v>10</v>
      </c>
      <c r="B11" s="0" t="n">
        <f aca="false">A11+4</f>
        <v>14</v>
      </c>
      <c r="C11" s="0" t="str">
        <f aca="false">IF(B11=5,"sem. ant.",INDEX('Balance PLANTA'!$A:$A,B11))</f>
        <v>19/07</v>
      </c>
      <c r="D11" s="0" t="n">
        <f aca="false">IF(B11=5,INDEX('Balance PLANTA'!$R:$R,B11)*15+INDEX('Balance PLANTA'!$S:$S,B11)*18+INDEX('Balance PLANTA'!$T:$T,B11)*17+INDEX('Balance PLANTA'!$U:$U,B11)*17,IFERROR(INDEX('Balance PLANTA'!$C:$C,B11)*95,0))</f>
        <v>4750</v>
      </c>
      <c r="E11" s="0" t="n">
        <f aca="false">IF(B11=5,0,IFERROR(INDEX('Balance PLANTA'!$W:$W,B11),0))</f>
        <v>13.5</v>
      </c>
      <c r="F11" s="0" t="n">
        <f aca="false">E11*95</f>
        <v>1282.5</v>
      </c>
      <c r="G11" s="0" t="n">
        <f aca="false">D11-F11</f>
        <v>3467.5</v>
      </c>
      <c r="H11" s="0" t="n">
        <f aca="false">H10+G11</f>
        <v>24606.5</v>
      </c>
      <c r="I11" s="0" t="n">
        <f aca="false">IFERROR(INDEX('Balance PLANTA'!$L:$L,B11)*15+INDEX('Balance PLANTA'!$M:$M,B11)*18+INDEX('Balance PLANTA'!$N:$N,B11)*17+INDEX('Balance PLANTA'!$O:$O,B11)*17,0)</f>
        <v>1883</v>
      </c>
      <c r="J11" s="0" t="n">
        <f aca="false">J10+I11</f>
        <v>23293</v>
      </c>
      <c r="K11" s="0" t="str">
        <f aca="false">IF(INDEX('Balance PLANTA'!$J:$J,B11)=0,"",INDEX('Balance PLANTA'!$J:$J,B11))</f>
        <v>19/07</v>
      </c>
      <c r="L11" s="0" t="str">
        <f aca="false">IFERROR(INDEX('Balance PLANTA'!$K:$K,B11),"")</f>
        <v>G-2998</v>
      </c>
      <c r="Q11" s="0" t="n">
        <f aca="false">IFERROR(MATCH(H10,$J$2:$J$41,1),0)+1</f>
        <v>9</v>
      </c>
      <c r="R11" s="0" t="n">
        <f aca="false">IF(Q11&gt;40,0,MAX(0,MIN(H11,IFERROR(INDEX($J$2:$J$41,Q11),$N$1))-MAX(H10,IF(Q11=1,0,IFERROR(INDEX($J$2:$J$41,Q11-1),0)))))</f>
        <v>271</v>
      </c>
      <c r="S11" s="0" t="str">
        <f aca="false">IF(R11&lt;=0,"",IFERROR(INDEX($K$2:$K$41,Q11),""))</f>
        <v>18/07</v>
      </c>
      <c r="T11" s="0" t="str">
        <f aca="false">IF(R11&lt;=0,"",IFERROR(INDEX($L$2:$L$41,Q11),""))</f>
        <v>G-2996</v>
      </c>
      <c r="W11" s="0" t="n">
        <f aca="false">Q11+1</f>
        <v>10</v>
      </c>
      <c r="X11" s="0" t="n">
        <f aca="false">IF(W11&gt;40,0,MAX(0,MIN(H11,IFERROR(INDEX($J$2:$J$41,W11),$N$1))-MAX(H10,IF(W11=1,0,IFERROR(INDEX($J$2:$J$41,W11-1),0)))))</f>
        <v>1883</v>
      </c>
      <c r="Y11" s="0" t="str">
        <f aca="false">IF(X11&lt;=0,"",IFERROR(INDEX($K$2:$K$41,W11),""))</f>
        <v>19/07</v>
      </c>
      <c r="Z11" s="0" t="str">
        <f aca="false">IF(X11&lt;=0,"",IFERROR(INDEX($L$2:$L$41,W11),""))</f>
        <v>G-2998</v>
      </c>
      <c r="AC11" s="0" t="n">
        <f aca="false">W11+1</f>
        <v>11</v>
      </c>
      <c r="AD11" s="0" t="n">
        <f aca="false">IF(AC11&gt;40,0,MAX(0,MIN(H11,IFERROR(INDEX($J$2:$J$41,AC11),$N$1))-MAX(H10,IF(AC11=1,0,IFERROR(INDEX($J$2:$J$41,AC11-1),0)))))</f>
        <v>1313.5</v>
      </c>
      <c r="AE11" s="0" t="str">
        <f aca="false">IF(AD11&lt;=0,"",IFERROR(INDEX($K$2:$K$41,AC11),""))</f>
        <v>20/07</v>
      </c>
      <c r="AF11" s="0" t="str">
        <f aca="false">IF(AD11&lt;=0,"",IFERROR(INDEX($L$2:$L$41,AC11),""))</f>
        <v>G-3001</v>
      </c>
      <c r="AI11" s="0" t="n">
        <f aca="false">AC11+1</f>
        <v>12</v>
      </c>
      <c r="AJ11" s="0" t="n">
        <f aca="false">IF(AI11&gt;40,0,MAX(0,MIN(H11,IFERROR(INDEX($J$2:$J$41,AI11),$N$1))-MAX(H10,IF(AI11=1,0,IFERROR(INDEX($J$2:$J$41,AI11-1),0)))))</f>
        <v>0</v>
      </c>
      <c r="AK11" s="0" t="str">
        <f aca="false">IF(AJ11&lt;=0,"",IFERROR(INDEX($K$2:$K$41,AI11),""))</f>
        <v/>
      </c>
      <c r="AL11" s="0" t="str">
        <f aca="false">IF(AJ11&lt;=0,"",IFERROR(INDEX($L$2:$L$41,AI11),""))</f>
        <v/>
      </c>
      <c r="AN11" s="0" t="n">
        <f aca="false">MAX(0,H11-MAX(H10,$N$1))</f>
        <v>0</v>
      </c>
      <c r="AP11" s="0" t="str">
        <f aca="false">IF($AJ$3&lt;=0,"",FIFO_helper!$C$3)</f>
        <v/>
      </c>
      <c r="AQ11" s="0" t="str">
        <f aca="false">IF($AJ$3&lt;=0,"",$AK$3)</f>
        <v/>
      </c>
      <c r="AR11" s="0" t="str">
        <f aca="false">IF($AJ$3&lt;=0,"","PRIMERA")</f>
        <v/>
      </c>
      <c r="AS11" s="0" t="str">
        <f aca="false">IF($AJ$3&lt;=0,"",$AL$3)</f>
        <v/>
      </c>
      <c r="AT11" s="0" t="str">
        <f aca="false">IF($AJ$3&lt;=0,"",$AJ$3)</f>
        <v/>
      </c>
      <c r="AU11" s="0" t="str">
        <f aca="false">IF($AJ$3&lt;=0,"","kg")</f>
        <v/>
      </c>
      <c r="AV11" s="0" t="n">
        <f aca="false">IF($AJ$3&lt;=0,0,1)</f>
        <v>0</v>
      </c>
      <c r="AW11" s="0" t="n">
        <f aca="false">AW10+AV11</f>
        <v>3</v>
      </c>
    </row>
    <row r="12" customFormat="false" ht="15" hidden="false" customHeight="false" outlineLevel="0" collapsed="false">
      <c r="A12" s="0" t="n">
        <v>11</v>
      </c>
      <c r="B12" s="0" t="n">
        <f aca="false">A12+4</f>
        <v>15</v>
      </c>
      <c r="C12" s="0" t="str">
        <f aca="false">IF(B12=5,"sem. ant.",INDEX('Balance PLANTA'!$A:$A,B12))</f>
        <v>20/07</v>
      </c>
      <c r="D12" s="0" t="n">
        <f aca="false">IF(B12=5,INDEX('Balance PLANTA'!$R:$R,B12)*15+INDEX('Balance PLANTA'!$S:$S,B12)*18+INDEX('Balance PLANTA'!$T:$T,B12)*17+INDEX('Balance PLANTA'!$U:$U,B12)*17,IFERROR(INDEX('Balance PLANTA'!$C:$C,B12)*95,0))</f>
        <v>4560</v>
      </c>
      <c r="E12" s="0" t="n">
        <f aca="false">IF(B12=5,0,IFERROR(INDEX('Balance PLANTA'!$W:$W,B12),0))</f>
        <v>6.5</v>
      </c>
      <c r="F12" s="0" t="n">
        <f aca="false">E12*95</f>
        <v>617.5</v>
      </c>
      <c r="G12" s="0" t="n">
        <f aca="false">D12-F12</f>
        <v>3942.5</v>
      </c>
      <c r="H12" s="0" t="n">
        <f aca="false">H11+G12</f>
        <v>28549</v>
      </c>
      <c r="I12" s="0" t="n">
        <f aca="false">IFERROR(INDEX('Balance PLANTA'!$L:$L,B12)*15+INDEX('Balance PLANTA'!$M:$M,B12)*18+INDEX('Balance PLANTA'!$N:$N,B12)*17+INDEX('Balance PLANTA'!$O:$O,B12)*17,0)</f>
        <v>3294</v>
      </c>
      <c r="J12" s="0" t="n">
        <f aca="false">J11+I12</f>
        <v>26587</v>
      </c>
      <c r="K12" s="0" t="str">
        <f aca="false">IF(INDEX('Balance PLANTA'!$J:$J,B12)=0,"",INDEX('Balance PLANTA'!$J:$J,B12))</f>
        <v>20/07</v>
      </c>
      <c r="L12" s="0" t="str">
        <f aca="false">IFERROR(INDEX('Balance PLANTA'!$K:$K,B12),"")</f>
        <v>G-3001</v>
      </c>
      <c r="Q12" s="0" t="n">
        <f aca="false">IFERROR(MATCH(H11,$J$2:$J$41,1),0)+1</f>
        <v>11</v>
      </c>
      <c r="R12" s="0" t="n">
        <f aca="false">IF(Q12&gt;40,0,MAX(0,MIN(H12,IFERROR(INDEX($J$2:$J$41,Q12),$N$1))-MAX(H11,IF(Q12=1,0,IFERROR(INDEX($J$2:$J$41,Q12-1),0)))))</f>
        <v>1980.5</v>
      </c>
      <c r="S12" s="0" t="str">
        <f aca="false">IF(R12&lt;=0,"",IFERROR(INDEX($K$2:$K$41,Q12),""))</f>
        <v>20/07</v>
      </c>
      <c r="T12" s="0" t="str">
        <f aca="false">IF(R12&lt;=0,"",IFERROR(INDEX($L$2:$L$41,Q12),""))</f>
        <v>G-3001</v>
      </c>
      <c r="W12" s="0" t="n">
        <f aca="false">Q12+1</f>
        <v>12</v>
      </c>
      <c r="X12" s="0" t="n">
        <f aca="false">IF(W12&gt;40,0,MAX(0,MIN(H12,IFERROR(INDEX($J$2:$J$41,W12),$N$1))-MAX(H11,IF(W12=1,0,IFERROR(INDEX($J$2:$J$41,W12-1),0)))))</f>
        <v>1962</v>
      </c>
      <c r="Y12" s="0" t="str">
        <f aca="false">IF(X12&lt;=0,"",IFERROR(INDEX($K$2:$K$41,W12),""))</f>
        <v>21/07</v>
      </c>
      <c r="Z12" s="0" t="str">
        <f aca="false">IF(X12&lt;=0,"",IFERROR(INDEX($L$2:$L$41,W12),""))</f>
        <v>G-3004</v>
      </c>
      <c r="AC12" s="0" t="n">
        <f aca="false">W12+1</f>
        <v>13</v>
      </c>
      <c r="AD12" s="0" t="n">
        <f aca="false">IF(AC12&gt;40,0,MAX(0,MIN(H12,IFERROR(INDEX($J$2:$J$41,AC12),$N$1))-MAX(H11,IF(AC12=1,0,IFERROR(INDEX($J$2:$J$41,AC12-1),0)))))</f>
        <v>0</v>
      </c>
      <c r="AE12" s="0" t="str">
        <f aca="false">IF(AD12&lt;=0,"",IFERROR(INDEX($K$2:$K$41,AC12),""))</f>
        <v/>
      </c>
      <c r="AF12" s="0" t="str">
        <f aca="false">IF(AD12&lt;=0,"",IFERROR(INDEX($L$2:$L$41,AC12),""))</f>
        <v/>
      </c>
      <c r="AI12" s="0" t="n">
        <f aca="false">AC12+1</f>
        <v>14</v>
      </c>
      <c r="AJ12" s="0" t="n">
        <f aca="false">IF(AI12&gt;40,0,MAX(0,MIN(H12,IFERROR(INDEX($J$2:$J$41,AI12),$N$1))-MAX(H11,IF(AI12=1,0,IFERROR(INDEX($J$2:$J$41,AI12-1),0)))))</f>
        <v>0</v>
      </c>
      <c r="AK12" s="0" t="str">
        <f aca="false">IF(AJ12&lt;=0,"",IFERROR(INDEX($K$2:$K$41,AI12),""))</f>
        <v/>
      </c>
      <c r="AL12" s="0" t="str">
        <f aca="false">IF(AJ12&lt;=0,"",IFERROR(INDEX($L$2:$L$41,AI12),""))</f>
        <v/>
      </c>
      <c r="AN12" s="0" t="n">
        <f aca="false">MAX(0,H12-MAX(H11,$N$1))</f>
        <v>0</v>
      </c>
      <c r="AP12" s="0" t="str">
        <f aca="false">IF($AN$3&lt;=0,"",FIFO_helper!$C$3)</f>
        <v/>
      </c>
      <c r="AQ12" s="0" t="str">
        <f aca="false">IF($AN$3&lt;=0,"","(queda en planta)")</f>
        <v/>
      </c>
      <c r="AR12" s="0" t="str">
        <f aca="false">IF($AN$3&lt;=0,"","PRIMERA")</f>
        <v/>
      </c>
      <c r="AS12" s="0" t="str">
        <f aca="false">""</f>
        <v/>
      </c>
      <c r="AT12" s="0" t="str">
        <f aca="false">IF($AN$3&lt;=0,"",$AN$3)</f>
        <v/>
      </c>
      <c r="AU12" s="0" t="str">
        <f aca="false">IF($AN$3&lt;=0,"","kg")</f>
        <v/>
      </c>
      <c r="AV12" s="0" t="n">
        <f aca="false">IF($AN$3&lt;=0,0,1)</f>
        <v>0</v>
      </c>
      <c r="AW12" s="0" t="n">
        <f aca="false">AW11+AV12</f>
        <v>3</v>
      </c>
    </row>
    <row r="13" customFormat="false" ht="15" hidden="false" customHeight="false" outlineLevel="0" collapsed="false">
      <c r="A13" s="0" t="n">
        <v>12</v>
      </c>
      <c r="B13" s="0" t="n">
        <f aca="false">A13+4</f>
        <v>16</v>
      </c>
      <c r="C13" s="0" t="str">
        <f aca="false">IF(B13=5,"sem. ant.",INDEX('Balance PLANTA'!$A:$A,B13))</f>
        <v>21/07</v>
      </c>
      <c r="D13" s="0" t="n">
        <f aca="false">IF(B13=5,INDEX('Balance PLANTA'!$R:$R,B13)*15+INDEX('Balance PLANTA'!$S:$S,B13)*18+INDEX('Balance PLANTA'!$T:$T,B13)*17+INDEX('Balance PLANTA'!$U:$U,B13)*17,IFERROR(INDEX('Balance PLANTA'!$C:$C,B13)*95,0))</f>
        <v>2090</v>
      </c>
      <c r="E13" s="0" t="n">
        <f aca="false">IF(B13=5,0,IFERROR(INDEX('Balance PLANTA'!$W:$W,B13),0))</f>
        <v>3</v>
      </c>
      <c r="F13" s="0" t="n">
        <f aca="false">E13*95</f>
        <v>285</v>
      </c>
      <c r="G13" s="0" t="n">
        <f aca="false">D13-F13</f>
        <v>1805</v>
      </c>
      <c r="H13" s="0" t="n">
        <f aca="false">H12+G13</f>
        <v>30354</v>
      </c>
      <c r="I13" s="0" t="n">
        <f aca="false">IFERROR(INDEX('Balance PLANTA'!$L:$L,B13)*15+INDEX('Balance PLANTA'!$M:$M,B13)*18+INDEX('Balance PLANTA'!$N:$N,B13)*17+INDEX('Balance PLANTA'!$O:$O,B13)*17,0)</f>
        <v>3260</v>
      </c>
      <c r="J13" s="0" t="n">
        <f aca="false">J12+I13</f>
        <v>29847</v>
      </c>
      <c r="K13" s="0" t="str">
        <f aca="false">IF(INDEX('Balance PLANTA'!$J:$J,B13)=0,"",INDEX('Balance PLANTA'!$J:$J,B13))</f>
        <v>21/07</v>
      </c>
      <c r="L13" s="0" t="str">
        <f aca="false">IFERROR(INDEX('Balance PLANTA'!$K:$K,B13),"")</f>
        <v>G-3004</v>
      </c>
      <c r="Q13" s="0" t="n">
        <f aca="false">IFERROR(MATCH(H12,$J$2:$J$41,1),0)+1</f>
        <v>12</v>
      </c>
      <c r="R13" s="0" t="n">
        <f aca="false">IF(Q13&gt;40,0,MAX(0,MIN(H13,IFERROR(INDEX($J$2:$J$41,Q13),$N$1))-MAX(H12,IF(Q13=1,0,IFERROR(INDEX($J$2:$J$41,Q13-1),0)))))</f>
        <v>1298</v>
      </c>
      <c r="S13" s="0" t="str">
        <f aca="false">IF(R13&lt;=0,"",IFERROR(INDEX($K$2:$K$41,Q13),""))</f>
        <v>21/07</v>
      </c>
      <c r="T13" s="0" t="str">
        <f aca="false">IF(R13&lt;=0,"",IFERROR(INDEX($L$2:$L$41,Q13),""))</f>
        <v>G-3004</v>
      </c>
      <c r="W13" s="0" t="n">
        <f aca="false">Q13+1</f>
        <v>13</v>
      </c>
      <c r="X13" s="0" t="n">
        <f aca="false">IF(W13&gt;40,0,MAX(0,MIN(H13,IFERROR(INDEX($J$2:$J$41,W13),$N$1))-MAX(H12,IF(W13=1,0,IFERROR(INDEX($J$2:$J$41,W13-1),0)))))</f>
        <v>0</v>
      </c>
      <c r="Y13" s="0" t="str">
        <f aca="false">IF(X13&lt;=0,"",IFERROR(INDEX($K$2:$K$41,W13),""))</f>
        <v/>
      </c>
      <c r="Z13" s="0" t="str">
        <f aca="false">IF(X13&lt;=0,"",IFERROR(INDEX($L$2:$L$41,W13),""))</f>
        <v/>
      </c>
      <c r="AC13" s="0" t="n">
        <f aca="false">W13+1</f>
        <v>14</v>
      </c>
      <c r="AD13" s="0" t="n">
        <f aca="false">IF(AC13&gt;40,0,MAX(0,MIN(H13,IFERROR(INDEX($J$2:$J$41,AC13),$N$1))-MAX(H12,IF(AC13=1,0,IFERROR(INDEX($J$2:$J$41,AC13-1),0)))))</f>
        <v>0</v>
      </c>
      <c r="AE13" s="0" t="str">
        <f aca="false">IF(AD13&lt;=0,"",IFERROR(INDEX($K$2:$K$41,AC13),""))</f>
        <v/>
      </c>
      <c r="AF13" s="0" t="str">
        <f aca="false">IF(AD13&lt;=0,"",IFERROR(INDEX($L$2:$L$41,AC13),""))</f>
        <v/>
      </c>
      <c r="AI13" s="0" t="n">
        <f aca="false">AC13+1</f>
        <v>15</v>
      </c>
      <c r="AJ13" s="0" t="n">
        <f aca="false">IF(AI13&gt;40,0,MAX(0,MIN(H13,IFERROR(INDEX($J$2:$J$41,AI13),$N$1))-MAX(H12,IF(AI13=1,0,IFERROR(INDEX($J$2:$J$41,AI13-1),0)))))</f>
        <v>0</v>
      </c>
      <c r="AK13" s="0" t="str">
        <f aca="false">IF(AJ13&lt;=0,"",IFERROR(INDEX($K$2:$K$41,AI13),""))</f>
        <v/>
      </c>
      <c r="AL13" s="0" t="str">
        <f aca="false">IF(AJ13&lt;=0,"",IFERROR(INDEX($L$2:$L$41,AI13),""))</f>
        <v/>
      </c>
      <c r="AN13" s="0" t="n">
        <f aca="false">MAX(0,H13-MAX(H12,$N$1))</f>
        <v>507</v>
      </c>
      <c r="AP13" s="0" t="str">
        <f aca="false">IF($E$3&lt;=0,"",FIFO_helper!$C$3)</f>
        <v>12/07</v>
      </c>
      <c r="AQ13" s="0" t="str">
        <f aca="false">IF($E$3&lt;=0,"","↳ Chancho (prod.)")</f>
        <v>↳ Chancho (prod.)</v>
      </c>
      <c r="AR13" s="0" t="str">
        <f aca="false">IF($E$3&lt;=0,"","CHANCHO")</f>
        <v>CHANCHO</v>
      </c>
      <c r="AS13" s="0" t="str">
        <f aca="false">""</f>
        <v/>
      </c>
      <c r="AT13" s="0" t="n">
        <f aca="false">IF($E$3&lt;=0,"",$E$3)</f>
        <v>6</v>
      </c>
      <c r="AU13" s="0" t="str">
        <f aca="false">IF($E$3&lt;=0,"","sacos")</f>
        <v>sacos</v>
      </c>
      <c r="AV13" s="0" t="n">
        <f aca="false">IF($E$3&lt;=0,0,1)</f>
        <v>1</v>
      </c>
      <c r="AW13" s="0" t="n">
        <f aca="false">AW12+AV13</f>
        <v>4</v>
      </c>
    </row>
    <row r="14" customFormat="false" ht="15" hidden="false" customHeight="false" outlineLevel="0" collapsed="false">
      <c r="A14" s="0" t="n">
        <v>13</v>
      </c>
      <c r="B14" s="0" t="n">
        <f aca="false">A14+4</f>
        <v>17</v>
      </c>
      <c r="C14" s="0" t="n">
        <f aca="false">IF(B14=5,"sem. ant.",INDEX('Balance PLANTA'!$A:$A,B14))</f>
        <v>0</v>
      </c>
      <c r="D14" s="0" t="n">
        <f aca="false">IF(B14=5,INDEX('Balance PLANTA'!$R:$R,B14)*15+INDEX('Balance PLANTA'!$S:$S,B14)*18+INDEX('Balance PLANTA'!$T:$T,B14)*17+INDEX('Balance PLANTA'!$U:$U,B14)*17,IFERROR(INDEX('Balance PLANTA'!$C:$C,B14)*95,0))</f>
        <v>0</v>
      </c>
      <c r="E14" s="0" t="n">
        <f aca="false">IF(B14=5,0,IFERROR(INDEX('Balance PLANTA'!$W:$W,B14),0))</f>
        <v>0</v>
      </c>
      <c r="F14" s="0" t="n">
        <f aca="false">E14*95</f>
        <v>0</v>
      </c>
      <c r="G14" s="0" t="n">
        <f aca="false">D14-F14</f>
        <v>0</v>
      </c>
      <c r="H14" s="0" t="n">
        <f aca="false">H13+G14</f>
        <v>30354</v>
      </c>
      <c r="I14" s="0" t="n">
        <f aca="false">IFERROR(INDEX('Balance PLANTA'!$L:$L,B14)*15+INDEX('Balance PLANTA'!$M:$M,B14)*18+INDEX('Balance PLANTA'!$N:$N,B14)*17+INDEX('Balance PLANTA'!$O:$O,B14)*17,0)</f>
        <v>0</v>
      </c>
      <c r="J14" s="0" t="n">
        <f aca="false">J13+I14</f>
        <v>29847</v>
      </c>
      <c r="K14" s="0" t="str">
        <f aca="false">IF(INDEX('Balance PLANTA'!$J:$J,B14)=0,"",INDEX('Balance PLANTA'!$J:$J,B14))</f>
        <v/>
      </c>
      <c r="L14" s="0" t="n">
        <f aca="false">IFERROR(INDEX('Balance PLANTA'!$K:$K,B14),"")</f>
        <v>0</v>
      </c>
      <c r="Q14" s="0" t="n">
        <f aca="false">IFERROR(MATCH(H13,$J$2:$J$41,1),0)+1</f>
        <v>41</v>
      </c>
      <c r="R14" s="0" t="n">
        <f aca="false">IF(Q14&gt;40,0,MAX(0,MIN(H14,IFERROR(INDEX($J$2:$J$41,Q14),$N$1))-MAX(H13,IF(Q14=1,0,IFERROR(INDEX($J$2:$J$41,Q14-1),0)))))</f>
        <v>0</v>
      </c>
      <c r="S14" s="0" t="str">
        <f aca="false">IF(R14&lt;=0,"",IFERROR(INDEX($K$2:$K$41,Q14),""))</f>
        <v/>
      </c>
      <c r="T14" s="0" t="str">
        <f aca="false">IF(R14&lt;=0,"",IFERROR(INDEX($L$2:$L$41,Q14),""))</f>
        <v/>
      </c>
      <c r="W14" s="0" t="n">
        <f aca="false">Q14+1</f>
        <v>42</v>
      </c>
      <c r="X14" s="0" t="n">
        <f aca="false">IF(W14&gt;40,0,MAX(0,MIN(H14,IFERROR(INDEX($J$2:$J$41,W14),$N$1))-MAX(H13,IF(W14=1,0,IFERROR(INDEX($J$2:$J$41,W14-1),0)))))</f>
        <v>0</v>
      </c>
      <c r="Y14" s="0" t="str">
        <f aca="false">IF(X14&lt;=0,"",IFERROR(INDEX($K$2:$K$41,W14),""))</f>
        <v/>
      </c>
      <c r="Z14" s="0" t="str">
        <f aca="false">IF(X14&lt;=0,"",IFERROR(INDEX($L$2:$L$41,W14),""))</f>
        <v/>
      </c>
      <c r="AC14" s="0" t="n">
        <f aca="false">W14+1</f>
        <v>43</v>
      </c>
      <c r="AD14" s="0" t="n">
        <f aca="false">IF(AC14&gt;40,0,MAX(0,MIN(H14,IFERROR(INDEX($J$2:$J$41,AC14),$N$1))-MAX(H13,IF(AC14=1,0,IFERROR(INDEX($J$2:$J$41,AC14-1),0)))))</f>
        <v>0</v>
      </c>
      <c r="AE14" s="0" t="str">
        <f aca="false">IF(AD14&lt;=0,"",IFERROR(INDEX($K$2:$K$41,AC14),""))</f>
        <v/>
      </c>
      <c r="AF14" s="0" t="str">
        <f aca="false">IF(AD14&lt;=0,"",IFERROR(INDEX($L$2:$L$41,AC14),""))</f>
        <v/>
      </c>
      <c r="AI14" s="0" t="n">
        <f aca="false">AC14+1</f>
        <v>44</v>
      </c>
      <c r="AJ14" s="0" t="n">
        <f aca="false">IF(AI14&gt;40,0,MAX(0,MIN(H14,IFERROR(INDEX($J$2:$J$41,AI14),$N$1))-MAX(H13,IF(AI14=1,0,IFERROR(INDEX($J$2:$J$41,AI14-1),0)))))</f>
        <v>0</v>
      </c>
      <c r="AK14" s="0" t="str">
        <f aca="false">IF(AJ14&lt;=0,"",IFERROR(INDEX($K$2:$K$41,AI14),""))</f>
        <v/>
      </c>
      <c r="AL14" s="0" t="str">
        <f aca="false">IF(AJ14&lt;=0,"",IFERROR(INDEX($L$2:$L$41,AI14),""))</f>
        <v/>
      </c>
      <c r="AN14" s="0" t="n">
        <f aca="false">MAX(0,H14-MAX(H13,$N$1))</f>
        <v>0</v>
      </c>
      <c r="AP14" s="0" t="str">
        <f aca="false">IF($R$4&lt;=0,"",FIFO_helper!$C$4)</f>
        <v>13/07</v>
      </c>
      <c r="AQ14" s="0" t="str">
        <f aca="false">IF($R$4&lt;=0,"",$S$4)</f>
        <v>13/07</v>
      </c>
      <c r="AR14" s="0" t="str">
        <f aca="false">IF($R$4&lt;=0,"","PRIMERA")</f>
        <v>PRIMERA</v>
      </c>
      <c r="AS14" s="0" t="str">
        <f aca="false">IF($R$4&lt;=0,"",$T$4)</f>
        <v>G-2980</v>
      </c>
      <c r="AT14" s="0" t="n">
        <f aca="false">IF($R$4&lt;=0,"",$R$4)</f>
        <v>2658</v>
      </c>
      <c r="AU14" s="0" t="str">
        <f aca="false">IF($R$4&lt;=0,"","kg")</f>
        <v>kg</v>
      </c>
      <c r="AV14" s="0" t="n">
        <f aca="false">IF($R$4&lt;=0,0,1)</f>
        <v>1</v>
      </c>
      <c r="AW14" s="0" t="n">
        <f aca="false">AW13+AV14</f>
        <v>5</v>
      </c>
    </row>
    <row r="15" customFormat="false" ht="15" hidden="false" customHeight="false" outlineLevel="0" collapsed="false">
      <c r="A15" s="0" t="n">
        <v>14</v>
      </c>
      <c r="B15" s="0" t="n">
        <f aca="false">A15+4</f>
        <v>18</v>
      </c>
      <c r="C15" s="0" t="n">
        <f aca="false">IF(B15=5,"sem. ant.",INDEX('Balance PLANTA'!$A:$A,B15))</f>
        <v>0</v>
      </c>
      <c r="D15" s="0" t="n">
        <f aca="false">IF(B15=5,INDEX('Balance PLANTA'!$R:$R,B15)*15+INDEX('Balance PLANTA'!$S:$S,B15)*18+INDEX('Balance PLANTA'!$T:$T,B15)*17+INDEX('Balance PLANTA'!$U:$U,B15)*17,IFERROR(INDEX('Balance PLANTA'!$C:$C,B15)*95,0))</f>
        <v>0</v>
      </c>
      <c r="E15" s="0" t="n">
        <f aca="false">IF(B15=5,0,IFERROR(INDEX('Balance PLANTA'!$W:$W,B15),0))</f>
        <v>0</v>
      </c>
      <c r="F15" s="0" t="n">
        <f aca="false">E15*95</f>
        <v>0</v>
      </c>
      <c r="G15" s="0" t="n">
        <f aca="false">D15-F15</f>
        <v>0</v>
      </c>
      <c r="H15" s="0" t="n">
        <f aca="false">H14+G15</f>
        <v>30354</v>
      </c>
      <c r="I15" s="0" t="n">
        <f aca="false">IFERROR(INDEX('Balance PLANTA'!$L:$L,B15)*15+INDEX('Balance PLANTA'!$M:$M,B15)*18+INDEX('Balance PLANTA'!$N:$N,B15)*17+INDEX('Balance PLANTA'!$O:$O,B15)*17,0)</f>
        <v>0</v>
      </c>
      <c r="J15" s="0" t="n">
        <f aca="false">J14+I15</f>
        <v>29847</v>
      </c>
      <c r="K15" s="0" t="str">
        <f aca="false">IF(INDEX('Balance PLANTA'!$J:$J,B15)=0,"",INDEX('Balance PLANTA'!$J:$J,B15))</f>
        <v/>
      </c>
      <c r="L15" s="0" t="n">
        <f aca="false">IFERROR(INDEX('Balance PLANTA'!$K:$K,B15),"")</f>
        <v>0</v>
      </c>
      <c r="Q15" s="0" t="n">
        <f aca="false">IFERROR(MATCH(H14,$J$2:$J$41,1),0)+1</f>
        <v>41</v>
      </c>
      <c r="R15" s="0" t="n">
        <f aca="false">IF(Q15&gt;40,0,MAX(0,MIN(H15,IFERROR(INDEX($J$2:$J$41,Q15),$N$1))-MAX(H14,IF(Q15=1,0,IFERROR(INDEX($J$2:$J$41,Q15-1),0)))))</f>
        <v>0</v>
      </c>
      <c r="S15" s="0" t="str">
        <f aca="false">IF(R15&lt;=0,"",IFERROR(INDEX($K$2:$K$41,Q15),""))</f>
        <v/>
      </c>
      <c r="T15" s="0" t="str">
        <f aca="false">IF(R15&lt;=0,"",IFERROR(INDEX($L$2:$L$41,Q15),""))</f>
        <v/>
      </c>
      <c r="W15" s="0" t="n">
        <f aca="false">Q15+1</f>
        <v>42</v>
      </c>
      <c r="X15" s="0" t="n">
        <f aca="false">IF(W15&gt;40,0,MAX(0,MIN(H15,IFERROR(INDEX($J$2:$J$41,W15),$N$1))-MAX(H14,IF(W15=1,0,IFERROR(INDEX($J$2:$J$41,W15-1),0)))))</f>
        <v>0</v>
      </c>
      <c r="Y15" s="0" t="str">
        <f aca="false">IF(X15&lt;=0,"",IFERROR(INDEX($K$2:$K$41,W15),""))</f>
        <v/>
      </c>
      <c r="Z15" s="0" t="str">
        <f aca="false">IF(X15&lt;=0,"",IFERROR(INDEX($L$2:$L$41,W15),""))</f>
        <v/>
      </c>
      <c r="AC15" s="0" t="n">
        <f aca="false">W15+1</f>
        <v>43</v>
      </c>
      <c r="AD15" s="0" t="n">
        <f aca="false">IF(AC15&gt;40,0,MAX(0,MIN(H15,IFERROR(INDEX($J$2:$J$41,AC15),$N$1))-MAX(H14,IF(AC15=1,0,IFERROR(INDEX($J$2:$J$41,AC15-1),0)))))</f>
        <v>0</v>
      </c>
      <c r="AE15" s="0" t="str">
        <f aca="false">IF(AD15&lt;=0,"",IFERROR(INDEX($K$2:$K$41,AC15),""))</f>
        <v/>
      </c>
      <c r="AF15" s="0" t="str">
        <f aca="false">IF(AD15&lt;=0,"",IFERROR(INDEX($L$2:$L$41,AC15),""))</f>
        <v/>
      </c>
      <c r="AI15" s="0" t="n">
        <f aca="false">AC15+1</f>
        <v>44</v>
      </c>
      <c r="AJ15" s="0" t="n">
        <f aca="false">IF(AI15&gt;40,0,MAX(0,MIN(H15,IFERROR(INDEX($J$2:$J$41,AI15),$N$1))-MAX(H14,IF(AI15=1,0,IFERROR(INDEX($J$2:$J$41,AI15-1),0)))))</f>
        <v>0</v>
      </c>
      <c r="AK15" s="0" t="str">
        <f aca="false">IF(AJ15&lt;=0,"",IFERROR(INDEX($K$2:$K$41,AI15),""))</f>
        <v/>
      </c>
      <c r="AL15" s="0" t="str">
        <f aca="false">IF(AJ15&lt;=0,"",IFERROR(INDEX($L$2:$L$41,AI15),""))</f>
        <v/>
      </c>
      <c r="AN15" s="0" t="n">
        <f aca="false">MAX(0,H15-MAX(H14,$N$1))</f>
        <v>0</v>
      </c>
      <c r="AP15" s="0" t="str">
        <f aca="false">IF($X$4&lt;=0,"",FIFO_helper!$C$4)</f>
        <v>13/07</v>
      </c>
      <c r="AQ15" s="0" t="str">
        <f aca="false">IF($X$4&lt;=0,"",$Y$4)</f>
        <v>14/07</v>
      </c>
      <c r="AR15" s="0" t="str">
        <f aca="false">IF($X$4&lt;=0,"","PRIMERA")</f>
        <v>PRIMERA</v>
      </c>
      <c r="AS15" s="0" t="str">
        <f aca="false">IF($X$4&lt;=0,"",$Z$4)</f>
        <v>G-2984</v>
      </c>
      <c r="AT15" s="0" t="n">
        <f aca="false">IF($X$4&lt;=0,"",$X$4)</f>
        <v>952</v>
      </c>
      <c r="AU15" s="0" t="str">
        <f aca="false">IF($X$4&lt;=0,"","kg")</f>
        <v>kg</v>
      </c>
      <c r="AV15" s="0" t="n">
        <f aca="false">IF($X$4&lt;=0,0,1)</f>
        <v>1</v>
      </c>
      <c r="AW15" s="0" t="n">
        <f aca="false">AW14+AV15</f>
        <v>6</v>
      </c>
    </row>
    <row r="16" customFormat="false" ht="15" hidden="false" customHeight="false" outlineLevel="0" collapsed="false">
      <c r="A16" s="0" t="n">
        <v>15</v>
      </c>
      <c r="B16" s="0" t="n">
        <f aca="false">A16+4</f>
        <v>19</v>
      </c>
      <c r="C16" s="0" t="n">
        <f aca="false">IF(B16=5,"sem. ant.",INDEX('Balance PLANTA'!$A:$A,B16))</f>
        <v>0</v>
      </c>
      <c r="D16" s="0" t="n">
        <f aca="false">IF(B16=5,INDEX('Balance PLANTA'!$R:$R,B16)*15+INDEX('Balance PLANTA'!$S:$S,B16)*18+INDEX('Balance PLANTA'!$T:$T,B16)*17+INDEX('Balance PLANTA'!$U:$U,B16)*17,IFERROR(INDEX('Balance PLANTA'!$C:$C,B16)*95,0))</f>
        <v>0</v>
      </c>
      <c r="E16" s="0" t="n">
        <f aca="false">IF(B16=5,0,IFERROR(INDEX('Balance PLANTA'!$W:$W,B16),0))</f>
        <v>0</v>
      </c>
      <c r="F16" s="0" t="n">
        <f aca="false">E16*95</f>
        <v>0</v>
      </c>
      <c r="G16" s="0" t="n">
        <f aca="false">D16-F16</f>
        <v>0</v>
      </c>
      <c r="H16" s="0" t="n">
        <f aca="false">H15+G16</f>
        <v>30354</v>
      </c>
      <c r="I16" s="0" t="n">
        <f aca="false">IFERROR(INDEX('Balance PLANTA'!$L:$L,B16)*15+INDEX('Balance PLANTA'!$M:$M,B16)*18+INDEX('Balance PLANTA'!$N:$N,B16)*17+INDEX('Balance PLANTA'!$O:$O,B16)*17,0)</f>
        <v>0</v>
      </c>
      <c r="J16" s="0" t="n">
        <f aca="false">J15+I16</f>
        <v>29847</v>
      </c>
      <c r="K16" s="0" t="str">
        <f aca="false">IF(INDEX('Balance PLANTA'!$J:$J,B16)=0,"",INDEX('Balance PLANTA'!$J:$J,B16))</f>
        <v/>
      </c>
      <c r="L16" s="0" t="n">
        <f aca="false">IFERROR(INDEX('Balance PLANTA'!$K:$K,B16),"")</f>
        <v>0</v>
      </c>
      <c r="Q16" s="0" t="n">
        <f aca="false">IFERROR(MATCH(H15,$J$2:$J$41,1),0)+1</f>
        <v>41</v>
      </c>
      <c r="R16" s="0" t="n">
        <f aca="false">IF(Q16&gt;40,0,MAX(0,MIN(H16,IFERROR(INDEX($J$2:$J$41,Q16),$N$1))-MAX(H15,IF(Q16=1,0,IFERROR(INDEX($J$2:$J$41,Q16-1),0)))))</f>
        <v>0</v>
      </c>
      <c r="S16" s="0" t="str">
        <f aca="false">IF(R16&lt;=0,"",IFERROR(INDEX($K$2:$K$41,Q16),""))</f>
        <v/>
      </c>
      <c r="T16" s="0" t="str">
        <f aca="false">IF(R16&lt;=0,"",IFERROR(INDEX($L$2:$L$41,Q16),""))</f>
        <v/>
      </c>
      <c r="W16" s="0" t="n">
        <f aca="false">Q16+1</f>
        <v>42</v>
      </c>
      <c r="X16" s="0" t="n">
        <f aca="false">IF(W16&gt;40,0,MAX(0,MIN(H16,IFERROR(INDEX($J$2:$J$41,W16),$N$1))-MAX(H15,IF(W16=1,0,IFERROR(INDEX($J$2:$J$41,W16-1),0)))))</f>
        <v>0</v>
      </c>
      <c r="Y16" s="0" t="str">
        <f aca="false">IF(X16&lt;=0,"",IFERROR(INDEX($K$2:$K$41,W16),""))</f>
        <v/>
      </c>
      <c r="Z16" s="0" t="str">
        <f aca="false">IF(X16&lt;=0,"",IFERROR(INDEX($L$2:$L$41,W16),""))</f>
        <v/>
      </c>
      <c r="AC16" s="0" t="n">
        <f aca="false">W16+1</f>
        <v>43</v>
      </c>
      <c r="AD16" s="0" t="n">
        <f aca="false">IF(AC16&gt;40,0,MAX(0,MIN(H16,IFERROR(INDEX($J$2:$J$41,AC16),$N$1))-MAX(H15,IF(AC16=1,0,IFERROR(INDEX($J$2:$J$41,AC16-1),0)))))</f>
        <v>0</v>
      </c>
      <c r="AE16" s="0" t="str">
        <f aca="false">IF(AD16&lt;=0,"",IFERROR(INDEX($K$2:$K$41,AC16),""))</f>
        <v/>
      </c>
      <c r="AF16" s="0" t="str">
        <f aca="false">IF(AD16&lt;=0,"",IFERROR(INDEX($L$2:$L$41,AC16),""))</f>
        <v/>
      </c>
      <c r="AI16" s="0" t="n">
        <f aca="false">AC16+1</f>
        <v>44</v>
      </c>
      <c r="AJ16" s="0" t="n">
        <f aca="false">IF(AI16&gt;40,0,MAX(0,MIN(H16,IFERROR(INDEX($J$2:$J$41,AI16),$N$1))-MAX(H15,IF(AI16=1,0,IFERROR(INDEX($J$2:$J$41,AI16-1),0)))))</f>
        <v>0</v>
      </c>
      <c r="AK16" s="0" t="str">
        <f aca="false">IF(AJ16&lt;=0,"",IFERROR(INDEX($K$2:$K$41,AI16),""))</f>
        <v/>
      </c>
      <c r="AL16" s="0" t="str">
        <f aca="false">IF(AJ16&lt;=0,"",IFERROR(INDEX($L$2:$L$41,AI16),""))</f>
        <v/>
      </c>
      <c r="AN16" s="0" t="n">
        <f aca="false">MAX(0,H16-MAX(H15,$N$1))</f>
        <v>0</v>
      </c>
      <c r="AP16" s="0" t="str">
        <f aca="false">IF($AD$4&lt;=0,"",FIFO_helper!$C$4)</f>
        <v/>
      </c>
      <c r="AQ16" s="0" t="str">
        <f aca="false">IF($AD$4&lt;=0,"",$AE$4)</f>
        <v/>
      </c>
      <c r="AR16" s="0" t="str">
        <f aca="false">IF($AD$4&lt;=0,"","PRIMERA")</f>
        <v/>
      </c>
      <c r="AS16" s="0" t="str">
        <f aca="false">IF($AD$4&lt;=0,"",$AF$4)</f>
        <v/>
      </c>
      <c r="AT16" s="0" t="str">
        <f aca="false">IF($AD$4&lt;=0,"",$AD$4)</f>
        <v/>
      </c>
      <c r="AU16" s="0" t="str">
        <f aca="false">IF($AD$4&lt;=0,"","kg")</f>
        <v/>
      </c>
      <c r="AV16" s="0" t="n">
        <f aca="false">IF($AD$4&lt;=0,0,1)</f>
        <v>0</v>
      </c>
      <c r="AW16" s="0" t="n">
        <f aca="false">AW15+AV16</f>
        <v>6</v>
      </c>
    </row>
    <row r="17" customFormat="false" ht="15" hidden="false" customHeight="false" outlineLevel="0" collapsed="false">
      <c r="A17" s="0" t="n">
        <v>16</v>
      </c>
      <c r="B17" s="0" t="n">
        <f aca="false">A17+4</f>
        <v>20</v>
      </c>
      <c r="C17" s="0" t="n">
        <f aca="false">IF(B17=5,"sem. ant.",INDEX('Balance PLANTA'!$A:$A,B17))</f>
        <v>0</v>
      </c>
      <c r="D17" s="0" t="n">
        <f aca="false">IF(B17=5,INDEX('Balance PLANTA'!$R:$R,B17)*15+INDEX('Balance PLANTA'!$S:$S,B17)*18+INDEX('Balance PLANTA'!$T:$T,B17)*17+INDEX('Balance PLANTA'!$U:$U,B17)*17,IFERROR(INDEX('Balance PLANTA'!$C:$C,B17)*95,0))</f>
        <v>0</v>
      </c>
      <c r="E17" s="0" t="n">
        <f aca="false">IF(B17=5,0,IFERROR(INDEX('Balance PLANTA'!$W:$W,B17),0))</f>
        <v>0</v>
      </c>
      <c r="F17" s="0" t="n">
        <f aca="false">E17*95</f>
        <v>0</v>
      </c>
      <c r="G17" s="0" t="n">
        <f aca="false">D17-F17</f>
        <v>0</v>
      </c>
      <c r="H17" s="0" t="n">
        <f aca="false">H16+G17</f>
        <v>30354</v>
      </c>
      <c r="I17" s="0" t="n">
        <f aca="false">IFERROR(INDEX('Balance PLANTA'!$L:$L,B17)*15+INDEX('Balance PLANTA'!$M:$M,B17)*18+INDEX('Balance PLANTA'!$N:$N,B17)*17+INDEX('Balance PLANTA'!$O:$O,B17)*17,0)</f>
        <v>0</v>
      </c>
      <c r="J17" s="0" t="n">
        <f aca="false">J16+I17</f>
        <v>29847</v>
      </c>
      <c r="K17" s="0" t="str">
        <f aca="false">IF(INDEX('Balance PLANTA'!$J:$J,B17)=0,"",INDEX('Balance PLANTA'!$J:$J,B17))</f>
        <v/>
      </c>
      <c r="L17" s="0" t="n">
        <f aca="false">IFERROR(INDEX('Balance PLANTA'!$K:$K,B17),"")</f>
        <v>0</v>
      </c>
      <c r="Q17" s="0" t="n">
        <f aca="false">IFERROR(MATCH(H16,$J$2:$J$41,1),0)+1</f>
        <v>41</v>
      </c>
      <c r="R17" s="0" t="n">
        <f aca="false">IF(Q17&gt;40,0,MAX(0,MIN(H17,IFERROR(INDEX($J$2:$J$41,Q17),$N$1))-MAX(H16,IF(Q17=1,0,IFERROR(INDEX($J$2:$J$41,Q17-1),0)))))</f>
        <v>0</v>
      </c>
      <c r="S17" s="0" t="str">
        <f aca="false">IF(R17&lt;=0,"",IFERROR(INDEX($K$2:$K$41,Q17),""))</f>
        <v/>
      </c>
      <c r="T17" s="0" t="str">
        <f aca="false">IF(R17&lt;=0,"",IFERROR(INDEX($L$2:$L$41,Q17),""))</f>
        <v/>
      </c>
      <c r="W17" s="0" t="n">
        <f aca="false">Q17+1</f>
        <v>42</v>
      </c>
      <c r="X17" s="0" t="n">
        <f aca="false">IF(W17&gt;40,0,MAX(0,MIN(H17,IFERROR(INDEX($J$2:$J$41,W17),$N$1))-MAX(H16,IF(W17=1,0,IFERROR(INDEX($J$2:$J$41,W17-1),0)))))</f>
        <v>0</v>
      </c>
      <c r="Y17" s="0" t="str">
        <f aca="false">IF(X17&lt;=0,"",IFERROR(INDEX($K$2:$K$41,W17),""))</f>
        <v/>
      </c>
      <c r="Z17" s="0" t="str">
        <f aca="false">IF(X17&lt;=0,"",IFERROR(INDEX($L$2:$L$41,W17),""))</f>
        <v/>
      </c>
      <c r="AC17" s="0" t="n">
        <f aca="false">W17+1</f>
        <v>43</v>
      </c>
      <c r="AD17" s="0" t="n">
        <f aca="false">IF(AC17&gt;40,0,MAX(0,MIN(H17,IFERROR(INDEX($J$2:$J$41,AC17),$N$1))-MAX(H16,IF(AC17=1,0,IFERROR(INDEX($J$2:$J$41,AC17-1),0)))))</f>
        <v>0</v>
      </c>
      <c r="AE17" s="0" t="str">
        <f aca="false">IF(AD17&lt;=0,"",IFERROR(INDEX($K$2:$K$41,AC17),""))</f>
        <v/>
      </c>
      <c r="AF17" s="0" t="str">
        <f aca="false">IF(AD17&lt;=0,"",IFERROR(INDEX($L$2:$L$41,AC17),""))</f>
        <v/>
      </c>
      <c r="AI17" s="0" t="n">
        <f aca="false">AC17+1</f>
        <v>44</v>
      </c>
      <c r="AJ17" s="0" t="n">
        <f aca="false">IF(AI17&gt;40,0,MAX(0,MIN(H17,IFERROR(INDEX($J$2:$J$41,AI17),$N$1))-MAX(H16,IF(AI17=1,0,IFERROR(INDEX($J$2:$J$41,AI17-1),0)))))</f>
        <v>0</v>
      </c>
      <c r="AK17" s="0" t="str">
        <f aca="false">IF(AJ17&lt;=0,"",IFERROR(INDEX($K$2:$K$41,AI17),""))</f>
        <v/>
      </c>
      <c r="AL17" s="0" t="str">
        <f aca="false">IF(AJ17&lt;=0,"",IFERROR(INDEX($L$2:$L$41,AI17),""))</f>
        <v/>
      </c>
      <c r="AN17" s="0" t="n">
        <f aca="false">MAX(0,H17-MAX(H16,$N$1))</f>
        <v>0</v>
      </c>
      <c r="AP17" s="0" t="str">
        <f aca="false">IF($AJ$4&lt;=0,"",FIFO_helper!$C$4)</f>
        <v/>
      </c>
      <c r="AQ17" s="0" t="str">
        <f aca="false">IF($AJ$4&lt;=0,"",$AK$4)</f>
        <v/>
      </c>
      <c r="AR17" s="0" t="str">
        <f aca="false">IF($AJ$4&lt;=0,"","PRIMERA")</f>
        <v/>
      </c>
      <c r="AS17" s="0" t="str">
        <f aca="false">IF($AJ$4&lt;=0,"",$AL$4)</f>
        <v/>
      </c>
      <c r="AT17" s="0" t="str">
        <f aca="false">IF($AJ$4&lt;=0,"",$AJ$4)</f>
        <v/>
      </c>
      <c r="AU17" s="0" t="str">
        <f aca="false">IF($AJ$4&lt;=0,"","kg")</f>
        <v/>
      </c>
      <c r="AV17" s="0" t="n">
        <f aca="false">IF($AJ$4&lt;=0,0,1)</f>
        <v>0</v>
      </c>
      <c r="AW17" s="0" t="n">
        <f aca="false">AW16+AV17</f>
        <v>6</v>
      </c>
    </row>
    <row r="18" customFormat="false" ht="15" hidden="false" customHeight="false" outlineLevel="0" collapsed="false">
      <c r="A18" s="0" t="n">
        <v>17</v>
      </c>
      <c r="B18" s="0" t="n">
        <f aca="false">A18+4</f>
        <v>21</v>
      </c>
      <c r="C18" s="0" t="str">
        <f aca="false">IF(B18=5,"sem. ant.",INDEX('Balance PLANTA'!$A:$A,B18))</f>
        <v>⚖️ Merma = Ingreso(s×95 kg) − Selección kg(A×15,P×18,C×17,M×17) − Chancho prod(s×95 kg)  ·  TRAS=jaba perdida en trasiego(descuenta saldo A)  ·  Chancho: 1s=95kg</v>
      </c>
      <c r="D18" s="0" t="n">
        <f aca="false">IF(B18=5,INDEX('Balance PLANTA'!$R:$R,B18)*15+INDEX('Balance PLANTA'!$S:$S,B18)*18+INDEX('Balance PLANTA'!$T:$T,B18)*17+INDEX('Balance PLANTA'!$U:$U,B18)*17,IFERROR(INDEX('Balance PLANTA'!$C:$C,B18)*95,0))</f>
        <v>0</v>
      </c>
      <c r="E18" s="0" t="n">
        <f aca="false">IF(B18=5,0,IFERROR(INDEX('Balance PLANTA'!$W:$W,B18),0))</f>
        <v>0</v>
      </c>
      <c r="F18" s="0" t="n">
        <f aca="false">E18*95</f>
        <v>0</v>
      </c>
      <c r="G18" s="0" t="n">
        <f aca="false">D18-F18</f>
        <v>0</v>
      </c>
      <c r="H18" s="0" t="n">
        <f aca="false">H17+G18</f>
        <v>30354</v>
      </c>
      <c r="I18" s="0" t="n">
        <f aca="false">IFERROR(INDEX('Balance PLANTA'!$L:$L,B18)*15+INDEX('Balance PLANTA'!$M:$M,B18)*18+INDEX('Balance PLANTA'!$N:$N,B18)*17+INDEX('Balance PLANTA'!$O:$O,B18)*17,0)</f>
        <v>0</v>
      </c>
      <c r="J18" s="0" t="n">
        <f aca="false">J17+I18</f>
        <v>29847</v>
      </c>
      <c r="K18" s="0" t="str">
        <f aca="false">IF(INDEX('Balance PLANTA'!$J:$J,B18)=0,"",INDEX('Balance PLANTA'!$J:$J,B18))</f>
        <v/>
      </c>
      <c r="L18" s="0" t="n">
        <f aca="false">IFERROR(INDEX('Balance PLANTA'!$K:$K,B18),"")</f>
        <v>0</v>
      </c>
      <c r="Q18" s="0" t="n">
        <f aca="false">IFERROR(MATCH(H17,$J$2:$J$41,1),0)+1</f>
        <v>41</v>
      </c>
      <c r="R18" s="0" t="n">
        <f aca="false">IF(Q18&gt;40,0,MAX(0,MIN(H18,IFERROR(INDEX($J$2:$J$41,Q18),$N$1))-MAX(H17,IF(Q18=1,0,IFERROR(INDEX($J$2:$J$41,Q18-1),0)))))</f>
        <v>0</v>
      </c>
      <c r="S18" s="0" t="str">
        <f aca="false">IF(R18&lt;=0,"",IFERROR(INDEX($K$2:$K$41,Q18),""))</f>
        <v/>
      </c>
      <c r="T18" s="0" t="str">
        <f aca="false">IF(R18&lt;=0,"",IFERROR(INDEX($L$2:$L$41,Q18),""))</f>
        <v/>
      </c>
      <c r="W18" s="0" t="n">
        <f aca="false">Q18+1</f>
        <v>42</v>
      </c>
      <c r="X18" s="0" t="n">
        <f aca="false">IF(W18&gt;40,0,MAX(0,MIN(H18,IFERROR(INDEX($J$2:$J$41,W18),$N$1))-MAX(H17,IF(W18=1,0,IFERROR(INDEX($J$2:$J$41,W18-1),0)))))</f>
        <v>0</v>
      </c>
      <c r="Y18" s="0" t="str">
        <f aca="false">IF(X18&lt;=0,"",IFERROR(INDEX($K$2:$K$41,W18),""))</f>
        <v/>
      </c>
      <c r="Z18" s="0" t="str">
        <f aca="false">IF(X18&lt;=0,"",IFERROR(INDEX($L$2:$L$41,W18),""))</f>
        <v/>
      </c>
      <c r="AC18" s="0" t="n">
        <f aca="false">W18+1</f>
        <v>43</v>
      </c>
      <c r="AD18" s="0" t="n">
        <f aca="false">IF(AC18&gt;40,0,MAX(0,MIN(H18,IFERROR(INDEX($J$2:$J$41,AC18),$N$1))-MAX(H17,IF(AC18=1,0,IFERROR(INDEX($J$2:$J$41,AC18-1),0)))))</f>
        <v>0</v>
      </c>
      <c r="AE18" s="0" t="str">
        <f aca="false">IF(AD18&lt;=0,"",IFERROR(INDEX($K$2:$K$41,AC18),""))</f>
        <v/>
      </c>
      <c r="AF18" s="0" t="str">
        <f aca="false">IF(AD18&lt;=0,"",IFERROR(INDEX($L$2:$L$41,AC18),""))</f>
        <v/>
      </c>
      <c r="AI18" s="0" t="n">
        <f aca="false">AC18+1</f>
        <v>44</v>
      </c>
      <c r="AJ18" s="0" t="n">
        <f aca="false">IF(AI18&gt;40,0,MAX(0,MIN(H18,IFERROR(INDEX($J$2:$J$41,AI18),$N$1))-MAX(H17,IF(AI18=1,0,IFERROR(INDEX($J$2:$J$41,AI18-1),0)))))</f>
        <v>0</v>
      </c>
      <c r="AK18" s="0" t="str">
        <f aca="false">IF(AJ18&lt;=0,"",IFERROR(INDEX($K$2:$K$41,AI18),""))</f>
        <v/>
      </c>
      <c r="AL18" s="0" t="str">
        <f aca="false">IF(AJ18&lt;=0,"",IFERROR(INDEX($L$2:$L$41,AI18),""))</f>
        <v/>
      </c>
      <c r="AN18" s="0" t="n">
        <f aca="false">MAX(0,H18-MAX(H17,$N$1))</f>
        <v>0</v>
      </c>
      <c r="AP18" s="0" t="str">
        <f aca="false">IF($AN$4&lt;=0,"",FIFO_helper!$C$4)</f>
        <v/>
      </c>
      <c r="AQ18" s="0" t="str">
        <f aca="false">IF($AN$4&lt;=0,"","(queda en planta)")</f>
        <v/>
      </c>
      <c r="AR18" s="0" t="str">
        <f aca="false">IF($AN$4&lt;=0,"","PRIMERA")</f>
        <v/>
      </c>
      <c r="AS18" s="0" t="str">
        <f aca="false">""</f>
        <v/>
      </c>
      <c r="AT18" s="0" t="str">
        <f aca="false">IF($AN$4&lt;=0,"",$AN$4)</f>
        <v/>
      </c>
      <c r="AU18" s="0" t="str">
        <f aca="false">IF($AN$4&lt;=0,"","kg")</f>
        <v/>
      </c>
      <c r="AV18" s="0" t="n">
        <f aca="false">IF($AN$4&lt;=0,0,1)</f>
        <v>0</v>
      </c>
      <c r="AW18" s="0" t="n">
        <f aca="false">AW17+AV18</f>
        <v>6</v>
      </c>
    </row>
    <row r="19" customFormat="false" ht="15" hidden="false" customHeight="false" outlineLevel="0" collapsed="false">
      <c r="A19" s="0" t="n">
        <v>18</v>
      </c>
      <c r="B19" s="0" t="n">
        <f aca="false">A19+4</f>
        <v>22</v>
      </c>
      <c r="C19" s="0" t="n">
        <f aca="false">IF(B19=5,"sem. ant.",INDEX('Balance PLANTA'!$A:$A,B19))</f>
        <v>0</v>
      </c>
      <c r="D19" s="0" t="n">
        <f aca="false">IF(B19=5,INDEX('Balance PLANTA'!$R:$R,B19)*15+INDEX('Balance PLANTA'!$S:$S,B19)*18+INDEX('Balance PLANTA'!$T:$T,B19)*17+INDEX('Balance PLANTA'!$U:$U,B19)*17,IFERROR(INDEX('Balance PLANTA'!$C:$C,B19)*95,0))</f>
        <v>0</v>
      </c>
      <c r="E19" s="0" t="n">
        <f aca="false">IF(B19=5,0,IFERROR(INDEX('Balance PLANTA'!$W:$W,B19),0))</f>
        <v>0</v>
      </c>
      <c r="F19" s="0" t="n">
        <f aca="false">E19*95</f>
        <v>0</v>
      </c>
      <c r="G19" s="0" t="n">
        <f aca="false">D19-F19</f>
        <v>0</v>
      </c>
      <c r="H19" s="0" t="n">
        <f aca="false">H18+G19</f>
        <v>30354</v>
      </c>
      <c r="I19" s="0" t="n">
        <f aca="false">IFERROR(INDEX('Balance PLANTA'!$L:$L,B19)*15+INDEX('Balance PLANTA'!$M:$M,B19)*18+INDEX('Balance PLANTA'!$N:$N,B19)*17+INDEX('Balance PLANTA'!$O:$O,B19)*17,0)</f>
        <v>0</v>
      </c>
      <c r="J19" s="0" t="n">
        <f aca="false">J18+I19</f>
        <v>29847</v>
      </c>
      <c r="K19" s="0" t="str">
        <f aca="false">IF(INDEX('Balance PLANTA'!$J:$J,B19)=0,"",INDEX('Balance PLANTA'!$J:$J,B19))</f>
        <v/>
      </c>
      <c r="L19" s="0" t="n">
        <f aca="false">IFERROR(INDEX('Balance PLANTA'!$K:$K,B19),"")</f>
        <v>0</v>
      </c>
      <c r="Q19" s="0" t="n">
        <f aca="false">IFERROR(MATCH(H18,$J$2:$J$41,1),0)+1</f>
        <v>41</v>
      </c>
      <c r="R19" s="0" t="n">
        <f aca="false">IF(Q19&gt;40,0,MAX(0,MIN(H19,IFERROR(INDEX($J$2:$J$41,Q19),$N$1))-MAX(H18,IF(Q19=1,0,IFERROR(INDEX($J$2:$J$41,Q19-1),0)))))</f>
        <v>0</v>
      </c>
      <c r="S19" s="0" t="str">
        <f aca="false">IF(R19&lt;=0,"",IFERROR(INDEX($K$2:$K$41,Q19),""))</f>
        <v/>
      </c>
      <c r="T19" s="0" t="str">
        <f aca="false">IF(R19&lt;=0,"",IFERROR(INDEX($L$2:$L$41,Q19),""))</f>
        <v/>
      </c>
      <c r="W19" s="0" t="n">
        <f aca="false">Q19+1</f>
        <v>42</v>
      </c>
      <c r="X19" s="0" t="n">
        <f aca="false">IF(W19&gt;40,0,MAX(0,MIN(H19,IFERROR(INDEX($J$2:$J$41,W19),$N$1))-MAX(H18,IF(W19=1,0,IFERROR(INDEX($J$2:$J$41,W19-1),0)))))</f>
        <v>0</v>
      </c>
      <c r="Y19" s="0" t="str">
        <f aca="false">IF(X19&lt;=0,"",IFERROR(INDEX($K$2:$K$41,W19),""))</f>
        <v/>
      </c>
      <c r="Z19" s="0" t="str">
        <f aca="false">IF(X19&lt;=0,"",IFERROR(INDEX($L$2:$L$41,W19),""))</f>
        <v/>
      </c>
      <c r="AC19" s="0" t="n">
        <f aca="false">W19+1</f>
        <v>43</v>
      </c>
      <c r="AD19" s="0" t="n">
        <f aca="false">IF(AC19&gt;40,0,MAX(0,MIN(H19,IFERROR(INDEX($J$2:$J$41,AC19),$N$1))-MAX(H18,IF(AC19=1,0,IFERROR(INDEX($J$2:$J$41,AC19-1),0)))))</f>
        <v>0</v>
      </c>
      <c r="AE19" s="0" t="str">
        <f aca="false">IF(AD19&lt;=0,"",IFERROR(INDEX($K$2:$K$41,AC19),""))</f>
        <v/>
      </c>
      <c r="AF19" s="0" t="str">
        <f aca="false">IF(AD19&lt;=0,"",IFERROR(INDEX($L$2:$L$41,AC19),""))</f>
        <v/>
      </c>
      <c r="AI19" s="0" t="n">
        <f aca="false">AC19+1</f>
        <v>44</v>
      </c>
      <c r="AJ19" s="0" t="n">
        <f aca="false">IF(AI19&gt;40,0,MAX(0,MIN(H19,IFERROR(INDEX($J$2:$J$41,AI19),$N$1))-MAX(H18,IF(AI19=1,0,IFERROR(INDEX($J$2:$J$41,AI19-1),0)))))</f>
        <v>0</v>
      </c>
      <c r="AK19" s="0" t="str">
        <f aca="false">IF(AJ19&lt;=0,"",IFERROR(INDEX($K$2:$K$41,AI19),""))</f>
        <v/>
      </c>
      <c r="AL19" s="0" t="str">
        <f aca="false">IF(AJ19&lt;=0,"",IFERROR(INDEX($L$2:$L$41,AI19),""))</f>
        <v/>
      </c>
      <c r="AN19" s="0" t="n">
        <f aca="false">MAX(0,H19-MAX(H18,$N$1))</f>
        <v>0</v>
      </c>
      <c r="AP19" s="0" t="str">
        <f aca="false">IF($E$4&lt;=0,"",FIFO_helper!$C$4)</f>
        <v>13/07</v>
      </c>
      <c r="AQ19" s="0" t="str">
        <f aca="false">IF($E$4&lt;=0,"","↳ Chancho (prod.)")</f>
        <v>↳ Chancho (prod.)</v>
      </c>
      <c r="AR19" s="0" t="str">
        <f aca="false">IF($E$4&lt;=0,"","CHANCHO")</f>
        <v>CHANCHO</v>
      </c>
      <c r="AS19" s="0" t="str">
        <f aca="false">""</f>
        <v/>
      </c>
      <c r="AT19" s="0" t="n">
        <f aca="false">IF($E$4&lt;=0,"",$E$4)</f>
        <v>2</v>
      </c>
      <c r="AU19" s="0" t="str">
        <f aca="false">IF($E$4&lt;=0,"","sacos")</f>
        <v>sacos</v>
      </c>
      <c r="AV19" s="0" t="n">
        <f aca="false">IF($E$4&lt;=0,0,1)</f>
        <v>1</v>
      </c>
      <c r="AW19" s="0" t="n">
        <f aca="false">AW18+AV19</f>
        <v>7</v>
      </c>
    </row>
    <row r="20" customFormat="false" ht="15" hidden="false" customHeight="false" outlineLevel="0" collapsed="false">
      <c r="A20" s="0" t="n">
        <v>19</v>
      </c>
      <c r="B20" s="0" t="n">
        <f aca="false">A20+4</f>
        <v>23</v>
      </c>
      <c r="C20" s="0" t="n">
        <f aca="false">IF(B20=5,"sem. ant.",INDEX('Balance PLANTA'!$A:$A,B20))</f>
        <v>0</v>
      </c>
      <c r="D20" s="0" t="n">
        <f aca="false">IF(B20=5,INDEX('Balance PLANTA'!$R:$R,B20)*15+INDEX('Balance PLANTA'!$S:$S,B20)*18+INDEX('Balance PLANTA'!$T:$T,B20)*17+INDEX('Balance PLANTA'!$U:$U,B20)*17,IFERROR(INDEX('Balance PLANTA'!$C:$C,B20)*95,0))</f>
        <v>0</v>
      </c>
      <c r="E20" s="0" t="n">
        <f aca="false">IF(B20=5,0,IFERROR(INDEX('Balance PLANTA'!$W:$W,B20),0))</f>
        <v>0</v>
      </c>
      <c r="F20" s="0" t="n">
        <f aca="false">E20*95</f>
        <v>0</v>
      </c>
      <c r="G20" s="0" t="n">
        <f aca="false">D20-F20</f>
        <v>0</v>
      </c>
      <c r="H20" s="0" t="n">
        <f aca="false">H19+G20</f>
        <v>30354</v>
      </c>
      <c r="I20" s="0" t="n">
        <f aca="false">IFERROR(INDEX('Balance PLANTA'!$L:$L,B20)*15+INDEX('Balance PLANTA'!$M:$M,B20)*18+INDEX('Balance PLANTA'!$N:$N,B20)*17+INDEX('Balance PLANTA'!$O:$O,B20)*17,0)</f>
        <v>0</v>
      </c>
      <c r="J20" s="0" t="n">
        <f aca="false">J19+I20</f>
        <v>29847</v>
      </c>
      <c r="K20" s="0" t="str">
        <f aca="false">IF(INDEX('Balance PLANTA'!$J:$J,B20)=0,"",INDEX('Balance PLANTA'!$J:$J,B20))</f>
        <v/>
      </c>
      <c r="L20" s="0" t="n">
        <f aca="false">IFERROR(INDEX('Balance PLANTA'!$K:$K,B20),"")</f>
        <v>0</v>
      </c>
      <c r="Q20" s="0" t="n">
        <f aca="false">IFERROR(MATCH(H19,$J$2:$J$41,1),0)+1</f>
        <v>41</v>
      </c>
      <c r="R20" s="0" t="n">
        <f aca="false">IF(Q20&gt;40,0,MAX(0,MIN(H20,IFERROR(INDEX($J$2:$J$41,Q20),$N$1))-MAX(H19,IF(Q20=1,0,IFERROR(INDEX($J$2:$J$41,Q20-1),0)))))</f>
        <v>0</v>
      </c>
      <c r="S20" s="0" t="str">
        <f aca="false">IF(R20&lt;=0,"",IFERROR(INDEX($K$2:$K$41,Q20),""))</f>
        <v/>
      </c>
      <c r="T20" s="0" t="str">
        <f aca="false">IF(R20&lt;=0,"",IFERROR(INDEX($L$2:$L$41,Q20),""))</f>
        <v/>
      </c>
      <c r="W20" s="0" t="n">
        <f aca="false">Q20+1</f>
        <v>42</v>
      </c>
      <c r="X20" s="0" t="n">
        <f aca="false">IF(W20&gt;40,0,MAX(0,MIN(H20,IFERROR(INDEX($J$2:$J$41,W20),$N$1))-MAX(H19,IF(W20=1,0,IFERROR(INDEX($J$2:$J$41,W20-1),0)))))</f>
        <v>0</v>
      </c>
      <c r="Y20" s="0" t="str">
        <f aca="false">IF(X20&lt;=0,"",IFERROR(INDEX($K$2:$K$41,W20),""))</f>
        <v/>
      </c>
      <c r="Z20" s="0" t="str">
        <f aca="false">IF(X20&lt;=0,"",IFERROR(INDEX($L$2:$L$41,W20),""))</f>
        <v/>
      </c>
      <c r="AC20" s="0" t="n">
        <f aca="false">W20+1</f>
        <v>43</v>
      </c>
      <c r="AD20" s="0" t="n">
        <f aca="false">IF(AC20&gt;40,0,MAX(0,MIN(H20,IFERROR(INDEX($J$2:$J$41,AC20),$N$1))-MAX(H19,IF(AC20=1,0,IFERROR(INDEX($J$2:$J$41,AC20-1),0)))))</f>
        <v>0</v>
      </c>
      <c r="AE20" s="0" t="str">
        <f aca="false">IF(AD20&lt;=0,"",IFERROR(INDEX($K$2:$K$41,AC20),""))</f>
        <v/>
      </c>
      <c r="AF20" s="0" t="str">
        <f aca="false">IF(AD20&lt;=0,"",IFERROR(INDEX($L$2:$L$41,AC20),""))</f>
        <v/>
      </c>
      <c r="AI20" s="0" t="n">
        <f aca="false">AC20+1</f>
        <v>44</v>
      </c>
      <c r="AJ20" s="0" t="n">
        <f aca="false">IF(AI20&gt;40,0,MAX(0,MIN(H20,IFERROR(INDEX($J$2:$J$41,AI20),$N$1))-MAX(H19,IF(AI20=1,0,IFERROR(INDEX($J$2:$J$41,AI20-1),0)))))</f>
        <v>0</v>
      </c>
      <c r="AK20" s="0" t="str">
        <f aca="false">IF(AJ20&lt;=0,"",IFERROR(INDEX($K$2:$K$41,AI20),""))</f>
        <v/>
      </c>
      <c r="AL20" s="0" t="str">
        <f aca="false">IF(AJ20&lt;=0,"",IFERROR(INDEX($L$2:$L$41,AI20),""))</f>
        <v/>
      </c>
      <c r="AN20" s="0" t="n">
        <f aca="false">MAX(0,H20-MAX(H19,$N$1))</f>
        <v>0</v>
      </c>
      <c r="AP20" s="0" t="str">
        <f aca="false">IF($R$5&lt;=0,"",FIFO_helper!$C$5)</f>
        <v>14/07</v>
      </c>
      <c r="AQ20" s="0" t="str">
        <f aca="false">IF($R$5&lt;=0,"",$S$5)</f>
        <v>14/07</v>
      </c>
      <c r="AR20" s="0" t="str">
        <f aca="false">IF($R$5&lt;=0,"","PRIMERA")</f>
        <v>PRIMERA</v>
      </c>
      <c r="AS20" s="0" t="str">
        <f aca="false">IF($R$5&lt;=0,"",$T$5)</f>
        <v>G-2984</v>
      </c>
      <c r="AT20" s="0" t="n">
        <f aca="false">IF($R$5&lt;=0,"",$R$5)</f>
        <v>2427</v>
      </c>
      <c r="AU20" s="0" t="str">
        <f aca="false">IF($R$5&lt;=0,"","kg")</f>
        <v>kg</v>
      </c>
      <c r="AV20" s="0" t="n">
        <f aca="false">IF($R$5&lt;=0,0,1)</f>
        <v>1</v>
      </c>
      <c r="AW20" s="0" t="n">
        <f aca="false">AW19+AV20</f>
        <v>8</v>
      </c>
    </row>
    <row r="21" customFormat="false" ht="15" hidden="false" customHeight="false" outlineLevel="0" collapsed="false">
      <c r="A21" s="0" t="n">
        <v>20</v>
      </c>
      <c r="B21" s="0" t="n">
        <f aca="false">A21+4</f>
        <v>24</v>
      </c>
      <c r="C21" s="0" t="n">
        <f aca="false">IF(B21=5,"sem. ant.",INDEX('Balance PLANTA'!$A:$A,B21))</f>
        <v>0</v>
      </c>
      <c r="D21" s="0" t="n">
        <f aca="false">IF(B21=5,INDEX('Balance PLANTA'!$R:$R,B21)*15+INDEX('Balance PLANTA'!$S:$S,B21)*18+INDEX('Balance PLANTA'!$T:$T,B21)*17+INDEX('Balance PLANTA'!$U:$U,B21)*17,IFERROR(INDEX('Balance PLANTA'!$C:$C,B21)*95,0))</f>
        <v>0</v>
      </c>
      <c r="E21" s="0" t="n">
        <f aca="false">IF(B21=5,0,IFERROR(INDEX('Balance PLANTA'!$W:$W,B21),0))</f>
        <v>0</v>
      </c>
      <c r="F21" s="0" t="n">
        <f aca="false">E21*95</f>
        <v>0</v>
      </c>
      <c r="G21" s="0" t="n">
        <f aca="false">D21-F21</f>
        <v>0</v>
      </c>
      <c r="H21" s="0" t="n">
        <f aca="false">H20+G21</f>
        <v>30354</v>
      </c>
      <c r="I21" s="0" t="n">
        <f aca="false">IFERROR(INDEX('Balance PLANTA'!$L:$L,B21)*15+INDEX('Balance PLANTA'!$M:$M,B21)*18+INDEX('Balance PLANTA'!$N:$N,B21)*17+INDEX('Balance PLANTA'!$O:$O,B21)*17,0)</f>
        <v>0</v>
      </c>
      <c r="J21" s="0" t="n">
        <f aca="false">J20+I21</f>
        <v>29847</v>
      </c>
      <c r="K21" s="0" t="str">
        <f aca="false">IF(INDEX('Balance PLANTA'!$J:$J,B21)=0,"",INDEX('Balance PLANTA'!$J:$J,B21))</f>
        <v/>
      </c>
      <c r="L21" s="0" t="n">
        <f aca="false">IFERROR(INDEX('Balance PLANTA'!$K:$K,B21),"")</f>
        <v>0</v>
      </c>
      <c r="Q21" s="0" t="n">
        <f aca="false">IFERROR(MATCH(H20,$J$2:$J$41,1),0)+1</f>
        <v>41</v>
      </c>
      <c r="R21" s="0" t="n">
        <f aca="false">IF(Q21&gt;40,0,MAX(0,MIN(H21,IFERROR(INDEX($J$2:$J$41,Q21),$N$1))-MAX(H20,IF(Q21=1,0,IFERROR(INDEX($J$2:$J$41,Q21-1),0)))))</f>
        <v>0</v>
      </c>
      <c r="S21" s="0" t="str">
        <f aca="false">IF(R21&lt;=0,"",IFERROR(INDEX($K$2:$K$41,Q21),""))</f>
        <v/>
      </c>
      <c r="T21" s="0" t="str">
        <f aca="false">IF(R21&lt;=0,"",IFERROR(INDEX($L$2:$L$41,Q21),""))</f>
        <v/>
      </c>
      <c r="W21" s="0" t="n">
        <f aca="false">Q21+1</f>
        <v>42</v>
      </c>
      <c r="X21" s="0" t="n">
        <f aca="false">IF(W21&gt;40,0,MAX(0,MIN(H21,IFERROR(INDEX($J$2:$J$41,W21),$N$1))-MAX(H20,IF(W21=1,0,IFERROR(INDEX($J$2:$J$41,W21-1),0)))))</f>
        <v>0</v>
      </c>
      <c r="Y21" s="0" t="str">
        <f aca="false">IF(X21&lt;=0,"",IFERROR(INDEX($K$2:$K$41,W21),""))</f>
        <v/>
      </c>
      <c r="Z21" s="0" t="str">
        <f aca="false">IF(X21&lt;=0,"",IFERROR(INDEX($L$2:$L$41,W21),""))</f>
        <v/>
      </c>
      <c r="AC21" s="0" t="n">
        <f aca="false">W21+1</f>
        <v>43</v>
      </c>
      <c r="AD21" s="0" t="n">
        <f aca="false">IF(AC21&gt;40,0,MAX(0,MIN(H21,IFERROR(INDEX($J$2:$J$41,AC21),$N$1))-MAX(H20,IF(AC21=1,0,IFERROR(INDEX($J$2:$J$41,AC21-1),0)))))</f>
        <v>0</v>
      </c>
      <c r="AE21" s="0" t="str">
        <f aca="false">IF(AD21&lt;=0,"",IFERROR(INDEX($K$2:$K$41,AC21),""))</f>
        <v/>
      </c>
      <c r="AF21" s="0" t="str">
        <f aca="false">IF(AD21&lt;=0,"",IFERROR(INDEX($L$2:$L$41,AC21),""))</f>
        <v/>
      </c>
      <c r="AI21" s="0" t="n">
        <f aca="false">AC21+1</f>
        <v>44</v>
      </c>
      <c r="AJ21" s="0" t="n">
        <f aca="false">IF(AI21&gt;40,0,MAX(0,MIN(H21,IFERROR(INDEX($J$2:$J$41,AI21),$N$1))-MAX(H20,IF(AI21=1,0,IFERROR(INDEX($J$2:$J$41,AI21-1),0)))))</f>
        <v>0</v>
      </c>
      <c r="AK21" s="0" t="str">
        <f aca="false">IF(AJ21&lt;=0,"",IFERROR(INDEX($K$2:$K$41,AI21),""))</f>
        <v/>
      </c>
      <c r="AL21" s="0" t="str">
        <f aca="false">IF(AJ21&lt;=0,"",IFERROR(INDEX($L$2:$L$41,AI21),""))</f>
        <v/>
      </c>
      <c r="AN21" s="0" t="n">
        <f aca="false">MAX(0,H21-MAX(H20,$N$1))</f>
        <v>0</v>
      </c>
      <c r="AP21" s="0" t="str">
        <f aca="false">IF($X$5&lt;=0,"",FIFO_helper!$C$5)</f>
        <v>14/07</v>
      </c>
      <c r="AQ21" s="0" t="str">
        <f aca="false">IF($X$5&lt;=0,"",$Y$5)</f>
        <v>15/07</v>
      </c>
      <c r="AR21" s="0" t="str">
        <f aca="false">IF($X$5&lt;=0,"","PRIMERA")</f>
        <v>PRIMERA</v>
      </c>
      <c r="AS21" s="0" t="str">
        <f aca="false">IF($X$5&lt;=0,"",$Z$5)</f>
        <v>G-2986</v>
      </c>
      <c r="AT21" s="0" t="n">
        <f aca="false">IF($X$5&lt;=0,"",$X$5)</f>
        <v>708</v>
      </c>
      <c r="AU21" s="0" t="str">
        <f aca="false">IF($X$5&lt;=0,"","kg")</f>
        <v>kg</v>
      </c>
      <c r="AV21" s="0" t="n">
        <f aca="false">IF($X$5&lt;=0,0,1)</f>
        <v>1</v>
      </c>
      <c r="AW21" s="0" t="n">
        <f aca="false">AW20+AV21</f>
        <v>9</v>
      </c>
    </row>
    <row r="22" customFormat="false" ht="15" hidden="false" customHeight="false" outlineLevel="0" collapsed="false">
      <c r="A22" s="0" t="n">
        <v>21</v>
      </c>
      <c r="B22" s="0" t="n">
        <f aca="false">A22+4</f>
        <v>25</v>
      </c>
      <c r="C22" s="0" t="n">
        <f aca="false">IF(B22=5,"sem. ant.",INDEX('Balance PLANTA'!$A:$A,B22))</f>
        <v>0</v>
      </c>
      <c r="D22" s="0" t="n">
        <f aca="false">IF(B22=5,INDEX('Balance PLANTA'!$R:$R,B22)*15+INDEX('Balance PLANTA'!$S:$S,B22)*18+INDEX('Balance PLANTA'!$T:$T,B22)*17+INDEX('Balance PLANTA'!$U:$U,B22)*17,IFERROR(INDEX('Balance PLANTA'!$C:$C,B22)*95,0))</f>
        <v>0</v>
      </c>
      <c r="E22" s="0" t="n">
        <f aca="false">IF(B22=5,0,IFERROR(INDEX('Balance PLANTA'!$W:$W,B22),0))</f>
        <v>0</v>
      </c>
      <c r="F22" s="0" t="n">
        <f aca="false">E22*95</f>
        <v>0</v>
      </c>
      <c r="G22" s="0" t="n">
        <f aca="false">D22-F22</f>
        <v>0</v>
      </c>
      <c r="H22" s="0" t="n">
        <f aca="false">H21+G22</f>
        <v>30354</v>
      </c>
      <c r="I22" s="0" t="n">
        <f aca="false">IFERROR(INDEX('Balance PLANTA'!$L:$L,B22)*15+INDEX('Balance PLANTA'!$M:$M,B22)*18+INDEX('Balance PLANTA'!$N:$N,B22)*17+INDEX('Balance PLANTA'!$O:$O,B22)*17,0)</f>
        <v>0</v>
      </c>
      <c r="J22" s="0" t="n">
        <f aca="false">J21+I22</f>
        <v>29847</v>
      </c>
      <c r="K22" s="0" t="str">
        <f aca="false">IF(INDEX('Balance PLANTA'!$J:$J,B22)=0,"",INDEX('Balance PLANTA'!$J:$J,B22))</f>
        <v/>
      </c>
      <c r="L22" s="0" t="n">
        <f aca="false">IFERROR(INDEX('Balance PLANTA'!$K:$K,B22),"")</f>
        <v>0</v>
      </c>
      <c r="Q22" s="0" t="n">
        <f aca="false">IFERROR(MATCH(H21,$J$2:$J$41,1),0)+1</f>
        <v>41</v>
      </c>
      <c r="R22" s="0" t="n">
        <f aca="false">IF(Q22&gt;40,0,MAX(0,MIN(H22,IFERROR(INDEX($J$2:$J$41,Q22),$N$1))-MAX(H21,IF(Q22=1,0,IFERROR(INDEX($J$2:$J$41,Q22-1),0)))))</f>
        <v>0</v>
      </c>
      <c r="S22" s="0" t="str">
        <f aca="false">IF(R22&lt;=0,"",IFERROR(INDEX($K$2:$K$41,Q22),""))</f>
        <v/>
      </c>
      <c r="T22" s="0" t="str">
        <f aca="false">IF(R22&lt;=0,"",IFERROR(INDEX($L$2:$L$41,Q22),""))</f>
        <v/>
      </c>
      <c r="W22" s="0" t="n">
        <f aca="false">Q22+1</f>
        <v>42</v>
      </c>
      <c r="X22" s="0" t="n">
        <f aca="false">IF(W22&gt;40,0,MAX(0,MIN(H22,IFERROR(INDEX($J$2:$J$41,W22),$N$1))-MAX(H21,IF(W22=1,0,IFERROR(INDEX($J$2:$J$41,W22-1),0)))))</f>
        <v>0</v>
      </c>
      <c r="Y22" s="0" t="str">
        <f aca="false">IF(X22&lt;=0,"",IFERROR(INDEX($K$2:$K$41,W22),""))</f>
        <v/>
      </c>
      <c r="Z22" s="0" t="str">
        <f aca="false">IF(X22&lt;=0,"",IFERROR(INDEX($L$2:$L$41,W22),""))</f>
        <v/>
      </c>
      <c r="AC22" s="0" t="n">
        <f aca="false">W22+1</f>
        <v>43</v>
      </c>
      <c r="AD22" s="0" t="n">
        <f aca="false">IF(AC22&gt;40,0,MAX(0,MIN(H22,IFERROR(INDEX($J$2:$J$41,AC22),$N$1))-MAX(H21,IF(AC22=1,0,IFERROR(INDEX($J$2:$J$41,AC22-1),0)))))</f>
        <v>0</v>
      </c>
      <c r="AE22" s="0" t="str">
        <f aca="false">IF(AD22&lt;=0,"",IFERROR(INDEX($K$2:$K$41,AC22),""))</f>
        <v/>
      </c>
      <c r="AF22" s="0" t="str">
        <f aca="false">IF(AD22&lt;=0,"",IFERROR(INDEX($L$2:$L$41,AC22),""))</f>
        <v/>
      </c>
      <c r="AI22" s="0" t="n">
        <f aca="false">AC22+1</f>
        <v>44</v>
      </c>
      <c r="AJ22" s="0" t="n">
        <f aca="false">IF(AI22&gt;40,0,MAX(0,MIN(H22,IFERROR(INDEX($J$2:$J$41,AI22),$N$1))-MAX(H21,IF(AI22=1,0,IFERROR(INDEX($J$2:$J$41,AI22-1),0)))))</f>
        <v>0</v>
      </c>
      <c r="AK22" s="0" t="str">
        <f aca="false">IF(AJ22&lt;=0,"",IFERROR(INDEX($K$2:$K$41,AI22),""))</f>
        <v/>
      </c>
      <c r="AL22" s="0" t="str">
        <f aca="false">IF(AJ22&lt;=0,"",IFERROR(INDEX($L$2:$L$41,AI22),""))</f>
        <v/>
      </c>
      <c r="AN22" s="0" t="n">
        <f aca="false">MAX(0,H22-MAX(H21,$N$1))</f>
        <v>0</v>
      </c>
      <c r="AP22" s="0" t="str">
        <f aca="false">IF($AD$5&lt;=0,"",FIFO_helper!$C$5)</f>
        <v/>
      </c>
      <c r="AQ22" s="0" t="str">
        <f aca="false">IF($AD$5&lt;=0,"",$AE$5)</f>
        <v/>
      </c>
      <c r="AR22" s="0" t="str">
        <f aca="false">IF($AD$5&lt;=0,"","PRIMERA")</f>
        <v/>
      </c>
      <c r="AS22" s="0" t="str">
        <f aca="false">IF($AD$5&lt;=0,"",$AF$5)</f>
        <v/>
      </c>
      <c r="AT22" s="0" t="str">
        <f aca="false">IF($AD$5&lt;=0,"",$AD$5)</f>
        <v/>
      </c>
      <c r="AU22" s="0" t="str">
        <f aca="false">IF($AD$5&lt;=0,"","kg")</f>
        <v/>
      </c>
      <c r="AV22" s="0" t="n">
        <f aca="false">IF($AD$5&lt;=0,0,1)</f>
        <v>0</v>
      </c>
      <c r="AW22" s="0" t="n">
        <f aca="false">AW21+AV22</f>
        <v>9</v>
      </c>
    </row>
    <row r="23" customFormat="false" ht="15" hidden="false" customHeight="false" outlineLevel="0" collapsed="false">
      <c r="A23" s="0" t="n">
        <v>22</v>
      </c>
      <c r="B23" s="0" t="n">
        <f aca="false">A23+4</f>
        <v>26</v>
      </c>
      <c r="C23" s="0" t="n">
        <f aca="false">IF(B23=5,"sem. ant.",INDEX('Balance PLANTA'!$A:$A,B23))</f>
        <v>0</v>
      </c>
      <c r="D23" s="0" t="n">
        <f aca="false">IF(B23=5,INDEX('Balance PLANTA'!$R:$R,B23)*15+INDEX('Balance PLANTA'!$S:$S,B23)*18+INDEX('Balance PLANTA'!$T:$T,B23)*17+INDEX('Balance PLANTA'!$U:$U,B23)*17,IFERROR(INDEX('Balance PLANTA'!$C:$C,B23)*95,0))</f>
        <v>0</v>
      </c>
      <c r="E23" s="0" t="n">
        <f aca="false">IF(B23=5,0,IFERROR(INDEX('Balance PLANTA'!$W:$W,B23),0))</f>
        <v>0</v>
      </c>
      <c r="F23" s="0" t="n">
        <f aca="false">E23*95</f>
        <v>0</v>
      </c>
      <c r="G23" s="0" t="n">
        <f aca="false">D23-F23</f>
        <v>0</v>
      </c>
      <c r="H23" s="0" t="n">
        <f aca="false">H22+G23</f>
        <v>30354</v>
      </c>
      <c r="I23" s="0" t="n">
        <f aca="false">IFERROR(INDEX('Balance PLANTA'!$L:$L,B23)*15+INDEX('Balance PLANTA'!$M:$M,B23)*18+INDEX('Balance PLANTA'!$N:$N,B23)*17+INDEX('Balance PLANTA'!$O:$O,B23)*17,0)</f>
        <v>0</v>
      </c>
      <c r="J23" s="0" t="n">
        <f aca="false">J22+I23</f>
        <v>29847</v>
      </c>
      <c r="K23" s="0" t="str">
        <f aca="false">IF(INDEX('Balance PLANTA'!$J:$J,B23)=0,"",INDEX('Balance PLANTA'!$J:$J,B23))</f>
        <v/>
      </c>
      <c r="L23" s="0" t="n">
        <f aca="false">IFERROR(INDEX('Balance PLANTA'!$K:$K,B23),"")</f>
        <v>0</v>
      </c>
      <c r="Q23" s="0" t="n">
        <f aca="false">IFERROR(MATCH(H22,$J$2:$J$41,1),0)+1</f>
        <v>41</v>
      </c>
      <c r="R23" s="0" t="n">
        <f aca="false">IF(Q23&gt;40,0,MAX(0,MIN(H23,IFERROR(INDEX($J$2:$J$41,Q23),$N$1))-MAX(H22,IF(Q23=1,0,IFERROR(INDEX($J$2:$J$41,Q23-1),0)))))</f>
        <v>0</v>
      </c>
      <c r="S23" s="0" t="str">
        <f aca="false">IF(R23&lt;=0,"",IFERROR(INDEX($K$2:$K$41,Q23),""))</f>
        <v/>
      </c>
      <c r="T23" s="0" t="str">
        <f aca="false">IF(R23&lt;=0,"",IFERROR(INDEX($L$2:$L$41,Q23),""))</f>
        <v/>
      </c>
      <c r="W23" s="0" t="n">
        <f aca="false">Q23+1</f>
        <v>42</v>
      </c>
      <c r="X23" s="0" t="n">
        <f aca="false">IF(W23&gt;40,0,MAX(0,MIN(H23,IFERROR(INDEX($J$2:$J$41,W23),$N$1))-MAX(H22,IF(W23=1,0,IFERROR(INDEX($J$2:$J$41,W23-1),0)))))</f>
        <v>0</v>
      </c>
      <c r="Y23" s="0" t="str">
        <f aca="false">IF(X23&lt;=0,"",IFERROR(INDEX($K$2:$K$41,W23),""))</f>
        <v/>
      </c>
      <c r="Z23" s="0" t="str">
        <f aca="false">IF(X23&lt;=0,"",IFERROR(INDEX($L$2:$L$41,W23),""))</f>
        <v/>
      </c>
      <c r="AC23" s="0" t="n">
        <f aca="false">W23+1</f>
        <v>43</v>
      </c>
      <c r="AD23" s="0" t="n">
        <f aca="false">IF(AC23&gt;40,0,MAX(0,MIN(H23,IFERROR(INDEX($J$2:$J$41,AC23),$N$1))-MAX(H22,IF(AC23=1,0,IFERROR(INDEX($J$2:$J$41,AC23-1),0)))))</f>
        <v>0</v>
      </c>
      <c r="AE23" s="0" t="str">
        <f aca="false">IF(AD23&lt;=0,"",IFERROR(INDEX($K$2:$K$41,AC23),""))</f>
        <v/>
      </c>
      <c r="AF23" s="0" t="str">
        <f aca="false">IF(AD23&lt;=0,"",IFERROR(INDEX($L$2:$L$41,AC23),""))</f>
        <v/>
      </c>
      <c r="AI23" s="0" t="n">
        <f aca="false">AC23+1</f>
        <v>44</v>
      </c>
      <c r="AJ23" s="0" t="n">
        <f aca="false">IF(AI23&gt;40,0,MAX(0,MIN(H23,IFERROR(INDEX($J$2:$J$41,AI23),$N$1))-MAX(H22,IF(AI23=1,0,IFERROR(INDEX($J$2:$J$41,AI23-1),0)))))</f>
        <v>0</v>
      </c>
      <c r="AK23" s="0" t="str">
        <f aca="false">IF(AJ23&lt;=0,"",IFERROR(INDEX($K$2:$K$41,AI23),""))</f>
        <v/>
      </c>
      <c r="AL23" s="0" t="str">
        <f aca="false">IF(AJ23&lt;=0,"",IFERROR(INDEX($L$2:$L$41,AI23),""))</f>
        <v/>
      </c>
      <c r="AN23" s="0" t="n">
        <f aca="false">MAX(0,H23-MAX(H22,$N$1))</f>
        <v>0</v>
      </c>
      <c r="AP23" s="0" t="str">
        <f aca="false">IF($AJ$5&lt;=0,"",FIFO_helper!$C$5)</f>
        <v/>
      </c>
      <c r="AQ23" s="0" t="str">
        <f aca="false">IF($AJ$5&lt;=0,"",$AK$5)</f>
        <v/>
      </c>
      <c r="AR23" s="0" t="str">
        <f aca="false">IF($AJ$5&lt;=0,"","PRIMERA")</f>
        <v/>
      </c>
      <c r="AS23" s="0" t="str">
        <f aca="false">IF($AJ$5&lt;=0,"",$AL$5)</f>
        <v/>
      </c>
      <c r="AT23" s="0" t="str">
        <f aca="false">IF($AJ$5&lt;=0,"",$AJ$5)</f>
        <v/>
      </c>
      <c r="AU23" s="0" t="str">
        <f aca="false">IF($AJ$5&lt;=0,"","kg")</f>
        <v/>
      </c>
      <c r="AV23" s="0" t="n">
        <f aca="false">IF($AJ$5&lt;=0,0,1)</f>
        <v>0</v>
      </c>
      <c r="AW23" s="0" t="n">
        <f aca="false">AW22+AV23</f>
        <v>9</v>
      </c>
    </row>
    <row r="24" customFormat="false" ht="15" hidden="false" customHeight="false" outlineLevel="0" collapsed="false">
      <c r="A24" s="0" t="n">
        <v>23</v>
      </c>
      <c r="B24" s="0" t="n">
        <f aca="false">A24+4</f>
        <v>27</v>
      </c>
      <c r="C24" s="0" t="n">
        <f aca="false">IF(B24=5,"sem. ant.",INDEX('Balance PLANTA'!$A:$A,B24))</f>
        <v>0</v>
      </c>
      <c r="D24" s="0" t="n">
        <f aca="false">IF(B24=5,INDEX('Balance PLANTA'!$R:$R,B24)*15+INDEX('Balance PLANTA'!$S:$S,B24)*18+INDEX('Balance PLANTA'!$T:$T,B24)*17+INDEX('Balance PLANTA'!$U:$U,B24)*17,IFERROR(INDEX('Balance PLANTA'!$C:$C,B24)*95,0))</f>
        <v>0</v>
      </c>
      <c r="E24" s="0" t="n">
        <f aca="false">IF(B24=5,0,IFERROR(INDEX('Balance PLANTA'!$W:$W,B24),0))</f>
        <v>0</v>
      </c>
      <c r="F24" s="0" t="n">
        <f aca="false">E24*95</f>
        <v>0</v>
      </c>
      <c r="G24" s="0" t="n">
        <f aca="false">D24-F24</f>
        <v>0</v>
      </c>
      <c r="H24" s="0" t="n">
        <f aca="false">H23+G24</f>
        <v>30354</v>
      </c>
      <c r="I24" s="0" t="n">
        <f aca="false">IFERROR(INDEX('Balance PLANTA'!$L:$L,B24)*15+INDEX('Balance PLANTA'!$M:$M,B24)*18+INDEX('Balance PLANTA'!$N:$N,B24)*17+INDEX('Balance PLANTA'!$O:$O,B24)*17,0)</f>
        <v>0</v>
      </c>
      <c r="J24" s="0" t="n">
        <f aca="false">J23+I24</f>
        <v>29847</v>
      </c>
      <c r="K24" s="0" t="str">
        <f aca="false">IF(INDEX('Balance PLANTA'!$J:$J,B24)=0,"",INDEX('Balance PLANTA'!$J:$J,B24))</f>
        <v/>
      </c>
      <c r="L24" s="0" t="n">
        <f aca="false">IFERROR(INDEX('Balance PLANTA'!$K:$K,B24),"")</f>
        <v>0</v>
      </c>
      <c r="Q24" s="0" t="n">
        <f aca="false">IFERROR(MATCH(H23,$J$2:$J$41,1),0)+1</f>
        <v>41</v>
      </c>
      <c r="R24" s="0" t="n">
        <f aca="false">IF(Q24&gt;40,0,MAX(0,MIN(H24,IFERROR(INDEX($J$2:$J$41,Q24),$N$1))-MAX(H23,IF(Q24=1,0,IFERROR(INDEX($J$2:$J$41,Q24-1),0)))))</f>
        <v>0</v>
      </c>
      <c r="S24" s="0" t="str">
        <f aca="false">IF(R24&lt;=0,"",IFERROR(INDEX($K$2:$K$41,Q24),""))</f>
        <v/>
      </c>
      <c r="T24" s="0" t="str">
        <f aca="false">IF(R24&lt;=0,"",IFERROR(INDEX($L$2:$L$41,Q24),""))</f>
        <v/>
      </c>
      <c r="W24" s="0" t="n">
        <f aca="false">Q24+1</f>
        <v>42</v>
      </c>
      <c r="X24" s="0" t="n">
        <f aca="false">IF(W24&gt;40,0,MAX(0,MIN(H24,IFERROR(INDEX($J$2:$J$41,W24),$N$1))-MAX(H23,IF(W24=1,0,IFERROR(INDEX($J$2:$J$41,W24-1),0)))))</f>
        <v>0</v>
      </c>
      <c r="Y24" s="0" t="str">
        <f aca="false">IF(X24&lt;=0,"",IFERROR(INDEX($K$2:$K$41,W24),""))</f>
        <v/>
      </c>
      <c r="Z24" s="0" t="str">
        <f aca="false">IF(X24&lt;=0,"",IFERROR(INDEX($L$2:$L$41,W24),""))</f>
        <v/>
      </c>
      <c r="AC24" s="0" t="n">
        <f aca="false">W24+1</f>
        <v>43</v>
      </c>
      <c r="AD24" s="0" t="n">
        <f aca="false">IF(AC24&gt;40,0,MAX(0,MIN(H24,IFERROR(INDEX($J$2:$J$41,AC24),$N$1))-MAX(H23,IF(AC24=1,0,IFERROR(INDEX($J$2:$J$41,AC24-1),0)))))</f>
        <v>0</v>
      </c>
      <c r="AE24" s="0" t="str">
        <f aca="false">IF(AD24&lt;=0,"",IFERROR(INDEX($K$2:$K$41,AC24),""))</f>
        <v/>
      </c>
      <c r="AF24" s="0" t="str">
        <f aca="false">IF(AD24&lt;=0,"",IFERROR(INDEX($L$2:$L$41,AC24),""))</f>
        <v/>
      </c>
      <c r="AI24" s="0" t="n">
        <f aca="false">AC24+1</f>
        <v>44</v>
      </c>
      <c r="AJ24" s="0" t="n">
        <f aca="false">IF(AI24&gt;40,0,MAX(0,MIN(H24,IFERROR(INDEX($J$2:$J$41,AI24),$N$1))-MAX(H23,IF(AI24=1,0,IFERROR(INDEX($J$2:$J$41,AI24-1),0)))))</f>
        <v>0</v>
      </c>
      <c r="AK24" s="0" t="str">
        <f aca="false">IF(AJ24&lt;=0,"",IFERROR(INDEX($K$2:$K$41,AI24),""))</f>
        <v/>
      </c>
      <c r="AL24" s="0" t="str">
        <f aca="false">IF(AJ24&lt;=0,"",IFERROR(INDEX($L$2:$L$41,AI24),""))</f>
        <v/>
      </c>
      <c r="AN24" s="0" t="n">
        <f aca="false">MAX(0,H24-MAX(H23,$N$1))</f>
        <v>0</v>
      </c>
      <c r="AP24" s="0" t="str">
        <f aca="false">IF($AN$5&lt;=0,"",FIFO_helper!$C$5)</f>
        <v/>
      </c>
      <c r="AQ24" s="0" t="str">
        <f aca="false">IF($AN$5&lt;=0,"","(queda en planta)")</f>
        <v/>
      </c>
      <c r="AR24" s="0" t="str">
        <f aca="false">IF($AN$5&lt;=0,"","PRIMERA")</f>
        <v/>
      </c>
      <c r="AS24" s="0" t="str">
        <f aca="false">""</f>
        <v/>
      </c>
      <c r="AT24" s="0" t="str">
        <f aca="false">IF($AN$5&lt;=0,"",$AN$5)</f>
        <v/>
      </c>
      <c r="AU24" s="0" t="str">
        <f aca="false">IF($AN$5&lt;=0,"","kg")</f>
        <v/>
      </c>
      <c r="AV24" s="0" t="n">
        <f aca="false">IF($AN$5&lt;=0,0,1)</f>
        <v>0</v>
      </c>
      <c r="AW24" s="0" t="n">
        <f aca="false">AW23+AV24</f>
        <v>9</v>
      </c>
    </row>
    <row r="25" customFormat="false" ht="15" hidden="false" customHeight="false" outlineLevel="0" collapsed="false">
      <c r="A25" s="0" t="n">
        <v>24</v>
      </c>
      <c r="B25" s="0" t="n">
        <f aca="false">A25+4</f>
        <v>28</v>
      </c>
      <c r="C25" s="0" t="n">
        <f aca="false">IF(B25=5,"sem. ant.",INDEX('Balance PLANTA'!$A:$A,B25))</f>
        <v>0</v>
      </c>
      <c r="D25" s="0" t="n">
        <f aca="false">IF(B25=5,INDEX('Balance PLANTA'!$R:$R,B25)*15+INDEX('Balance PLANTA'!$S:$S,B25)*18+INDEX('Balance PLANTA'!$T:$T,B25)*17+INDEX('Balance PLANTA'!$U:$U,B25)*17,IFERROR(INDEX('Balance PLANTA'!$C:$C,B25)*95,0))</f>
        <v>0</v>
      </c>
      <c r="E25" s="0" t="n">
        <f aca="false">IF(B25=5,0,IFERROR(INDEX('Balance PLANTA'!$W:$W,B25),0))</f>
        <v>0</v>
      </c>
      <c r="F25" s="0" t="n">
        <f aca="false">E25*95</f>
        <v>0</v>
      </c>
      <c r="G25" s="0" t="n">
        <f aca="false">D25-F25</f>
        <v>0</v>
      </c>
      <c r="H25" s="0" t="n">
        <f aca="false">H24+G25</f>
        <v>30354</v>
      </c>
      <c r="I25" s="0" t="n">
        <f aca="false">IFERROR(INDEX('Balance PLANTA'!$L:$L,B25)*15+INDEX('Balance PLANTA'!$M:$M,B25)*18+INDEX('Balance PLANTA'!$N:$N,B25)*17+INDEX('Balance PLANTA'!$O:$O,B25)*17,0)</f>
        <v>0</v>
      </c>
      <c r="J25" s="0" t="n">
        <f aca="false">J24+I25</f>
        <v>29847</v>
      </c>
      <c r="K25" s="0" t="str">
        <f aca="false">IF(INDEX('Balance PLANTA'!$J:$J,B25)=0,"",INDEX('Balance PLANTA'!$J:$J,B25))</f>
        <v/>
      </c>
      <c r="L25" s="0" t="n">
        <f aca="false">IFERROR(INDEX('Balance PLANTA'!$K:$K,B25),"")</f>
        <v>0</v>
      </c>
      <c r="Q25" s="0" t="n">
        <f aca="false">IFERROR(MATCH(H24,$J$2:$J$41,1),0)+1</f>
        <v>41</v>
      </c>
      <c r="R25" s="0" t="n">
        <f aca="false">IF(Q25&gt;40,0,MAX(0,MIN(H25,IFERROR(INDEX($J$2:$J$41,Q25),$N$1))-MAX(H24,IF(Q25=1,0,IFERROR(INDEX($J$2:$J$41,Q25-1),0)))))</f>
        <v>0</v>
      </c>
      <c r="S25" s="0" t="str">
        <f aca="false">IF(R25&lt;=0,"",IFERROR(INDEX($K$2:$K$41,Q25),""))</f>
        <v/>
      </c>
      <c r="T25" s="0" t="str">
        <f aca="false">IF(R25&lt;=0,"",IFERROR(INDEX($L$2:$L$41,Q25),""))</f>
        <v/>
      </c>
      <c r="W25" s="0" t="n">
        <f aca="false">Q25+1</f>
        <v>42</v>
      </c>
      <c r="X25" s="0" t="n">
        <f aca="false">IF(W25&gt;40,0,MAX(0,MIN(H25,IFERROR(INDEX($J$2:$J$41,W25),$N$1))-MAX(H24,IF(W25=1,0,IFERROR(INDEX($J$2:$J$41,W25-1),0)))))</f>
        <v>0</v>
      </c>
      <c r="Y25" s="0" t="str">
        <f aca="false">IF(X25&lt;=0,"",IFERROR(INDEX($K$2:$K$41,W25),""))</f>
        <v/>
      </c>
      <c r="Z25" s="0" t="str">
        <f aca="false">IF(X25&lt;=0,"",IFERROR(INDEX($L$2:$L$41,W25),""))</f>
        <v/>
      </c>
      <c r="AC25" s="0" t="n">
        <f aca="false">W25+1</f>
        <v>43</v>
      </c>
      <c r="AD25" s="0" t="n">
        <f aca="false">IF(AC25&gt;40,0,MAX(0,MIN(H25,IFERROR(INDEX($J$2:$J$41,AC25),$N$1))-MAX(H24,IF(AC25=1,0,IFERROR(INDEX($J$2:$J$41,AC25-1),0)))))</f>
        <v>0</v>
      </c>
      <c r="AE25" s="0" t="str">
        <f aca="false">IF(AD25&lt;=0,"",IFERROR(INDEX($K$2:$K$41,AC25),""))</f>
        <v/>
      </c>
      <c r="AF25" s="0" t="str">
        <f aca="false">IF(AD25&lt;=0,"",IFERROR(INDEX($L$2:$L$41,AC25),""))</f>
        <v/>
      </c>
      <c r="AI25" s="0" t="n">
        <f aca="false">AC25+1</f>
        <v>44</v>
      </c>
      <c r="AJ25" s="0" t="n">
        <f aca="false">IF(AI25&gt;40,0,MAX(0,MIN(H25,IFERROR(INDEX($J$2:$J$41,AI25),$N$1))-MAX(H24,IF(AI25=1,0,IFERROR(INDEX($J$2:$J$41,AI25-1),0)))))</f>
        <v>0</v>
      </c>
      <c r="AK25" s="0" t="str">
        <f aca="false">IF(AJ25&lt;=0,"",IFERROR(INDEX($K$2:$K$41,AI25),""))</f>
        <v/>
      </c>
      <c r="AL25" s="0" t="str">
        <f aca="false">IF(AJ25&lt;=0,"",IFERROR(INDEX($L$2:$L$41,AI25),""))</f>
        <v/>
      </c>
      <c r="AN25" s="0" t="n">
        <f aca="false">MAX(0,H25-MAX(H24,$N$1))</f>
        <v>0</v>
      </c>
      <c r="AP25" s="0" t="str">
        <f aca="false">IF($E$5&lt;=0,"",FIFO_helper!$C$5)</f>
        <v>14/07</v>
      </c>
      <c r="AQ25" s="0" t="str">
        <f aca="false">IF($E$5&lt;=0,"","↳ Chancho (prod.)")</f>
        <v>↳ Chancho (prod.)</v>
      </c>
      <c r="AR25" s="0" t="str">
        <f aca="false">IF($E$5&lt;=0,"","CHANCHO")</f>
        <v>CHANCHO</v>
      </c>
      <c r="AS25" s="0" t="str">
        <f aca="false">""</f>
        <v/>
      </c>
      <c r="AT25" s="0" t="n">
        <f aca="false">IF($E$5&lt;=0,"",$E$5)</f>
        <v>7</v>
      </c>
      <c r="AU25" s="0" t="str">
        <f aca="false">IF($E$5&lt;=0,"","sacos")</f>
        <v>sacos</v>
      </c>
      <c r="AV25" s="0" t="n">
        <f aca="false">IF($E$5&lt;=0,0,1)</f>
        <v>1</v>
      </c>
      <c r="AW25" s="0" t="n">
        <f aca="false">AW24+AV25</f>
        <v>10</v>
      </c>
    </row>
    <row r="26" customFormat="false" ht="15" hidden="false" customHeight="false" outlineLevel="0" collapsed="false">
      <c r="A26" s="0" t="n">
        <v>25</v>
      </c>
      <c r="B26" s="0" t="n">
        <f aca="false">A26+4</f>
        <v>29</v>
      </c>
      <c r="C26" s="0" t="n">
        <f aca="false">IF(B26=5,"sem. ant.",INDEX('Balance PLANTA'!$A:$A,B26))</f>
        <v>0</v>
      </c>
      <c r="D26" s="0" t="n">
        <f aca="false">IF(B26=5,INDEX('Balance PLANTA'!$R:$R,B26)*15+INDEX('Balance PLANTA'!$S:$S,B26)*18+INDEX('Balance PLANTA'!$T:$T,B26)*17+INDEX('Balance PLANTA'!$U:$U,B26)*17,IFERROR(INDEX('Balance PLANTA'!$C:$C,B26)*95,0))</f>
        <v>0</v>
      </c>
      <c r="E26" s="0" t="n">
        <f aca="false">IF(B26=5,0,IFERROR(INDEX('Balance PLANTA'!$W:$W,B26),0))</f>
        <v>0</v>
      </c>
      <c r="F26" s="0" t="n">
        <f aca="false">E26*95</f>
        <v>0</v>
      </c>
      <c r="G26" s="0" t="n">
        <f aca="false">D26-F26</f>
        <v>0</v>
      </c>
      <c r="H26" s="0" t="n">
        <f aca="false">H25+G26</f>
        <v>30354</v>
      </c>
      <c r="I26" s="0" t="n">
        <f aca="false">IFERROR(INDEX('Balance PLANTA'!$L:$L,B26)*15+INDEX('Balance PLANTA'!$M:$M,B26)*18+INDEX('Balance PLANTA'!$N:$N,B26)*17+INDEX('Balance PLANTA'!$O:$O,B26)*17,0)</f>
        <v>0</v>
      </c>
      <c r="J26" s="0" t="n">
        <f aca="false">J25+I26</f>
        <v>29847</v>
      </c>
      <c r="K26" s="0" t="str">
        <f aca="false">IF(INDEX('Balance PLANTA'!$J:$J,B26)=0,"",INDEX('Balance PLANTA'!$J:$J,B26))</f>
        <v/>
      </c>
      <c r="L26" s="0" t="n">
        <f aca="false">IFERROR(INDEX('Balance PLANTA'!$K:$K,B26),"")</f>
        <v>0</v>
      </c>
      <c r="Q26" s="0" t="n">
        <f aca="false">IFERROR(MATCH(H25,$J$2:$J$41,1),0)+1</f>
        <v>41</v>
      </c>
      <c r="R26" s="0" t="n">
        <f aca="false">IF(Q26&gt;40,0,MAX(0,MIN(H26,IFERROR(INDEX($J$2:$J$41,Q26),$N$1))-MAX(H25,IF(Q26=1,0,IFERROR(INDEX($J$2:$J$41,Q26-1),0)))))</f>
        <v>0</v>
      </c>
      <c r="S26" s="0" t="str">
        <f aca="false">IF(R26&lt;=0,"",IFERROR(INDEX($K$2:$K$41,Q26),""))</f>
        <v/>
      </c>
      <c r="T26" s="0" t="str">
        <f aca="false">IF(R26&lt;=0,"",IFERROR(INDEX($L$2:$L$41,Q26),""))</f>
        <v/>
      </c>
      <c r="W26" s="0" t="n">
        <f aca="false">Q26+1</f>
        <v>42</v>
      </c>
      <c r="X26" s="0" t="n">
        <f aca="false">IF(W26&gt;40,0,MAX(0,MIN(H26,IFERROR(INDEX($J$2:$J$41,W26),$N$1))-MAX(H25,IF(W26=1,0,IFERROR(INDEX($J$2:$J$41,W26-1),0)))))</f>
        <v>0</v>
      </c>
      <c r="Y26" s="0" t="str">
        <f aca="false">IF(X26&lt;=0,"",IFERROR(INDEX($K$2:$K$41,W26),""))</f>
        <v/>
      </c>
      <c r="Z26" s="0" t="str">
        <f aca="false">IF(X26&lt;=0,"",IFERROR(INDEX($L$2:$L$41,W26),""))</f>
        <v/>
      </c>
      <c r="AC26" s="0" t="n">
        <f aca="false">W26+1</f>
        <v>43</v>
      </c>
      <c r="AD26" s="0" t="n">
        <f aca="false">IF(AC26&gt;40,0,MAX(0,MIN(H26,IFERROR(INDEX($J$2:$J$41,AC26),$N$1))-MAX(H25,IF(AC26=1,0,IFERROR(INDEX($J$2:$J$41,AC26-1),0)))))</f>
        <v>0</v>
      </c>
      <c r="AE26" s="0" t="str">
        <f aca="false">IF(AD26&lt;=0,"",IFERROR(INDEX($K$2:$K$41,AC26),""))</f>
        <v/>
      </c>
      <c r="AF26" s="0" t="str">
        <f aca="false">IF(AD26&lt;=0,"",IFERROR(INDEX($L$2:$L$41,AC26),""))</f>
        <v/>
      </c>
      <c r="AI26" s="0" t="n">
        <f aca="false">AC26+1</f>
        <v>44</v>
      </c>
      <c r="AJ26" s="0" t="n">
        <f aca="false">IF(AI26&gt;40,0,MAX(0,MIN(H26,IFERROR(INDEX($J$2:$J$41,AI26),$N$1))-MAX(H25,IF(AI26=1,0,IFERROR(INDEX($J$2:$J$41,AI26-1),0)))))</f>
        <v>0</v>
      </c>
      <c r="AK26" s="0" t="str">
        <f aca="false">IF(AJ26&lt;=0,"",IFERROR(INDEX($K$2:$K$41,AI26),""))</f>
        <v/>
      </c>
      <c r="AL26" s="0" t="str">
        <f aca="false">IF(AJ26&lt;=0,"",IFERROR(INDEX($L$2:$L$41,AI26),""))</f>
        <v/>
      </c>
      <c r="AN26" s="0" t="n">
        <f aca="false">MAX(0,H26-MAX(H25,$N$1))</f>
        <v>0</v>
      </c>
      <c r="AP26" s="0" t="str">
        <f aca="false">IF($R$6&lt;=0,"",FIFO_helper!$C$6)</f>
        <v>15/07</v>
      </c>
      <c r="AQ26" s="0" t="str">
        <f aca="false">IF($R$6&lt;=0,"",$S$6)</f>
        <v>15/07</v>
      </c>
      <c r="AR26" s="0" t="str">
        <f aca="false">IF($R$6&lt;=0,"","PRIMERA")</f>
        <v>PRIMERA</v>
      </c>
      <c r="AS26" s="0" t="str">
        <f aca="false">IF($R$6&lt;=0,"",$T$6)</f>
        <v>G-2986</v>
      </c>
      <c r="AT26" s="0" t="n">
        <f aca="false">IF($R$6&lt;=0,"",$R$6)</f>
        <v>2263</v>
      </c>
      <c r="AU26" s="0" t="str">
        <f aca="false">IF($R$6&lt;=0,"","kg")</f>
        <v>kg</v>
      </c>
      <c r="AV26" s="0" t="n">
        <f aca="false">IF($R$6&lt;=0,0,1)</f>
        <v>1</v>
      </c>
      <c r="AW26" s="0" t="n">
        <f aca="false">AW25+AV26</f>
        <v>11</v>
      </c>
    </row>
    <row r="27" customFormat="false" ht="15" hidden="false" customHeight="false" outlineLevel="0" collapsed="false">
      <c r="A27" s="0" t="n">
        <v>26</v>
      </c>
      <c r="B27" s="0" t="n">
        <f aca="false">A27+4</f>
        <v>30</v>
      </c>
      <c r="C27" s="0" t="n">
        <f aca="false">IF(B27=5,"sem. ant.",INDEX('Balance PLANTA'!$A:$A,B27))</f>
        <v>0</v>
      </c>
      <c r="D27" s="0" t="n">
        <f aca="false">IF(B27=5,INDEX('Balance PLANTA'!$R:$R,B27)*15+INDEX('Balance PLANTA'!$S:$S,B27)*18+INDEX('Balance PLANTA'!$T:$T,B27)*17+INDEX('Balance PLANTA'!$U:$U,B27)*17,IFERROR(INDEX('Balance PLANTA'!$C:$C,B27)*95,0))</f>
        <v>0</v>
      </c>
      <c r="E27" s="0" t="n">
        <f aca="false">IF(B27=5,0,IFERROR(INDEX('Balance PLANTA'!$W:$W,B27),0))</f>
        <v>0</v>
      </c>
      <c r="F27" s="0" t="n">
        <f aca="false">E27*95</f>
        <v>0</v>
      </c>
      <c r="G27" s="0" t="n">
        <f aca="false">D27-F27</f>
        <v>0</v>
      </c>
      <c r="H27" s="0" t="n">
        <f aca="false">H26+G27</f>
        <v>30354</v>
      </c>
      <c r="I27" s="0" t="n">
        <f aca="false">IFERROR(INDEX('Balance PLANTA'!$L:$L,B27)*15+INDEX('Balance PLANTA'!$M:$M,B27)*18+INDEX('Balance PLANTA'!$N:$N,B27)*17+INDEX('Balance PLANTA'!$O:$O,B27)*17,0)</f>
        <v>0</v>
      </c>
      <c r="J27" s="0" t="n">
        <f aca="false">J26+I27</f>
        <v>29847</v>
      </c>
      <c r="K27" s="0" t="str">
        <f aca="false">IF(INDEX('Balance PLANTA'!$J:$J,B27)=0,"",INDEX('Balance PLANTA'!$J:$J,B27))</f>
        <v/>
      </c>
      <c r="L27" s="0" t="n">
        <f aca="false">IFERROR(INDEX('Balance PLANTA'!$K:$K,B27),"")</f>
        <v>0</v>
      </c>
      <c r="Q27" s="0" t="n">
        <f aca="false">IFERROR(MATCH(H26,$J$2:$J$41,1),0)+1</f>
        <v>41</v>
      </c>
      <c r="R27" s="0" t="n">
        <f aca="false">IF(Q27&gt;40,0,MAX(0,MIN(H27,IFERROR(INDEX($J$2:$J$41,Q27),$N$1))-MAX(H26,IF(Q27=1,0,IFERROR(INDEX($J$2:$J$41,Q27-1),0)))))</f>
        <v>0</v>
      </c>
      <c r="S27" s="0" t="str">
        <f aca="false">IF(R27&lt;=0,"",IFERROR(INDEX($K$2:$K$41,Q27),""))</f>
        <v/>
      </c>
      <c r="T27" s="0" t="str">
        <f aca="false">IF(R27&lt;=0,"",IFERROR(INDEX($L$2:$L$41,Q27),""))</f>
        <v/>
      </c>
      <c r="W27" s="0" t="n">
        <f aca="false">Q27+1</f>
        <v>42</v>
      </c>
      <c r="X27" s="0" t="n">
        <f aca="false">IF(W27&gt;40,0,MAX(0,MIN(H27,IFERROR(INDEX($J$2:$J$41,W27),$N$1))-MAX(H26,IF(W27=1,0,IFERROR(INDEX($J$2:$J$41,W27-1),0)))))</f>
        <v>0</v>
      </c>
      <c r="Y27" s="0" t="str">
        <f aca="false">IF(X27&lt;=0,"",IFERROR(INDEX($K$2:$K$41,W27),""))</f>
        <v/>
      </c>
      <c r="Z27" s="0" t="str">
        <f aca="false">IF(X27&lt;=0,"",IFERROR(INDEX($L$2:$L$41,W27),""))</f>
        <v/>
      </c>
      <c r="AC27" s="0" t="n">
        <f aca="false">W27+1</f>
        <v>43</v>
      </c>
      <c r="AD27" s="0" t="n">
        <f aca="false">IF(AC27&gt;40,0,MAX(0,MIN(H27,IFERROR(INDEX($J$2:$J$41,AC27),$N$1))-MAX(H26,IF(AC27=1,0,IFERROR(INDEX($J$2:$J$41,AC27-1),0)))))</f>
        <v>0</v>
      </c>
      <c r="AE27" s="0" t="str">
        <f aca="false">IF(AD27&lt;=0,"",IFERROR(INDEX($K$2:$K$41,AC27),""))</f>
        <v/>
      </c>
      <c r="AF27" s="0" t="str">
        <f aca="false">IF(AD27&lt;=0,"",IFERROR(INDEX($L$2:$L$41,AC27),""))</f>
        <v/>
      </c>
      <c r="AI27" s="0" t="n">
        <f aca="false">AC27+1</f>
        <v>44</v>
      </c>
      <c r="AJ27" s="0" t="n">
        <f aca="false">IF(AI27&gt;40,0,MAX(0,MIN(H27,IFERROR(INDEX($J$2:$J$41,AI27),$N$1))-MAX(H26,IF(AI27=1,0,IFERROR(INDEX($J$2:$J$41,AI27-1),0)))))</f>
        <v>0</v>
      </c>
      <c r="AK27" s="0" t="str">
        <f aca="false">IF(AJ27&lt;=0,"",IFERROR(INDEX($K$2:$K$41,AI27),""))</f>
        <v/>
      </c>
      <c r="AL27" s="0" t="str">
        <f aca="false">IF(AJ27&lt;=0,"",IFERROR(INDEX($L$2:$L$41,AI27),""))</f>
        <v/>
      </c>
      <c r="AN27" s="0" t="n">
        <f aca="false">MAX(0,H27-MAX(H26,$N$1))</f>
        <v>0</v>
      </c>
      <c r="AP27" s="0" t="str">
        <f aca="false">IF($X$6&lt;=0,"",FIFO_helper!$C$6)</f>
        <v>15/07</v>
      </c>
      <c r="AQ27" s="0" t="str">
        <f aca="false">IF($X$6&lt;=0,"",$Y$6)</f>
        <v>16/07</v>
      </c>
      <c r="AR27" s="0" t="str">
        <f aca="false">IF($X$6&lt;=0,"","PRIMERA")</f>
        <v>PRIMERA</v>
      </c>
      <c r="AS27" s="0" t="str">
        <f aca="false">IF($X$6&lt;=0,"",$Z$6)</f>
        <v>G-2992</v>
      </c>
      <c r="AT27" s="0" t="n">
        <f aca="false">IF($X$6&lt;=0,"",$X$6)</f>
        <v>1062</v>
      </c>
      <c r="AU27" s="0" t="str">
        <f aca="false">IF($X$6&lt;=0,"","kg")</f>
        <v>kg</v>
      </c>
      <c r="AV27" s="0" t="n">
        <f aca="false">IF($X$6&lt;=0,0,1)</f>
        <v>1</v>
      </c>
      <c r="AW27" s="0" t="n">
        <f aca="false">AW26+AV27</f>
        <v>12</v>
      </c>
    </row>
    <row r="28" customFormat="false" ht="15" hidden="false" customHeight="false" outlineLevel="0" collapsed="false">
      <c r="A28" s="0" t="n">
        <v>27</v>
      </c>
      <c r="B28" s="0" t="n">
        <f aca="false">A28+4</f>
        <v>31</v>
      </c>
      <c r="C28" s="0" t="n">
        <f aca="false">IF(B28=5,"sem. ant.",INDEX('Balance PLANTA'!$A:$A,B28))</f>
        <v>0</v>
      </c>
      <c r="D28" s="0" t="n">
        <f aca="false">IF(B28=5,INDEX('Balance PLANTA'!$R:$R,B28)*15+INDEX('Balance PLANTA'!$S:$S,B28)*18+INDEX('Balance PLANTA'!$T:$T,B28)*17+INDEX('Balance PLANTA'!$U:$U,B28)*17,IFERROR(INDEX('Balance PLANTA'!$C:$C,B28)*95,0))</f>
        <v>0</v>
      </c>
      <c r="E28" s="0" t="n">
        <f aca="false">IF(B28=5,0,IFERROR(INDEX('Balance PLANTA'!$W:$W,B28),0))</f>
        <v>0</v>
      </c>
      <c r="F28" s="0" t="n">
        <f aca="false">E28*95</f>
        <v>0</v>
      </c>
      <c r="G28" s="0" t="n">
        <f aca="false">D28-F28</f>
        <v>0</v>
      </c>
      <c r="H28" s="0" t="n">
        <f aca="false">H27+G28</f>
        <v>30354</v>
      </c>
      <c r="I28" s="0" t="n">
        <f aca="false">IFERROR(INDEX('Balance PLANTA'!$L:$L,B28)*15+INDEX('Balance PLANTA'!$M:$M,B28)*18+INDEX('Balance PLANTA'!$N:$N,B28)*17+INDEX('Balance PLANTA'!$O:$O,B28)*17,0)</f>
        <v>0</v>
      </c>
      <c r="J28" s="0" t="n">
        <f aca="false">J27+I28</f>
        <v>29847</v>
      </c>
      <c r="K28" s="0" t="str">
        <f aca="false">IF(INDEX('Balance PLANTA'!$J:$J,B28)=0,"",INDEX('Balance PLANTA'!$J:$J,B28))</f>
        <v/>
      </c>
      <c r="L28" s="0" t="n">
        <f aca="false">IFERROR(INDEX('Balance PLANTA'!$K:$K,B28),"")</f>
        <v>0</v>
      </c>
      <c r="Q28" s="0" t="n">
        <f aca="false">IFERROR(MATCH(H27,$J$2:$J$41,1),0)+1</f>
        <v>41</v>
      </c>
      <c r="R28" s="0" t="n">
        <f aca="false">IF(Q28&gt;40,0,MAX(0,MIN(H28,IFERROR(INDEX($J$2:$J$41,Q28),$N$1))-MAX(H27,IF(Q28=1,0,IFERROR(INDEX($J$2:$J$41,Q28-1),0)))))</f>
        <v>0</v>
      </c>
      <c r="S28" s="0" t="str">
        <f aca="false">IF(R28&lt;=0,"",IFERROR(INDEX($K$2:$K$41,Q28),""))</f>
        <v/>
      </c>
      <c r="T28" s="0" t="str">
        <f aca="false">IF(R28&lt;=0,"",IFERROR(INDEX($L$2:$L$41,Q28),""))</f>
        <v/>
      </c>
      <c r="W28" s="0" t="n">
        <f aca="false">Q28+1</f>
        <v>42</v>
      </c>
      <c r="X28" s="0" t="n">
        <f aca="false">IF(W28&gt;40,0,MAX(0,MIN(H28,IFERROR(INDEX($J$2:$J$41,W28),$N$1))-MAX(H27,IF(W28=1,0,IFERROR(INDEX($J$2:$J$41,W28-1),0)))))</f>
        <v>0</v>
      </c>
      <c r="Y28" s="0" t="str">
        <f aca="false">IF(X28&lt;=0,"",IFERROR(INDEX($K$2:$K$41,W28),""))</f>
        <v/>
      </c>
      <c r="Z28" s="0" t="str">
        <f aca="false">IF(X28&lt;=0,"",IFERROR(INDEX($L$2:$L$41,W28),""))</f>
        <v/>
      </c>
      <c r="AC28" s="0" t="n">
        <f aca="false">W28+1</f>
        <v>43</v>
      </c>
      <c r="AD28" s="0" t="n">
        <f aca="false">IF(AC28&gt;40,0,MAX(0,MIN(H28,IFERROR(INDEX($J$2:$J$41,AC28),$N$1))-MAX(H27,IF(AC28=1,0,IFERROR(INDEX($J$2:$J$41,AC28-1),0)))))</f>
        <v>0</v>
      </c>
      <c r="AE28" s="0" t="str">
        <f aca="false">IF(AD28&lt;=0,"",IFERROR(INDEX($K$2:$K$41,AC28),""))</f>
        <v/>
      </c>
      <c r="AF28" s="0" t="str">
        <f aca="false">IF(AD28&lt;=0,"",IFERROR(INDEX($L$2:$L$41,AC28),""))</f>
        <v/>
      </c>
      <c r="AI28" s="0" t="n">
        <f aca="false">AC28+1</f>
        <v>44</v>
      </c>
      <c r="AJ28" s="0" t="n">
        <f aca="false">IF(AI28&gt;40,0,MAX(0,MIN(H28,IFERROR(INDEX($J$2:$J$41,AI28),$N$1))-MAX(H27,IF(AI28=1,0,IFERROR(INDEX($J$2:$J$41,AI28-1),0)))))</f>
        <v>0</v>
      </c>
      <c r="AK28" s="0" t="str">
        <f aca="false">IF(AJ28&lt;=0,"",IFERROR(INDEX($K$2:$K$41,AI28),""))</f>
        <v/>
      </c>
      <c r="AL28" s="0" t="str">
        <f aca="false">IF(AJ28&lt;=0,"",IFERROR(INDEX($L$2:$L$41,AI28),""))</f>
        <v/>
      </c>
      <c r="AN28" s="0" t="n">
        <f aca="false">MAX(0,H28-MAX(H27,$N$1))</f>
        <v>0</v>
      </c>
      <c r="AP28" s="0" t="str">
        <f aca="false">IF($AD$6&lt;=0,"",FIFO_helper!$C$6)</f>
        <v/>
      </c>
      <c r="AQ28" s="0" t="str">
        <f aca="false">IF($AD$6&lt;=0,"",$AE$6)</f>
        <v/>
      </c>
      <c r="AR28" s="0" t="str">
        <f aca="false">IF($AD$6&lt;=0,"","PRIMERA")</f>
        <v/>
      </c>
      <c r="AS28" s="0" t="str">
        <f aca="false">IF($AD$6&lt;=0,"",$AF$6)</f>
        <v/>
      </c>
      <c r="AT28" s="0" t="str">
        <f aca="false">IF($AD$6&lt;=0,"",$AD$6)</f>
        <v/>
      </c>
      <c r="AU28" s="0" t="str">
        <f aca="false">IF($AD$6&lt;=0,"","kg")</f>
        <v/>
      </c>
      <c r="AV28" s="0" t="n">
        <f aca="false">IF($AD$6&lt;=0,0,1)</f>
        <v>0</v>
      </c>
      <c r="AW28" s="0" t="n">
        <f aca="false">AW27+AV28</f>
        <v>12</v>
      </c>
    </row>
    <row r="29" customFormat="false" ht="15" hidden="false" customHeight="false" outlineLevel="0" collapsed="false">
      <c r="A29" s="0" t="n">
        <v>28</v>
      </c>
      <c r="B29" s="0" t="n">
        <f aca="false">A29+4</f>
        <v>32</v>
      </c>
      <c r="C29" s="0" t="n">
        <f aca="false">IF(B29=5,"sem. ant.",INDEX('Balance PLANTA'!$A:$A,B29))</f>
        <v>0</v>
      </c>
      <c r="D29" s="0" t="n">
        <f aca="false">IF(B29=5,INDEX('Balance PLANTA'!$R:$R,B29)*15+INDEX('Balance PLANTA'!$S:$S,B29)*18+INDEX('Balance PLANTA'!$T:$T,B29)*17+INDEX('Balance PLANTA'!$U:$U,B29)*17,IFERROR(INDEX('Balance PLANTA'!$C:$C,B29)*95,0))</f>
        <v>0</v>
      </c>
      <c r="E29" s="0" t="n">
        <f aca="false">IF(B29=5,0,IFERROR(INDEX('Balance PLANTA'!$W:$W,B29),0))</f>
        <v>0</v>
      </c>
      <c r="F29" s="0" t="n">
        <f aca="false">E29*95</f>
        <v>0</v>
      </c>
      <c r="G29" s="0" t="n">
        <f aca="false">D29-F29</f>
        <v>0</v>
      </c>
      <c r="H29" s="0" t="n">
        <f aca="false">H28+G29</f>
        <v>30354</v>
      </c>
      <c r="I29" s="0" t="n">
        <f aca="false">IFERROR(INDEX('Balance PLANTA'!$L:$L,B29)*15+INDEX('Balance PLANTA'!$M:$M,B29)*18+INDEX('Balance PLANTA'!$N:$N,B29)*17+INDEX('Balance PLANTA'!$O:$O,B29)*17,0)</f>
        <v>0</v>
      </c>
      <c r="J29" s="0" t="n">
        <f aca="false">J28+I29</f>
        <v>29847</v>
      </c>
      <c r="K29" s="0" t="str">
        <f aca="false">IF(INDEX('Balance PLANTA'!$J:$J,B29)=0,"",INDEX('Balance PLANTA'!$J:$J,B29))</f>
        <v/>
      </c>
      <c r="L29" s="0" t="n">
        <f aca="false">IFERROR(INDEX('Balance PLANTA'!$K:$K,B29),"")</f>
        <v>0</v>
      </c>
      <c r="Q29" s="0" t="n">
        <f aca="false">IFERROR(MATCH(H28,$J$2:$J$41,1),0)+1</f>
        <v>41</v>
      </c>
      <c r="R29" s="0" t="n">
        <f aca="false">IF(Q29&gt;40,0,MAX(0,MIN(H29,IFERROR(INDEX($J$2:$J$41,Q29),$N$1))-MAX(H28,IF(Q29=1,0,IFERROR(INDEX($J$2:$J$41,Q29-1),0)))))</f>
        <v>0</v>
      </c>
      <c r="S29" s="0" t="str">
        <f aca="false">IF(R29&lt;=0,"",IFERROR(INDEX($K$2:$K$41,Q29),""))</f>
        <v/>
      </c>
      <c r="T29" s="0" t="str">
        <f aca="false">IF(R29&lt;=0,"",IFERROR(INDEX($L$2:$L$41,Q29),""))</f>
        <v/>
      </c>
      <c r="W29" s="0" t="n">
        <f aca="false">Q29+1</f>
        <v>42</v>
      </c>
      <c r="X29" s="0" t="n">
        <f aca="false">IF(W29&gt;40,0,MAX(0,MIN(H29,IFERROR(INDEX($J$2:$J$41,W29),$N$1))-MAX(H28,IF(W29=1,0,IFERROR(INDEX($J$2:$J$41,W29-1),0)))))</f>
        <v>0</v>
      </c>
      <c r="Y29" s="0" t="str">
        <f aca="false">IF(X29&lt;=0,"",IFERROR(INDEX($K$2:$K$41,W29),""))</f>
        <v/>
      </c>
      <c r="Z29" s="0" t="str">
        <f aca="false">IF(X29&lt;=0,"",IFERROR(INDEX($L$2:$L$41,W29),""))</f>
        <v/>
      </c>
      <c r="AC29" s="0" t="n">
        <f aca="false">W29+1</f>
        <v>43</v>
      </c>
      <c r="AD29" s="0" t="n">
        <f aca="false">IF(AC29&gt;40,0,MAX(0,MIN(H29,IFERROR(INDEX($J$2:$J$41,AC29),$N$1))-MAX(H28,IF(AC29=1,0,IFERROR(INDEX($J$2:$J$41,AC29-1),0)))))</f>
        <v>0</v>
      </c>
      <c r="AE29" s="0" t="str">
        <f aca="false">IF(AD29&lt;=0,"",IFERROR(INDEX($K$2:$K$41,AC29),""))</f>
        <v/>
      </c>
      <c r="AF29" s="0" t="str">
        <f aca="false">IF(AD29&lt;=0,"",IFERROR(INDEX($L$2:$L$41,AC29),""))</f>
        <v/>
      </c>
      <c r="AI29" s="0" t="n">
        <f aca="false">AC29+1</f>
        <v>44</v>
      </c>
      <c r="AJ29" s="0" t="n">
        <f aca="false">IF(AI29&gt;40,0,MAX(0,MIN(H29,IFERROR(INDEX($J$2:$J$41,AI29),$N$1))-MAX(H28,IF(AI29=1,0,IFERROR(INDEX($J$2:$J$41,AI29-1),0)))))</f>
        <v>0</v>
      </c>
      <c r="AK29" s="0" t="str">
        <f aca="false">IF(AJ29&lt;=0,"",IFERROR(INDEX($K$2:$K$41,AI29),""))</f>
        <v/>
      </c>
      <c r="AL29" s="0" t="str">
        <f aca="false">IF(AJ29&lt;=0,"",IFERROR(INDEX($L$2:$L$41,AI29),""))</f>
        <v/>
      </c>
      <c r="AN29" s="0" t="n">
        <f aca="false">MAX(0,H29-MAX(H28,$N$1))</f>
        <v>0</v>
      </c>
      <c r="AP29" s="0" t="str">
        <f aca="false">IF($AJ$6&lt;=0,"",FIFO_helper!$C$6)</f>
        <v/>
      </c>
      <c r="AQ29" s="0" t="str">
        <f aca="false">IF($AJ$6&lt;=0,"",$AK$6)</f>
        <v/>
      </c>
      <c r="AR29" s="0" t="str">
        <f aca="false">IF($AJ$6&lt;=0,"","PRIMERA")</f>
        <v/>
      </c>
      <c r="AS29" s="0" t="str">
        <f aca="false">IF($AJ$6&lt;=0,"",$AL$6)</f>
        <v/>
      </c>
      <c r="AT29" s="0" t="str">
        <f aca="false">IF($AJ$6&lt;=0,"",$AJ$6)</f>
        <v/>
      </c>
      <c r="AU29" s="0" t="str">
        <f aca="false">IF($AJ$6&lt;=0,"","kg")</f>
        <v/>
      </c>
      <c r="AV29" s="0" t="n">
        <f aca="false">IF($AJ$6&lt;=0,0,1)</f>
        <v>0</v>
      </c>
      <c r="AW29" s="0" t="n">
        <f aca="false">AW28+AV29</f>
        <v>12</v>
      </c>
    </row>
    <row r="30" customFormat="false" ht="15" hidden="false" customHeight="false" outlineLevel="0" collapsed="false">
      <c r="A30" s="0" t="n">
        <v>29</v>
      </c>
      <c r="B30" s="0" t="n">
        <f aca="false">A30+4</f>
        <v>33</v>
      </c>
      <c r="C30" s="0" t="n">
        <f aca="false">IF(B30=5,"sem. ant.",INDEX('Balance PLANTA'!$A:$A,B30))</f>
        <v>0</v>
      </c>
      <c r="D30" s="0" t="n">
        <f aca="false">IF(B30=5,INDEX('Balance PLANTA'!$R:$R,B30)*15+INDEX('Balance PLANTA'!$S:$S,B30)*18+INDEX('Balance PLANTA'!$T:$T,B30)*17+INDEX('Balance PLANTA'!$U:$U,B30)*17,IFERROR(INDEX('Balance PLANTA'!$C:$C,B30)*95,0))</f>
        <v>0</v>
      </c>
      <c r="E30" s="0" t="n">
        <f aca="false">IF(B30=5,0,IFERROR(INDEX('Balance PLANTA'!$W:$W,B30),0))</f>
        <v>0</v>
      </c>
      <c r="F30" s="0" t="n">
        <f aca="false">E30*95</f>
        <v>0</v>
      </c>
      <c r="G30" s="0" t="n">
        <f aca="false">D30-F30</f>
        <v>0</v>
      </c>
      <c r="H30" s="0" t="n">
        <f aca="false">H29+G30</f>
        <v>30354</v>
      </c>
      <c r="I30" s="0" t="n">
        <f aca="false">IFERROR(INDEX('Balance PLANTA'!$L:$L,B30)*15+INDEX('Balance PLANTA'!$M:$M,B30)*18+INDEX('Balance PLANTA'!$N:$N,B30)*17+INDEX('Balance PLANTA'!$O:$O,B30)*17,0)</f>
        <v>0</v>
      </c>
      <c r="J30" s="0" t="n">
        <f aca="false">J29+I30</f>
        <v>29847</v>
      </c>
      <c r="K30" s="0" t="str">
        <f aca="false">IF(INDEX('Balance PLANTA'!$J:$J,B30)=0,"",INDEX('Balance PLANTA'!$J:$J,B30))</f>
        <v/>
      </c>
      <c r="L30" s="0" t="n">
        <f aca="false">IFERROR(INDEX('Balance PLANTA'!$K:$K,B30),"")</f>
        <v>0</v>
      </c>
      <c r="Q30" s="0" t="n">
        <f aca="false">IFERROR(MATCH(H29,$J$2:$J$41,1),0)+1</f>
        <v>41</v>
      </c>
      <c r="R30" s="0" t="n">
        <f aca="false">IF(Q30&gt;40,0,MAX(0,MIN(H30,IFERROR(INDEX($J$2:$J$41,Q30),$N$1))-MAX(H29,IF(Q30=1,0,IFERROR(INDEX($J$2:$J$41,Q30-1),0)))))</f>
        <v>0</v>
      </c>
      <c r="S30" s="0" t="str">
        <f aca="false">IF(R30&lt;=0,"",IFERROR(INDEX($K$2:$K$41,Q30),""))</f>
        <v/>
      </c>
      <c r="T30" s="0" t="str">
        <f aca="false">IF(R30&lt;=0,"",IFERROR(INDEX($L$2:$L$41,Q30),""))</f>
        <v/>
      </c>
      <c r="W30" s="0" t="n">
        <f aca="false">Q30+1</f>
        <v>42</v>
      </c>
      <c r="X30" s="0" t="n">
        <f aca="false">IF(W30&gt;40,0,MAX(0,MIN(H30,IFERROR(INDEX($J$2:$J$41,W30),$N$1))-MAX(H29,IF(W30=1,0,IFERROR(INDEX($J$2:$J$41,W30-1),0)))))</f>
        <v>0</v>
      </c>
      <c r="Y30" s="0" t="str">
        <f aca="false">IF(X30&lt;=0,"",IFERROR(INDEX($K$2:$K$41,W30),""))</f>
        <v/>
      </c>
      <c r="Z30" s="0" t="str">
        <f aca="false">IF(X30&lt;=0,"",IFERROR(INDEX($L$2:$L$41,W30),""))</f>
        <v/>
      </c>
      <c r="AC30" s="0" t="n">
        <f aca="false">W30+1</f>
        <v>43</v>
      </c>
      <c r="AD30" s="0" t="n">
        <f aca="false">IF(AC30&gt;40,0,MAX(0,MIN(H30,IFERROR(INDEX($J$2:$J$41,AC30),$N$1))-MAX(H29,IF(AC30=1,0,IFERROR(INDEX($J$2:$J$41,AC30-1),0)))))</f>
        <v>0</v>
      </c>
      <c r="AE30" s="0" t="str">
        <f aca="false">IF(AD30&lt;=0,"",IFERROR(INDEX($K$2:$K$41,AC30),""))</f>
        <v/>
      </c>
      <c r="AF30" s="0" t="str">
        <f aca="false">IF(AD30&lt;=0,"",IFERROR(INDEX($L$2:$L$41,AC30),""))</f>
        <v/>
      </c>
      <c r="AI30" s="0" t="n">
        <f aca="false">AC30+1</f>
        <v>44</v>
      </c>
      <c r="AJ30" s="0" t="n">
        <f aca="false">IF(AI30&gt;40,0,MAX(0,MIN(H30,IFERROR(INDEX($J$2:$J$41,AI30),$N$1))-MAX(H29,IF(AI30=1,0,IFERROR(INDEX($J$2:$J$41,AI30-1),0)))))</f>
        <v>0</v>
      </c>
      <c r="AK30" s="0" t="str">
        <f aca="false">IF(AJ30&lt;=0,"",IFERROR(INDEX($K$2:$K$41,AI30),""))</f>
        <v/>
      </c>
      <c r="AL30" s="0" t="str">
        <f aca="false">IF(AJ30&lt;=0,"",IFERROR(INDEX($L$2:$L$41,AI30),""))</f>
        <v/>
      </c>
      <c r="AN30" s="0" t="n">
        <f aca="false">MAX(0,H30-MAX(H29,$N$1))</f>
        <v>0</v>
      </c>
      <c r="AP30" s="0" t="str">
        <f aca="false">IF($AN$6&lt;=0,"",FIFO_helper!$C$6)</f>
        <v/>
      </c>
      <c r="AQ30" s="0" t="str">
        <f aca="false">IF($AN$6&lt;=0,"","(queda en planta)")</f>
        <v/>
      </c>
      <c r="AR30" s="0" t="str">
        <f aca="false">IF($AN$6&lt;=0,"","PRIMERA")</f>
        <v/>
      </c>
      <c r="AS30" s="0" t="str">
        <f aca="false">""</f>
        <v/>
      </c>
      <c r="AT30" s="0" t="str">
        <f aca="false">IF($AN$6&lt;=0,"",$AN$6)</f>
        <v/>
      </c>
      <c r="AU30" s="0" t="str">
        <f aca="false">IF($AN$6&lt;=0,"","kg")</f>
        <v/>
      </c>
      <c r="AV30" s="0" t="n">
        <f aca="false">IF($AN$6&lt;=0,0,1)</f>
        <v>0</v>
      </c>
      <c r="AW30" s="0" t="n">
        <f aca="false">AW29+AV30</f>
        <v>12</v>
      </c>
    </row>
    <row r="31" customFormat="false" ht="15" hidden="false" customHeight="false" outlineLevel="0" collapsed="false">
      <c r="A31" s="0" t="n">
        <v>30</v>
      </c>
      <c r="B31" s="0" t="n">
        <f aca="false">A31+4</f>
        <v>34</v>
      </c>
      <c r="C31" s="0" t="n">
        <f aca="false">IF(B31=5,"sem. ant.",INDEX('Balance PLANTA'!$A:$A,B31))</f>
        <v>0</v>
      </c>
      <c r="D31" s="0" t="n">
        <f aca="false">IF(B31=5,INDEX('Balance PLANTA'!$R:$R,B31)*15+INDEX('Balance PLANTA'!$S:$S,B31)*18+INDEX('Balance PLANTA'!$T:$T,B31)*17+INDEX('Balance PLANTA'!$U:$U,B31)*17,IFERROR(INDEX('Balance PLANTA'!$C:$C,B31)*95,0))</f>
        <v>0</v>
      </c>
      <c r="E31" s="0" t="n">
        <f aca="false">IF(B31=5,0,IFERROR(INDEX('Balance PLANTA'!$W:$W,B31),0))</f>
        <v>0</v>
      </c>
      <c r="F31" s="0" t="n">
        <f aca="false">E31*95</f>
        <v>0</v>
      </c>
      <c r="G31" s="0" t="n">
        <f aca="false">D31-F31</f>
        <v>0</v>
      </c>
      <c r="H31" s="0" t="n">
        <f aca="false">H30+G31</f>
        <v>30354</v>
      </c>
      <c r="I31" s="0" t="n">
        <f aca="false">IFERROR(INDEX('Balance PLANTA'!$L:$L,B31)*15+INDEX('Balance PLANTA'!$M:$M,B31)*18+INDEX('Balance PLANTA'!$N:$N,B31)*17+INDEX('Balance PLANTA'!$O:$O,B31)*17,0)</f>
        <v>0</v>
      </c>
      <c r="J31" s="0" t="n">
        <f aca="false">J30+I31</f>
        <v>29847</v>
      </c>
      <c r="K31" s="0" t="str">
        <f aca="false">IF(INDEX('Balance PLANTA'!$J:$J,B31)=0,"",INDEX('Balance PLANTA'!$J:$J,B31))</f>
        <v/>
      </c>
      <c r="L31" s="0" t="n">
        <f aca="false">IFERROR(INDEX('Balance PLANTA'!$K:$K,B31),"")</f>
        <v>0</v>
      </c>
      <c r="Q31" s="0" t="n">
        <f aca="false">IFERROR(MATCH(H30,$J$2:$J$41,1),0)+1</f>
        <v>41</v>
      </c>
      <c r="R31" s="0" t="n">
        <f aca="false">IF(Q31&gt;40,0,MAX(0,MIN(H31,IFERROR(INDEX($J$2:$J$41,Q31),$N$1))-MAX(H30,IF(Q31=1,0,IFERROR(INDEX($J$2:$J$41,Q31-1),0)))))</f>
        <v>0</v>
      </c>
      <c r="S31" s="0" t="str">
        <f aca="false">IF(R31&lt;=0,"",IFERROR(INDEX($K$2:$K$41,Q31),""))</f>
        <v/>
      </c>
      <c r="T31" s="0" t="str">
        <f aca="false">IF(R31&lt;=0,"",IFERROR(INDEX($L$2:$L$41,Q31),""))</f>
        <v/>
      </c>
      <c r="W31" s="0" t="n">
        <f aca="false">Q31+1</f>
        <v>42</v>
      </c>
      <c r="X31" s="0" t="n">
        <f aca="false">IF(W31&gt;40,0,MAX(0,MIN(H31,IFERROR(INDEX($J$2:$J$41,W31),$N$1))-MAX(H30,IF(W31=1,0,IFERROR(INDEX($J$2:$J$41,W31-1),0)))))</f>
        <v>0</v>
      </c>
      <c r="Y31" s="0" t="str">
        <f aca="false">IF(X31&lt;=0,"",IFERROR(INDEX($K$2:$K$41,W31),""))</f>
        <v/>
      </c>
      <c r="Z31" s="0" t="str">
        <f aca="false">IF(X31&lt;=0,"",IFERROR(INDEX($L$2:$L$41,W31),""))</f>
        <v/>
      </c>
      <c r="AC31" s="0" t="n">
        <f aca="false">W31+1</f>
        <v>43</v>
      </c>
      <c r="AD31" s="0" t="n">
        <f aca="false">IF(AC31&gt;40,0,MAX(0,MIN(H31,IFERROR(INDEX($J$2:$J$41,AC31),$N$1))-MAX(H30,IF(AC31=1,0,IFERROR(INDEX($J$2:$J$41,AC31-1),0)))))</f>
        <v>0</v>
      </c>
      <c r="AE31" s="0" t="str">
        <f aca="false">IF(AD31&lt;=0,"",IFERROR(INDEX($K$2:$K$41,AC31),""))</f>
        <v/>
      </c>
      <c r="AF31" s="0" t="str">
        <f aca="false">IF(AD31&lt;=0,"",IFERROR(INDEX($L$2:$L$41,AC31),""))</f>
        <v/>
      </c>
      <c r="AI31" s="0" t="n">
        <f aca="false">AC31+1</f>
        <v>44</v>
      </c>
      <c r="AJ31" s="0" t="n">
        <f aca="false">IF(AI31&gt;40,0,MAX(0,MIN(H31,IFERROR(INDEX($J$2:$J$41,AI31),$N$1))-MAX(H30,IF(AI31=1,0,IFERROR(INDEX($J$2:$J$41,AI31-1),0)))))</f>
        <v>0</v>
      </c>
      <c r="AK31" s="0" t="str">
        <f aca="false">IF(AJ31&lt;=0,"",IFERROR(INDEX($K$2:$K$41,AI31),""))</f>
        <v/>
      </c>
      <c r="AL31" s="0" t="str">
        <f aca="false">IF(AJ31&lt;=0,"",IFERROR(INDEX($L$2:$L$41,AI31),""))</f>
        <v/>
      </c>
      <c r="AN31" s="0" t="n">
        <f aca="false">MAX(0,H31-MAX(H30,$N$1))</f>
        <v>0</v>
      </c>
      <c r="AP31" s="0" t="str">
        <f aca="false">IF($E$6&lt;=0,"",FIFO_helper!$C$6)</f>
        <v>15/07</v>
      </c>
      <c r="AQ31" s="0" t="str">
        <f aca="false">IF($E$6&lt;=0,"","↳ Chancho (prod.)")</f>
        <v>↳ Chancho (prod.)</v>
      </c>
      <c r="AR31" s="0" t="str">
        <f aca="false">IF($E$6&lt;=0,"","CHANCHO")</f>
        <v>CHANCHO</v>
      </c>
      <c r="AS31" s="0" t="str">
        <f aca="false">""</f>
        <v/>
      </c>
      <c r="AT31" s="0" t="n">
        <f aca="false">IF($E$6&lt;=0,"",$E$6)</f>
        <v>5</v>
      </c>
      <c r="AU31" s="0" t="str">
        <f aca="false">IF($E$6&lt;=0,"","sacos")</f>
        <v>sacos</v>
      </c>
      <c r="AV31" s="0" t="n">
        <f aca="false">IF($E$6&lt;=0,0,1)</f>
        <v>1</v>
      </c>
      <c r="AW31" s="0" t="n">
        <f aca="false">AW30+AV31</f>
        <v>13</v>
      </c>
    </row>
    <row r="32" customFormat="false" ht="15" hidden="false" customHeight="false" outlineLevel="0" collapsed="false">
      <c r="A32" s="0" t="n">
        <v>31</v>
      </c>
      <c r="B32" s="0" t="n">
        <f aca="false">A32+4</f>
        <v>35</v>
      </c>
      <c r="C32" s="0" t="n">
        <f aca="false">IF(B32=5,"sem. ant.",INDEX('Balance PLANTA'!$A:$A,B32))</f>
        <v>0</v>
      </c>
      <c r="D32" s="0" t="n">
        <f aca="false">IF(B32=5,INDEX('Balance PLANTA'!$R:$R,B32)*15+INDEX('Balance PLANTA'!$S:$S,B32)*18+INDEX('Balance PLANTA'!$T:$T,B32)*17+INDEX('Balance PLANTA'!$U:$U,B32)*17,IFERROR(INDEX('Balance PLANTA'!$C:$C,B32)*95,0))</f>
        <v>0</v>
      </c>
      <c r="E32" s="0" t="n">
        <f aca="false">IF(B32=5,0,IFERROR(INDEX('Balance PLANTA'!$W:$W,B32),0))</f>
        <v>0</v>
      </c>
      <c r="F32" s="0" t="n">
        <f aca="false">E32*95</f>
        <v>0</v>
      </c>
      <c r="G32" s="0" t="n">
        <f aca="false">D32-F32</f>
        <v>0</v>
      </c>
      <c r="H32" s="0" t="n">
        <f aca="false">H31+G32</f>
        <v>30354</v>
      </c>
      <c r="I32" s="0" t="n">
        <f aca="false">IFERROR(INDEX('Balance PLANTA'!$L:$L,B32)*15+INDEX('Balance PLANTA'!$M:$M,B32)*18+INDEX('Balance PLANTA'!$N:$N,B32)*17+INDEX('Balance PLANTA'!$O:$O,B32)*17,0)</f>
        <v>0</v>
      </c>
      <c r="J32" s="0" t="n">
        <f aca="false">J31+I32</f>
        <v>29847</v>
      </c>
      <c r="K32" s="0" t="str">
        <f aca="false">IF(INDEX('Balance PLANTA'!$J:$J,B32)=0,"",INDEX('Balance PLANTA'!$J:$J,B32))</f>
        <v/>
      </c>
      <c r="L32" s="0" t="n">
        <f aca="false">IFERROR(INDEX('Balance PLANTA'!$K:$K,B32),"")</f>
        <v>0</v>
      </c>
      <c r="Q32" s="0" t="n">
        <f aca="false">IFERROR(MATCH(H31,$J$2:$J$41,1),0)+1</f>
        <v>41</v>
      </c>
      <c r="R32" s="0" t="n">
        <f aca="false">IF(Q32&gt;40,0,MAX(0,MIN(H32,IFERROR(INDEX($J$2:$J$41,Q32),$N$1))-MAX(H31,IF(Q32=1,0,IFERROR(INDEX($J$2:$J$41,Q32-1),0)))))</f>
        <v>0</v>
      </c>
      <c r="S32" s="0" t="str">
        <f aca="false">IF(R32&lt;=0,"",IFERROR(INDEX($K$2:$K$41,Q32),""))</f>
        <v/>
      </c>
      <c r="T32" s="0" t="str">
        <f aca="false">IF(R32&lt;=0,"",IFERROR(INDEX($L$2:$L$41,Q32),""))</f>
        <v/>
      </c>
      <c r="W32" s="0" t="n">
        <f aca="false">Q32+1</f>
        <v>42</v>
      </c>
      <c r="X32" s="0" t="n">
        <f aca="false">IF(W32&gt;40,0,MAX(0,MIN(H32,IFERROR(INDEX($J$2:$J$41,W32),$N$1))-MAX(H31,IF(W32=1,0,IFERROR(INDEX($J$2:$J$41,W32-1),0)))))</f>
        <v>0</v>
      </c>
      <c r="Y32" s="0" t="str">
        <f aca="false">IF(X32&lt;=0,"",IFERROR(INDEX($K$2:$K$41,W32),""))</f>
        <v/>
      </c>
      <c r="Z32" s="0" t="str">
        <f aca="false">IF(X32&lt;=0,"",IFERROR(INDEX($L$2:$L$41,W32),""))</f>
        <v/>
      </c>
      <c r="AC32" s="0" t="n">
        <f aca="false">W32+1</f>
        <v>43</v>
      </c>
      <c r="AD32" s="0" t="n">
        <f aca="false">IF(AC32&gt;40,0,MAX(0,MIN(H32,IFERROR(INDEX($J$2:$J$41,AC32),$N$1))-MAX(H31,IF(AC32=1,0,IFERROR(INDEX($J$2:$J$41,AC32-1),0)))))</f>
        <v>0</v>
      </c>
      <c r="AE32" s="0" t="str">
        <f aca="false">IF(AD32&lt;=0,"",IFERROR(INDEX($K$2:$K$41,AC32),""))</f>
        <v/>
      </c>
      <c r="AF32" s="0" t="str">
        <f aca="false">IF(AD32&lt;=0,"",IFERROR(INDEX($L$2:$L$41,AC32),""))</f>
        <v/>
      </c>
      <c r="AI32" s="0" t="n">
        <f aca="false">AC32+1</f>
        <v>44</v>
      </c>
      <c r="AJ32" s="0" t="n">
        <f aca="false">IF(AI32&gt;40,0,MAX(0,MIN(H32,IFERROR(INDEX($J$2:$J$41,AI32),$N$1))-MAX(H31,IF(AI32=1,0,IFERROR(INDEX($J$2:$J$41,AI32-1),0)))))</f>
        <v>0</v>
      </c>
      <c r="AK32" s="0" t="str">
        <f aca="false">IF(AJ32&lt;=0,"",IFERROR(INDEX($K$2:$K$41,AI32),""))</f>
        <v/>
      </c>
      <c r="AL32" s="0" t="str">
        <f aca="false">IF(AJ32&lt;=0,"",IFERROR(INDEX($L$2:$L$41,AI32),""))</f>
        <v/>
      </c>
      <c r="AN32" s="0" t="n">
        <f aca="false">MAX(0,H32-MAX(H31,$N$1))</f>
        <v>0</v>
      </c>
      <c r="AP32" s="0" t="str">
        <f aca="false">IF($R$7&lt;=0,"",FIFO_helper!$C$7)</f>
        <v>16/07</v>
      </c>
      <c r="AQ32" s="0" t="str">
        <f aca="false">IF($R$7&lt;=0,"",$S$7)</f>
        <v>16/07</v>
      </c>
      <c r="AR32" s="0" t="str">
        <f aca="false">IF($R$7&lt;=0,"","PRIMERA")</f>
        <v>PRIMERA</v>
      </c>
      <c r="AS32" s="0" t="str">
        <f aca="false">IF($R$7&lt;=0,"",$T$7)</f>
        <v>G-2992</v>
      </c>
      <c r="AT32" s="0" t="n">
        <f aca="false">IF($R$7&lt;=0,"",$R$7)</f>
        <v>2240</v>
      </c>
      <c r="AU32" s="0" t="str">
        <f aca="false">IF($R$7&lt;=0,"","kg")</f>
        <v>kg</v>
      </c>
      <c r="AV32" s="0" t="n">
        <f aca="false">IF($R$7&lt;=0,0,1)</f>
        <v>1</v>
      </c>
      <c r="AW32" s="0" t="n">
        <f aca="false">AW31+AV32</f>
        <v>14</v>
      </c>
    </row>
    <row r="33" customFormat="false" ht="15" hidden="false" customHeight="false" outlineLevel="0" collapsed="false">
      <c r="A33" s="0" t="n">
        <v>32</v>
      </c>
      <c r="B33" s="0" t="n">
        <f aca="false">A33+4</f>
        <v>36</v>
      </c>
      <c r="C33" s="0" t="n">
        <f aca="false">IF(B33=5,"sem. ant.",INDEX('Balance PLANTA'!$A:$A,B33))</f>
        <v>0</v>
      </c>
      <c r="D33" s="0" t="n">
        <f aca="false">IF(B33=5,INDEX('Balance PLANTA'!$R:$R,B33)*15+INDEX('Balance PLANTA'!$S:$S,B33)*18+INDEX('Balance PLANTA'!$T:$T,B33)*17+INDEX('Balance PLANTA'!$U:$U,B33)*17,IFERROR(INDEX('Balance PLANTA'!$C:$C,B33)*95,0))</f>
        <v>0</v>
      </c>
      <c r="E33" s="0" t="n">
        <f aca="false">IF(B33=5,0,IFERROR(INDEX('Balance PLANTA'!$W:$W,B33),0))</f>
        <v>0</v>
      </c>
      <c r="F33" s="0" t="n">
        <f aca="false">E33*95</f>
        <v>0</v>
      </c>
      <c r="G33" s="0" t="n">
        <f aca="false">D33-F33</f>
        <v>0</v>
      </c>
      <c r="H33" s="0" t="n">
        <f aca="false">H32+G33</f>
        <v>30354</v>
      </c>
      <c r="I33" s="0" t="n">
        <f aca="false">IFERROR(INDEX('Balance PLANTA'!$L:$L,B33)*15+INDEX('Balance PLANTA'!$M:$M,B33)*18+INDEX('Balance PLANTA'!$N:$N,B33)*17+INDEX('Balance PLANTA'!$O:$O,B33)*17,0)</f>
        <v>0</v>
      </c>
      <c r="J33" s="0" t="n">
        <f aca="false">J32+I33</f>
        <v>29847</v>
      </c>
      <c r="K33" s="0" t="str">
        <f aca="false">IF(INDEX('Balance PLANTA'!$J:$J,B33)=0,"",INDEX('Balance PLANTA'!$J:$J,B33))</f>
        <v/>
      </c>
      <c r="L33" s="0" t="n">
        <f aca="false">IFERROR(INDEX('Balance PLANTA'!$K:$K,B33),"")</f>
        <v>0</v>
      </c>
      <c r="Q33" s="0" t="n">
        <f aca="false">IFERROR(MATCH(H32,$J$2:$J$41,1),0)+1</f>
        <v>41</v>
      </c>
      <c r="R33" s="0" t="n">
        <f aca="false">IF(Q33&gt;40,0,MAX(0,MIN(H33,IFERROR(INDEX($J$2:$J$41,Q33),$N$1))-MAX(H32,IF(Q33=1,0,IFERROR(INDEX($J$2:$J$41,Q33-1),0)))))</f>
        <v>0</v>
      </c>
      <c r="S33" s="0" t="str">
        <f aca="false">IF(R33&lt;=0,"",IFERROR(INDEX($K$2:$K$41,Q33),""))</f>
        <v/>
      </c>
      <c r="T33" s="0" t="str">
        <f aca="false">IF(R33&lt;=0,"",IFERROR(INDEX($L$2:$L$41,Q33),""))</f>
        <v/>
      </c>
      <c r="W33" s="0" t="n">
        <f aca="false">Q33+1</f>
        <v>42</v>
      </c>
      <c r="X33" s="0" t="n">
        <f aca="false">IF(W33&gt;40,0,MAX(0,MIN(H33,IFERROR(INDEX($J$2:$J$41,W33),$N$1))-MAX(H32,IF(W33=1,0,IFERROR(INDEX($J$2:$J$41,W33-1),0)))))</f>
        <v>0</v>
      </c>
      <c r="Y33" s="0" t="str">
        <f aca="false">IF(X33&lt;=0,"",IFERROR(INDEX($K$2:$K$41,W33),""))</f>
        <v/>
      </c>
      <c r="Z33" s="0" t="str">
        <f aca="false">IF(X33&lt;=0,"",IFERROR(INDEX($L$2:$L$41,W33),""))</f>
        <v/>
      </c>
      <c r="AC33" s="0" t="n">
        <f aca="false">W33+1</f>
        <v>43</v>
      </c>
      <c r="AD33" s="0" t="n">
        <f aca="false">IF(AC33&gt;40,0,MAX(0,MIN(H33,IFERROR(INDEX($J$2:$J$41,AC33),$N$1))-MAX(H32,IF(AC33=1,0,IFERROR(INDEX($J$2:$J$41,AC33-1),0)))))</f>
        <v>0</v>
      </c>
      <c r="AE33" s="0" t="str">
        <f aca="false">IF(AD33&lt;=0,"",IFERROR(INDEX($K$2:$K$41,AC33),""))</f>
        <v/>
      </c>
      <c r="AF33" s="0" t="str">
        <f aca="false">IF(AD33&lt;=0,"",IFERROR(INDEX($L$2:$L$41,AC33),""))</f>
        <v/>
      </c>
      <c r="AI33" s="0" t="n">
        <f aca="false">AC33+1</f>
        <v>44</v>
      </c>
      <c r="AJ33" s="0" t="n">
        <f aca="false">IF(AI33&gt;40,0,MAX(0,MIN(H33,IFERROR(INDEX($J$2:$J$41,AI33),$N$1))-MAX(H32,IF(AI33=1,0,IFERROR(INDEX($J$2:$J$41,AI33-1),0)))))</f>
        <v>0</v>
      </c>
      <c r="AK33" s="0" t="str">
        <f aca="false">IF(AJ33&lt;=0,"",IFERROR(INDEX($K$2:$K$41,AI33),""))</f>
        <v/>
      </c>
      <c r="AL33" s="0" t="str">
        <f aca="false">IF(AJ33&lt;=0,"",IFERROR(INDEX($L$2:$L$41,AI33),""))</f>
        <v/>
      </c>
      <c r="AN33" s="0" t="n">
        <f aca="false">MAX(0,H33-MAX(H32,$N$1))</f>
        <v>0</v>
      </c>
      <c r="AP33" s="0" t="str">
        <f aca="false">IF($X$7&lt;=0,"",FIFO_helper!$C$7)</f>
        <v>16/07</v>
      </c>
      <c r="AQ33" s="0" t="str">
        <f aca="false">IF($X$7&lt;=0,"",$Y$7)</f>
        <v>17/07</v>
      </c>
      <c r="AR33" s="0" t="str">
        <f aca="false">IF($X$7&lt;=0,"","PRIMERA")</f>
        <v>PRIMERA</v>
      </c>
      <c r="AS33" s="0" t="str">
        <f aca="false">IF($X$7&lt;=0,"",$Z$7)</f>
        <v>G-2994</v>
      </c>
      <c r="AT33" s="0" t="n">
        <f aca="false">IF($X$7&lt;=0,"",$X$7)</f>
        <v>1180</v>
      </c>
      <c r="AU33" s="0" t="str">
        <f aca="false">IF($X$7&lt;=0,"","kg")</f>
        <v>kg</v>
      </c>
      <c r="AV33" s="0" t="n">
        <f aca="false">IF($X$7&lt;=0,0,1)</f>
        <v>1</v>
      </c>
      <c r="AW33" s="0" t="n">
        <f aca="false">AW32+AV33</f>
        <v>15</v>
      </c>
    </row>
    <row r="34" customFormat="false" ht="15" hidden="false" customHeight="false" outlineLevel="0" collapsed="false">
      <c r="A34" s="0" t="n">
        <v>33</v>
      </c>
      <c r="B34" s="0" t="n">
        <f aca="false">A34+4</f>
        <v>37</v>
      </c>
      <c r="C34" s="0" t="n">
        <f aca="false">IF(B34=5,"sem. ant.",INDEX('Balance PLANTA'!$A:$A,B34))</f>
        <v>0</v>
      </c>
      <c r="D34" s="0" t="n">
        <f aca="false">IF(B34=5,INDEX('Balance PLANTA'!$R:$R,B34)*15+INDEX('Balance PLANTA'!$S:$S,B34)*18+INDEX('Balance PLANTA'!$T:$T,B34)*17+INDEX('Balance PLANTA'!$U:$U,B34)*17,IFERROR(INDEX('Balance PLANTA'!$C:$C,B34)*95,0))</f>
        <v>0</v>
      </c>
      <c r="E34" s="0" t="n">
        <f aca="false">IF(B34=5,0,IFERROR(INDEX('Balance PLANTA'!$W:$W,B34),0))</f>
        <v>0</v>
      </c>
      <c r="F34" s="0" t="n">
        <f aca="false">E34*95</f>
        <v>0</v>
      </c>
      <c r="G34" s="0" t="n">
        <f aca="false">D34-F34</f>
        <v>0</v>
      </c>
      <c r="H34" s="0" t="n">
        <f aca="false">H33+G34</f>
        <v>30354</v>
      </c>
      <c r="I34" s="0" t="n">
        <f aca="false">IFERROR(INDEX('Balance PLANTA'!$L:$L,B34)*15+INDEX('Balance PLANTA'!$M:$M,B34)*18+INDEX('Balance PLANTA'!$N:$N,B34)*17+INDEX('Balance PLANTA'!$O:$O,B34)*17,0)</f>
        <v>0</v>
      </c>
      <c r="J34" s="0" t="n">
        <f aca="false">J33+I34</f>
        <v>29847</v>
      </c>
      <c r="K34" s="0" t="str">
        <f aca="false">IF(INDEX('Balance PLANTA'!$J:$J,B34)=0,"",INDEX('Balance PLANTA'!$J:$J,B34))</f>
        <v/>
      </c>
      <c r="L34" s="0" t="n">
        <f aca="false">IFERROR(INDEX('Balance PLANTA'!$K:$K,B34),"")</f>
        <v>0</v>
      </c>
      <c r="Q34" s="0" t="n">
        <f aca="false">IFERROR(MATCH(H33,$J$2:$J$41,1),0)+1</f>
        <v>41</v>
      </c>
      <c r="R34" s="0" t="n">
        <f aca="false">IF(Q34&gt;40,0,MAX(0,MIN(H34,IFERROR(INDEX($J$2:$J$41,Q34),$N$1))-MAX(H33,IF(Q34=1,0,IFERROR(INDEX($J$2:$J$41,Q34-1),0)))))</f>
        <v>0</v>
      </c>
      <c r="S34" s="0" t="str">
        <f aca="false">IF(R34&lt;=0,"",IFERROR(INDEX($K$2:$K$41,Q34),""))</f>
        <v/>
      </c>
      <c r="T34" s="0" t="str">
        <f aca="false">IF(R34&lt;=0,"",IFERROR(INDEX($L$2:$L$41,Q34),""))</f>
        <v/>
      </c>
      <c r="W34" s="0" t="n">
        <f aca="false">Q34+1</f>
        <v>42</v>
      </c>
      <c r="X34" s="0" t="n">
        <f aca="false">IF(W34&gt;40,0,MAX(0,MIN(H34,IFERROR(INDEX($J$2:$J$41,W34),$N$1))-MAX(H33,IF(W34=1,0,IFERROR(INDEX($J$2:$J$41,W34-1),0)))))</f>
        <v>0</v>
      </c>
      <c r="Y34" s="0" t="str">
        <f aca="false">IF(X34&lt;=0,"",IFERROR(INDEX($K$2:$K$41,W34),""))</f>
        <v/>
      </c>
      <c r="Z34" s="0" t="str">
        <f aca="false">IF(X34&lt;=0,"",IFERROR(INDEX($L$2:$L$41,W34),""))</f>
        <v/>
      </c>
      <c r="AC34" s="0" t="n">
        <f aca="false">W34+1</f>
        <v>43</v>
      </c>
      <c r="AD34" s="0" t="n">
        <f aca="false">IF(AC34&gt;40,0,MAX(0,MIN(H34,IFERROR(INDEX($J$2:$J$41,AC34),$N$1))-MAX(H33,IF(AC34=1,0,IFERROR(INDEX($J$2:$J$41,AC34-1),0)))))</f>
        <v>0</v>
      </c>
      <c r="AE34" s="0" t="str">
        <f aca="false">IF(AD34&lt;=0,"",IFERROR(INDEX($K$2:$K$41,AC34),""))</f>
        <v/>
      </c>
      <c r="AF34" s="0" t="str">
        <f aca="false">IF(AD34&lt;=0,"",IFERROR(INDEX($L$2:$L$41,AC34),""))</f>
        <v/>
      </c>
      <c r="AI34" s="0" t="n">
        <f aca="false">AC34+1</f>
        <v>44</v>
      </c>
      <c r="AJ34" s="0" t="n">
        <f aca="false">IF(AI34&gt;40,0,MAX(0,MIN(H34,IFERROR(INDEX($J$2:$J$41,AI34),$N$1))-MAX(H33,IF(AI34=1,0,IFERROR(INDEX($J$2:$J$41,AI34-1),0)))))</f>
        <v>0</v>
      </c>
      <c r="AK34" s="0" t="str">
        <f aca="false">IF(AJ34&lt;=0,"",IFERROR(INDEX($K$2:$K$41,AI34),""))</f>
        <v/>
      </c>
      <c r="AL34" s="0" t="str">
        <f aca="false">IF(AJ34&lt;=0,"",IFERROR(INDEX($L$2:$L$41,AI34),""))</f>
        <v/>
      </c>
      <c r="AN34" s="0" t="n">
        <f aca="false">MAX(0,H34-MAX(H33,$N$1))</f>
        <v>0</v>
      </c>
      <c r="AP34" s="0" t="str">
        <f aca="false">IF($AD$7&lt;=0,"",FIFO_helper!$C$7)</f>
        <v/>
      </c>
      <c r="AQ34" s="0" t="str">
        <f aca="false">IF($AD$7&lt;=0,"",$AE$7)</f>
        <v/>
      </c>
      <c r="AR34" s="0" t="str">
        <f aca="false">IF($AD$7&lt;=0,"","PRIMERA")</f>
        <v/>
      </c>
      <c r="AS34" s="0" t="str">
        <f aca="false">IF($AD$7&lt;=0,"",$AF$7)</f>
        <v/>
      </c>
      <c r="AT34" s="0" t="str">
        <f aca="false">IF($AD$7&lt;=0,"",$AD$7)</f>
        <v/>
      </c>
      <c r="AU34" s="0" t="str">
        <f aca="false">IF($AD$7&lt;=0,"","kg")</f>
        <v/>
      </c>
      <c r="AV34" s="0" t="n">
        <f aca="false">IF($AD$7&lt;=0,0,1)</f>
        <v>0</v>
      </c>
      <c r="AW34" s="0" t="n">
        <f aca="false">AW33+AV34</f>
        <v>15</v>
      </c>
    </row>
    <row r="35" customFormat="false" ht="15" hidden="false" customHeight="false" outlineLevel="0" collapsed="false">
      <c r="A35" s="0" t="n">
        <v>34</v>
      </c>
      <c r="B35" s="0" t="n">
        <f aca="false">A35+4</f>
        <v>38</v>
      </c>
      <c r="C35" s="0" t="n">
        <f aca="false">IF(B35=5,"sem. ant.",INDEX('Balance PLANTA'!$A:$A,B35))</f>
        <v>0</v>
      </c>
      <c r="D35" s="0" t="n">
        <f aca="false">IF(B35=5,INDEX('Balance PLANTA'!$R:$R,B35)*15+INDEX('Balance PLANTA'!$S:$S,B35)*18+INDEX('Balance PLANTA'!$T:$T,B35)*17+INDEX('Balance PLANTA'!$U:$U,B35)*17,IFERROR(INDEX('Balance PLANTA'!$C:$C,B35)*95,0))</f>
        <v>0</v>
      </c>
      <c r="E35" s="0" t="n">
        <f aca="false">IF(B35=5,0,IFERROR(INDEX('Balance PLANTA'!$W:$W,B35),0))</f>
        <v>0</v>
      </c>
      <c r="F35" s="0" t="n">
        <f aca="false">E35*95</f>
        <v>0</v>
      </c>
      <c r="G35" s="0" t="n">
        <f aca="false">D35-F35</f>
        <v>0</v>
      </c>
      <c r="H35" s="0" t="n">
        <f aca="false">H34+G35</f>
        <v>30354</v>
      </c>
      <c r="I35" s="0" t="n">
        <f aca="false">IFERROR(INDEX('Balance PLANTA'!$L:$L,B35)*15+INDEX('Balance PLANTA'!$M:$M,B35)*18+INDEX('Balance PLANTA'!$N:$N,B35)*17+INDEX('Balance PLANTA'!$O:$O,B35)*17,0)</f>
        <v>0</v>
      </c>
      <c r="J35" s="0" t="n">
        <f aca="false">J34+I35</f>
        <v>29847</v>
      </c>
      <c r="K35" s="0" t="str">
        <f aca="false">IF(INDEX('Balance PLANTA'!$J:$J,B35)=0,"",INDEX('Balance PLANTA'!$J:$J,B35))</f>
        <v/>
      </c>
      <c r="L35" s="0" t="n">
        <f aca="false">IFERROR(INDEX('Balance PLANTA'!$K:$K,B35),"")</f>
        <v>0</v>
      </c>
      <c r="Q35" s="0" t="n">
        <f aca="false">IFERROR(MATCH(H34,$J$2:$J$41,1),0)+1</f>
        <v>41</v>
      </c>
      <c r="R35" s="0" t="n">
        <f aca="false">IF(Q35&gt;40,0,MAX(0,MIN(H35,IFERROR(INDEX($J$2:$J$41,Q35),$N$1))-MAX(H34,IF(Q35=1,0,IFERROR(INDEX($J$2:$J$41,Q35-1),0)))))</f>
        <v>0</v>
      </c>
      <c r="S35" s="0" t="str">
        <f aca="false">IF(R35&lt;=0,"",IFERROR(INDEX($K$2:$K$41,Q35),""))</f>
        <v/>
      </c>
      <c r="T35" s="0" t="str">
        <f aca="false">IF(R35&lt;=0,"",IFERROR(INDEX($L$2:$L$41,Q35),""))</f>
        <v/>
      </c>
      <c r="W35" s="0" t="n">
        <f aca="false">Q35+1</f>
        <v>42</v>
      </c>
      <c r="X35" s="0" t="n">
        <f aca="false">IF(W35&gt;40,0,MAX(0,MIN(H35,IFERROR(INDEX($J$2:$J$41,W35),$N$1))-MAX(H34,IF(W35=1,0,IFERROR(INDEX($J$2:$J$41,W35-1),0)))))</f>
        <v>0</v>
      </c>
      <c r="Y35" s="0" t="str">
        <f aca="false">IF(X35&lt;=0,"",IFERROR(INDEX($K$2:$K$41,W35),""))</f>
        <v/>
      </c>
      <c r="Z35" s="0" t="str">
        <f aca="false">IF(X35&lt;=0,"",IFERROR(INDEX($L$2:$L$41,W35),""))</f>
        <v/>
      </c>
      <c r="AC35" s="0" t="n">
        <f aca="false">W35+1</f>
        <v>43</v>
      </c>
      <c r="AD35" s="0" t="n">
        <f aca="false">IF(AC35&gt;40,0,MAX(0,MIN(H35,IFERROR(INDEX($J$2:$J$41,AC35),$N$1))-MAX(H34,IF(AC35=1,0,IFERROR(INDEX($J$2:$J$41,AC35-1),0)))))</f>
        <v>0</v>
      </c>
      <c r="AE35" s="0" t="str">
        <f aca="false">IF(AD35&lt;=0,"",IFERROR(INDEX($K$2:$K$41,AC35),""))</f>
        <v/>
      </c>
      <c r="AF35" s="0" t="str">
        <f aca="false">IF(AD35&lt;=0,"",IFERROR(INDEX($L$2:$L$41,AC35),""))</f>
        <v/>
      </c>
      <c r="AI35" s="0" t="n">
        <f aca="false">AC35+1</f>
        <v>44</v>
      </c>
      <c r="AJ35" s="0" t="n">
        <f aca="false">IF(AI35&gt;40,0,MAX(0,MIN(H35,IFERROR(INDEX($J$2:$J$41,AI35),$N$1))-MAX(H34,IF(AI35=1,0,IFERROR(INDEX($J$2:$J$41,AI35-1),0)))))</f>
        <v>0</v>
      </c>
      <c r="AK35" s="0" t="str">
        <f aca="false">IF(AJ35&lt;=0,"",IFERROR(INDEX($K$2:$K$41,AI35),""))</f>
        <v/>
      </c>
      <c r="AL35" s="0" t="str">
        <f aca="false">IF(AJ35&lt;=0,"",IFERROR(INDEX($L$2:$L$41,AI35),""))</f>
        <v/>
      </c>
      <c r="AN35" s="0" t="n">
        <f aca="false">MAX(0,H35-MAX(H34,$N$1))</f>
        <v>0</v>
      </c>
      <c r="AP35" s="0" t="str">
        <f aca="false">IF($AJ$7&lt;=0,"",FIFO_helper!$C$7)</f>
        <v/>
      </c>
      <c r="AQ35" s="0" t="str">
        <f aca="false">IF($AJ$7&lt;=0,"",$AK$7)</f>
        <v/>
      </c>
      <c r="AR35" s="0" t="str">
        <f aca="false">IF($AJ$7&lt;=0,"","PRIMERA")</f>
        <v/>
      </c>
      <c r="AS35" s="0" t="str">
        <f aca="false">IF($AJ$7&lt;=0,"",$AL$7)</f>
        <v/>
      </c>
      <c r="AT35" s="0" t="str">
        <f aca="false">IF($AJ$7&lt;=0,"",$AJ$7)</f>
        <v/>
      </c>
      <c r="AU35" s="0" t="str">
        <f aca="false">IF($AJ$7&lt;=0,"","kg")</f>
        <v/>
      </c>
      <c r="AV35" s="0" t="n">
        <f aca="false">IF($AJ$7&lt;=0,0,1)</f>
        <v>0</v>
      </c>
      <c r="AW35" s="0" t="n">
        <f aca="false">AW34+AV35</f>
        <v>15</v>
      </c>
    </row>
    <row r="36" customFormat="false" ht="15" hidden="false" customHeight="false" outlineLevel="0" collapsed="false">
      <c r="A36" s="0" t="n">
        <v>35</v>
      </c>
      <c r="B36" s="0" t="n">
        <f aca="false">A36+4</f>
        <v>39</v>
      </c>
      <c r="C36" s="0" t="n">
        <f aca="false">IF(B36=5,"sem. ant.",INDEX('Balance PLANTA'!$A:$A,B36))</f>
        <v>0</v>
      </c>
      <c r="D36" s="0" t="n">
        <f aca="false">IF(B36=5,INDEX('Balance PLANTA'!$R:$R,B36)*15+INDEX('Balance PLANTA'!$S:$S,B36)*18+INDEX('Balance PLANTA'!$T:$T,B36)*17+INDEX('Balance PLANTA'!$U:$U,B36)*17,IFERROR(INDEX('Balance PLANTA'!$C:$C,B36)*95,0))</f>
        <v>0</v>
      </c>
      <c r="E36" s="0" t="n">
        <f aca="false">IF(B36=5,0,IFERROR(INDEX('Balance PLANTA'!$W:$W,B36),0))</f>
        <v>0</v>
      </c>
      <c r="F36" s="0" t="n">
        <f aca="false">E36*95</f>
        <v>0</v>
      </c>
      <c r="G36" s="0" t="n">
        <f aca="false">D36-F36</f>
        <v>0</v>
      </c>
      <c r="H36" s="0" t="n">
        <f aca="false">H35+G36</f>
        <v>30354</v>
      </c>
      <c r="I36" s="0" t="n">
        <f aca="false">IFERROR(INDEX('Balance PLANTA'!$L:$L,B36)*15+INDEX('Balance PLANTA'!$M:$M,B36)*18+INDEX('Balance PLANTA'!$N:$N,B36)*17+INDEX('Balance PLANTA'!$O:$O,B36)*17,0)</f>
        <v>0</v>
      </c>
      <c r="J36" s="0" t="n">
        <f aca="false">J35+I36</f>
        <v>29847</v>
      </c>
      <c r="K36" s="0" t="str">
        <f aca="false">IF(INDEX('Balance PLANTA'!$J:$J,B36)=0,"",INDEX('Balance PLANTA'!$J:$J,B36))</f>
        <v/>
      </c>
      <c r="L36" s="0" t="n">
        <f aca="false">IFERROR(INDEX('Balance PLANTA'!$K:$K,B36),"")</f>
        <v>0</v>
      </c>
      <c r="Q36" s="0" t="n">
        <f aca="false">IFERROR(MATCH(H35,$J$2:$J$41,1),0)+1</f>
        <v>41</v>
      </c>
      <c r="R36" s="0" t="n">
        <f aca="false">IF(Q36&gt;40,0,MAX(0,MIN(H36,IFERROR(INDEX($J$2:$J$41,Q36),$N$1))-MAX(H35,IF(Q36=1,0,IFERROR(INDEX($J$2:$J$41,Q36-1),0)))))</f>
        <v>0</v>
      </c>
      <c r="S36" s="0" t="str">
        <f aca="false">IF(R36&lt;=0,"",IFERROR(INDEX($K$2:$K$41,Q36),""))</f>
        <v/>
      </c>
      <c r="T36" s="0" t="str">
        <f aca="false">IF(R36&lt;=0,"",IFERROR(INDEX($L$2:$L$41,Q36),""))</f>
        <v/>
      </c>
      <c r="W36" s="0" t="n">
        <f aca="false">Q36+1</f>
        <v>42</v>
      </c>
      <c r="X36" s="0" t="n">
        <f aca="false">IF(W36&gt;40,0,MAX(0,MIN(H36,IFERROR(INDEX($J$2:$J$41,W36),$N$1))-MAX(H35,IF(W36=1,0,IFERROR(INDEX($J$2:$J$41,W36-1),0)))))</f>
        <v>0</v>
      </c>
      <c r="Y36" s="0" t="str">
        <f aca="false">IF(X36&lt;=0,"",IFERROR(INDEX($K$2:$K$41,W36),""))</f>
        <v/>
      </c>
      <c r="Z36" s="0" t="str">
        <f aca="false">IF(X36&lt;=0,"",IFERROR(INDEX($L$2:$L$41,W36),""))</f>
        <v/>
      </c>
      <c r="AC36" s="0" t="n">
        <f aca="false">W36+1</f>
        <v>43</v>
      </c>
      <c r="AD36" s="0" t="n">
        <f aca="false">IF(AC36&gt;40,0,MAX(0,MIN(H36,IFERROR(INDEX($J$2:$J$41,AC36),$N$1))-MAX(H35,IF(AC36=1,0,IFERROR(INDEX($J$2:$J$41,AC36-1),0)))))</f>
        <v>0</v>
      </c>
      <c r="AE36" s="0" t="str">
        <f aca="false">IF(AD36&lt;=0,"",IFERROR(INDEX($K$2:$K$41,AC36),""))</f>
        <v/>
      </c>
      <c r="AF36" s="0" t="str">
        <f aca="false">IF(AD36&lt;=0,"",IFERROR(INDEX($L$2:$L$41,AC36),""))</f>
        <v/>
      </c>
      <c r="AI36" s="0" t="n">
        <f aca="false">AC36+1</f>
        <v>44</v>
      </c>
      <c r="AJ36" s="0" t="n">
        <f aca="false">IF(AI36&gt;40,0,MAX(0,MIN(H36,IFERROR(INDEX($J$2:$J$41,AI36),$N$1))-MAX(H35,IF(AI36=1,0,IFERROR(INDEX($J$2:$J$41,AI36-1),0)))))</f>
        <v>0</v>
      </c>
      <c r="AK36" s="0" t="str">
        <f aca="false">IF(AJ36&lt;=0,"",IFERROR(INDEX($K$2:$K$41,AI36),""))</f>
        <v/>
      </c>
      <c r="AL36" s="0" t="str">
        <f aca="false">IF(AJ36&lt;=0,"",IFERROR(INDEX($L$2:$L$41,AI36),""))</f>
        <v/>
      </c>
      <c r="AN36" s="0" t="n">
        <f aca="false">MAX(0,H36-MAX(H35,$N$1))</f>
        <v>0</v>
      </c>
      <c r="AP36" s="0" t="str">
        <f aca="false">IF($AN$7&lt;=0,"",FIFO_helper!$C$7)</f>
        <v/>
      </c>
      <c r="AQ36" s="0" t="str">
        <f aca="false">IF($AN$7&lt;=0,"","(queda en planta)")</f>
        <v/>
      </c>
      <c r="AR36" s="0" t="str">
        <f aca="false">IF($AN$7&lt;=0,"","PRIMERA")</f>
        <v/>
      </c>
      <c r="AS36" s="0" t="str">
        <f aca="false">""</f>
        <v/>
      </c>
      <c r="AT36" s="0" t="str">
        <f aca="false">IF($AN$7&lt;=0,"",$AN$7)</f>
        <v/>
      </c>
      <c r="AU36" s="0" t="str">
        <f aca="false">IF($AN$7&lt;=0,"","kg")</f>
        <v/>
      </c>
      <c r="AV36" s="0" t="n">
        <f aca="false">IF($AN$7&lt;=0,0,1)</f>
        <v>0</v>
      </c>
      <c r="AW36" s="0" t="n">
        <f aca="false">AW35+AV36</f>
        <v>15</v>
      </c>
    </row>
    <row r="37" customFormat="false" ht="15" hidden="false" customHeight="false" outlineLevel="0" collapsed="false">
      <c r="A37" s="0" t="n">
        <v>36</v>
      </c>
      <c r="B37" s="0" t="n">
        <f aca="false">A37+4</f>
        <v>40</v>
      </c>
      <c r="C37" s="0" t="n">
        <f aca="false">IF(B37=5,"sem. ant.",INDEX('Balance PLANTA'!$A:$A,B37))</f>
        <v>0</v>
      </c>
      <c r="D37" s="0" t="n">
        <f aca="false">IF(B37=5,INDEX('Balance PLANTA'!$R:$R,B37)*15+INDEX('Balance PLANTA'!$S:$S,B37)*18+INDEX('Balance PLANTA'!$T:$T,B37)*17+INDEX('Balance PLANTA'!$U:$U,B37)*17,IFERROR(INDEX('Balance PLANTA'!$C:$C,B37)*95,0))</f>
        <v>0</v>
      </c>
      <c r="E37" s="0" t="n">
        <f aca="false">IF(B37=5,0,IFERROR(INDEX('Balance PLANTA'!$W:$W,B37),0))</f>
        <v>0</v>
      </c>
      <c r="F37" s="0" t="n">
        <f aca="false">E37*95</f>
        <v>0</v>
      </c>
      <c r="G37" s="0" t="n">
        <f aca="false">D37-F37</f>
        <v>0</v>
      </c>
      <c r="H37" s="0" t="n">
        <f aca="false">H36+G37</f>
        <v>30354</v>
      </c>
      <c r="I37" s="0" t="n">
        <f aca="false">IFERROR(INDEX('Balance PLANTA'!$L:$L,B37)*15+INDEX('Balance PLANTA'!$M:$M,B37)*18+INDEX('Balance PLANTA'!$N:$N,B37)*17+INDEX('Balance PLANTA'!$O:$O,B37)*17,0)</f>
        <v>0</v>
      </c>
      <c r="J37" s="0" t="n">
        <f aca="false">J36+I37</f>
        <v>29847</v>
      </c>
      <c r="K37" s="0" t="str">
        <f aca="false">IF(INDEX('Balance PLANTA'!$J:$J,B37)=0,"",INDEX('Balance PLANTA'!$J:$J,B37))</f>
        <v/>
      </c>
      <c r="L37" s="0" t="n">
        <f aca="false">IFERROR(INDEX('Balance PLANTA'!$K:$K,B37),"")</f>
        <v>0</v>
      </c>
      <c r="Q37" s="0" t="n">
        <f aca="false">IFERROR(MATCH(H36,$J$2:$J$41,1),0)+1</f>
        <v>41</v>
      </c>
      <c r="R37" s="0" t="n">
        <f aca="false">IF(Q37&gt;40,0,MAX(0,MIN(H37,IFERROR(INDEX($J$2:$J$41,Q37),$N$1))-MAX(H36,IF(Q37=1,0,IFERROR(INDEX($J$2:$J$41,Q37-1),0)))))</f>
        <v>0</v>
      </c>
      <c r="S37" s="0" t="str">
        <f aca="false">IF(R37&lt;=0,"",IFERROR(INDEX($K$2:$K$41,Q37),""))</f>
        <v/>
      </c>
      <c r="T37" s="0" t="str">
        <f aca="false">IF(R37&lt;=0,"",IFERROR(INDEX($L$2:$L$41,Q37),""))</f>
        <v/>
      </c>
      <c r="W37" s="0" t="n">
        <f aca="false">Q37+1</f>
        <v>42</v>
      </c>
      <c r="X37" s="0" t="n">
        <f aca="false">IF(W37&gt;40,0,MAX(0,MIN(H37,IFERROR(INDEX($J$2:$J$41,W37),$N$1))-MAX(H36,IF(W37=1,0,IFERROR(INDEX($J$2:$J$41,W37-1),0)))))</f>
        <v>0</v>
      </c>
      <c r="Y37" s="0" t="str">
        <f aca="false">IF(X37&lt;=0,"",IFERROR(INDEX($K$2:$K$41,W37),""))</f>
        <v/>
      </c>
      <c r="Z37" s="0" t="str">
        <f aca="false">IF(X37&lt;=0,"",IFERROR(INDEX($L$2:$L$41,W37),""))</f>
        <v/>
      </c>
      <c r="AC37" s="0" t="n">
        <f aca="false">W37+1</f>
        <v>43</v>
      </c>
      <c r="AD37" s="0" t="n">
        <f aca="false">IF(AC37&gt;40,0,MAX(0,MIN(H37,IFERROR(INDEX($J$2:$J$41,AC37),$N$1))-MAX(H36,IF(AC37=1,0,IFERROR(INDEX($J$2:$J$41,AC37-1),0)))))</f>
        <v>0</v>
      </c>
      <c r="AE37" s="0" t="str">
        <f aca="false">IF(AD37&lt;=0,"",IFERROR(INDEX($K$2:$K$41,AC37),""))</f>
        <v/>
      </c>
      <c r="AF37" s="0" t="str">
        <f aca="false">IF(AD37&lt;=0,"",IFERROR(INDEX($L$2:$L$41,AC37),""))</f>
        <v/>
      </c>
      <c r="AI37" s="0" t="n">
        <f aca="false">AC37+1</f>
        <v>44</v>
      </c>
      <c r="AJ37" s="0" t="n">
        <f aca="false">IF(AI37&gt;40,0,MAX(0,MIN(H37,IFERROR(INDEX($J$2:$J$41,AI37),$N$1))-MAX(H36,IF(AI37=1,0,IFERROR(INDEX($J$2:$J$41,AI37-1),0)))))</f>
        <v>0</v>
      </c>
      <c r="AK37" s="0" t="str">
        <f aca="false">IF(AJ37&lt;=0,"",IFERROR(INDEX($K$2:$K$41,AI37),""))</f>
        <v/>
      </c>
      <c r="AL37" s="0" t="str">
        <f aca="false">IF(AJ37&lt;=0,"",IFERROR(INDEX($L$2:$L$41,AI37),""))</f>
        <v/>
      </c>
      <c r="AN37" s="0" t="n">
        <f aca="false">MAX(0,H37-MAX(H36,$N$1))</f>
        <v>0</v>
      </c>
      <c r="AP37" s="0" t="str">
        <f aca="false">IF($E$7&lt;=0,"",FIFO_helper!$C$7)</f>
        <v>16/07</v>
      </c>
      <c r="AQ37" s="0" t="str">
        <f aca="false">IF($E$7&lt;=0,"","↳ Chancho (prod.)")</f>
        <v>↳ Chancho (prod.)</v>
      </c>
      <c r="AR37" s="0" t="str">
        <f aca="false">IF($E$7&lt;=0,"","CHANCHO")</f>
        <v>CHANCHO</v>
      </c>
      <c r="AS37" s="0" t="str">
        <f aca="false">""</f>
        <v/>
      </c>
      <c r="AT37" s="0" t="n">
        <f aca="false">IF($E$7&lt;=0,"",$E$7)</f>
        <v>4</v>
      </c>
      <c r="AU37" s="0" t="str">
        <f aca="false">IF($E$7&lt;=0,"","sacos")</f>
        <v>sacos</v>
      </c>
      <c r="AV37" s="0" t="n">
        <f aca="false">IF($E$7&lt;=0,0,1)</f>
        <v>1</v>
      </c>
      <c r="AW37" s="0" t="n">
        <f aca="false">AW36+AV37</f>
        <v>16</v>
      </c>
    </row>
    <row r="38" customFormat="false" ht="15" hidden="false" customHeight="false" outlineLevel="0" collapsed="false">
      <c r="A38" s="0" t="n">
        <v>37</v>
      </c>
      <c r="B38" s="0" t="n">
        <f aca="false">A38+4</f>
        <v>41</v>
      </c>
      <c r="C38" s="0" t="n">
        <f aca="false">IF(B38=5,"sem. ant.",INDEX('Balance PLANTA'!$A:$A,B38))</f>
        <v>0</v>
      </c>
      <c r="D38" s="0" t="n">
        <f aca="false">IF(B38=5,INDEX('Balance PLANTA'!$R:$R,B38)*15+INDEX('Balance PLANTA'!$S:$S,B38)*18+INDEX('Balance PLANTA'!$T:$T,B38)*17+INDEX('Balance PLANTA'!$U:$U,B38)*17,IFERROR(INDEX('Balance PLANTA'!$C:$C,B38)*95,0))</f>
        <v>0</v>
      </c>
      <c r="E38" s="0" t="n">
        <f aca="false">IF(B38=5,0,IFERROR(INDEX('Balance PLANTA'!$W:$W,B38),0))</f>
        <v>0</v>
      </c>
      <c r="F38" s="0" t="n">
        <f aca="false">E38*95</f>
        <v>0</v>
      </c>
      <c r="G38" s="0" t="n">
        <f aca="false">D38-F38</f>
        <v>0</v>
      </c>
      <c r="H38" s="0" t="n">
        <f aca="false">H37+G38</f>
        <v>30354</v>
      </c>
      <c r="I38" s="0" t="n">
        <f aca="false">IFERROR(INDEX('Balance PLANTA'!$L:$L,B38)*15+INDEX('Balance PLANTA'!$M:$M,B38)*18+INDEX('Balance PLANTA'!$N:$N,B38)*17+INDEX('Balance PLANTA'!$O:$O,B38)*17,0)</f>
        <v>0</v>
      </c>
      <c r="J38" s="0" t="n">
        <f aca="false">J37+I38</f>
        <v>29847</v>
      </c>
      <c r="K38" s="0" t="str">
        <f aca="false">IF(INDEX('Balance PLANTA'!$J:$J,B38)=0,"",INDEX('Balance PLANTA'!$J:$J,B38))</f>
        <v/>
      </c>
      <c r="L38" s="0" t="n">
        <f aca="false">IFERROR(INDEX('Balance PLANTA'!$K:$K,B38),"")</f>
        <v>0</v>
      </c>
      <c r="Q38" s="0" t="n">
        <f aca="false">IFERROR(MATCH(H37,$J$2:$J$41,1),0)+1</f>
        <v>41</v>
      </c>
      <c r="R38" s="0" t="n">
        <f aca="false">IF(Q38&gt;40,0,MAX(0,MIN(H38,IFERROR(INDEX($J$2:$J$41,Q38),$N$1))-MAX(H37,IF(Q38=1,0,IFERROR(INDEX($J$2:$J$41,Q38-1),0)))))</f>
        <v>0</v>
      </c>
      <c r="S38" s="0" t="str">
        <f aca="false">IF(R38&lt;=0,"",IFERROR(INDEX($K$2:$K$41,Q38),""))</f>
        <v/>
      </c>
      <c r="T38" s="0" t="str">
        <f aca="false">IF(R38&lt;=0,"",IFERROR(INDEX($L$2:$L$41,Q38),""))</f>
        <v/>
      </c>
      <c r="W38" s="0" t="n">
        <f aca="false">Q38+1</f>
        <v>42</v>
      </c>
      <c r="X38" s="0" t="n">
        <f aca="false">IF(W38&gt;40,0,MAX(0,MIN(H38,IFERROR(INDEX($J$2:$J$41,W38),$N$1))-MAX(H37,IF(W38=1,0,IFERROR(INDEX($J$2:$J$41,W38-1),0)))))</f>
        <v>0</v>
      </c>
      <c r="Y38" s="0" t="str">
        <f aca="false">IF(X38&lt;=0,"",IFERROR(INDEX($K$2:$K$41,W38),""))</f>
        <v/>
      </c>
      <c r="Z38" s="0" t="str">
        <f aca="false">IF(X38&lt;=0,"",IFERROR(INDEX($L$2:$L$41,W38),""))</f>
        <v/>
      </c>
      <c r="AC38" s="0" t="n">
        <f aca="false">W38+1</f>
        <v>43</v>
      </c>
      <c r="AD38" s="0" t="n">
        <f aca="false">IF(AC38&gt;40,0,MAX(0,MIN(H38,IFERROR(INDEX($J$2:$J$41,AC38),$N$1))-MAX(H37,IF(AC38=1,0,IFERROR(INDEX($J$2:$J$41,AC38-1),0)))))</f>
        <v>0</v>
      </c>
      <c r="AE38" s="0" t="str">
        <f aca="false">IF(AD38&lt;=0,"",IFERROR(INDEX($K$2:$K$41,AC38),""))</f>
        <v/>
      </c>
      <c r="AF38" s="0" t="str">
        <f aca="false">IF(AD38&lt;=0,"",IFERROR(INDEX($L$2:$L$41,AC38),""))</f>
        <v/>
      </c>
      <c r="AI38" s="0" t="n">
        <f aca="false">AC38+1</f>
        <v>44</v>
      </c>
      <c r="AJ38" s="0" t="n">
        <f aca="false">IF(AI38&gt;40,0,MAX(0,MIN(H38,IFERROR(INDEX($J$2:$J$41,AI38),$N$1))-MAX(H37,IF(AI38=1,0,IFERROR(INDEX($J$2:$J$41,AI38-1),0)))))</f>
        <v>0</v>
      </c>
      <c r="AK38" s="0" t="str">
        <f aca="false">IF(AJ38&lt;=0,"",IFERROR(INDEX($K$2:$K$41,AI38),""))</f>
        <v/>
      </c>
      <c r="AL38" s="0" t="str">
        <f aca="false">IF(AJ38&lt;=0,"",IFERROR(INDEX($L$2:$L$41,AI38),""))</f>
        <v/>
      </c>
      <c r="AN38" s="0" t="n">
        <f aca="false">MAX(0,H38-MAX(H37,$N$1))</f>
        <v>0</v>
      </c>
      <c r="AP38" s="0" t="str">
        <f aca="false">IF($R$8&lt;=0,"",FIFO_helper!$C$8)</f>
        <v>17/07</v>
      </c>
      <c r="AQ38" s="0" t="str">
        <f aca="false">IF($R$8&lt;=0,"",$S$8)</f>
        <v>17/07</v>
      </c>
      <c r="AR38" s="0" t="str">
        <f aca="false">IF($R$8&lt;=0,"","PRIMERA")</f>
        <v>PRIMERA</v>
      </c>
      <c r="AS38" s="0" t="str">
        <f aca="false">IF($R$8&lt;=0,"",$T$8)</f>
        <v>G-2994</v>
      </c>
      <c r="AT38" s="0" t="n">
        <f aca="false">IF($R$8&lt;=0,"",$R$8)</f>
        <v>2233</v>
      </c>
      <c r="AU38" s="0" t="str">
        <f aca="false">IF($R$8&lt;=0,"","kg")</f>
        <v>kg</v>
      </c>
      <c r="AV38" s="0" t="n">
        <f aca="false">IF($R$8&lt;=0,0,1)</f>
        <v>1</v>
      </c>
      <c r="AW38" s="0" t="n">
        <f aca="false">AW37+AV38</f>
        <v>17</v>
      </c>
    </row>
    <row r="39" customFormat="false" ht="15" hidden="false" customHeight="false" outlineLevel="0" collapsed="false">
      <c r="A39" s="0" t="n">
        <v>38</v>
      </c>
      <c r="B39" s="0" t="n">
        <f aca="false">A39+4</f>
        <v>42</v>
      </c>
      <c r="C39" s="0" t="n">
        <f aca="false">IF(B39=5,"sem. ant.",INDEX('Balance PLANTA'!$A:$A,B39))</f>
        <v>0</v>
      </c>
      <c r="D39" s="0" t="n">
        <f aca="false">IF(B39=5,INDEX('Balance PLANTA'!$R:$R,B39)*15+INDEX('Balance PLANTA'!$S:$S,B39)*18+INDEX('Balance PLANTA'!$T:$T,B39)*17+INDEX('Balance PLANTA'!$U:$U,B39)*17,IFERROR(INDEX('Balance PLANTA'!$C:$C,B39)*95,0))</f>
        <v>0</v>
      </c>
      <c r="E39" s="0" t="n">
        <f aca="false">IF(B39=5,0,IFERROR(INDEX('Balance PLANTA'!$W:$W,B39),0))</f>
        <v>0</v>
      </c>
      <c r="F39" s="0" t="n">
        <f aca="false">E39*95</f>
        <v>0</v>
      </c>
      <c r="G39" s="0" t="n">
        <f aca="false">D39-F39</f>
        <v>0</v>
      </c>
      <c r="H39" s="0" t="n">
        <f aca="false">H38+G39</f>
        <v>30354</v>
      </c>
      <c r="I39" s="0" t="n">
        <f aca="false">IFERROR(INDEX('Balance PLANTA'!$L:$L,B39)*15+INDEX('Balance PLANTA'!$M:$M,B39)*18+INDEX('Balance PLANTA'!$N:$N,B39)*17+INDEX('Balance PLANTA'!$O:$O,B39)*17,0)</f>
        <v>0</v>
      </c>
      <c r="J39" s="0" t="n">
        <f aca="false">J38+I39</f>
        <v>29847</v>
      </c>
      <c r="K39" s="0" t="str">
        <f aca="false">IF(INDEX('Balance PLANTA'!$J:$J,B39)=0,"",INDEX('Balance PLANTA'!$J:$J,B39))</f>
        <v/>
      </c>
      <c r="L39" s="0" t="n">
        <f aca="false">IFERROR(INDEX('Balance PLANTA'!$K:$K,B39),"")</f>
        <v>0</v>
      </c>
      <c r="Q39" s="0" t="n">
        <f aca="false">IFERROR(MATCH(H38,$J$2:$J$41,1),0)+1</f>
        <v>41</v>
      </c>
      <c r="R39" s="0" t="n">
        <f aca="false">IF(Q39&gt;40,0,MAX(0,MIN(H39,IFERROR(INDEX($J$2:$J$41,Q39),$N$1))-MAX(H38,IF(Q39=1,0,IFERROR(INDEX($J$2:$J$41,Q39-1),0)))))</f>
        <v>0</v>
      </c>
      <c r="S39" s="0" t="str">
        <f aca="false">IF(R39&lt;=0,"",IFERROR(INDEX($K$2:$K$41,Q39),""))</f>
        <v/>
      </c>
      <c r="T39" s="0" t="str">
        <f aca="false">IF(R39&lt;=0,"",IFERROR(INDEX($L$2:$L$41,Q39),""))</f>
        <v/>
      </c>
      <c r="W39" s="0" t="n">
        <f aca="false">Q39+1</f>
        <v>42</v>
      </c>
      <c r="X39" s="0" t="n">
        <f aca="false">IF(W39&gt;40,0,MAX(0,MIN(H39,IFERROR(INDEX($J$2:$J$41,W39),$N$1))-MAX(H38,IF(W39=1,0,IFERROR(INDEX($J$2:$J$41,W39-1),0)))))</f>
        <v>0</v>
      </c>
      <c r="Y39" s="0" t="str">
        <f aca="false">IF(X39&lt;=0,"",IFERROR(INDEX($K$2:$K$41,W39),""))</f>
        <v/>
      </c>
      <c r="Z39" s="0" t="str">
        <f aca="false">IF(X39&lt;=0,"",IFERROR(INDEX($L$2:$L$41,W39),""))</f>
        <v/>
      </c>
      <c r="AC39" s="0" t="n">
        <f aca="false">W39+1</f>
        <v>43</v>
      </c>
      <c r="AD39" s="0" t="n">
        <f aca="false">IF(AC39&gt;40,0,MAX(0,MIN(H39,IFERROR(INDEX($J$2:$J$41,AC39),$N$1))-MAX(H38,IF(AC39=1,0,IFERROR(INDEX($J$2:$J$41,AC39-1),0)))))</f>
        <v>0</v>
      </c>
      <c r="AE39" s="0" t="str">
        <f aca="false">IF(AD39&lt;=0,"",IFERROR(INDEX($K$2:$K$41,AC39),""))</f>
        <v/>
      </c>
      <c r="AF39" s="0" t="str">
        <f aca="false">IF(AD39&lt;=0,"",IFERROR(INDEX($L$2:$L$41,AC39),""))</f>
        <v/>
      </c>
      <c r="AI39" s="0" t="n">
        <f aca="false">AC39+1</f>
        <v>44</v>
      </c>
      <c r="AJ39" s="0" t="n">
        <f aca="false">IF(AI39&gt;40,0,MAX(0,MIN(H39,IFERROR(INDEX($J$2:$J$41,AI39),$N$1))-MAX(H38,IF(AI39=1,0,IFERROR(INDEX($J$2:$J$41,AI39-1),0)))))</f>
        <v>0</v>
      </c>
      <c r="AK39" s="0" t="str">
        <f aca="false">IF(AJ39&lt;=0,"",IFERROR(INDEX($K$2:$K$41,AI39),""))</f>
        <v/>
      </c>
      <c r="AL39" s="0" t="str">
        <f aca="false">IF(AJ39&lt;=0,"",IFERROR(INDEX($L$2:$L$41,AI39),""))</f>
        <v/>
      </c>
      <c r="AN39" s="0" t="n">
        <f aca="false">MAX(0,H39-MAX(H38,$N$1))</f>
        <v>0</v>
      </c>
      <c r="AP39" s="0" t="str">
        <f aca="false">IF($X$8&lt;=0,"",FIFO_helper!$C$8)</f>
        <v/>
      </c>
      <c r="AQ39" s="0" t="str">
        <f aca="false">IF($X$8&lt;=0,"",$Y$8)</f>
        <v/>
      </c>
      <c r="AR39" s="0" t="str">
        <f aca="false">IF($X$8&lt;=0,"","PRIMERA")</f>
        <v/>
      </c>
      <c r="AS39" s="0" t="str">
        <f aca="false">IF($X$8&lt;=0,"",$Z$8)</f>
        <v/>
      </c>
      <c r="AT39" s="0" t="str">
        <f aca="false">IF($X$8&lt;=0,"",$X$8)</f>
        <v/>
      </c>
      <c r="AU39" s="0" t="str">
        <f aca="false">IF($X$8&lt;=0,"","kg")</f>
        <v/>
      </c>
      <c r="AV39" s="0" t="n">
        <f aca="false">IF($X$8&lt;=0,0,1)</f>
        <v>0</v>
      </c>
      <c r="AW39" s="0" t="n">
        <f aca="false">AW38+AV39</f>
        <v>17</v>
      </c>
    </row>
    <row r="40" customFormat="false" ht="15" hidden="false" customHeight="false" outlineLevel="0" collapsed="false">
      <c r="A40" s="0" t="n">
        <v>39</v>
      </c>
      <c r="B40" s="0" t="n">
        <f aca="false">A40+4</f>
        <v>43</v>
      </c>
      <c r="C40" s="0" t="n">
        <f aca="false">IF(B40=5,"sem. ant.",INDEX('Balance PLANTA'!$A:$A,B40))</f>
        <v>0</v>
      </c>
      <c r="D40" s="0" t="n">
        <f aca="false">IF(B40=5,INDEX('Balance PLANTA'!$R:$R,B40)*15+INDEX('Balance PLANTA'!$S:$S,B40)*18+INDEX('Balance PLANTA'!$T:$T,B40)*17+INDEX('Balance PLANTA'!$U:$U,B40)*17,IFERROR(INDEX('Balance PLANTA'!$C:$C,B40)*95,0))</f>
        <v>0</v>
      </c>
      <c r="E40" s="0" t="n">
        <f aca="false">IF(B40=5,0,IFERROR(INDEX('Balance PLANTA'!$W:$W,B40),0))</f>
        <v>0</v>
      </c>
      <c r="F40" s="0" t="n">
        <f aca="false">E40*95</f>
        <v>0</v>
      </c>
      <c r="G40" s="0" t="n">
        <f aca="false">D40-F40</f>
        <v>0</v>
      </c>
      <c r="H40" s="0" t="n">
        <f aca="false">H39+G40</f>
        <v>30354</v>
      </c>
      <c r="I40" s="0" t="n">
        <f aca="false">IFERROR(INDEX('Balance PLANTA'!$L:$L,B40)*15+INDEX('Balance PLANTA'!$M:$M,B40)*18+INDEX('Balance PLANTA'!$N:$N,B40)*17+INDEX('Balance PLANTA'!$O:$O,B40)*17,0)</f>
        <v>0</v>
      </c>
      <c r="J40" s="0" t="n">
        <f aca="false">J39+I40</f>
        <v>29847</v>
      </c>
      <c r="K40" s="0" t="str">
        <f aca="false">IF(INDEX('Balance PLANTA'!$J:$J,B40)=0,"",INDEX('Balance PLANTA'!$J:$J,B40))</f>
        <v/>
      </c>
      <c r="L40" s="0" t="n">
        <f aca="false">IFERROR(INDEX('Balance PLANTA'!$K:$K,B40),"")</f>
        <v>0</v>
      </c>
      <c r="Q40" s="0" t="n">
        <f aca="false">IFERROR(MATCH(H39,$J$2:$J$41,1),0)+1</f>
        <v>41</v>
      </c>
      <c r="R40" s="0" t="n">
        <f aca="false">IF(Q40&gt;40,0,MAX(0,MIN(H40,IFERROR(INDEX($J$2:$J$41,Q40),$N$1))-MAX(H39,IF(Q40=1,0,IFERROR(INDEX($J$2:$J$41,Q40-1),0)))))</f>
        <v>0</v>
      </c>
      <c r="S40" s="0" t="str">
        <f aca="false">IF(R40&lt;=0,"",IFERROR(INDEX($K$2:$K$41,Q40),""))</f>
        <v/>
      </c>
      <c r="T40" s="0" t="str">
        <f aca="false">IF(R40&lt;=0,"",IFERROR(INDEX($L$2:$L$41,Q40),""))</f>
        <v/>
      </c>
      <c r="W40" s="0" t="n">
        <f aca="false">Q40+1</f>
        <v>42</v>
      </c>
      <c r="X40" s="0" t="n">
        <f aca="false">IF(W40&gt;40,0,MAX(0,MIN(H40,IFERROR(INDEX($J$2:$J$41,W40),$N$1))-MAX(H39,IF(W40=1,0,IFERROR(INDEX($J$2:$J$41,W40-1),0)))))</f>
        <v>0</v>
      </c>
      <c r="Y40" s="0" t="str">
        <f aca="false">IF(X40&lt;=0,"",IFERROR(INDEX($K$2:$K$41,W40),""))</f>
        <v/>
      </c>
      <c r="Z40" s="0" t="str">
        <f aca="false">IF(X40&lt;=0,"",IFERROR(INDEX($L$2:$L$41,W40),""))</f>
        <v/>
      </c>
      <c r="AC40" s="0" t="n">
        <f aca="false">W40+1</f>
        <v>43</v>
      </c>
      <c r="AD40" s="0" t="n">
        <f aca="false">IF(AC40&gt;40,0,MAX(0,MIN(H40,IFERROR(INDEX($J$2:$J$41,AC40),$N$1))-MAX(H39,IF(AC40=1,0,IFERROR(INDEX($J$2:$J$41,AC40-1),0)))))</f>
        <v>0</v>
      </c>
      <c r="AE40" s="0" t="str">
        <f aca="false">IF(AD40&lt;=0,"",IFERROR(INDEX($K$2:$K$41,AC40),""))</f>
        <v/>
      </c>
      <c r="AF40" s="0" t="str">
        <f aca="false">IF(AD40&lt;=0,"",IFERROR(INDEX($L$2:$L$41,AC40),""))</f>
        <v/>
      </c>
      <c r="AI40" s="0" t="n">
        <f aca="false">AC40+1</f>
        <v>44</v>
      </c>
      <c r="AJ40" s="0" t="n">
        <f aca="false">IF(AI40&gt;40,0,MAX(0,MIN(H40,IFERROR(INDEX($J$2:$J$41,AI40),$N$1))-MAX(H39,IF(AI40=1,0,IFERROR(INDEX($J$2:$J$41,AI40-1),0)))))</f>
        <v>0</v>
      </c>
      <c r="AK40" s="0" t="str">
        <f aca="false">IF(AJ40&lt;=0,"",IFERROR(INDEX($K$2:$K$41,AI40),""))</f>
        <v/>
      </c>
      <c r="AL40" s="0" t="str">
        <f aca="false">IF(AJ40&lt;=0,"",IFERROR(INDEX($L$2:$L$41,AI40),""))</f>
        <v/>
      </c>
      <c r="AN40" s="0" t="n">
        <f aca="false">MAX(0,H40-MAX(H39,$N$1))</f>
        <v>0</v>
      </c>
      <c r="AP40" s="0" t="str">
        <f aca="false">IF($AD$8&lt;=0,"",FIFO_helper!$C$8)</f>
        <v>17/07</v>
      </c>
      <c r="AQ40" s="0" t="str">
        <f aca="false">IF($AD$8&lt;=0,"",$AE$8)</f>
        <v>18/07</v>
      </c>
      <c r="AR40" s="0" t="str">
        <f aca="false">IF($AD$8&lt;=0,"","PRIMERA")</f>
        <v>PRIMERA</v>
      </c>
      <c r="AS40" s="0" t="str">
        <f aca="false">IF($AD$8&lt;=0,"",$AF$8)</f>
        <v>G-2996</v>
      </c>
      <c r="AT40" s="0" t="n">
        <f aca="false">IF($AD$8&lt;=0,"",$AD$8)</f>
        <v>2517</v>
      </c>
      <c r="AU40" s="0" t="str">
        <f aca="false">IF($AD$8&lt;=0,"","kg")</f>
        <v>kg</v>
      </c>
      <c r="AV40" s="0" t="n">
        <f aca="false">IF($AD$8&lt;=0,0,1)</f>
        <v>1</v>
      </c>
      <c r="AW40" s="0" t="n">
        <f aca="false">AW39+AV40</f>
        <v>18</v>
      </c>
    </row>
    <row r="41" customFormat="false" ht="15" hidden="false" customHeight="false" outlineLevel="0" collapsed="false">
      <c r="A41" s="0" t="n">
        <v>40</v>
      </c>
      <c r="B41" s="0" t="n">
        <f aca="false">A41+4</f>
        <v>44</v>
      </c>
      <c r="C41" s="0" t="n">
        <f aca="false">IF(B41=5,"sem. ant.",INDEX('Balance PLANTA'!$A:$A,B41))</f>
        <v>0</v>
      </c>
      <c r="D41" s="0" t="n">
        <f aca="false">IF(B41=5,INDEX('Balance PLANTA'!$R:$R,B41)*15+INDEX('Balance PLANTA'!$S:$S,B41)*18+INDEX('Balance PLANTA'!$T:$T,B41)*17+INDEX('Balance PLANTA'!$U:$U,B41)*17,IFERROR(INDEX('Balance PLANTA'!$C:$C,B41)*95,0))</f>
        <v>0</v>
      </c>
      <c r="E41" s="0" t="n">
        <f aca="false">IF(B41=5,0,IFERROR(INDEX('Balance PLANTA'!$W:$W,B41),0))</f>
        <v>0</v>
      </c>
      <c r="F41" s="0" t="n">
        <f aca="false">E41*95</f>
        <v>0</v>
      </c>
      <c r="G41" s="0" t="n">
        <f aca="false">D41-F41</f>
        <v>0</v>
      </c>
      <c r="H41" s="0" t="n">
        <f aca="false">H40+G41</f>
        <v>30354</v>
      </c>
      <c r="I41" s="0" t="n">
        <f aca="false">IFERROR(INDEX('Balance PLANTA'!$L:$L,B41)*15+INDEX('Balance PLANTA'!$M:$M,B41)*18+INDEX('Balance PLANTA'!$N:$N,B41)*17+INDEX('Balance PLANTA'!$O:$O,B41)*17,0)</f>
        <v>0</v>
      </c>
      <c r="J41" s="0" t="n">
        <f aca="false">J40+I41</f>
        <v>29847</v>
      </c>
      <c r="K41" s="0" t="str">
        <f aca="false">IF(INDEX('Balance PLANTA'!$J:$J,B41)=0,"",INDEX('Balance PLANTA'!$J:$J,B41))</f>
        <v/>
      </c>
      <c r="L41" s="0" t="n">
        <f aca="false">IFERROR(INDEX('Balance PLANTA'!$K:$K,B41),"")</f>
        <v>0</v>
      </c>
      <c r="Q41" s="0" t="n">
        <f aca="false">IFERROR(MATCH(H40,$J$2:$J$41,1),0)+1</f>
        <v>41</v>
      </c>
      <c r="R41" s="0" t="n">
        <f aca="false">IF(Q41&gt;40,0,MAX(0,MIN(H41,IFERROR(INDEX($J$2:$J$41,Q41),$N$1))-MAX(H40,IF(Q41=1,0,IFERROR(INDEX($J$2:$J$41,Q41-1),0)))))</f>
        <v>0</v>
      </c>
      <c r="S41" s="0" t="str">
        <f aca="false">IF(R41&lt;=0,"",IFERROR(INDEX($K$2:$K$41,Q41),""))</f>
        <v/>
      </c>
      <c r="T41" s="0" t="str">
        <f aca="false">IF(R41&lt;=0,"",IFERROR(INDEX($L$2:$L$41,Q41),""))</f>
        <v/>
      </c>
      <c r="W41" s="0" t="n">
        <f aca="false">Q41+1</f>
        <v>42</v>
      </c>
      <c r="X41" s="0" t="n">
        <f aca="false">IF(W41&gt;40,0,MAX(0,MIN(H41,IFERROR(INDEX($J$2:$J$41,W41),$N$1))-MAX(H40,IF(W41=1,0,IFERROR(INDEX($J$2:$J$41,W41-1),0)))))</f>
        <v>0</v>
      </c>
      <c r="Y41" s="0" t="str">
        <f aca="false">IF(X41&lt;=0,"",IFERROR(INDEX($K$2:$K$41,W41),""))</f>
        <v/>
      </c>
      <c r="Z41" s="0" t="str">
        <f aca="false">IF(X41&lt;=0,"",IFERROR(INDEX($L$2:$L$41,W41),""))</f>
        <v/>
      </c>
      <c r="AC41" s="0" t="n">
        <f aca="false">W41+1</f>
        <v>43</v>
      </c>
      <c r="AD41" s="0" t="n">
        <f aca="false">IF(AC41&gt;40,0,MAX(0,MIN(H41,IFERROR(INDEX($J$2:$J$41,AC41),$N$1))-MAX(H40,IF(AC41=1,0,IFERROR(INDEX($J$2:$J$41,AC41-1),0)))))</f>
        <v>0</v>
      </c>
      <c r="AE41" s="0" t="str">
        <f aca="false">IF(AD41&lt;=0,"",IFERROR(INDEX($K$2:$K$41,AC41),""))</f>
        <v/>
      </c>
      <c r="AF41" s="0" t="str">
        <f aca="false">IF(AD41&lt;=0,"",IFERROR(INDEX($L$2:$L$41,AC41),""))</f>
        <v/>
      </c>
      <c r="AI41" s="0" t="n">
        <f aca="false">AC41+1</f>
        <v>44</v>
      </c>
      <c r="AJ41" s="0" t="n">
        <f aca="false">IF(AI41&gt;40,0,MAX(0,MIN(H41,IFERROR(INDEX($J$2:$J$41,AI41),$N$1))-MAX(H40,IF(AI41=1,0,IFERROR(INDEX($J$2:$J$41,AI41-1),0)))))</f>
        <v>0</v>
      </c>
      <c r="AK41" s="0" t="str">
        <f aca="false">IF(AJ41&lt;=0,"",IFERROR(INDEX($K$2:$K$41,AI41),""))</f>
        <v/>
      </c>
      <c r="AL41" s="0" t="str">
        <f aca="false">IF(AJ41&lt;=0,"",IFERROR(INDEX($L$2:$L$41,AI41),""))</f>
        <v/>
      </c>
      <c r="AN41" s="0" t="n">
        <f aca="false">MAX(0,H41-MAX(H40,$N$1))</f>
        <v>0</v>
      </c>
      <c r="AP41" s="0" t="str">
        <f aca="false">IF($AJ$8&lt;=0,"",FIFO_helper!$C$8)</f>
        <v/>
      </c>
      <c r="AQ41" s="0" t="str">
        <f aca="false">IF($AJ$8&lt;=0,"",$AK$8)</f>
        <v/>
      </c>
      <c r="AR41" s="0" t="str">
        <f aca="false">IF($AJ$8&lt;=0,"","PRIMERA")</f>
        <v/>
      </c>
      <c r="AS41" s="0" t="str">
        <f aca="false">IF($AJ$8&lt;=0,"",$AL$8)</f>
        <v/>
      </c>
      <c r="AT41" s="0" t="str">
        <f aca="false">IF($AJ$8&lt;=0,"",$AJ$8)</f>
        <v/>
      </c>
      <c r="AU41" s="0" t="str">
        <f aca="false">IF($AJ$8&lt;=0,"","kg")</f>
        <v/>
      </c>
      <c r="AV41" s="0" t="n">
        <f aca="false">IF($AJ$8&lt;=0,0,1)</f>
        <v>0</v>
      </c>
      <c r="AW41" s="0" t="n">
        <f aca="false">AW40+AV41</f>
        <v>18</v>
      </c>
    </row>
    <row r="42" customFormat="false" ht="15" hidden="false" customHeight="false" outlineLevel="0" collapsed="false">
      <c r="AP42" s="0" t="str">
        <f aca="false">IF($AN$8&lt;=0,"",FIFO_helper!$C$8)</f>
        <v/>
      </c>
      <c r="AQ42" s="0" t="str">
        <f aca="false">IF($AN$8&lt;=0,"","(queda en planta)")</f>
        <v/>
      </c>
      <c r="AR42" s="0" t="str">
        <f aca="false">IF($AN$8&lt;=0,"","PRIMERA")</f>
        <v/>
      </c>
      <c r="AS42" s="0" t="str">
        <f aca="false">""</f>
        <v/>
      </c>
      <c r="AT42" s="0" t="str">
        <f aca="false">IF($AN$8&lt;=0,"",$AN$8)</f>
        <v/>
      </c>
      <c r="AU42" s="0" t="str">
        <f aca="false">IF($AN$8&lt;=0,"","kg")</f>
        <v/>
      </c>
      <c r="AV42" s="0" t="n">
        <f aca="false">IF($AN$8&lt;=0,0,1)</f>
        <v>0</v>
      </c>
      <c r="AW42" s="0" t="n">
        <f aca="false">AW41+AV42</f>
        <v>18</v>
      </c>
    </row>
    <row r="43" customFormat="false" ht="15" hidden="false" customHeight="false" outlineLevel="0" collapsed="false">
      <c r="AP43" s="0" t="str">
        <f aca="false">IF($E$8&lt;=0,"",FIFO_helper!$C$8)</f>
        <v>17/07</v>
      </c>
      <c r="AQ43" s="0" t="str">
        <f aca="false">IF($E$8&lt;=0,"","↳ Chancho (prod.)")</f>
        <v>↳ Chancho (prod.)</v>
      </c>
      <c r="AR43" s="0" t="str">
        <f aca="false">IF($E$8&lt;=0,"","CHANCHO")</f>
        <v>CHANCHO</v>
      </c>
      <c r="AS43" s="0" t="str">
        <f aca="false">""</f>
        <v/>
      </c>
      <c r="AT43" s="0" t="n">
        <f aca="false">IF($E$8&lt;=0,"",$E$8)</f>
        <v>10</v>
      </c>
      <c r="AU43" s="0" t="str">
        <f aca="false">IF($E$8&lt;=0,"","sacos")</f>
        <v>sacos</v>
      </c>
      <c r="AV43" s="0" t="n">
        <f aca="false">IF($E$8&lt;=0,0,1)</f>
        <v>1</v>
      </c>
      <c r="AW43" s="0" t="n">
        <f aca="false">AW42+AV43</f>
        <v>19</v>
      </c>
    </row>
    <row r="44" customFormat="false" ht="15" hidden="false" customHeight="false" outlineLevel="0" collapsed="false">
      <c r="AP44" s="0" t="str">
        <f aca="false">IF($R$9&lt;=0,"",FIFO_helper!$C$9)</f>
        <v>17/07</v>
      </c>
      <c r="AQ44" s="0" t="str">
        <f aca="false">IF($R$9&lt;=0,"",$S$9)</f>
        <v>18/07</v>
      </c>
      <c r="AR44" s="0" t="str">
        <f aca="false">IF($R$9&lt;=0,"","PRIMERA")</f>
        <v>PRIMERA</v>
      </c>
      <c r="AS44" s="0" t="str">
        <f aca="false">IF($R$9&lt;=0,"",$T$9)</f>
        <v>G-2996</v>
      </c>
      <c r="AT44" s="0" t="n">
        <f aca="false">IF($R$9&lt;=0,"",$R$9)</f>
        <v>380</v>
      </c>
      <c r="AU44" s="0" t="str">
        <f aca="false">IF($R$9&lt;=0,"","kg")</f>
        <v>kg</v>
      </c>
      <c r="AV44" s="0" t="n">
        <f aca="false">IF($R$9&lt;=0,0,1)</f>
        <v>1</v>
      </c>
      <c r="AW44" s="0" t="n">
        <f aca="false">AW43+AV44</f>
        <v>20</v>
      </c>
    </row>
    <row r="45" customFormat="false" ht="15" hidden="false" customHeight="false" outlineLevel="0" collapsed="false">
      <c r="AP45" s="0" t="str">
        <f aca="false">IF($X$9&lt;=0,"",FIFO_helper!$C$9)</f>
        <v/>
      </c>
      <c r="AQ45" s="0" t="str">
        <f aca="false">IF($X$9&lt;=0,"",$Y$9)</f>
        <v/>
      </c>
      <c r="AR45" s="0" t="str">
        <f aca="false">IF($X$9&lt;=0,"","PRIMERA")</f>
        <v/>
      </c>
      <c r="AS45" s="0" t="str">
        <f aca="false">IF($X$9&lt;=0,"",$Z$9)</f>
        <v/>
      </c>
      <c r="AT45" s="0" t="str">
        <f aca="false">IF($X$9&lt;=0,"",$X$9)</f>
        <v/>
      </c>
      <c r="AU45" s="0" t="str">
        <f aca="false">IF($X$9&lt;=0,"","kg")</f>
        <v/>
      </c>
      <c r="AV45" s="0" t="n">
        <f aca="false">IF($X$9&lt;=0,0,1)</f>
        <v>0</v>
      </c>
      <c r="AW45" s="0" t="n">
        <f aca="false">AW44+AV45</f>
        <v>20</v>
      </c>
    </row>
    <row r="46" customFormat="false" ht="15" hidden="false" customHeight="false" outlineLevel="0" collapsed="false">
      <c r="AP46" s="0" t="str">
        <f aca="false">IF($AD$9&lt;=0,"",FIFO_helper!$C$9)</f>
        <v/>
      </c>
      <c r="AQ46" s="0" t="str">
        <f aca="false">IF($AD$9&lt;=0,"",$AE$9)</f>
        <v/>
      </c>
      <c r="AR46" s="0" t="str">
        <f aca="false">IF($AD$9&lt;=0,"","PRIMERA")</f>
        <v/>
      </c>
      <c r="AS46" s="0" t="str">
        <f aca="false">IF($AD$9&lt;=0,"",$AF$9)</f>
        <v/>
      </c>
      <c r="AT46" s="0" t="str">
        <f aca="false">IF($AD$9&lt;=0,"",$AD$9)</f>
        <v/>
      </c>
      <c r="AU46" s="0" t="str">
        <f aca="false">IF($AD$9&lt;=0,"","kg")</f>
        <v/>
      </c>
      <c r="AV46" s="0" t="n">
        <f aca="false">IF($AD$9&lt;=0,0,1)</f>
        <v>0</v>
      </c>
      <c r="AW46" s="0" t="n">
        <f aca="false">AW45+AV46</f>
        <v>20</v>
      </c>
    </row>
    <row r="47" customFormat="false" ht="15" hidden="false" customHeight="false" outlineLevel="0" collapsed="false">
      <c r="AP47" s="0" t="str">
        <f aca="false">IF($AJ$9&lt;=0,"",FIFO_helper!$C$9)</f>
        <v/>
      </c>
      <c r="AQ47" s="0" t="str">
        <f aca="false">IF($AJ$9&lt;=0,"",$AK$9)</f>
        <v/>
      </c>
      <c r="AR47" s="0" t="str">
        <f aca="false">IF($AJ$9&lt;=0,"","PRIMERA")</f>
        <v/>
      </c>
      <c r="AS47" s="0" t="str">
        <f aca="false">IF($AJ$9&lt;=0,"",$AL$9)</f>
        <v/>
      </c>
      <c r="AT47" s="0" t="str">
        <f aca="false">IF($AJ$9&lt;=0,"",$AJ$9)</f>
        <v/>
      </c>
      <c r="AU47" s="0" t="str">
        <f aca="false">IF($AJ$9&lt;=0,"","kg")</f>
        <v/>
      </c>
      <c r="AV47" s="0" t="n">
        <f aca="false">IF($AJ$9&lt;=0,0,1)</f>
        <v>0</v>
      </c>
      <c r="AW47" s="0" t="n">
        <f aca="false">AW46+AV47</f>
        <v>20</v>
      </c>
    </row>
    <row r="48" customFormat="false" ht="15" hidden="false" customHeight="false" outlineLevel="0" collapsed="false">
      <c r="AP48" s="0" t="str">
        <f aca="false">IF($AN$9&lt;=0,"",FIFO_helper!$C$9)</f>
        <v/>
      </c>
      <c r="AQ48" s="0" t="str">
        <f aca="false">IF($AN$9&lt;=0,"","(queda en planta)")</f>
        <v/>
      </c>
      <c r="AR48" s="0" t="str">
        <f aca="false">IF($AN$9&lt;=0,"","PRIMERA")</f>
        <v/>
      </c>
      <c r="AS48" s="0" t="str">
        <f aca="false">""</f>
        <v/>
      </c>
      <c r="AT48" s="0" t="str">
        <f aca="false">IF($AN$9&lt;=0,"",$AN$9)</f>
        <v/>
      </c>
      <c r="AU48" s="0" t="str">
        <f aca="false">IF($AN$9&lt;=0,"","kg")</f>
        <v/>
      </c>
      <c r="AV48" s="0" t="n">
        <f aca="false">IF($AN$9&lt;=0,0,1)</f>
        <v>0</v>
      </c>
      <c r="AW48" s="0" t="n">
        <f aca="false">AW47+AV48</f>
        <v>20</v>
      </c>
    </row>
    <row r="49" customFormat="false" ht="15" hidden="false" customHeight="false" outlineLevel="0" collapsed="false">
      <c r="AP49" s="0" t="str">
        <f aca="false">IF($E$9&lt;=0,"",FIFO_helper!$C$9)</f>
        <v>17/07</v>
      </c>
      <c r="AQ49" s="0" t="str">
        <f aca="false">IF($E$9&lt;=0,"","↳ Chancho (prod.)")</f>
        <v>↳ Chancho (prod.)</v>
      </c>
      <c r="AR49" s="0" t="str">
        <f aca="false">IF($E$9&lt;=0,"","CHANCHO")</f>
        <v>CHANCHO</v>
      </c>
      <c r="AS49" s="0" t="str">
        <f aca="false">""</f>
        <v/>
      </c>
      <c r="AT49" s="0" t="n">
        <f aca="false">IF($E$9&lt;=0,"",$E$9)</f>
        <v>1</v>
      </c>
      <c r="AU49" s="0" t="str">
        <f aca="false">IF($E$9&lt;=0,"","sacos")</f>
        <v>sacos</v>
      </c>
      <c r="AV49" s="0" t="n">
        <f aca="false">IF($E$9&lt;=0,0,1)</f>
        <v>1</v>
      </c>
      <c r="AW49" s="0" t="n">
        <f aca="false">AW48+AV49</f>
        <v>21</v>
      </c>
    </row>
    <row r="50" customFormat="false" ht="15" hidden="false" customHeight="false" outlineLevel="0" collapsed="false">
      <c r="AP50" s="0" t="str">
        <f aca="false">IF($R$10&lt;=0,"",FIFO_helper!$C$10)</f>
        <v/>
      </c>
      <c r="AQ50" s="0" t="str">
        <f aca="false">IF($R$10&lt;=0,"",$S$10)</f>
        <v/>
      </c>
      <c r="AR50" s="0" t="str">
        <f aca="false">IF($R$10&lt;=0,"","PRIMERA")</f>
        <v/>
      </c>
      <c r="AS50" s="0" t="str">
        <f aca="false">IF($R$10&lt;=0,"",$T$10)</f>
        <v/>
      </c>
      <c r="AT50" s="0" t="str">
        <f aca="false">IF($R$10&lt;=0,"",$R$10)</f>
        <v/>
      </c>
      <c r="AU50" s="0" t="str">
        <f aca="false">IF($R$10&lt;=0,"","kg")</f>
        <v/>
      </c>
      <c r="AV50" s="0" t="n">
        <f aca="false">IF($R$10&lt;=0,0,1)</f>
        <v>0</v>
      </c>
      <c r="AW50" s="0" t="n">
        <f aca="false">AW49+AV50</f>
        <v>21</v>
      </c>
    </row>
    <row r="51" customFormat="false" ht="15" hidden="false" customHeight="false" outlineLevel="0" collapsed="false">
      <c r="AP51" s="0" t="str">
        <f aca="false">IF($X$10&lt;=0,"",FIFO_helper!$C$10)</f>
        <v/>
      </c>
      <c r="AQ51" s="0" t="str">
        <f aca="false">IF($X$10&lt;=0,"",$Y$10)</f>
        <v/>
      </c>
      <c r="AR51" s="0" t="str">
        <f aca="false">IF($X$10&lt;=0,"","PRIMERA")</f>
        <v/>
      </c>
      <c r="AS51" s="0" t="str">
        <f aca="false">IF($X$10&lt;=0,"",$Z$10)</f>
        <v/>
      </c>
      <c r="AT51" s="0" t="str">
        <f aca="false">IF($X$10&lt;=0,"",$X$10)</f>
        <v/>
      </c>
      <c r="AU51" s="0" t="str">
        <f aca="false">IF($X$10&lt;=0,"","kg")</f>
        <v/>
      </c>
      <c r="AV51" s="0" t="n">
        <f aca="false">IF($X$10&lt;=0,0,1)</f>
        <v>0</v>
      </c>
      <c r="AW51" s="0" t="n">
        <f aca="false">AW50+AV51</f>
        <v>21</v>
      </c>
    </row>
    <row r="52" customFormat="false" ht="15" hidden="false" customHeight="false" outlineLevel="0" collapsed="false">
      <c r="AP52" s="0" t="str">
        <f aca="false">IF($AD$10&lt;=0,"",FIFO_helper!$C$10)</f>
        <v/>
      </c>
      <c r="AQ52" s="0" t="str">
        <f aca="false">IF($AD$10&lt;=0,"",$AE$10)</f>
        <v/>
      </c>
      <c r="AR52" s="0" t="str">
        <f aca="false">IF($AD$10&lt;=0,"","PRIMERA")</f>
        <v/>
      </c>
      <c r="AS52" s="0" t="str">
        <f aca="false">IF($AD$10&lt;=0,"",$AF$10)</f>
        <v/>
      </c>
      <c r="AT52" s="0" t="str">
        <f aca="false">IF($AD$10&lt;=0,"",$AD$10)</f>
        <v/>
      </c>
      <c r="AU52" s="0" t="str">
        <f aca="false">IF($AD$10&lt;=0,"","kg")</f>
        <v/>
      </c>
      <c r="AV52" s="0" t="n">
        <f aca="false">IF($AD$10&lt;=0,0,1)</f>
        <v>0</v>
      </c>
      <c r="AW52" s="0" t="n">
        <f aca="false">AW51+AV52</f>
        <v>21</v>
      </c>
    </row>
    <row r="53" customFormat="false" ht="15" hidden="false" customHeight="false" outlineLevel="0" collapsed="false">
      <c r="AP53" s="0" t="str">
        <f aca="false">IF($AJ$10&lt;=0,"",FIFO_helper!$C$10)</f>
        <v/>
      </c>
      <c r="AQ53" s="0" t="str">
        <f aca="false">IF($AJ$10&lt;=0,"",$AK$10)</f>
        <v/>
      </c>
      <c r="AR53" s="0" t="str">
        <f aca="false">IF($AJ$10&lt;=0,"","PRIMERA")</f>
        <v/>
      </c>
      <c r="AS53" s="0" t="str">
        <f aca="false">IF($AJ$10&lt;=0,"",$AL$10)</f>
        <v/>
      </c>
      <c r="AT53" s="0" t="str">
        <f aca="false">IF($AJ$10&lt;=0,"",$AJ$10)</f>
        <v/>
      </c>
      <c r="AU53" s="0" t="str">
        <f aca="false">IF($AJ$10&lt;=0,"","kg")</f>
        <v/>
      </c>
      <c r="AV53" s="0" t="n">
        <f aca="false">IF($AJ$10&lt;=0,0,1)</f>
        <v>0</v>
      </c>
      <c r="AW53" s="0" t="n">
        <f aca="false">AW52+AV53</f>
        <v>21</v>
      </c>
    </row>
    <row r="54" customFormat="false" ht="15" hidden="false" customHeight="false" outlineLevel="0" collapsed="false">
      <c r="AP54" s="0" t="str">
        <f aca="false">IF($AN$10&lt;=0,"",FIFO_helper!$C$10)</f>
        <v/>
      </c>
      <c r="AQ54" s="0" t="str">
        <f aca="false">IF($AN$10&lt;=0,"","(queda en planta)")</f>
        <v/>
      </c>
      <c r="AR54" s="0" t="str">
        <f aca="false">IF($AN$10&lt;=0,"","PRIMERA")</f>
        <v/>
      </c>
      <c r="AS54" s="0" t="str">
        <f aca="false">""</f>
        <v/>
      </c>
      <c r="AT54" s="0" t="str">
        <f aca="false">IF($AN$10&lt;=0,"",$AN$10)</f>
        <v/>
      </c>
      <c r="AU54" s="0" t="str">
        <f aca="false">IF($AN$10&lt;=0,"","kg")</f>
        <v/>
      </c>
      <c r="AV54" s="0" t="n">
        <f aca="false">IF($AN$10&lt;=0,0,1)</f>
        <v>0</v>
      </c>
      <c r="AW54" s="0" t="n">
        <f aca="false">AW53+AV54</f>
        <v>21</v>
      </c>
    </row>
    <row r="55" customFormat="false" ht="15" hidden="false" customHeight="false" outlineLevel="0" collapsed="false">
      <c r="AP55" s="0" t="str">
        <f aca="false">IF($E$10&lt;=0,"",FIFO_helper!$C$10)</f>
        <v/>
      </c>
      <c r="AQ55" s="0" t="str">
        <f aca="false">IF($E$10&lt;=0,"","↳ Chancho (prod.)")</f>
        <v/>
      </c>
      <c r="AR55" s="0" t="str">
        <f aca="false">IF($E$10&lt;=0,"","CHANCHO")</f>
        <v/>
      </c>
      <c r="AS55" s="0" t="str">
        <f aca="false">""</f>
        <v/>
      </c>
      <c r="AT55" s="0" t="str">
        <f aca="false">IF($E$10&lt;=0,"",$E$10)</f>
        <v/>
      </c>
      <c r="AU55" s="0" t="str">
        <f aca="false">IF($E$10&lt;=0,"","sacos")</f>
        <v/>
      </c>
      <c r="AV55" s="0" t="n">
        <f aca="false">IF($E$10&lt;=0,0,1)</f>
        <v>0</v>
      </c>
      <c r="AW55" s="0" t="n">
        <f aca="false">AW54+AV55</f>
        <v>21</v>
      </c>
    </row>
    <row r="56" customFormat="false" ht="15" hidden="false" customHeight="false" outlineLevel="0" collapsed="false">
      <c r="AP56" s="0" t="str">
        <f aca="false">IF($R$11&lt;=0,"",FIFO_helper!$C$11)</f>
        <v>19/07</v>
      </c>
      <c r="AQ56" s="0" t="str">
        <f aca="false">IF($R$11&lt;=0,"",$S$11)</f>
        <v>18/07</v>
      </c>
      <c r="AR56" s="0" t="str">
        <f aca="false">IF($R$11&lt;=0,"","PRIMERA")</f>
        <v>PRIMERA</v>
      </c>
      <c r="AS56" s="0" t="str">
        <f aca="false">IF($R$11&lt;=0,"",$T$11)</f>
        <v>G-2996</v>
      </c>
      <c r="AT56" s="0" t="n">
        <f aca="false">IF($R$11&lt;=0,"",$R$11)</f>
        <v>271</v>
      </c>
      <c r="AU56" s="0" t="str">
        <f aca="false">IF($R$11&lt;=0,"","kg")</f>
        <v>kg</v>
      </c>
      <c r="AV56" s="0" t="n">
        <f aca="false">IF($R$11&lt;=0,0,1)</f>
        <v>1</v>
      </c>
      <c r="AW56" s="0" t="n">
        <f aca="false">AW55+AV56</f>
        <v>22</v>
      </c>
    </row>
    <row r="57" customFormat="false" ht="15" hidden="false" customHeight="false" outlineLevel="0" collapsed="false">
      <c r="AP57" s="0" t="str">
        <f aca="false">IF($X$11&lt;=0,"",FIFO_helper!$C$11)</f>
        <v>19/07</v>
      </c>
      <c r="AQ57" s="0" t="str">
        <f aca="false">IF($X$11&lt;=0,"",$Y$11)</f>
        <v>19/07</v>
      </c>
      <c r="AR57" s="0" t="str">
        <f aca="false">IF($X$11&lt;=0,"","PRIMERA")</f>
        <v>PRIMERA</v>
      </c>
      <c r="AS57" s="0" t="str">
        <f aca="false">IF($X$11&lt;=0,"",$Z$11)</f>
        <v>G-2998</v>
      </c>
      <c r="AT57" s="0" t="n">
        <f aca="false">IF($X$11&lt;=0,"",$X$11)</f>
        <v>1883</v>
      </c>
      <c r="AU57" s="0" t="str">
        <f aca="false">IF($X$11&lt;=0,"","kg")</f>
        <v>kg</v>
      </c>
      <c r="AV57" s="0" t="n">
        <f aca="false">IF($X$11&lt;=0,0,1)</f>
        <v>1</v>
      </c>
      <c r="AW57" s="0" t="n">
        <f aca="false">AW56+AV57</f>
        <v>23</v>
      </c>
    </row>
    <row r="58" customFormat="false" ht="15" hidden="false" customHeight="false" outlineLevel="0" collapsed="false">
      <c r="AP58" s="0" t="str">
        <f aca="false">IF($AD$11&lt;=0,"",FIFO_helper!$C$11)</f>
        <v>19/07</v>
      </c>
      <c r="AQ58" s="0" t="str">
        <f aca="false">IF($AD$11&lt;=0,"",$AE$11)</f>
        <v>20/07</v>
      </c>
      <c r="AR58" s="0" t="str">
        <f aca="false">IF($AD$11&lt;=0,"","PRIMERA")</f>
        <v>PRIMERA</v>
      </c>
      <c r="AS58" s="0" t="str">
        <f aca="false">IF($AD$11&lt;=0,"",$AF$11)</f>
        <v>G-3001</v>
      </c>
      <c r="AT58" s="0" t="n">
        <f aca="false">IF($AD$11&lt;=0,"",$AD$11)</f>
        <v>1313.5</v>
      </c>
      <c r="AU58" s="0" t="str">
        <f aca="false">IF($AD$11&lt;=0,"","kg")</f>
        <v>kg</v>
      </c>
      <c r="AV58" s="0" t="n">
        <f aca="false">IF($AD$11&lt;=0,0,1)</f>
        <v>1</v>
      </c>
      <c r="AW58" s="0" t="n">
        <f aca="false">AW57+AV58</f>
        <v>24</v>
      </c>
    </row>
    <row r="59" customFormat="false" ht="15" hidden="false" customHeight="false" outlineLevel="0" collapsed="false">
      <c r="AP59" s="0" t="str">
        <f aca="false">IF($AJ$11&lt;=0,"",FIFO_helper!$C$11)</f>
        <v/>
      </c>
      <c r="AQ59" s="0" t="str">
        <f aca="false">IF($AJ$11&lt;=0,"",$AK$11)</f>
        <v/>
      </c>
      <c r="AR59" s="0" t="str">
        <f aca="false">IF($AJ$11&lt;=0,"","PRIMERA")</f>
        <v/>
      </c>
      <c r="AS59" s="0" t="str">
        <f aca="false">IF($AJ$11&lt;=0,"",$AL$11)</f>
        <v/>
      </c>
      <c r="AT59" s="0" t="str">
        <f aca="false">IF($AJ$11&lt;=0,"",$AJ$11)</f>
        <v/>
      </c>
      <c r="AU59" s="0" t="str">
        <f aca="false">IF($AJ$11&lt;=0,"","kg")</f>
        <v/>
      </c>
      <c r="AV59" s="0" t="n">
        <f aca="false">IF($AJ$11&lt;=0,0,1)</f>
        <v>0</v>
      </c>
      <c r="AW59" s="0" t="n">
        <f aca="false">AW58+AV59</f>
        <v>24</v>
      </c>
    </row>
    <row r="60" customFormat="false" ht="15" hidden="false" customHeight="false" outlineLevel="0" collapsed="false">
      <c r="AP60" s="0" t="str">
        <f aca="false">IF($AN$11&lt;=0,"",FIFO_helper!$C$11)</f>
        <v/>
      </c>
      <c r="AQ60" s="0" t="str">
        <f aca="false">IF($AN$11&lt;=0,"","(queda en planta)")</f>
        <v/>
      </c>
      <c r="AR60" s="0" t="str">
        <f aca="false">IF($AN$11&lt;=0,"","PRIMERA")</f>
        <v/>
      </c>
      <c r="AS60" s="0" t="str">
        <f aca="false">""</f>
        <v/>
      </c>
      <c r="AT60" s="0" t="str">
        <f aca="false">IF($AN$11&lt;=0,"",$AN$11)</f>
        <v/>
      </c>
      <c r="AU60" s="0" t="str">
        <f aca="false">IF($AN$11&lt;=0,"","kg")</f>
        <v/>
      </c>
      <c r="AV60" s="0" t="n">
        <f aca="false">IF($AN$11&lt;=0,0,1)</f>
        <v>0</v>
      </c>
      <c r="AW60" s="0" t="n">
        <f aca="false">AW59+AV60</f>
        <v>24</v>
      </c>
    </row>
    <row r="61" customFormat="false" ht="15" hidden="false" customHeight="false" outlineLevel="0" collapsed="false">
      <c r="AP61" s="0" t="str">
        <f aca="false">IF($E$11&lt;=0,"",FIFO_helper!$C$11)</f>
        <v>19/07</v>
      </c>
      <c r="AQ61" s="0" t="str">
        <f aca="false">IF($E$11&lt;=0,"","↳ Chancho (prod.)")</f>
        <v>↳ Chancho (prod.)</v>
      </c>
      <c r="AR61" s="0" t="str">
        <f aca="false">IF($E$11&lt;=0,"","CHANCHO")</f>
        <v>CHANCHO</v>
      </c>
      <c r="AS61" s="0" t="str">
        <f aca="false">""</f>
        <v/>
      </c>
      <c r="AT61" s="0" t="n">
        <f aca="false">IF($E$11&lt;=0,"",$E$11)</f>
        <v>13.5</v>
      </c>
      <c r="AU61" s="0" t="str">
        <f aca="false">IF($E$11&lt;=0,"","sacos")</f>
        <v>sacos</v>
      </c>
      <c r="AV61" s="0" t="n">
        <f aca="false">IF($E$11&lt;=0,0,1)</f>
        <v>1</v>
      </c>
      <c r="AW61" s="0" t="n">
        <f aca="false">AW60+AV61</f>
        <v>25</v>
      </c>
    </row>
    <row r="62" customFormat="false" ht="15" hidden="false" customHeight="false" outlineLevel="0" collapsed="false">
      <c r="AP62" s="0" t="str">
        <f aca="false">IF($R$12&lt;=0,"",FIFO_helper!$C$12)</f>
        <v>20/07</v>
      </c>
      <c r="AQ62" s="0" t="str">
        <f aca="false">IF($R$12&lt;=0,"",$S$12)</f>
        <v>20/07</v>
      </c>
      <c r="AR62" s="0" t="str">
        <f aca="false">IF($R$12&lt;=0,"","PRIMERA")</f>
        <v>PRIMERA</v>
      </c>
      <c r="AS62" s="0" t="str">
        <f aca="false">IF($R$12&lt;=0,"",$T$12)</f>
        <v>G-3001</v>
      </c>
      <c r="AT62" s="0" t="n">
        <f aca="false">IF($R$12&lt;=0,"",$R$12)</f>
        <v>1980.5</v>
      </c>
      <c r="AU62" s="0" t="str">
        <f aca="false">IF($R$12&lt;=0,"","kg")</f>
        <v>kg</v>
      </c>
      <c r="AV62" s="0" t="n">
        <f aca="false">IF($R$12&lt;=0,0,1)</f>
        <v>1</v>
      </c>
      <c r="AW62" s="0" t="n">
        <f aca="false">AW61+AV62</f>
        <v>26</v>
      </c>
    </row>
    <row r="63" customFormat="false" ht="15" hidden="false" customHeight="false" outlineLevel="0" collapsed="false">
      <c r="AP63" s="0" t="str">
        <f aca="false">IF($X$12&lt;=0,"",FIFO_helper!$C$12)</f>
        <v>20/07</v>
      </c>
      <c r="AQ63" s="0" t="str">
        <f aca="false">IF($X$12&lt;=0,"",$Y$12)</f>
        <v>21/07</v>
      </c>
      <c r="AR63" s="0" t="str">
        <f aca="false">IF($X$12&lt;=0,"","PRIMERA")</f>
        <v>PRIMERA</v>
      </c>
      <c r="AS63" s="0" t="str">
        <f aca="false">IF($X$12&lt;=0,"",$Z$12)</f>
        <v>G-3004</v>
      </c>
      <c r="AT63" s="0" t="n">
        <f aca="false">IF($X$12&lt;=0,"",$X$12)</f>
        <v>1962</v>
      </c>
      <c r="AU63" s="0" t="str">
        <f aca="false">IF($X$12&lt;=0,"","kg")</f>
        <v>kg</v>
      </c>
      <c r="AV63" s="0" t="n">
        <f aca="false">IF($X$12&lt;=0,0,1)</f>
        <v>1</v>
      </c>
      <c r="AW63" s="0" t="n">
        <f aca="false">AW62+AV63</f>
        <v>27</v>
      </c>
    </row>
    <row r="64" customFormat="false" ht="15" hidden="false" customHeight="false" outlineLevel="0" collapsed="false">
      <c r="AP64" s="0" t="str">
        <f aca="false">IF($AD$12&lt;=0,"",FIFO_helper!$C$12)</f>
        <v/>
      </c>
      <c r="AQ64" s="0" t="str">
        <f aca="false">IF($AD$12&lt;=0,"",$AE$12)</f>
        <v/>
      </c>
      <c r="AR64" s="0" t="str">
        <f aca="false">IF($AD$12&lt;=0,"","PRIMERA")</f>
        <v/>
      </c>
      <c r="AS64" s="0" t="str">
        <f aca="false">IF($AD$12&lt;=0,"",$AF$12)</f>
        <v/>
      </c>
      <c r="AT64" s="0" t="str">
        <f aca="false">IF($AD$12&lt;=0,"",$AD$12)</f>
        <v/>
      </c>
      <c r="AU64" s="0" t="str">
        <f aca="false">IF($AD$12&lt;=0,"","kg")</f>
        <v/>
      </c>
      <c r="AV64" s="0" t="n">
        <f aca="false">IF($AD$12&lt;=0,0,1)</f>
        <v>0</v>
      </c>
      <c r="AW64" s="0" t="n">
        <f aca="false">AW63+AV64</f>
        <v>27</v>
      </c>
    </row>
    <row r="65" customFormat="false" ht="15" hidden="false" customHeight="false" outlineLevel="0" collapsed="false">
      <c r="AP65" s="0" t="str">
        <f aca="false">IF($AJ$12&lt;=0,"",FIFO_helper!$C$12)</f>
        <v/>
      </c>
      <c r="AQ65" s="0" t="str">
        <f aca="false">IF($AJ$12&lt;=0,"",$AK$12)</f>
        <v/>
      </c>
      <c r="AR65" s="0" t="str">
        <f aca="false">IF($AJ$12&lt;=0,"","PRIMERA")</f>
        <v/>
      </c>
      <c r="AS65" s="0" t="str">
        <f aca="false">IF($AJ$12&lt;=0,"",$AL$12)</f>
        <v/>
      </c>
      <c r="AT65" s="0" t="str">
        <f aca="false">IF($AJ$12&lt;=0,"",$AJ$12)</f>
        <v/>
      </c>
      <c r="AU65" s="0" t="str">
        <f aca="false">IF($AJ$12&lt;=0,"","kg")</f>
        <v/>
      </c>
      <c r="AV65" s="0" t="n">
        <f aca="false">IF($AJ$12&lt;=0,0,1)</f>
        <v>0</v>
      </c>
      <c r="AW65" s="0" t="n">
        <f aca="false">AW64+AV65</f>
        <v>27</v>
      </c>
    </row>
    <row r="66" customFormat="false" ht="15" hidden="false" customHeight="false" outlineLevel="0" collapsed="false">
      <c r="AP66" s="0" t="str">
        <f aca="false">IF($AN$12&lt;=0,"",FIFO_helper!$C$12)</f>
        <v/>
      </c>
      <c r="AQ66" s="0" t="str">
        <f aca="false">IF($AN$12&lt;=0,"","(queda en planta)")</f>
        <v/>
      </c>
      <c r="AR66" s="0" t="str">
        <f aca="false">IF($AN$12&lt;=0,"","PRIMERA")</f>
        <v/>
      </c>
      <c r="AS66" s="0" t="str">
        <f aca="false">""</f>
        <v/>
      </c>
      <c r="AT66" s="0" t="str">
        <f aca="false">IF($AN$12&lt;=0,"",$AN$12)</f>
        <v/>
      </c>
      <c r="AU66" s="0" t="str">
        <f aca="false">IF($AN$12&lt;=0,"","kg")</f>
        <v/>
      </c>
      <c r="AV66" s="0" t="n">
        <f aca="false">IF($AN$12&lt;=0,0,1)</f>
        <v>0</v>
      </c>
      <c r="AW66" s="0" t="n">
        <f aca="false">AW65+AV66</f>
        <v>27</v>
      </c>
    </row>
    <row r="67" customFormat="false" ht="15" hidden="false" customHeight="false" outlineLevel="0" collapsed="false">
      <c r="AP67" s="0" t="str">
        <f aca="false">IF($E$12&lt;=0,"",FIFO_helper!$C$12)</f>
        <v>20/07</v>
      </c>
      <c r="AQ67" s="0" t="str">
        <f aca="false">IF($E$12&lt;=0,"","↳ Chancho (prod.)")</f>
        <v>↳ Chancho (prod.)</v>
      </c>
      <c r="AR67" s="0" t="str">
        <f aca="false">IF($E$12&lt;=0,"","CHANCHO")</f>
        <v>CHANCHO</v>
      </c>
      <c r="AS67" s="0" t="str">
        <f aca="false">""</f>
        <v/>
      </c>
      <c r="AT67" s="0" t="n">
        <f aca="false">IF($E$12&lt;=0,"",$E$12)</f>
        <v>6.5</v>
      </c>
      <c r="AU67" s="0" t="str">
        <f aca="false">IF($E$12&lt;=0,"","sacos")</f>
        <v>sacos</v>
      </c>
      <c r="AV67" s="0" t="n">
        <f aca="false">IF($E$12&lt;=0,0,1)</f>
        <v>1</v>
      </c>
      <c r="AW67" s="0" t="n">
        <f aca="false">AW66+AV67</f>
        <v>28</v>
      </c>
    </row>
    <row r="68" customFormat="false" ht="15" hidden="false" customHeight="false" outlineLevel="0" collapsed="false">
      <c r="AP68" s="0" t="str">
        <f aca="false">IF($R$13&lt;=0,"",FIFO_helper!$C$13)</f>
        <v>21/07</v>
      </c>
      <c r="AQ68" s="0" t="str">
        <f aca="false">IF($R$13&lt;=0,"",$S$13)</f>
        <v>21/07</v>
      </c>
      <c r="AR68" s="0" t="str">
        <f aca="false">IF($R$13&lt;=0,"","PRIMERA")</f>
        <v>PRIMERA</v>
      </c>
      <c r="AS68" s="0" t="str">
        <f aca="false">IF($R$13&lt;=0,"",$T$13)</f>
        <v>G-3004</v>
      </c>
      <c r="AT68" s="0" t="n">
        <f aca="false">IF($R$13&lt;=0,"",$R$13)</f>
        <v>1298</v>
      </c>
      <c r="AU68" s="0" t="str">
        <f aca="false">IF($R$13&lt;=0,"","kg")</f>
        <v>kg</v>
      </c>
      <c r="AV68" s="0" t="n">
        <f aca="false">IF($R$13&lt;=0,0,1)</f>
        <v>1</v>
      </c>
      <c r="AW68" s="0" t="n">
        <f aca="false">AW67+AV68</f>
        <v>29</v>
      </c>
    </row>
    <row r="69" customFormat="false" ht="15" hidden="false" customHeight="false" outlineLevel="0" collapsed="false">
      <c r="AP69" s="0" t="str">
        <f aca="false">IF($X$13&lt;=0,"",FIFO_helper!$C$13)</f>
        <v/>
      </c>
      <c r="AQ69" s="0" t="str">
        <f aca="false">IF($X$13&lt;=0,"",$Y$13)</f>
        <v/>
      </c>
      <c r="AR69" s="0" t="str">
        <f aca="false">IF($X$13&lt;=0,"","PRIMERA")</f>
        <v/>
      </c>
      <c r="AS69" s="0" t="str">
        <f aca="false">IF($X$13&lt;=0,"",$Z$13)</f>
        <v/>
      </c>
      <c r="AT69" s="0" t="str">
        <f aca="false">IF($X$13&lt;=0,"",$X$13)</f>
        <v/>
      </c>
      <c r="AU69" s="0" t="str">
        <f aca="false">IF($X$13&lt;=0,"","kg")</f>
        <v/>
      </c>
      <c r="AV69" s="0" t="n">
        <f aca="false">IF($X$13&lt;=0,0,1)</f>
        <v>0</v>
      </c>
      <c r="AW69" s="0" t="n">
        <f aca="false">AW68+AV69</f>
        <v>29</v>
      </c>
    </row>
    <row r="70" customFormat="false" ht="15" hidden="false" customHeight="false" outlineLevel="0" collapsed="false">
      <c r="AP70" s="0" t="str">
        <f aca="false">IF($AD$13&lt;=0,"",FIFO_helper!$C$13)</f>
        <v/>
      </c>
      <c r="AQ70" s="0" t="str">
        <f aca="false">IF($AD$13&lt;=0,"",$AE$13)</f>
        <v/>
      </c>
      <c r="AR70" s="0" t="str">
        <f aca="false">IF($AD$13&lt;=0,"","PRIMERA")</f>
        <v/>
      </c>
      <c r="AS70" s="0" t="str">
        <f aca="false">IF($AD$13&lt;=0,"",$AF$13)</f>
        <v/>
      </c>
      <c r="AT70" s="0" t="str">
        <f aca="false">IF($AD$13&lt;=0,"",$AD$13)</f>
        <v/>
      </c>
      <c r="AU70" s="0" t="str">
        <f aca="false">IF($AD$13&lt;=0,"","kg")</f>
        <v/>
      </c>
      <c r="AV70" s="0" t="n">
        <f aca="false">IF($AD$13&lt;=0,0,1)</f>
        <v>0</v>
      </c>
      <c r="AW70" s="0" t="n">
        <f aca="false">AW69+AV70</f>
        <v>29</v>
      </c>
    </row>
    <row r="71" customFormat="false" ht="15" hidden="false" customHeight="false" outlineLevel="0" collapsed="false">
      <c r="AP71" s="0" t="str">
        <f aca="false">IF($AJ$13&lt;=0,"",FIFO_helper!$C$13)</f>
        <v/>
      </c>
      <c r="AQ71" s="0" t="str">
        <f aca="false">IF($AJ$13&lt;=0,"",$AK$13)</f>
        <v/>
      </c>
      <c r="AR71" s="0" t="str">
        <f aca="false">IF($AJ$13&lt;=0,"","PRIMERA")</f>
        <v/>
      </c>
      <c r="AS71" s="0" t="str">
        <f aca="false">IF($AJ$13&lt;=0,"",$AL$13)</f>
        <v/>
      </c>
      <c r="AT71" s="0" t="str">
        <f aca="false">IF($AJ$13&lt;=0,"",$AJ$13)</f>
        <v/>
      </c>
      <c r="AU71" s="0" t="str">
        <f aca="false">IF($AJ$13&lt;=0,"","kg")</f>
        <v/>
      </c>
      <c r="AV71" s="0" t="n">
        <f aca="false">IF($AJ$13&lt;=0,0,1)</f>
        <v>0</v>
      </c>
      <c r="AW71" s="0" t="n">
        <f aca="false">AW70+AV71</f>
        <v>29</v>
      </c>
    </row>
    <row r="72" customFormat="false" ht="15" hidden="false" customHeight="false" outlineLevel="0" collapsed="false">
      <c r="AP72" s="0" t="str">
        <f aca="false">IF($AN$13&lt;=0,"",FIFO_helper!$C$13)</f>
        <v>21/07</v>
      </c>
      <c r="AQ72" s="0" t="str">
        <f aca="false">IF($AN$13&lt;=0,"","(queda en planta)")</f>
        <v>(queda en planta)</v>
      </c>
      <c r="AR72" s="0" t="str">
        <f aca="false">IF($AN$13&lt;=0,"","PRIMERA")</f>
        <v>PRIMERA</v>
      </c>
      <c r="AS72" s="0" t="str">
        <f aca="false">""</f>
        <v/>
      </c>
      <c r="AT72" s="0" t="n">
        <f aca="false">IF($AN$13&lt;=0,"",$AN$13)</f>
        <v>507</v>
      </c>
      <c r="AU72" s="0" t="str">
        <f aca="false">IF($AN$13&lt;=0,"","kg")</f>
        <v>kg</v>
      </c>
      <c r="AV72" s="0" t="n">
        <f aca="false">IF($AN$13&lt;=0,0,1)</f>
        <v>1</v>
      </c>
      <c r="AW72" s="0" t="n">
        <f aca="false">AW71+AV72</f>
        <v>30</v>
      </c>
    </row>
    <row r="73" customFormat="false" ht="15" hidden="false" customHeight="false" outlineLevel="0" collapsed="false">
      <c r="AP73" s="0" t="str">
        <f aca="false">IF($E$13&lt;=0,"",FIFO_helper!$C$13)</f>
        <v>21/07</v>
      </c>
      <c r="AQ73" s="0" t="str">
        <f aca="false">IF($E$13&lt;=0,"","↳ Chancho (prod.)")</f>
        <v>↳ Chancho (prod.)</v>
      </c>
      <c r="AR73" s="0" t="str">
        <f aca="false">IF($E$13&lt;=0,"","CHANCHO")</f>
        <v>CHANCHO</v>
      </c>
      <c r="AS73" s="0" t="str">
        <f aca="false">""</f>
        <v/>
      </c>
      <c r="AT73" s="0" t="n">
        <f aca="false">IF($E$13&lt;=0,"",$E$13)</f>
        <v>3</v>
      </c>
      <c r="AU73" s="0" t="str">
        <f aca="false">IF($E$13&lt;=0,"","sacos")</f>
        <v>sacos</v>
      </c>
      <c r="AV73" s="0" t="n">
        <f aca="false">IF($E$13&lt;=0,0,1)</f>
        <v>1</v>
      </c>
      <c r="AW73" s="0" t="n">
        <f aca="false">AW72+AV73</f>
        <v>31</v>
      </c>
    </row>
    <row r="74" customFormat="false" ht="15" hidden="false" customHeight="false" outlineLevel="0" collapsed="false">
      <c r="AP74" s="0" t="str">
        <f aca="false">IF($R$14&lt;=0,"",FIFO_helper!$C$14)</f>
        <v/>
      </c>
      <c r="AQ74" s="0" t="str">
        <f aca="false">IF($R$14&lt;=0,"",$S$14)</f>
        <v/>
      </c>
      <c r="AR74" s="0" t="str">
        <f aca="false">IF($R$14&lt;=0,"","PRIMERA")</f>
        <v/>
      </c>
      <c r="AS74" s="0" t="str">
        <f aca="false">IF($R$14&lt;=0,"",$T$14)</f>
        <v/>
      </c>
      <c r="AT74" s="0" t="str">
        <f aca="false">IF($R$14&lt;=0,"",$R$14)</f>
        <v/>
      </c>
      <c r="AU74" s="0" t="str">
        <f aca="false">IF($R$14&lt;=0,"","kg")</f>
        <v/>
      </c>
      <c r="AV74" s="0" t="n">
        <f aca="false">IF($R$14&lt;=0,0,1)</f>
        <v>0</v>
      </c>
      <c r="AW74" s="0" t="n">
        <f aca="false">AW73+AV74</f>
        <v>31</v>
      </c>
    </row>
    <row r="75" customFormat="false" ht="15" hidden="false" customHeight="false" outlineLevel="0" collapsed="false">
      <c r="AP75" s="0" t="str">
        <f aca="false">IF($X$14&lt;=0,"",FIFO_helper!$C$14)</f>
        <v/>
      </c>
      <c r="AQ75" s="0" t="str">
        <f aca="false">IF($X$14&lt;=0,"",$Y$14)</f>
        <v/>
      </c>
      <c r="AR75" s="0" t="str">
        <f aca="false">IF($X$14&lt;=0,"","PRIMERA")</f>
        <v/>
      </c>
      <c r="AS75" s="0" t="str">
        <f aca="false">IF($X$14&lt;=0,"",$Z$14)</f>
        <v/>
      </c>
      <c r="AT75" s="0" t="str">
        <f aca="false">IF($X$14&lt;=0,"",$X$14)</f>
        <v/>
      </c>
      <c r="AU75" s="0" t="str">
        <f aca="false">IF($X$14&lt;=0,"","kg")</f>
        <v/>
      </c>
      <c r="AV75" s="0" t="n">
        <f aca="false">IF($X$14&lt;=0,0,1)</f>
        <v>0</v>
      </c>
      <c r="AW75" s="0" t="n">
        <f aca="false">AW74+AV75</f>
        <v>31</v>
      </c>
    </row>
    <row r="76" customFormat="false" ht="15" hidden="false" customHeight="false" outlineLevel="0" collapsed="false">
      <c r="AP76" s="0" t="str">
        <f aca="false">IF($AD$14&lt;=0,"",FIFO_helper!$C$14)</f>
        <v/>
      </c>
      <c r="AQ76" s="0" t="str">
        <f aca="false">IF($AD$14&lt;=0,"",$AE$14)</f>
        <v/>
      </c>
      <c r="AR76" s="0" t="str">
        <f aca="false">IF($AD$14&lt;=0,"","PRIMERA")</f>
        <v/>
      </c>
      <c r="AS76" s="0" t="str">
        <f aca="false">IF($AD$14&lt;=0,"",$AF$14)</f>
        <v/>
      </c>
      <c r="AT76" s="0" t="str">
        <f aca="false">IF($AD$14&lt;=0,"",$AD$14)</f>
        <v/>
      </c>
      <c r="AU76" s="0" t="str">
        <f aca="false">IF($AD$14&lt;=0,"","kg")</f>
        <v/>
      </c>
      <c r="AV76" s="0" t="n">
        <f aca="false">IF($AD$14&lt;=0,0,1)</f>
        <v>0</v>
      </c>
      <c r="AW76" s="0" t="n">
        <f aca="false">AW75+AV76</f>
        <v>31</v>
      </c>
    </row>
    <row r="77" customFormat="false" ht="15" hidden="false" customHeight="false" outlineLevel="0" collapsed="false">
      <c r="AP77" s="0" t="str">
        <f aca="false">IF($AJ$14&lt;=0,"",FIFO_helper!$C$14)</f>
        <v/>
      </c>
      <c r="AQ77" s="0" t="str">
        <f aca="false">IF($AJ$14&lt;=0,"",$AK$14)</f>
        <v/>
      </c>
      <c r="AR77" s="0" t="str">
        <f aca="false">IF($AJ$14&lt;=0,"","PRIMERA")</f>
        <v/>
      </c>
      <c r="AS77" s="0" t="str">
        <f aca="false">IF($AJ$14&lt;=0,"",$AL$14)</f>
        <v/>
      </c>
      <c r="AT77" s="0" t="str">
        <f aca="false">IF($AJ$14&lt;=0,"",$AJ$14)</f>
        <v/>
      </c>
      <c r="AU77" s="0" t="str">
        <f aca="false">IF($AJ$14&lt;=0,"","kg")</f>
        <v/>
      </c>
      <c r="AV77" s="0" t="n">
        <f aca="false">IF($AJ$14&lt;=0,0,1)</f>
        <v>0</v>
      </c>
      <c r="AW77" s="0" t="n">
        <f aca="false">AW76+AV77</f>
        <v>31</v>
      </c>
    </row>
    <row r="78" customFormat="false" ht="15" hidden="false" customHeight="false" outlineLevel="0" collapsed="false">
      <c r="AP78" s="0" t="str">
        <f aca="false">IF($AN$14&lt;=0,"",FIFO_helper!$C$14)</f>
        <v/>
      </c>
      <c r="AQ78" s="0" t="str">
        <f aca="false">IF($AN$14&lt;=0,"","(queda en planta)")</f>
        <v/>
      </c>
      <c r="AR78" s="0" t="str">
        <f aca="false">IF($AN$14&lt;=0,"","PRIMERA")</f>
        <v/>
      </c>
      <c r="AS78" s="0" t="str">
        <f aca="false">""</f>
        <v/>
      </c>
      <c r="AT78" s="0" t="str">
        <f aca="false">IF($AN$14&lt;=0,"",$AN$14)</f>
        <v/>
      </c>
      <c r="AU78" s="0" t="str">
        <f aca="false">IF($AN$14&lt;=0,"","kg")</f>
        <v/>
      </c>
      <c r="AV78" s="0" t="n">
        <f aca="false">IF($AN$14&lt;=0,0,1)</f>
        <v>0</v>
      </c>
      <c r="AW78" s="0" t="n">
        <f aca="false">AW77+AV78</f>
        <v>31</v>
      </c>
    </row>
    <row r="79" customFormat="false" ht="15" hidden="false" customHeight="false" outlineLevel="0" collapsed="false">
      <c r="AP79" s="0" t="str">
        <f aca="false">IF($E$14&lt;=0,"",FIFO_helper!$C$14)</f>
        <v/>
      </c>
      <c r="AQ79" s="0" t="str">
        <f aca="false">IF($E$14&lt;=0,"","↳ Chancho (prod.)")</f>
        <v/>
      </c>
      <c r="AR79" s="0" t="str">
        <f aca="false">IF($E$14&lt;=0,"","CHANCHO")</f>
        <v/>
      </c>
      <c r="AS79" s="0" t="str">
        <f aca="false">""</f>
        <v/>
      </c>
      <c r="AT79" s="0" t="str">
        <f aca="false">IF($E$14&lt;=0,"",$E$14)</f>
        <v/>
      </c>
      <c r="AU79" s="0" t="str">
        <f aca="false">IF($E$14&lt;=0,"","sacos")</f>
        <v/>
      </c>
      <c r="AV79" s="0" t="n">
        <f aca="false">IF($E$14&lt;=0,0,1)</f>
        <v>0</v>
      </c>
      <c r="AW79" s="0" t="n">
        <f aca="false">AW78+AV79</f>
        <v>31</v>
      </c>
    </row>
    <row r="80" customFormat="false" ht="15" hidden="false" customHeight="false" outlineLevel="0" collapsed="false">
      <c r="AP80" s="0" t="str">
        <f aca="false">IF($R$15&lt;=0,"",FIFO_helper!$C$15)</f>
        <v/>
      </c>
      <c r="AQ80" s="0" t="str">
        <f aca="false">IF($R$15&lt;=0,"",$S$15)</f>
        <v/>
      </c>
      <c r="AR80" s="0" t="str">
        <f aca="false">IF($R$15&lt;=0,"","PRIMERA")</f>
        <v/>
      </c>
      <c r="AS80" s="0" t="str">
        <f aca="false">IF($R$15&lt;=0,"",$T$15)</f>
        <v/>
      </c>
      <c r="AT80" s="0" t="str">
        <f aca="false">IF($R$15&lt;=0,"",$R$15)</f>
        <v/>
      </c>
      <c r="AU80" s="0" t="str">
        <f aca="false">IF($R$15&lt;=0,"","kg")</f>
        <v/>
      </c>
      <c r="AV80" s="0" t="n">
        <f aca="false">IF($R$15&lt;=0,0,1)</f>
        <v>0</v>
      </c>
      <c r="AW80" s="0" t="n">
        <f aca="false">AW79+AV80</f>
        <v>31</v>
      </c>
    </row>
    <row r="81" customFormat="false" ht="15" hidden="false" customHeight="false" outlineLevel="0" collapsed="false">
      <c r="AP81" s="0" t="str">
        <f aca="false">IF($X$15&lt;=0,"",FIFO_helper!$C$15)</f>
        <v/>
      </c>
      <c r="AQ81" s="0" t="str">
        <f aca="false">IF($X$15&lt;=0,"",$Y$15)</f>
        <v/>
      </c>
      <c r="AR81" s="0" t="str">
        <f aca="false">IF($X$15&lt;=0,"","PRIMERA")</f>
        <v/>
      </c>
      <c r="AS81" s="0" t="str">
        <f aca="false">IF($X$15&lt;=0,"",$Z$15)</f>
        <v/>
      </c>
      <c r="AT81" s="0" t="str">
        <f aca="false">IF($X$15&lt;=0,"",$X$15)</f>
        <v/>
      </c>
      <c r="AU81" s="0" t="str">
        <f aca="false">IF($X$15&lt;=0,"","kg")</f>
        <v/>
      </c>
      <c r="AV81" s="0" t="n">
        <f aca="false">IF($X$15&lt;=0,0,1)</f>
        <v>0</v>
      </c>
      <c r="AW81" s="0" t="n">
        <f aca="false">AW80+AV81</f>
        <v>31</v>
      </c>
    </row>
    <row r="82" customFormat="false" ht="15" hidden="false" customHeight="false" outlineLevel="0" collapsed="false">
      <c r="AP82" s="0" t="str">
        <f aca="false">IF($AD$15&lt;=0,"",FIFO_helper!$C$15)</f>
        <v/>
      </c>
      <c r="AQ82" s="0" t="str">
        <f aca="false">IF($AD$15&lt;=0,"",$AE$15)</f>
        <v/>
      </c>
      <c r="AR82" s="0" t="str">
        <f aca="false">IF($AD$15&lt;=0,"","PRIMERA")</f>
        <v/>
      </c>
      <c r="AS82" s="0" t="str">
        <f aca="false">IF($AD$15&lt;=0,"",$AF$15)</f>
        <v/>
      </c>
      <c r="AT82" s="0" t="str">
        <f aca="false">IF($AD$15&lt;=0,"",$AD$15)</f>
        <v/>
      </c>
      <c r="AU82" s="0" t="str">
        <f aca="false">IF($AD$15&lt;=0,"","kg")</f>
        <v/>
      </c>
      <c r="AV82" s="0" t="n">
        <f aca="false">IF($AD$15&lt;=0,0,1)</f>
        <v>0</v>
      </c>
      <c r="AW82" s="0" t="n">
        <f aca="false">AW81+AV82</f>
        <v>31</v>
      </c>
    </row>
    <row r="83" customFormat="false" ht="15" hidden="false" customHeight="false" outlineLevel="0" collapsed="false">
      <c r="AP83" s="0" t="str">
        <f aca="false">IF($AJ$15&lt;=0,"",FIFO_helper!$C$15)</f>
        <v/>
      </c>
      <c r="AQ83" s="0" t="str">
        <f aca="false">IF($AJ$15&lt;=0,"",$AK$15)</f>
        <v/>
      </c>
      <c r="AR83" s="0" t="str">
        <f aca="false">IF($AJ$15&lt;=0,"","PRIMERA")</f>
        <v/>
      </c>
      <c r="AS83" s="0" t="str">
        <f aca="false">IF($AJ$15&lt;=0,"",$AL$15)</f>
        <v/>
      </c>
      <c r="AT83" s="0" t="str">
        <f aca="false">IF($AJ$15&lt;=0,"",$AJ$15)</f>
        <v/>
      </c>
      <c r="AU83" s="0" t="str">
        <f aca="false">IF($AJ$15&lt;=0,"","kg")</f>
        <v/>
      </c>
      <c r="AV83" s="0" t="n">
        <f aca="false">IF($AJ$15&lt;=0,0,1)</f>
        <v>0</v>
      </c>
      <c r="AW83" s="0" t="n">
        <f aca="false">AW82+AV83</f>
        <v>31</v>
      </c>
    </row>
    <row r="84" customFormat="false" ht="15" hidden="false" customHeight="false" outlineLevel="0" collapsed="false">
      <c r="AP84" s="0" t="str">
        <f aca="false">IF($AN$15&lt;=0,"",FIFO_helper!$C$15)</f>
        <v/>
      </c>
      <c r="AQ84" s="0" t="str">
        <f aca="false">IF($AN$15&lt;=0,"","(queda en planta)")</f>
        <v/>
      </c>
      <c r="AR84" s="0" t="str">
        <f aca="false">IF($AN$15&lt;=0,"","PRIMERA")</f>
        <v/>
      </c>
      <c r="AS84" s="0" t="str">
        <f aca="false">""</f>
        <v/>
      </c>
      <c r="AT84" s="0" t="str">
        <f aca="false">IF($AN$15&lt;=0,"",$AN$15)</f>
        <v/>
      </c>
      <c r="AU84" s="0" t="str">
        <f aca="false">IF($AN$15&lt;=0,"","kg")</f>
        <v/>
      </c>
      <c r="AV84" s="0" t="n">
        <f aca="false">IF($AN$15&lt;=0,0,1)</f>
        <v>0</v>
      </c>
      <c r="AW84" s="0" t="n">
        <f aca="false">AW83+AV84</f>
        <v>31</v>
      </c>
    </row>
    <row r="85" customFormat="false" ht="15" hidden="false" customHeight="false" outlineLevel="0" collapsed="false">
      <c r="AP85" s="0" t="str">
        <f aca="false">IF($E$15&lt;=0,"",FIFO_helper!$C$15)</f>
        <v/>
      </c>
      <c r="AQ85" s="0" t="str">
        <f aca="false">IF($E$15&lt;=0,"","↳ Chancho (prod.)")</f>
        <v/>
      </c>
      <c r="AR85" s="0" t="str">
        <f aca="false">IF($E$15&lt;=0,"","CHANCHO")</f>
        <v/>
      </c>
      <c r="AS85" s="0" t="str">
        <f aca="false">""</f>
        <v/>
      </c>
      <c r="AT85" s="0" t="str">
        <f aca="false">IF($E$15&lt;=0,"",$E$15)</f>
        <v/>
      </c>
      <c r="AU85" s="0" t="str">
        <f aca="false">IF($E$15&lt;=0,"","sacos")</f>
        <v/>
      </c>
      <c r="AV85" s="0" t="n">
        <f aca="false">IF($E$15&lt;=0,0,1)</f>
        <v>0</v>
      </c>
      <c r="AW85" s="0" t="n">
        <f aca="false">AW84+AV85</f>
        <v>31</v>
      </c>
    </row>
    <row r="86" customFormat="false" ht="15" hidden="false" customHeight="false" outlineLevel="0" collapsed="false">
      <c r="AP86" s="0" t="str">
        <f aca="false">IF($R$16&lt;=0,"",FIFO_helper!$C$16)</f>
        <v/>
      </c>
      <c r="AQ86" s="0" t="str">
        <f aca="false">IF($R$16&lt;=0,"",$S$16)</f>
        <v/>
      </c>
      <c r="AR86" s="0" t="str">
        <f aca="false">IF($R$16&lt;=0,"","PRIMERA")</f>
        <v/>
      </c>
      <c r="AS86" s="0" t="str">
        <f aca="false">IF($R$16&lt;=0,"",$T$16)</f>
        <v/>
      </c>
      <c r="AT86" s="0" t="str">
        <f aca="false">IF($R$16&lt;=0,"",$R$16)</f>
        <v/>
      </c>
      <c r="AU86" s="0" t="str">
        <f aca="false">IF($R$16&lt;=0,"","kg")</f>
        <v/>
      </c>
      <c r="AV86" s="0" t="n">
        <f aca="false">IF($R$16&lt;=0,0,1)</f>
        <v>0</v>
      </c>
      <c r="AW86" s="0" t="n">
        <f aca="false">AW85+AV86</f>
        <v>31</v>
      </c>
    </row>
    <row r="87" customFormat="false" ht="15" hidden="false" customHeight="false" outlineLevel="0" collapsed="false">
      <c r="AP87" s="0" t="str">
        <f aca="false">IF($X$16&lt;=0,"",FIFO_helper!$C$16)</f>
        <v/>
      </c>
      <c r="AQ87" s="0" t="str">
        <f aca="false">IF($X$16&lt;=0,"",$Y$16)</f>
        <v/>
      </c>
      <c r="AR87" s="0" t="str">
        <f aca="false">IF($X$16&lt;=0,"","PRIMERA")</f>
        <v/>
      </c>
      <c r="AS87" s="0" t="str">
        <f aca="false">IF($X$16&lt;=0,"",$Z$16)</f>
        <v/>
      </c>
      <c r="AT87" s="0" t="str">
        <f aca="false">IF($X$16&lt;=0,"",$X$16)</f>
        <v/>
      </c>
      <c r="AU87" s="0" t="str">
        <f aca="false">IF($X$16&lt;=0,"","kg")</f>
        <v/>
      </c>
      <c r="AV87" s="0" t="n">
        <f aca="false">IF($X$16&lt;=0,0,1)</f>
        <v>0</v>
      </c>
      <c r="AW87" s="0" t="n">
        <f aca="false">AW86+AV87</f>
        <v>31</v>
      </c>
    </row>
    <row r="88" customFormat="false" ht="15" hidden="false" customHeight="false" outlineLevel="0" collapsed="false">
      <c r="AP88" s="0" t="str">
        <f aca="false">IF($AD$16&lt;=0,"",FIFO_helper!$C$16)</f>
        <v/>
      </c>
      <c r="AQ88" s="0" t="str">
        <f aca="false">IF($AD$16&lt;=0,"",$AE$16)</f>
        <v/>
      </c>
      <c r="AR88" s="0" t="str">
        <f aca="false">IF($AD$16&lt;=0,"","PRIMERA")</f>
        <v/>
      </c>
      <c r="AS88" s="0" t="str">
        <f aca="false">IF($AD$16&lt;=0,"",$AF$16)</f>
        <v/>
      </c>
      <c r="AT88" s="0" t="str">
        <f aca="false">IF($AD$16&lt;=0,"",$AD$16)</f>
        <v/>
      </c>
      <c r="AU88" s="0" t="str">
        <f aca="false">IF($AD$16&lt;=0,"","kg")</f>
        <v/>
      </c>
      <c r="AV88" s="0" t="n">
        <f aca="false">IF($AD$16&lt;=0,0,1)</f>
        <v>0</v>
      </c>
      <c r="AW88" s="0" t="n">
        <f aca="false">AW87+AV88</f>
        <v>31</v>
      </c>
    </row>
    <row r="89" customFormat="false" ht="15" hidden="false" customHeight="false" outlineLevel="0" collapsed="false">
      <c r="AP89" s="0" t="str">
        <f aca="false">IF($AJ$16&lt;=0,"",FIFO_helper!$C$16)</f>
        <v/>
      </c>
      <c r="AQ89" s="0" t="str">
        <f aca="false">IF($AJ$16&lt;=0,"",$AK$16)</f>
        <v/>
      </c>
      <c r="AR89" s="0" t="str">
        <f aca="false">IF($AJ$16&lt;=0,"","PRIMERA")</f>
        <v/>
      </c>
      <c r="AS89" s="0" t="str">
        <f aca="false">IF($AJ$16&lt;=0,"",$AL$16)</f>
        <v/>
      </c>
      <c r="AT89" s="0" t="str">
        <f aca="false">IF($AJ$16&lt;=0,"",$AJ$16)</f>
        <v/>
      </c>
      <c r="AU89" s="0" t="str">
        <f aca="false">IF($AJ$16&lt;=0,"","kg")</f>
        <v/>
      </c>
      <c r="AV89" s="0" t="n">
        <f aca="false">IF($AJ$16&lt;=0,0,1)</f>
        <v>0</v>
      </c>
      <c r="AW89" s="0" t="n">
        <f aca="false">AW88+AV89</f>
        <v>31</v>
      </c>
    </row>
    <row r="90" customFormat="false" ht="15" hidden="false" customHeight="false" outlineLevel="0" collapsed="false">
      <c r="AP90" s="0" t="str">
        <f aca="false">IF($AN$16&lt;=0,"",FIFO_helper!$C$16)</f>
        <v/>
      </c>
      <c r="AQ90" s="0" t="str">
        <f aca="false">IF($AN$16&lt;=0,"","(queda en planta)")</f>
        <v/>
      </c>
      <c r="AR90" s="0" t="str">
        <f aca="false">IF($AN$16&lt;=0,"","PRIMERA")</f>
        <v/>
      </c>
      <c r="AS90" s="0" t="str">
        <f aca="false">""</f>
        <v/>
      </c>
      <c r="AT90" s="0" t="str">
        <f aca="false">IF($AN$16&lt;=0,"",$AN$16)</f>
        <v/>
      </c>
      <c r="AU90" s="0" t="str">
        <f aca="false">IF($AN$16&lt;=0,"","kg")</f>
        <v/>
      </c>
      <c r="AV90" s="0" t="n">
        <f aca="false">IF($AN$16&lt;=0,0,1)</f>
        <v>0</v>
      </c>
      <c r="AW90" s="0" t="n">
        <f aca="false">AW89+AV90</f>
        <v>31</v>
      </c>
    </row>
    <row r="91" customFormat="false" ht="15" hidden="false" customHeight="false" outlineLevel="0" collapsed="false">
      <c r="AP91" s="0" t="str">
        <f aca="false">IF($E$16&lt;=0,"",FIFO_helper!$C$16)</f>
        <v/>
      </c>
      <c r="AQ91" s="0" t="str">
        <f aca="false">IF($E$16&lt;=0,"","↳ Chancho (prod.)")</f>
        <v/>
      </c>
      <c r="AR91" s="0" t="str">
        <f aca="false">IF($E$16&lt;=0,"","CHANCHO")</f>
        <v/>
      </c>
      <c r="AS91" s="0" t="str">
        <f aca="false">""</f>
        <v/>
      </c>
      <c r="AT91" s="0" t="str">
        <f aca="false">IF($E$16&lt;=0,"",$E$16)</f>
        <v/>
      </c>
      <c r="AU91" s="0" t="str">
        <f aca="false">IF($E$16&lt;=0,"","sacos")</f>
        <v/>
      </c>
      <c r="AV91" s="0" t="n">
        <f aca="false">IF($E$16&lt;=0,0,1)</f>
        <v>0</v>
      </c>
      <c r="AW91" s="0" t="n">
        <f aca="false">AW90+AV91</f>
        <v>31</v>
      </c>
    </row>
    <row r="92" customFormat="false" ht="15" hidden="false" customHeight="false" outlineLevel="0" collapsed="false">
      <c r="AP92" s="0" t="str">
        <f aca="false">IF($R$17&lt;=0,"",FIFO_helper!$C$17)</f>
        <v/>
      </c>
      <c r="AQ92" s="0" t="str">
        <f aca="false">IF($R$17&lt;=0,"",$S$17)</f>
        <v/>
      </c>
      <c r="AR92" s="0" t="str">
        <f aca="false">IF($R$17&lt;=0,"","PRIMERA")</f>
        <v/>
      </c>
      <c r="AS92" s="0" t="str">
        <f aca="false">IF($R$17&lt;=0,"",$T$17)</f>
        <v/>
      </c>
      <c r="AT92" s="0" t="str">
        <f aca="false">IF($R$17&lt;=0,"",$R$17)</f>
        <v/>
      </c>
      <c r="AU92" s="0" t="str">
        <f aca="false">IF($R$17&lt;=0,"","kg")</f>
        <v/>
      </c>
      <c r="AV92" s="0" t="n">
        <f aca="false">IF($R$17&lt;=0,0,1)</f>
        <v>0</v>
      </c>
      <c r="AW92" s="0" t="n">
        <f aca="false">AW91+AV92</f>
        <v>31</v>
      </c>
    </row>
    <row r="93" customFormat="false" ht="15" hidden="false" customHeight="false" outlineLevel="0" collapsed="false">
      <c r="AP93" s="0" t="str">
        <f aca="false">IF($X$17&lt;=0,"",FIFO_helper!$C$17)</f>
        <v/>
      </c>
      <c r="AQ93" s="0" t="str">
        <f aca="false">IF($X$17&lt;=0,"",$Y$17)</f>
        <v/>
      </c>
      <c r="AR93" s="0" t="str">
        <f aca="false">IF($X$17&lt;=0,"","PRIMERA")</f>
        <v/>
      </c>
      <c r="AS93" s="0" t="str">
        <f aca="false">IF($X$17&lt;=0,"",$Z$17)</f>
        <v/>
      </c>
      <c r="AT93" s="0" t="str">
        <f aca="false">IF($X$17&lt;=0,"",$X$17)</f>
        <v/>
      </c>
      <c r="AU93" s="0" t="str">
        <f aca="false">IF($X$17&lt;=0,"","kg")</f>
        <v/>
      </c>
      <c r="AV93" s="0" t="n">
        <f aca="false">IF($X$17&lt;=0,0,1)</f>
        <v>0</v>
      </c>
      <c r="AW93" s="0" t="n">
        <f aca="false">AW92+AV93</f>
        <v>31</v>
      </c>
    </row>
    <row r="94" customFormat="false" ht="15" hidden="false" customHeight="false" outlineLevel="0" collapsed="false">
      <c r="AP94" s="0" t="str">
        <f aca="false">IF($AD$17&lt;=0,"",FIFO_helper!$C$17)</f>
        <v/>
      </c>
      <c r="AQ94" s="0" t="str">
        <f aca="false">IF($AD$17&lt;=0,"",$AE$17)</f>
        <v/>
      </c>
      <c r="AR94" s="0" t="str">
        <f aca="false">IF($AD$17&lt;=0,"","PRIMERA")</f>
        <v/>
      </c>
      <c r="AS94" s="0" t="str">
        <f aca="false">IF($AD$17&lt;=0,"",$AF$17)</f>
        <v/>
      </c>
      <c r="AT94" s="0" t="str">
        <f aca="false">IF($AD$17&lt;=0,"",$AD$17)</f>
        <v/>
      </c>
      <c r="AU94" s="0" t="str">
        <f aca="false">IF($AD$17&lt;=0,"","kg")</f>
        <v/>
      </c>
      <c r="AV94" s="0" t="n">
        <f aca="false">IF($AD$17&lt;=0,0,1)</f>
        <v>0</v>
      </c>
      <c r="AW94" s="0" t="n">
        <f aca="false">AW93+AV94</f>
        <v>31</v>
      </c>
    </row>
    <row r="95" customFormat="false" ht="15" hidden="false" customHeight="false" outlineLevel="0" collapsed="false">
      <c r="AP95" s="0" t="str">
        <f aca="false">IF($AJ$17&lt;=0,"",FIFO_helper!$C$17)</f>
        <v/>
      </c>
      <c r="AQ95" s="0" t="str">
        <f aca="false">IF($AJ$17&lt;=0,"",$AK$17)</f>
        <v/>
      </c>
      <c r="AR95" s="0" t="str">
        <f aca="false">IF($AJ$17&lt;=0,"","PRIMERA")</f>
        <v/>
      </c>
      <c r="AS95" s="0" t="str">
        <f aca="false">IF($AJ$17&lt;=0,"",$AL$17)</f>
        <v/>
      </c>
      <c r="AT95" s="0" t="str">
        <f aca="false">IF($AJ$17&lt;=0,"",$AJ$17)</f>
        <v/>
      </c>
      <c r="AU95" s="0" t="str">
        <f aca="false">IF($AJ$17&lt;=0,"","kg")</f>
        <v/>
      </c>
      <c r="AV95" s="0" t="n">
        <f aca="false">IF($AJ$17&lt;=0,0,1)</f>
        <v>0</v>
      </c>
      <c r="AW95" s="0" t="n">
        <f aca="false">AW94+AV95</f>
        <v>31</v>
      </c>
    </row>
    <row r="96" customFormat="false" ht="15" hidden="false" customHeight="false" outlineLevel="0" collapsed="false">
      <c r="AP96" s="0" t="str">
        <f aca="false">IF($AN$17&lt;=0,"",FIFO_helper!$C$17)</f>
        <v/>
      </c>
      <c r="AQ96" s="0" t="str">
        <f aca="false">IF($AN$17&lt;=0,"","(queda en planta)")</f>
        <v/>
      </c>
      <c r="AR96" s="0" t="str">
        <f aca="false">IF($AN$17&lt;=0,"","PRIMERA")</f>
        <v/>
      </c>
      <c r="AS96" s="0" t="str">
        <f aca="false">""</f>
        <v/>
      </c>
      <c r="AT96" s="0" t="str">
        <f aca="false">IF($AN$17&lt;=0,"",$AN$17)</f>
        <v/>
      </c>
      <c r="AU96" s="0" t="str">
        <f aca="false">IF($AN$17&lt;=0,"","kg")</f>
        <v/>
      </c>
      <c r="AV96" s="0" t="n">
        <f aca="false">IF($AN$17&lt;=0,0,1)</f>
        <v>0</v>
      </c>
      <c r="AW96" s="0" t="n">
        <f aca="false">AW95+AV96</f>
        <v>31</v>
      </c>
    </row>
    <row r="97" customFormat="false" ht="15" hidden="false" customHeight="false" outlineLevel="0" collapsed="false">
      <c r="AP97" s="0" t="str">
        <f aca="false">IF($E$17&lt;=0,"",FIFO_helper!$C$17)</f>
        <v/>
      </c>
      <c r="AQ97" s="0" t="str">
        <f aca="false">IF($E$17&lt;=0,"","↳ Chancho (prod.)")</f>
        <v/>
      </c>
      <c r="AR97" s="0" t="str">
        <f aca="false">IF($E$17&lt;=0,"","CHANCHO")</f>
        <v/>
      </c>
      <c r="AS97" s="0" t="str">
        <f aca="false">""</f>
        <v/>
      </c>
      <c r="AT97" s="0" t="str">
        <f aca="false">IF($E$17&lt;=0,"",$E$17)</f>
        <v/>
      </c>
      <c r="AU97" s="0" t="str">
        <f aca="false">IF($E$17&lt;=0,"","sacos")</f>
        <v/>
      </c>
      <c r="AV97" s="0" t="n">
        <f aca="false">IF($E$17&lt;=0,0,1)</f>
        <v>0</v>
      </c>
      <c r="AW97" s="0" t="n">
        <f aca="false">AW96+AV97</f>
        <v>31</v>
      </c>
    </row>
    <row r="98" customFormat="false" ht="15" hidden="false" customHeight="false" outlineLevel="0" collapsed="false">
      <c r="AP98" s="0" t="str">
        <f aca="false">IF($R$18&lt;=0,"",FIFO_helper!$C$18)</f>
        <v/>
      </c>
      <c r="AQ98" s="0" t="str">
        <f aca="false">IF($R$18&lt;=0,"",$S$18)</f>
        <v/>
      </c>
      <c r="AR98" s="0" t="str">
        <f aca="false">IF($R$18&lt;=0,"","PRIMERA")</f>
        <v/>
      </c>
      <c r="AS98" s="0" t="str">
        <f aca="false">IF($R$18&lt;=0,"",$T$18)</f>
        <v/>
      </c>
      <c r="AT98" s="0" t="str">
        <f aca="false">IF($R$18&lt;=0,"",$R$18)</f>
        <v/>
      </c>
      <c r="AU98" s="0" t="str">
        <f aca="false">IF($R$18&lt;=0,"","kg")</f>
        <v/>
      </c>
      <c r="AV98" s="0" t="n">
        <f aca="false">IF($R$18&lt;=0,0,1)</f>
        <v>0</v>
      </c>
      <c r="AW98" s="0" t="n">
        <f aca="false">AW97+AV98</f>
        <v>31</v>
      </c>
    </row>
    <row r="99" customFormat="false" ht="15" hidden="false" customHeight="false" outlineLevel="0" collapsed="false">
      <c r="AP99" s="0" t="str">
        <f aca="false">IF($X$18&lt;=0,"",FIFO_helper!$C$18)</f>
        <v/>
      </c>
      <c r="AQ99" s="0" t="str">
        <f aca="false">IF($X$18&lt;=0,"",$Y$18)</f>
        <v/>
      </c>
      <c r="AR99" s="0" t="str">
        <f aca="false">IF($X$18&lt;=0,"","PRIMERA")</f>
        <v/>
      </c>
      <c r="AS99" s="0" t="str">
        <f aca="false">IF($X$18&lt;=0,"",$Z$18)</f>
        <v/>
      </c>
      <c r="AT99" s="0" t="str">
        <f aca="false">IF($X$18&lt;=0,"",$X$18)</f>
        <v/>
      </c>
      <c r="AU99" s="0" t="str">
        <f aca="false">IF($X$18&lt;=0,"","kg")</f>
        <v/>
      </c>
      <c r="AV99" s="0" t="n">
        <f aca="false">IF($X$18&lt;=0,0,1)</f>
        <v>0</v>
      </c>
      <c r="AW99" s="0" t="n">
        <f aca="false">AW98+AV99</f>
        <v>31</v>
      </c>
    </row>
    <row r="100" customFormat="false" ht="15" hidden="false" customHeight="false" outlineLevel="0" collapsed="false">
      <c r="AP100" s="0" t="str">
        <f aca="false">IF($AD$18&lt;=0,"",FIFO_helper!$C$18)</f>
        <v/>
      </c>
      <c r="AQ100" s="0" t="str">
        <f aca="false">IF($AD$18&lt;=0,"",$AE$18)</f>
        <v/>
      </c>
      <c r="AR100" s="0" t="str">
        <f aca="false">IF($AD$18&lt;=0,"","PRIMERA")</f>
        <v/>
      </c>
      <c r="AS100" s="0" t="str">
        <f aca="false">IF($AD$18&lt;=0,"",$AF$18)</f>
        <v/>
      </c>
      <c r="AT100" s="0" t="str">
        <f aca="false">IF($AD$18&lt;=0,"",$AD$18)</f>
        <v/>
      </c>
      <c r="AU100" s="0" t="str">
        <f aca="false">IF($AD$18&lt;=0,"","kg")</f>
        <v/>
      </c>
      <c r="AV100" s="0" t="n">
        <f aca="false">IF($AD$18&lt;=0,0,1)</f>
        <v>0</v>
      </c>
      <c r="AW100" s="0" t="n">
        <f aca="false">AW99+AV100</f>
        <v>31</v>
      </c>
    </row>
    <row r="101" customFormat="false" ht="15" hidden="false" customHeight="false" outlineLevel="0" collapsed="false">
      <c r="AP101" s="0" t="str">
        <f aca="false">IF($AJ$18&lt;=0,"",FIFO_helper!$C$18)</f>
        <v/>
      </c>
      <c r="AQ101" s="0" t="str">
        <f aca="false">IF($AJ$18&lt;=0,"",$AK$18)</f>
        <v/>
      </c>
      <c r="AR101" s="0" t="str">
        <f aca="false">IF($AJ$18&lt;=0,"","PRIMERA")</f>
        <v/>
      </c>
      <c r="AS101" s="0" t="str">
        <f aca="false">IF($AJ$18&lt;=0,"",$AL$18)</f>
        <v/>
      </c>
      <c r="AT101" s="0" t="str">
        <f aca="false">IF($AJ$18&lt;=0,"",$AJ$18)</f>
        <v/>
      </c>
      <c r="AU101" s="0" t="str">
        <f aca="false">IF($AJ$18&lt;=0,"","kg")</f>
        <v/>
      </c>
      <c r="AV101" s="0" t="n">
        <f aca="false">IF($AJ$18&lt;=0,0,1)</f>
        <v>0</v>
      </c>
      <c r="AW101" s="0" t="n">
        <f aca="false">AW100+AV101</f>
        <v>31</v>
      </c>
    </row>
    <row r="102" customFormat="false" ht="15" hidden="false" customHeight="false" outlineLevel="0" collapsed="false">
      <c r="AP102" s="0" t="str">
        <f aca="false">IF($AN$18&lt;=0,"",FIFO_helper!$C$18)</f>
        <v/>
      </c>
      <c r="AQ102" s="0" t="str">
        <f aca="false">IF($AN$18&lt;=0,"","(queda en planta)")</f>
        <v/>
      </c>
      <c r="AR102" s="0" t="str">
        <f aca="false">IF($AN$18&lt;=0,"","PRIMERA")</f>
        <v/>
      </c>
      <c r="AS102" s="0" t="str">
        <f aca="false">""</f>
        <v/>
      </c>
      <c r="AT102" s="0" t="str">
        <f aca="false">IF($AN$18&lt;=0,"",$AN$18)</f>
        <v/>
      </c>
      <c r="AU102" s="0" t="str">
        <f aca="false">IF($AN$18&lt;=0,"","kg")</f>
        <v/>
      </c>
      <c r="AV102" s="0" t="n">
        <f aca="false">IF($AN$18&lt;=0,0,1)</f>
        <v>0</v>
      </c>
      <c r="AW102" s="0" t="n">
        <f aca="false">AW101+AV102</f>
        <v>31</v>
      </c>
    </row>
    <row r="103" customFormat="false" ht="15" hidden="false" customHeight="false" outlineLevel="0" collapsed="false">
      <c r="AP103" s="0" t="str">
        <f aca="false">IF($E$18&lt;=0,"",FIFO_helper!$C$18)</f>
        <v/>
      </c>
      <c r="AQ103" s="0" t="str">
        <f aca="false">IF($E$18&lt;=0,"","↳ Chancho (prod.)")</f>
        <v/>
      </c>
      <c r="AR103" s="0" t="str">
        <f aca="false">IF($E$18&lt;=0,"","CHANCHO")</f>
        <v/>
      </c>
      <c r="AS103" s="0" t="str">
        <f aca="false">""</f>
        <v/>
      </c>
      <c r="AT103" s="0" t="str">
        <f aca="false">IF($E$18&lt;=0,"",$E$18)</f>
        <v/>
      </c>
      <c r="AU103" s="0" t="str">
        <f aca="false">IF($E$18&lt;=0,"","sacos")</f>
        <v/>
      </c>
      <c r="AV103" s="0" t="n">
        <f aca="false">IF($E$18&lt;=0,0,1)</f>
        <v>0</v>
      </c>
      <c r="AW103" s="0" t="n">
        <f aca="false">AW102+AV103</f>
        <v>31</v>
      </c>
    </row>
    <row r="104" customFormat="false" ht="15" hidden="false" customHeight="false" outlineLevel="0" collapsed="false">
      <c r="AP104" s="0" t="str">
        <f aca="false">IF($R$19&lt;=0,"",FIFO_helper!$C$19)</f>
        <v/>
      </c>
      <c r="AQ104" s="0" t="str">
        <f aca="false">IF($R$19&lt;=0,"",$S$19)</f>
        <v/>
      </c>
      <c r="AR104" s="0" t="str">
        <f aca="false">IF($R$19&lt;=0,"","PRIMERA")</f>
        <v/>
      </c>
      <c r="AS104" s="0" t="str">
        <f aca="false">IF($R$19&lt;=0,"",$T$19)</f>
        <v/>
      </c>
      <c r="AT104" s="0" t="str">
        <f aca="false">IF($R$19&lt;=0,"",$R$19)</f>
        <v/>
      </c>
      <c r="AU104" s="0" t="str">
        <f aca="false">IF($R$19&lt;=0,"","kg")</f>
        <v/>
      </c>
      <c r="AV104" s="0" t="n">
        <f aca="false">IF($R$19&lt;=0,0,1)</f>
        <v>0</v>
      </c>
      <c r="AW104" s="0" t="n">
        <f aca="false">AW103+AV104</f>
        <v>31</v>
      </c>
    </row>
    <row r="105" customFormat="false" ht="15" hidden="false" customHeight="false" outlineLevel="0" collapsed="false">
      <c r="AP105" s="0" t="str">
        <f aca="false">IF($X$19&lt;=0,"",FIFO_helper!$C$19)</f>
        <v/>
      </c>
      <c r="AQ105" s="0" t="str">
        <f aca="false">IF($X$19&lt;=0,"",$Y$19)</f>
        <v/>
      </c>
      <c r="AR105" s="0" t="str">
        <f aca="false">IF($X$19&lt;=0,"","PRIMERA")</f>
        <v/>
      </c>
      <c r="AS105" s="0" t="str">
        <f aca="false">IF($X$19&lt;=0,"",$Z$19)</f>
        <v/>
      </c>
      <c r="AT105" s="0" t="str">
        <f aca="false">IF($X$19&lt;=0,"",$X$19)</f>
        <v/>
      </c>
      <c r="AU105" s="0" t="str">
        <f aca="false">IF($X$19&lt;=0,"","kg")</f>
        <v/>
      </c>
      <c r="AV105" s="0" t="n">
        <f aca="false">IF($X$19&lt;=0,0,1)</f>
        <v>0</v>
      </c>
      <c r="AW105" s="0" t="n">
        <f aca="false">AW104+AV105</f>
        <v>31</v>
      </c>
    </row>
    <row r="106" customFormat="false" ht="15" hidden="false" customHeight="false" outlineLevel="0" collapsed="false">
      <c r="AP106" s="0" t="str">
        <f aca="false">IF($AD$19&lt;=0,"",FIFO_helper!$C$19)</f>
        <v/>
      </c>
      <c r="AQ106" s="0" t="str">
        <f aca="false">IF($AD$19&lt;=0,"",$AE$19)</f>
        <v/>
      </c>
      <c r="AR106" s="0" t="str">
        <f aca="false">IF($AD$19&lt;=0,"","PRIMERA")</f>
        <v/>
      </c>
      <c r="AS106" s="0" t="str">
        <f aca="false">IF($AD$19&lt;=0,"",$AF$19)</f>
        <v/>
      </c>
      <c r="AT106" s="0" t="str">
        <f aca="false">IF($AD$19&lt;=0,"",$AD$19)</f>
        <v/>
      </c>
      <c r="AU106" s="0" t="str">
        <f aca="false">IF($AD$19&lt;=0,"","kg")</f>
        <v/>
      </c>
      <c r="AV106" s="0" t="n">
        <f aca="false">IF($AD$19&lt;=0,0,1)</f>
        <v>0</v>
      </c>
      <c r="AW106" s="0" t="n">
        <f aca="false">AW105+AV106</f>
        <v>31</v>
      </c>
    </row>
    <row r="107" customFormat="false" ht="15" hidden="false" customHeight="false" outlineLevel="0" collapsed="false">
      <c r="AP107" s="0" t="str">
        <f aca="false">IF($AJ$19&lt;=0,"",FIFO_helper!$C$19)</f>
        <v/>
      </c>
      <c r="AQ107" s="0" t="str">
        <f aca="false">IF($AJ$19&lt;=0,"",$AK$19)</f>
        <v/>
      </c>
      <c r="AR107" s="0" t="str">
        <f aca="false">IF($AJ$19&lt;=0,"","PRIMERA")</f>
        <v/>
      </c>
      <c r="AS107" s="0" t="str">
        <f aca="false">IF($AJ$19&lt;=0,"",$AL$19)</f>
        <v/>
      </c>
      <c r="AT107" s="0" t="str">
        <f aca="false">IF($AJ$19&lt;=0,"",$AJ$19)</f>
        <v/>
      </c>
      <c r="AU107" s="0" t="str">
        <f aca="false">IF($AJ$19&lt;=0,"","kg")</f>
        <v/>
      </c>
      <c r="AV107" s="0" t="n">
        <f aca="false">IF($AJ$19&lt;=0,0,1)</f>
        <v>0</v>
      </c>
      <c r="AW107" s="0" t="n">
        <f aca="false">AW106+AV107</f>
        <v>31</v>
      </c>
    </row>
    <row r="108" customFormat="false" ht="15" hidden="false" customHeight="false" outlineLevel="0" collapsed="false">
      <c r="AP108" s="0" t="str">
        <f aca="false">IF($AN$19&lt;=0,"",FIFO_helper!$C$19)</f>
        <v/>
      </c>
      <c r="AQ108" s="0" t="str">
        <f aca="false">IF($AN$19&lt;=0,"","(queda en planta)")</f>
        <v/>
      </c>
      <c r="AR108" s="0" t="str">
        <f aca="false">IF($AN$19&lt;=0,"","PRIMERA")</f>
        <v/>
      </c>
      <c r="AS108" s="0" t="str">
        <f aca="false">""</f>
        <v/>
      </c>
      <c r="AT108" s="0" t="str">
        <f aca="false">IF($AN$19&lt;=0,"",$AN$19)</f>
        <v/>
      </c>
      <c r="AU108" s="0" t="str">
        <f aca="false">IF($AN$19&lt;=0,"","kg")</f>
        <v/>
      </c>
      <c r="AV108" s="0" t="n">
        <f aca="false">IF($AN$19&lt;=0,0,1)</f>
        <v>0</v>
      </c>
      <c r="AW108" s="0" t="n">
        <f aca="false">AW107+AV108</f>
        <v>31</v>
      </c>
    </row>
    <row r="109" customFormat="false" ht="15" hidden="false" customHeight="false" outlineLevel="0" collapsed="false">
      <c r="AP109" s="0" t="str">
        <f aca="false">IF($E$19&lt;=0,"",FIFO_helper!$C$19)</f>
        <v/>
      </c>
      <c r="AQ109" s="0" t="str">
        <f aca="false">IF($E$19&lt;=0,"","↳ Chancho (prod.)")</f>
        <v/>
      </c>
      <c r="AR109" s="0" t="str">
        <f aca="false">IF($E$19&lt;=0,"","CHANCHO")</f>
        <v/>
      </c>
      <c r="AS109" s="0" t="str">
        <f aca="false">""</f>
        <v/>
      </c>
      <c r="AT109" s="0" t="str">
        <f aca="false">IF($E$19&lt;=0,"",$E$19)</f>
        <v/>
      </c>
      <c r="AU109" s="0" t="str">
        <f aca="false">IF($E$19&lt;=0,"","sacos")</f>
        <v/>
      </c>
      <c r="AV109" s="0" t="n">
        <f aca="false">IF($E$19&lt;=0,0,1)</f>
        <v>0</v>
      </c>
      <c r="AW109" s="0" t="n">
        <f aca="false">AW108+AV109</f>
        <v>31</v>
      </c>
    </row>
    <row r="110" customFormat="false" ht="15" hidden="false" customHeight="false" outlineLevel="0" collapsed="false">
      <c r="AP110" s="0" t="str">
        <f aca="false">IF($R$20&lt;=0,"",FIFO_helper!$C$20)</f>
        <v/>
      </c>
      <c r="AQ110" s="0" t="str">
        <f aca="false">IF($R$20&lt;=0,"",$S$20)</f>
        <v/>
      </c>
      <c r="AR110" s="0" t="str">
        <f aca="false">IF($R$20&lt;=0,"","PRIMERA")</f>
        <v/>
      </c>
      <c r="AS110" s="0" t="str">
        <f aca="false">IF($R$20&lt;=0,"",$T$20)</f>
        <v/>
      </c>
      <c r="AT110" s="0" t="str">
        <f aca="false">IF($R$20&lt;=0,"",$R$20)</f>
        <v/>
      </c>
      <c r="AU110" s="0" t="str">
        <f aca="false">IF($R$20&lt;=0,"","kg")</f>
        <v/>
      </c>
      <c r="AV110" s="0" t="n">
        <f aca="false">IF($R$20&lt;=0,0,1)</f>
        <v>0</v>
      </c>
      <c r="AW110" s="0" t="n">
        <f aca="false">AW109+AV110</f>
        <v>31</v>
      </c>
    </row>
    <row r="111" customFormat="false" ht="15" hidden="false" customHeight="false" outlineLevel="0" collapsed="false">
      <c r="AP111" s="0" t="str">
        <f aca="false">IF($X$20&lt;=0,"",FIFO_helper!$C$20)</f>
        <v/>
      </c>
      <c r="AQ111" s="0" t="str">
        <f aca="false">IF($X$20&lt;=0,"",$Y$20)</f>
        <v/>
      </c>
      <c r="AR111" s="0" t="str">
        <f aca="false">IF($X$20&lt;=0,"","PRIMERA")</f>
        <v/>
      </c>
      <c r="AS111" s="0" t="str">
        <f aca="false">IF($X$20&lt;=0,"",$Z$20)</f>
        <v/>
      </c>
      <c r="AT111" s="0" t="str">
        <f aca="false">IF($X$20&lt;=0,"",$X$20)</f>
        <v/>
      </c>
      <c r="AU111" s="0" t="str">
        <f aca="false">IF($X$20&lt;=0,"","kg")</f>
        <v/>
      </c>
      <c r="AV111" s="0" t="n">
        <f aca="false">IF($X$20&lt;=0,0,1)</f>
        <v>0</v>
      </c>
      <c r="AW111" s="0" t="n">
        <f aca="false">AW110+AV111</f>
        <v>31</v>
      </c>
    </row>
    <row r="112" customFormat="false" ht="15" hidden="false" customHeight="false" outlineLevel="0" collapsed="false">
      <c r="AP112" s="0" t="str">
        <f aca="false">IF($AD$20&lt;=0,"",FIFO_helper!$C$20)</f>
        <v/>
      </c>
      <c r="AQ112" s="0" t="str">
        <f aca="false">IF($AD$20&lt;=0,"",$AE$20)</f>
        <v/>
      </c>
      <c r="AR112" s="0" t="str">
        <f aca="false">IF($AD$20&lt;=0,"","PRIMERA")</f>
        <v/>
      </c>
      <c r="AS112" s="0" t="str">
        <f aca="false">IF($AD$20&lt;=0,"",$AF$20)</f>
        <v/>
      </c>
      <c r="AT112" s="0" t="str">
        <f aca="false">IF($AD$20&lt;=0,"",$AD$20)</f>
        <v/>
      </c>
      <c r="AU112" s="0" t="str">
        <f aca="false">IF($AD$20&lt;=0,"","kg")</f>
        <v/>
      </c>
      <c r="AV112" s="0" t="n">
        <f aca="false">IF($AD$20&lt;=0,0,1)</f>
        <v>0</v>
      </c>
      <c r="AW112" s="0" t="n">
        <f aca="false">AW111+AV112</f>
        <v>31</v>
      </c>
    </row>
    <row r="113" customFormat="false" ht="15" hidden="false" customHeight="false" outlineLevel="0" collapsed="false">
      <c r="AP113" s="0" t="str">
        <f aca="false">IF($AJ$20&lt;=0,"",FIFO_helper!$C$20)</f>
        <v/>
      </c>
      <c r="AQ113" s="0" t="str">
        <f aca="false">IF($AJ$20&lt;=0,"",$AK$20)</f>
        <v/>
      </c>
      <c r="AR113" s="0" t="str">
        <f aca="false">IF($AJ$20&lt;=0,"","PRIMERA")</f>
        <v/>
      </c>
      <c r="AS113" s="0" t="str">
        <f aca="false">IF($AJ$20&lt;=0,"",$AL$20)</f>
        <v/>
      </c>
      <c r="AT113" s="0" t="str">
        <f aca="false">IF($AJ$20&lt;=0,"",$AJ$20)</f>
        <v/>
      </c>
      <c r="AU113" s="0" t="str">
        <f aca="false">IF($AJ$20&lt;=0,"","kg")</f>
        <v/>
      </c>
      <c r="AV113" s="0" t="n">
        <f aca="false">IF($AJ$20&lt;=0,0,1)</f>
        <v>0</v>
      </c>
      <c r="AW113" s="0" t="n">
        <f aca="false">AW112+AV113</f>
        <v>31</v>
      </c>
    </row>
    <row r="114" customFormat="false" ht="15" hidden="false" customHeight="false" outlineLevel="0" collapsed="false">
      <c r="AP114" s="0" t="str">
        <f aca="false">IF($AN$20&lt;=0,"",FIFO_helper!$C$20)</f>
        <v/>
      </c>
      <c r="AQ114" s="0" t="str">
        <f aca="false">IF($AN$20&lt;=0,"","(queda en planta)")</f>
        <v/>
      </c>
      <c r="AR114" s="0" t="str">
        <f aca="false">IF($AN$20&lt;=0,"","PRIMERA")</f>
        <v/>
      </c>
      <c r="AS114" s="0" t="str">
        <f aca="false">""</f>
        <v/>
      </c>
      <c r="AT114" s="0" t="str">
        <f aca="false">IF($AN$20&lt;=0,"",$AN$20)</f>
        <v/>
      </c>
      <c r="AU114" s="0" t="str">
        <f aca="false">IF($AN$20&lt;=0,"","kg")</f>
        <v/>
      </c>
      <c r="AV114" s="0" t="n">
        <f aca="false">IF($AN$20&lt;=0,0,1)</f>
        <v>0</v>
      </c>
      <c r="AW114" s="0" t="n">
        <f aca="false">AW113+AV114</f>
        <v>31</v>
      </c>
    </row>
    <row r="115" customFormat="false" ht="15" hidden="false" customHeight="false" outlineLevel="0" collapsed="false">
      <c r="AP115" s="0" t="str">
        <f aca="false">IF($E$20&lt;=0,"",FIFO_helper!$C$20)</f>
        <v/>
      </c>
      <c r="AQ115" s="0" t="str">
        <f aca="false">IF($E$20&lt;=0,"","↳ Chancho (prod.)")</f>
        <v/>
      </c>
      <c r="AR115" s="0" t="str">
        <f aca="false">IF($E$20&lt;=0,"","CHANCHO")</f>
        <v/>
      </c>
      <c r="AS115" s="0" t="str">
        <f aca="false">""</f>
        <v/>
      </c>
      <c r="AT115" s="0" t="str">
        <f aca="false">IF($E$20&lt;=0,"",$E$20)</f>
        <v/>
      </c>
      <c r="AU115" s="0" t="str">
        <f aca="false">IF($E$20&lt;=0,"","sacos")</f>
        <v/>
      </c>
      <c r="AV115" s="0" t="n">
        <f aca="false">IF($E$20&lt;=0,0,1)</f>
        <v>0</v>
      </c>
      <c r="AW115" s="0" t="n">
        <f aca="false">AW114+AV115</f>
        <v>31</v>
      </c>
    </row>
    <row r="116" customFormat="false" ht="15" hidden="false" customHeight="false" outlineLevel="0" collapsed="false">
      <c r="AP116" s="0" t="str">
        <f aca="false">IF($R$21&lt;=0,"",FIFO_helper!$C$21)</f>
        <v/>
      </c>
      <c r="AQ116" s="0" t="str">
        <f aca="false">IF($R$21&lt;=0,"",$S$21)</f>
        <v/>
      </c>
      <c r="AR116" s="0" t="str">
        <f aca="false">IF($R$21&lt;=0,"","PRIMERA")</f>
        <v/>
      </c>
      <c r="AS116" s="0" t="str">
        <f aca="false">IF($R$21&lt;=0,"",$T$21)</f>
        <v/>
      </c>
      <c r="AT116" s="0" t="str">
        <f aca="false">IF($R$21&lt;=0,"",$R$21)</f>
        <v/>
      </c>
      <c r="AU116" s="0" t="str">
        <f aca="false">IF($R$21&lt;=0,"","kg")</f>
        <v/>
      </c>
      <c r="AV116" s="0" t="n">
        <f aca="false">IF($R$21&lt;=0,0,1)</f>
        <v>0</v>
      </c>
      <c r="AW116" s="0" t="n">
        <f aca="false">AW115+AV116</f>
        <v>31</v>
      </c>
    </row>
    <row r="117" customFormat="false" ht="15" hidden="false" customHeight="false" outlineLevel="0" collapsed="false">
      <c r="AP117" s="0" t="str">
        <f aca="false">IF($X$21&lt;=0,"",FIFO_helper!$C$21)</f>
        <v/>
      </c>
      <c r="AQ117" s="0" t="str">
        <f aca="false">IF($X$21&lt;=0,"",$Y$21)</f>
        <v/>
      </c>
      <c r="AR117" s="0" t="str">
        <f aca="false">IF($X$21&lt;=0,"","PRIMERA")</f>
        <v/>
      </c>
      <c r="AS117" s="0" t="str">
        <f aca="false">IF($X$21&lt;=0,"",$Z$21)</f>
        <v/>
      </c>
      <c r="AT117" s="0" t="str">
        <f aca="false">IF($X$21&lt;=0,"",$X$21)</f>
        <v/>
      </c>
      <c r="AU117" s="0" t="str">
        <f aca="false">IF($X$21&lt;=0,"","kg")</f>
        <v/>
      </c>
      <c r="AV117" s="0" t="n">
        <f aca="false">IF($X$21&lt;=0,0,1)</f>
        <v>0</v>
      </c>
      <c r="AW117" s="0" t="n">
        <f aca="false">AW116+AV117</f>
        <v>31</v>
      </c>
    </row>
    <row r="118" customFormat="false" ht="15" hidden="false" customHeight="false" outlineLevel="0" collapsed="false">
      <c r="AP118" s="0" t="str">
        <f aca="false">IF($AD$21&lt;=0,"",FIFO_helper!$C$21)</f>
        <v/>
      </c>
      <c r="AQ118" s="0" t="str">
        <f aca="false">IF($AD$21&lt;=0,"",$AE$21)</f>
        <v/>
      </c>
      <c r="AR118" s="0" t="str">
        <f aca="false">IF($AD$21&lt;=0,"","PRIMERA")</f>
        <v/>
      </c>
      <c r="AS118" s="0" t="str">
        <f aca="false">IF($AD$21&lt;=0,"",$AF$21)</f>
        <v/>
      </c>
      <c r="AT118" s="0" t="str">
        <f aca="false">IF($AD$21&lt;=0,"",$AD$21)</f>
        <v/>
      </c>
      <c r="AU118" s="0" t="str">
        <f aca="false">IF($AD$21&lt;=0,"","kg")</f>
        <v/>
      </c>
      <c r="AV118" s="0" t="n">
        <f aca="false">IF($AD$21&lt;=0,0,1)</f>
        <v>0</v>
      </c>
      <c r="AW118" s="0" t="n">
        <f aca="false">AW117+AV118</f>
        <v>31</v>
      </c>
    </row>
    <row r="119" customFormat="false" ht="15" hidden="false" customHeight="false" outlineLevel="0" collapsed="false">
      <c r="AP119" s="0" t="str">
        <f aca="false">IF($AJ$21&lt;=0,"",FIFO_helper!$C$21)</f>
        <v/>
      </c>
      <c r="AQ119" s="0" t="str">
        <f aca="false">IF($AJ$21&lt;=0,"",$AK$21)</f>
        <v/>
      </c>
      <c r="AR119" s="0" t="str">
        <f aca="false">IF($AJ$21&lt;=0,"","PRIMERA")</f>
        <v/>
      </c>
      <c r="AS119" s="0" t="str">
        <f aca="false">IF($AJ$21&lt;=0,"",$AL$21)</f>
        <v/>
      </c>
      <c r="AT119" s="0" t="str">
        <f aca="false">IF($AJ$21&lt;=0,"",$AJ$21)</f>
        <v/>
      </c>
      <c r="AU119" s="0" t="str">
        <f aca="false">IF($AJ$21&lt;=0,"","kg")</f>
        <v/>
      </c>
      <c r="AV119" s="0" t="n">
        <f aca="false">IF($AJ$21&lt;=0,0,1)</f>
        <v>0</v>
      </c>
      <c r="AW119" s="0" t="n">
        <f aca="false">AW118+AV119</f>
        <v>31</v>
      </c>
    </row>
    <row r="120" customFormat="false" ht="15" hidden="false" customHeight="false" outlineLevel="0" collapsed="false">
      <c r="AP120" s="0" t="str">
        <f aca="false">IF($AN$21&lt;=0,"",FIFO_helper!$C$21)</f>
        <v/>
      </c>
      <c r="AQ120" s="0" t="str">
        <f aca="false">IF($AN$21&lt;=0,"","(queda en planta)")</f>
        <v/>
      </c>
      <c r="AR120" s="0" t="str">
        <f aca="false">IF($AN$21&lt;=0,"","PRIMERA")</f>
        <v/>
      </c>
      <c r="AS120" s="0" t="str">
        <f aca="false">""</f>
        <v/>
      </c>
      <c r="AT120" s="0" t="str">
        <f aca="false">IF($AN$21&lt;=0,"",$AN$21)</f>
        <v/>
      </c>
      <c r="AU120" s="0" t="str">
        <f aca="false">IF($AN$21&lt;=0,"","kg")</f>
        <v/>
      </c>
      <c r="AV120" s="0" t="n">
        <f aca="false">IF($AN$21&lt;=0,0,1)</f>
        <v>0</v>
      </c>
      <c r="AW120" s="0" t="n">
        <f aca="false">AW119+AV120</f>
        <v>31</v>
      </c>
    </row>
    <row r="121" customFormat="false" ht="15" hidden="false" customHeight="false" outlineLevel="0" collapsed="false">
      <c r="AP121" s="0" t="str">
        <f aca="false">IF($E$21&lt;=0,"",FIFO_helper!$C$21)</f>
        <v/>
      </c>
      <c r="AQ121" s="0" t="str">
        <f aca="false">IF($E$21&lt;=0,"","↳ Chancho (prod.)")</f>
        <v/>
      </c>
      <c r="AR121" s="0" t="str">
        <f aca="false">IF($E$21&lt;=0,"","CHANCHO")</f>
        <v/>
      </c>
      <c r="AS121" s="0" t="str">
        <f aca="false">""</f>
        <v/>
      </c>
      <c r="AT121" s="0" t="str">
        <f aca="false">IF($E$21&lt;=0,"",$E$21)</f>
        <v/>
      </c>
      <c r="AU121" s="0" t="str">
        <f aca="false">IF($E$21&lt;=0,"","sacos")</f>
        <v/>
      </c>
      <c r="AV121" s="0" t="n">
        <f aca="false">IF($E$21&lt;=0,0,1)</f>
        <v>0</v>
      </c>
      <c r="AW121" s="0" t="n">
        <f aca="false">AW120+AV121</f>
        <v>31</v>
      </c>
    </row>
    <row r="122" customFormat="false" ht="15" hidden="false" customHeight="false" outlineLevel="0" collapsed="false">
      <c r="AP122" s="0" t="str">
        <f aca="false">IF($R$22&lt;=0,"",FIFO_helper!$C$22)</f>
        <v/>
      </c>
      <c r="AQ122" s="0" t="str">
        <f aca="false">IF($R$22&lt;=0,"",$S$22)</f>
        <v/>
      </c>
      <c r="AR122" s="0" t="str">
        <f aca="false">IF($R$22&lt;=0,"","PRIMERA")</f>
        <v/>
      </c>
      <c r="AS122" s="0" t="str">
        <f aca="false">IF($R$22&lt;=0,"",$T$22)</f>
        <v/>
      </c>
      <c r="AT122" s="0" t="str">
        <f aca="false">IF($R$22&lt;=0,"",$R$22)</f>
        <v/>
      </c>
      <c r="AU122" s="0" t="str">
        <f aca="false">IF($R$22&lt;=0,"","kg")</f>
        <v/>
      </c>
      <c r="AV122" s="0" t="n">
        <f aca="false">IF($R$22&lt;=0,0,1)</f>
        <v>0</v>
      </c>
      <c r="AW122" s="0" t="n">
        <f aca="false">AW121+AV122</f>
        <v>31</v>
      </c>
    </row>
    <row r="123" customFormat="false" ht="15" hidden="false" customHeight="false" outlineLevel="0" collapsed="false">
      <c r="AP123" s="0" t="str">
        <f aca="false">IF($X$22&lt;=0,"",FIFO_helper!$C$22)</f>
        <v/>
      </c>
      <c r="AQ123" s="0" t="str">
        <f aca="false">IF($X$22&lt;=0,"",$Y$22)</f>
        <v/>
      </c>
      <c r="AR123" s="0" t="str">
        <f aca="false">IF($X$22&lt;=0,"","PRIMERA")</f>
        <v/>
      </c>
      <c r="AS123" s="0" t="str">
        <f aca="false">IF($X$22&lt;=0,"",$Z$22)</f>
        <v/>
      </c>
      <c r="AT123" s="0" t="str">
        <f aca="false">IF($X$22&lt;=0,"",$X$22)</f>
        <v/>
      </c>
      <c r="AU123" s="0" t="str">
        <f aca="false">IF($X$22&lt;=0,"","kg")</f>
        <v/>
      </c>
      <c r="AV123" s="0" t="n">
        <f aca="false">IF($X$22&lt;=0,0,1)</f>
        <v>0</v>
      </c>
      <c r="AW123" s="0" t="n">
        <f aca="false">AW122+AV123</f>
        <v>31</v>
      </c>
    </row>
    <row r="124" customFormat="false" ht="15" hidden="false" customHeight="false" outlineLevel="0" collapsed="false">
      <c r="AP124" s="0" t="str">
        <f aca="false">IF($AD$22&lt;=0,"",FIFO_helper!$C$22)</f>
        <v/>
      </c>
      <c r="AQ124" s="0" t="str">
        <f aca="false">IF($AD$22&lt;=0,"",$AE$22)</f>
        <v/>
      </c>
      <c r="AR124" s="0" t="str">
        <f aca="false">IF($AD$22&lt;=0,"","PRIMERA")</f>
        <v/>
      </c>
      <c r="AS124" s="0" t="str">
        <f aca="false">IF($AD$22&lt;=0,"",$AF$22)</f>
        <v/>
      </c>
      <c r="AT124" s="0" t="str">
        <f aca="false">IF($AD$22&lt;=0,"",$AD$22)</f>
        <v/>
      </c>
      <c r="AU124" s="0" t="str">
        <f aca="false">IF($AD$22&lt;=0,"","kg")</f>
        <v/>
      </c>
      <c r="AV124" s="0" t="n">
        <f aca="false">IF($AD$22&lt;=0,0,1)</f>
        <v>0</v>
      </c>
      <c r="AW124" s="0" t="n">
        <f aca="false">AW123+AV124</f>
        <v>31</v>
      </c>
    </row>
    <row r="125" customFormat="false" ht="15" hidden="false" customHeight="false" outlineLevel="0" collapsed="false">
      <c r="AP125" s="0" t="str">
        <f aca="false">IF($AJ$22&lt;=0,"",FIFO_helper!$C$22)</f>
        <v/>
      </c>
      <c r="AQ125" s="0" t="str">
        <f aca="false">IF($AJ$22&lt;=0,"",$AK$22)</f>
        <v/>
      </c>
      <c r="AR125" s="0" t="str">
        <f aca="false">IF($AJ$22&lt;=0,"","PRIMERA")</f>
        <v/>
      </c>
      <c r="AS125" s="0" t="str">
        <f aca="false">IF($AJ$22&lt;=0,"",$AL$22)</f>
        <v/>
      </c>
      <c r="AT125" s="0" t="str">
        <f aca="false">IF($AJ$22&lt;=0,"",$AJ$22)</f>
        <v/>
      </c>
      <c r="AU125" s="0" t="str">
        <f aca="false">IF($AJ$22&lt;=0,"","kg")</f>
        <v/>
      </c>
      <c r="AV125" s="0" t="n">
        <f aca="false">IF($AJ$22&lt;=0,0,1)</f>
        <v>0</v>
      </c>
      <c r="AW125" s="0" t="n">
        <f aca="false">AW124+AV125</f>
        <v>31</v>
      </c>
    </row>
    <row r="126" customFormat="false" ht="15" hidden="false" customHeight="false" outlineLevel="0" collapsed="false">
      <c r="AP126" s="0" t="str">
        <f aca="false">IF($AN$22&lt;=0,"",FIFO_helper!$C$22)</f>
        <v/>
      </c>
      <c r="AQ126" s="0" t="str">
        <f aca="false">IF($AN$22&lt;=0,"","(queda en planta)")</f>
        <v/>
      </c>
      <c r="AR126" s="0" t="str">
        <f aca="false">IF($AN$22&lt;=0,"","PRIMERA")</f>
        <v/>
      </c>
      <c r="AS126" s="0" t="str">
        <f aca="false">""</f>
        <v/>
      </c>
      <c r="AT126" s="0" t="str">
        <f aca="false">IF($AN$22&lt;=0,"",$AN$22)</f>
        <v/>
      </c>
      <c r="AU126" s="0" t="str">
        <f aca="false">IF($AN$22&lt;=0,"","kg")</f>
        <v/>
      </c>
      <c r="AV126" s="0" t="n">
        <f aca="false">IF($AN$22&lt;=0,0,1)</f>
        <v>0</v>
      </c>
      <c r="AW126" s="0" t="n">
        <f aca="false">AW125+AV126</f>
        <v>31</v>
      </c>
    </row>
    <row r="127" customFormat="false" ht="15" hidden="false" customHeight="false" outlineLevel="0" collapsed="false">
      <c r="AP127" s="0" t="str">
        <f aca="false">IF($E$22&lt;=0,"",FIFO_helper!$C$22)</f>
        <v/>
      </c>
      <c r="AQ127" s="0" t="str">
        <f aca="false">IF($E$22&lt;=0,"","↳ Chancho (prod.)")</f>
        <v/>
      </c>
      <c r="AR127" s="0" t="str">
        <f aca="false">IF($E$22&lt;=0,"","CHANCHO")</f>
        <v/>
      </c>
      <c r="AS127" s="0" t="str">
        <f aca="false">""</f>
        <v/>
      </c>
      <c r="AT127" s="0" t="str">
        <f aca="false">IF($E$22&lt;=0,"",$E$22)</f>
        <v/>
      </c>
      <c r="AU127" s="0" t="str">
        <f aca="false">IF($E$22&lt;=0,"","sacos")</f>
        <v/>
      </c>
      <c r="AV127" s="0" t="n">
        <f aca="false">IF($E$22&lt;=0,0,1)</f>
        <v>0</v>
      </c>
      <c r="AW127" s="0" t="n">
        <f aca="false">AW126+AV127</f>
        <v>31</v>
      </c>
    </row>
    <row r="128" customFormat="false" ht="15" hidden="false" customHeight="false" outlineLevel="0" collapsed="false">
      <c r="AP128" s="0" t="str">
        <f aca="false">IF($R$23&lt;=0,"",FIFO_helper!$C$23)</f>
        <v/>
      </c>
      <c r="AQ128" s="0" t="str">
        <f aca="false">IF($R$23&lt;=0,"",$S$23)</f>
        <v/>
      </c>
      <c r="AR128" s="0" t="str">
        <f aca="false">IF($R$23&lt;=0,"","PRIMERA")</f>
        <v/>
      </c>
      <c r="AS128" s="0" t="str">
        <f aca="false">IF($R$23&lt;=0,"",$T$23)</f>
        <v/>
      </c>
      <c r="AT128" s="0" t="str">
        <f aca="false">IF($R$23&lt;=0,"",$R$23)</f>
        <v/>
      </c>
      <c r="AU128" s="0" t="str">
        <f aca="false">IF($R$23&lt;=0,"","kg")</f>
        <v/>
      </c>
      <c r="AV128" s="0" t="n">
        <f aca="false">IF($R$23&lt;=0,0,1)</f>
        <v>0</v>
      </c>
      <c r="AW128" s="0" t="n">
        <f aca="false">AW127+AV128</f>
        <v>31</v>
      </c>
    </row>
    <row r="129" customFormat="false" ht="15" hidden="false" customHeight="false" outlineLevel="0" collapsed="false">
      <c r="AP129" s="0" t="str">
        <f aca="false">IF($X$23&lt;=0,"",FIFO_helper!$C$23)</f>
        <v/>
      </c>
      <c r="AQ129" s="0" t="str">
        <f aca="false">IF($X$23&lt;=0,"",$Y$23)</f>
        <v/>
      </c>
      <c r="AR129" s="0" t="str">
        <f aca="false">IF($X$23&lt;=0,"","PRIMERA")</f>
        <v/>
      </c>
      <c r="AS129" s="0" t="str">
        <f aca="false">IF($X$23&lt;=0,"",$Z$23)</f>
        <v/>
      </c>
      <c r="AT129" s="0" t="str">
        <f aca="false">IF($X$23&lt;=0,"",$X$23)</f>
        <v/>
      </c>
      <c r="AU129" s="0" t="str">
        <f aca="false">IF($X$23&lt;=0,"","kg")</f>
        <v/>
      </c>
      <c r="AV129" s="0" t="n">
        <f aca="false">IF($X$23&lt;=0,0,1)</f>
        <v>0</v>
      </c>
      <c r="AW129" s="0" t="n">
        <f aca="false">AW128+AV129</f>
        <v>31</v>
      </c>
    </row>
    <row r="130" customFormat="false" ht="15" hidden="false" customHeight="false" outlineLevel="0" collapsed="false">
      <c r="AP130" s="0" t="str">
        <f aca="false">IF($AD$23&lt;=0,"",FIFO_helper!$C$23)</f>
        <v/>
      </c>
      <c r="AQ130" s="0" t="str">
        <f aca="false">IF($AD$23&lt;=0,"",$AE$23)</f>
        <v/>
      </c>
      <c r="AR130" s="0" t="str">
        <f aca="false">IF($AD$23&lt;=0,"","PRIMERA")</f>
        <v/>
      </c>
      <c r="AS130" s="0" t="str">
        <f aca="false">IF($AD$23&lt;=0,"",$AF$23)</f>
        <v/>
      </c>
      <c r="AT130" s="0" t="str">
        <f aca="false">IF($AD$23&lt;=0,"",$AD$23)</f>
        <v/>
      </c>
      <c r="AU130" s="0" t="str">
        <f aca="false">IF($AD$23&lt;=0,"","kg")</f>
        <v/>
      </c>
      <c r="AV130" s="0" t="n">
        <f aca="false">IF($AD$23&lt;=0,0,1)</f>
        <v>0</v>
      </c>
      <c r="AW130" s="0" t="n">
        <f aca="false">AW129+AV130</f>
        <v>31</v>
      </c>
    </row>
    <row r="131" customFormat="false" ht="15" hidden="false" customHeight="false" outlineLevel="0" collapsed="false">
      <c r="AP131" s="0" t="str">
        <f aca="false">IF($AJ$23&lt;=0,"",FIFO_helper!$C$23)</f>
        <v/>
      </c>
      <c r="AQ131" s="0" t="str">
        <f aca="false">IF($AJ$23&lt;=0,"",$AK$23)</f>
        <v/>
      </c>
      <c r="AR131" s="0" t="str">
        <f aca="false">IF($AJ$23&lt;=0,"","PRIMERA")</f>
        <v/>
      </c>
      <c r="AS131" s="0" t="str">
        <f aca="false">IF($AJ$23&lt;=0,"",$AL$23)</f>
        <v/>
      </c>
      <c r="AT131" s="0" t="str">
        <f aca="false">IF($AJ$23&lt;=0,"",$AJ$23)</f>
        <v/>
      </c>
      <c r="AU131" s="0" t="str">
        <f aca="false">IF($AJ$23&lt;=0,"","kg")</f>
        <v/>
      </c>
      <c r="AV131" s="0" t="n">
        <f aca="false">IF($AJ$23&lt;=0,0,1)</f>
        <v>0</v>
      </c>
      <c r="AW131" s="0" t="n">
        <f aca="false">AW130+AV131</f>
        <v>31</v>
      </c>
    </row>
    <row r="132" customFormat="false" ht="15" hidden="false" customHeight="false" outlineLevel="0" collapsed="false">
      <c r="AP132" s="0" t="str">
        <f aca="false">IF($AN$23&lt;=0,"",FIFO_helper!$C$23)</f>
        <v/>
      </c>
      <c r="AQ132" s="0" t="str">
        <f aca="false">IF($AN$23&lt;=0,"","(queda en planta)")</f>
        <v/>
      </c>
      <c r="AR132" s="0" t="str">
        <f aca="false">IF($AN$23&lt;=0,"","PRIMERA")</f>
        <v/>
      </c>
      <c r="AS132" s="0" t="str">
        <f aca="false">""</f>
        <v/>
      </c>
      <c r="AT132" s="0" t="str">
        <f aca="false">IF($AN$23&lt;=0,"",$AN$23)</f>
        <v/>
      </c>
      <c r="AU132" s="0" t="str">
        <f aca="false">IF($AN$23&lt;=0,"","kg")</f>
        <v/>
      </c>
      <c r="AV132" s="0" t="n">
        <f aca="false">IF($AN$23&lt;=0,0,1)</f>
        <v>0</v>
      </c>
      <c r="AW132" s="0" t="n">
        <f aca="false">AW131+AV132</f>
        <v>31</v>
      </c>
    </row>
    <row r="133" customFormat="false" ht="15" hidden="false" customHeight="false" outlineLevel="0" collapsed="false">
      <c r="AP133" s="0" t="str">
        <f aca="false">IF($E$23&lt;=0,"",FIFO_helper!$C$23)</f>
        <v/>
      </c>
      <c r="AQ133" s="0" t="str">
        <f aca="false">IF($E$23&lt;=0,"","↳ Chancho (prod.)")</f>
        <v/>
      </c>
      <c r="AR133" s="0" t="str">
        <f aca="false">IF($E$23&lt;=0,"","CHANCHO")</f>
        <v/>
      </c>
      <c r="AS133" s="0" t="str">
        <f aca="false">""</f>
        <v/>
      </c>
      <c r="AT133" s="0" t="str">
        <f aca="false">IF($E$23&lt;=0,"",$E$23)</f>
        <v/>
      </c>
      <c r="AU133" s="0" t="str">
        <f aca="false">IF($E$23&lt;=0,"","sacos")</f>
        <v/>
      </c>
      <c r="AV133" s="0" t="n">
        <f aca="false">IF($E$23&lt;=0,0,1)</f>
        <v>0</v>
      </c>
      <c r="AW133" s="0" t="n">
        <f aca="false">AW132+AV133</f>
        <v>31</v>
      </c>
    </row>
    <row r="134" customFormat="false" ht="15" hidden="false" customHeight="false" outlineLevel="0" collapsed="false">
      <c r="AP134" s="0" t="str">
        <f aca="false">IF($R$24&lt;=0,"",FIFO_helper!$C$24)</f>
        <v/>
      </c>
      <c r="AQ134" s="0" t="str">
        <f aca="false">IF($R$24&lt;=0,"",$S$24)</f>
        <v/>
      </c>
      <c r="AR134" s="0" t="str">
        <f aca="false">IF($R$24&lt;=0,"","PRIMERA")</f>
        <v/>
      </c>
      <c r="AS134" s="0" t="str">
        <f aca="false">IF($R$24&lt;=0,"",$T$24)</f>
        <v/>
      </c>
      <c r="AT134" s="0" t="str">
        <f aca="false">IF($R$24&lt;=0,"",$R$24)</f>
        <v/>
      </c>
      <c r="AU134" s="0" t="str">
        <f aca="false">IF($R$24&lt;=0,"","kg")</f>
        <v/>
      </c>
      <c r="AV134" s="0" t="n">
        <f aca="false">IF($R$24&lt;=0,0,1)</f>
        <v>0</v>
      </c>
      <c r="AW134" s="0" t="n">
        <f aca="false">AW133+AV134</f>
        <v>31</v>
      </c>
    </row>
    <row r="135" customFormat="false" ht="15" hidden="false" customHeight="false" outlineLevel="0" collapsed="false">
      <c r="AP135" s="0" t="str">
        <f aca="false">IF($X$24&lt;=0,"",FIFO_helper!$C$24)</f>
        <v/>
      </c>
      <c r="AQ135" s="0" t="str">
        <f aca="false">IF($X$24&lt;=0,"",$Y$24)</f>
        <v/>
      </c>
      <c r="AR135" s="0" t="str">
        <f aca="false">IF($X$24&lt;=0,"","PRIMERA")</f>
        <v/>
      </c>
      <c r="AS135" s="0" t="str">
        <f aca="false">IF($X$24&lt;=0,"",$Z$24)</f>
        <v/>
      </c>
      <c r="AT135" s="0" t="str">
        <f aca="false">IF($X$24&lt;=0,"",$X$24)</f>
        <v/>
      </c>
      <c r="AU135" s="0" t="str">
        <f aca="false">IF($X$24&lt;=0,"","kg")</f>
        <v/>
      </c>
      <c r="AV135" s="0" t="n">
        <f aca="false">IF($X$24&lt;=0,0,1)</f>
        <v>0</v>
      </c>
      <c r="AW135" s="0" t="n">
        <f aca="false">AW134+AV135</f>
        <v>31</v>
      </c>
    </row>
    <row r="136" customFormat="false" ht="15" hidden="false" customHeight="false" outlineLevel="0" collapsed="false">
      <c r="AP136" s="0" t="str">
        <f aca="false">IF($AD$24&lt;=0,"",FIFO_helper!$C$24)</f>
        <v/>
      </c>
      <c r="AQ136" s="0" t="str">
        <f aca="false">IF($AD$24&lt;=0,"",$AE$24)</f>
        <v/>
      </c>
      <c r="AR136" s="0" t="str">
        <f aca="false">IF($AD$24&lt;=0,"","PRIMERA")</f>
        <v/>
      </c>
      <c r="AS136" s="0" t="str">
        <f aca="false">IF($AD$24&lt;=0,"",$AF$24)</f>
        <v/>
      </c>
      <c r="AT136" s="0" t="str">
        <f aca="false">IF($AD$24&lt;=0,"",$AD$24)</f>
        <v/>
      </c>
      <c r="AU136" s="0" t="str">
        <f aca="false">IF($AD$24&lt;=0,"","kg")</f>
        <v/>
      </c>
      <c r="AV136" s="0" t="n">
        <f aca="false">IF($AD$24&lt;=0,0,1)</f>
        <v>0</v>
      </c>
      <c r="AW136" s="0" t="n">
        <f aca="false">AW135+AV136</f>
        <v>31</v>
      </c>
    </row>
    <row r="137" customFormat="false" ht="15" hidden="false" customHeight="false" outlineLevel="0" collapsed="false">
      <c r="AP137" s="0" t="str">
        <f aca="false">IF($AJ$24&lt;=0,"",FIFO_helper!$C$24)</f>
        <v/>
      </c>
      <c r="AQ137" s="0" t="str">
        <f aca="false">IF($AJ$24&lt;=0,"",$AK$24)</f>
        <v/>
      </c>
      <c r="AR137" s="0" t="str">
        <f aca="false">IF($AJ$24&lt;=0,"","PRIMERA")</f>
        <v/>
      </c>
      <c r="AS137" s="0" t="str">
        <f aca="false">IF($AJ$24&lt;=0,"",$AL$24)</f>
        <v/>
      </c>
      <c r="AT137" s="0" t="str">
        <f aca="false">IF($AJ$24&lt;=0,"",$AJ$24)</f>
        <v/>
      </c>
      <c r="AU137" s="0" t="str">
        <f aca="false">IF($AJ$24&lt;=0,"","kg")</f>
        <v/>
      </c>
      <c r="AV137" s="0" t="n">
        <f aca="false">IF($AJ$24&lt;=0,0,1)</f>
        <v>0</v>
      </c>
      <c r="AW137" s="0" t="n">
        <f aca="false">AW136+AV137</f>
        <v>31</v>
      </c>
    </row>
    <row r="138" customFormat="false" ht="15" hidden="false" customHeight="false" outlineLevel="0" collapsed="false">
      <c r="AP138" s="0" t="str">
        <f aca="false">IF($AN$24&lt;=0,"",FIFO_helper!$C$24)</f>
        <v/>
      </c>
      <c r="AQ138" s="0" t="str">
        <f aca="false">IF($AN$24&lt;=0,"","(queda en planta)")</f>
        <v/>
      </c>
      <c r="AR138" s="0" t="str">
        <f aca="false">IF($AN$24&lt;=0,"","PRIMERA")</f>
        <v/>
      </c>
      <c r="AS138" s="0" t="str">
        <f aca="false">""</f>
        <v/>
      </c>
      <c r="AT138" s="0" t="str">
        <f aca="false">IF($AN$24&lt;=0,"",$AN$24)</f>
        <v/>
      </c>
      <c r="AU138" s="0" t="str">
        <f aca="false">IF($AN$24&lt;=0,"","kg")</f>
        <v/>
      </c>
      <c r="AV138" s="0" t="n">
        <f aca="false">IF($AN$24&lt;=0,0,1)</f>
        <v>0</v>
      </c>
      <c r="AW138" s="0" t="n">
        <f aca="false">AW137+AV138</f>
        <v>31</v>
      </c>
    </row>
    <row r="139" customFormat="false" ht="15" hidden="false" customHeight="false" outlineLevel="0" collapsed="false">
      <c r="AP139" s="0" t="str">
        <f aca="false">IF($E$24&lt;=0,"",FIFO_helper!$C$24)</f>
        <v/>
      </c>
      <c r="AQ139" s="0" t="str">
        <f aca="false">IF($E$24&lt;=0,"","↳ Chancho (prod.)")</f>
        <v/>
      </c>
      <c r="AR139" s="0" t="str">
        <f aca="false">IF($E$24&lt;=0,"","CHANCHO")</f>
        <v/>
      </c>
      <c r="AS139" s="0" t="str">
        <f aca="false">""</f>
        <v/>
      </c>
      <c r="AT139" s="0" t="str">
        <f aca="false">IF($E$24&lt;=0,"",$E$24)</f>
        <v/>
      </c>
      <c r="AU139" s="0" t="str">
        <f aca="false">IF($E$24&lt;=0,"","sacos")</f>
        <v/>
      </c>
      <c r="AV139" s="0" t="n">
        <f aca="false">IF($E$24&lt;=0,0,1)</f>
        <v>0</v>
      </c>
      <c r="AW139" s="0" t="n">
        <f aca="false">AW138+AV139</f>
        <v>31</v>
      </c>
    </row>
    <row r="140" customFormat="false" ht="15" hidden="false" customHeight="false" outlineLevel="0" collapsed="false">
      <c r="AP140" s="0" t="str">
        <f aca="false">IF($R$25&lt;=0,"",FIFO_helper!$C$25)</f>
        <v/>
      </c>
      <c r="AQ140" s="0" t="str">
        <f aca="false">IF($R$25&lt;=0,"",$S$25)</f>
        <v/>
      </c>
      <c r="AR140" s="0" t="str">
        <f aca="false">IF($R$25&lt;=0,"","PRIMERA")</f>
        <v/>
      </c>
      <c r="AS140" s="0" t="str">
        <f aca="false">IF($R$25&lt;=0,"",$T$25)</f>
        <v/>
      </c>
      <c r="AT140" s="0" t="str">
        <f aca="false">IF($R$25&lt;=0,"",$R$25)</f>
        <v/>
      </c>
      <c r="AU140" s="0" t="str">
        <f aca="false">IF($R$25&lt;=0,"","kg")</f>
        <v/>
      </c>
      <c r="AV140" s="0" t="n">
        <f aca="false">IF($R$25&lt;=0,0,1)</f>
        <v>0</v>
      </c>
      <c r="AW140" s="0" t="n">
        <f aca="false">AW139+AV140</f>
        <v>31</v>
      </c>
    </row>
    <row r="141" customFormat="false" ht="15" hidden="false" customHeight="false" outlineLevel="0" collapsed="false">
      <c r="AP141" s="0" t="str">
        <f aca="false">IF($X$25&lt;=0,"",FIFO_helper!$C$25)</f>
        <v/>
      </c>
      <c r="AQ141" s="0" t="str">
        <f aca="false">IF($X$25&lt;=0,"",$Y$25)</f>
        <v/>
      </c>
      <c r="AR141" s="0" t="str">
        <f aca="false">IF($X$25&lt;=0,"","PRIMERA")</f>
        <v/>
      </c>
      <c r="AS141" s="0" t="str">
        <f aca="false">IF($X$25&lt;=0,"",$Z$25)</f>
        <v/>
      </c>
      <c r="AT141" s="0" t="str">
        <f aca="false">IF($X$25&lt;=0,"",$X$25)</f>
        <v/>
      </c>
      <c r="AU141" s="0" t="str">
        <f aca="false">IF($X$25&lt;=0,"","kg")</f>
        <v/>
      </c>
      <c r="AV141" s="0" t="n">
        <f aca="false">IF($X$25&lt;=0,0,1)</f>
        <v>0</v>
      </c>
      <c r="AW141" s="0" t="n">
        <f aca="false">AW140+AV141</f>
        <v>31</v>
      </c>
    </row>
    <row r="142" customFormat="false" ht="15" hidden="false" customHeight="false" outlineLevel="0" collapsed="false">
      <c r="AP142" s="0" t="str">
        <f aca="false">IF($AD$25&lt;=0,"",FIFO_helper!$C$25)</f>
        <v/>
      </c>
      <c r="AQ142" s="0" t="str">
        <f aca="false">IF($AD$25&lt;=0,"",$AE$25)</f>
        <v/>
      </c>
      <c r="AR142" s="0" t="str">
        <f aca="false">IF($AD$25&lt;=0,"","PRIMERA")</f>
        <v/>
      </c>
      <c r="AS142" s="0" t="str">
        <f aca="false">IF($AD$25&lt;=0,"",$AF$25)</f>
        <v/>
      </c>
      <c r="AT142" s="0" t="str">
        <f aca="false">IF($AD$25&lt;=0,"",$AD$25)</f>
        <v/>
      </c>
      <c r="AU142" s="0" t="str">
        <f aca="false">IF($AD$25&lt;=0,"","kg")</f>
        <v/>
      </c>
      <c r="AV142" s="0" t="n">
        <f aca="false">IF($AD$25&lt;=0,0,1)</f>
        <v>0</v>
      </c>
      <c r="AW142" s="0" t="n">
        <f aca="false">AW141+AV142</f>
        <v>31</v>
      </c>
    </row>
    <row r="143" customFormat="false" ht="15" hidden="false" customHeight="false" outlineLevel="0" collapsed="false">
      <c r="AP143" s="0" t="str">
        <f aca="false">IF($AJ$25&lt;=0,"",FIFO_helper!$C$25)</f>
        <v/>
      </c>
      <c r="AQ143" s="0" t="str">
        <f aca="false">IF($AJ$25&lt;=0,"",$AK$25)</f>
        <v/>
      </c>
      <c r="AR143" s="0" t="str">
        <f aca="false">IF($AJ$25&lt;=0,"","PRIMERA")</f>
        <v/>
      </c>
      <c r="AS143" s="0" t="str">
        <f aca="false">IF($AJ$25&lt;=0,"",$AL$25)</f>
        <v/>
      </c>
      <c r="AT143" s="0" t="str">
        <f aca="false">IF($AJ$25&lt;=0,"",$AJ$25)</f>
        <v/>
      </c>
      <c r="AU143" s="0" t="str">
        <f aca="false">IF($AJ$25&lt;=0,"","kg")</f>
        <v/>
      </c>
      <c r="AV143" s="0" t="n">
        <f aca="false">IF($AJ$25&lt;=0,0,1)</f>
        <v>0</v>
      </c>
      <c r="AW143" s="0" t="n">
        <f aca="false">AW142+AV143</f>
        <v>31</v>
      </c>
    </row>
    <row r="144" customFormat="false" ht="15" hidden="false" customHeight="false" outlineLevel="0" collapsed="false">
      <c r="AP144" s="0" t="str">
        <f aca="false">IF($AN$25&lt;=0,"",FIFO_helper!$C$25)</f>
        <v/>
      </c>
      <c r="AQ144" s="0" t="str">
        <f aca="false">IF($AN$25&lt;=0,"","(queda en planta)")</f>
        <v/>
      </c>
      <c r="AR144" s="0" t="str">
        <f aca="false">IF($AN$25&lt;=0,"","PRIMERA")</f>
        <v/>
      </c>
      <c r="AS144" s="0" t="str">
        <f aca="false">""</f>
        <v/>
      </c>
      <c r="AT144" s="0" t="str">
        <f aca="false">IF($AN$25&lt;=0,"",$AN$25)</f>
        <v/>
      </c>
      <c r="AU144" s="0" t="str">
        <f aca="false">IF($AN$25&lt;=0,"","kg")</f>
        <v/>
      </c>
      <c r="AV144" s="0" t="n">
        <f aca="false">IF($AN$25&lt;=0,0,1)</f>
        <v>0</v>
      </c>
      <c r="AW144" s="0" t="n">
        <f aca="false">AW143+AV144</f>
        <v>31</v>
      </c>
    </row>
    <row r="145" customFormat="false" ht="15" hidden="false" customHeight="false" outlineLevel="0" collapsed="false">
      <c r="AP145" s="0" t="str">
        <f aca="false">IF($E$25&lt;=0,"",FIFO_helper!$C$25)</f>
        <v/>
      </c>
      <c r="AQ145" s="0" t="str">
        <f aca="false">IF($E$25&lt;=0,"","↳ Chancho (prod.)")</f>
        <v/>
      </c>
      <c r="AR145" s="0" t="str">
        <f aca="false">IF($E$25&lt;=0,"","CHANCHO")</f>
        <v/>
      </c>
      <c r="AS145" s="0" t="str">
        <f aca="false">""</f>
        <v/>
      </c>
      <c r="AT145" s="0" t="str">
        <f aca="false">IF($E$25&lt;=0,"",$E$25)</f>
        <v/>
      </c>
      <c r="AU145" s="0" t="str">
        <f aca="false">IF($E$25&lt;=0,"","sacos")</f>
        <v/>
      </c>
      <c r="AV145" s="0" t="n">
        <f aca="false">IF($E$25&lt;=0,0,1)</f>
        <v>0</v>
      </c>
      <c r="AW145" s="0" t="n">
        <f aca="false">AW144+AV145</f>
        <v>31</v>
      </c>
    </row>
    <row r="146" customFormat="false" ht="15" hidden="false" customHeight="false" outlineLevel="0" collapsed="false">
      <c r="AP146" s="0" t="str">
        <f aca="false">IF($R$26&lt;=0,"",FIFO_helper!$C$26)</f>
        <v/>
      </c>
      <c r="AQ146" s="0" t="str">
        <f aca="false">IF($R$26&lt;=0,"",$S$26)</f>
        <v/>
      </c>
      <c r="AR146" s="0" t="str">
        <f aca="false">IF($R$26&lt;=0,"","PRIMERA")</f>
        <v/>
      </c>
      <c r="AS146" s="0" t="str">
        <f aca="false">IF($R$26&lt;=0,"",$T$26)</f>
        <v/>
      </c>
      <c r="AT146" s="0" t="str">
        <f aca="false">IF($R$26&lt;=0,"",$R$26)</f>
        <v/>
      </c>
      <c r="AU146" s="0" t="str">
        <f aca="false">IF($R$26&lt;=0,"","kg")</f>
        <v/>
      </c>
      <c r="AV146" s="0" t="n">
        <f aca="false">IF($R$26&lt;=0,0,1)</f>
        <v>0</v>
      </c>
      <c r="AW146" s="0" t="n">
        <f aca="false">AW145+AV146</f>
        <v>31</v>
      </c>
    </row>
    <row r="147" customFormat="false" ht="15" hidden="false" customHeight="false" outlineLevel="0" collapsed="false">
      <c r="AP147" s="0" t="str">
        <f aca="false">IF($X$26&lt;=0,"",FIFO_helper!$C$26)</f>
        <v/>
      </c>
      <c r="AQ147" s="0" t="str">
        <f aca="false">IF($X$26&lt;=0,"",$Y$26)</f>
        <v/>
      </c>
      <c r="AR147" s="0" t="str">
        <f aca="false">IF($X$26&lt;=0,"","PRIMERA")</f>
        <v/>
      </c>
      <c r="AS147" s="0" t="str">
        <f aca="false">IF($X$26&lt;=0,"",$Z$26)</f>
        <v/>
      </c>
      <c r="AT147" s="0" t="str">
        <f aca="false">IF($X$26&lt;=0,"",$X$26)</f>
        <v/>
      </c>
      <c r="AU147" s="0" t="str">
        <f aca="false">IF($X$26&lt;=0,"","kg")</f>
        <v/>
      </c>
      <c r="AV147" s="0" t="n">
        <f aca="false">IF($X$26&lt;=0,0,1)</f>
        <v>0</v>
      </c>
      <c r="AW147" s="0" t="n">
        <f aca="false">AW146+AV147</f>
        <v>31</v>
      </c>
    </row>
    <row r="148" customFormat="false" ht="15" hidden="false" customHeight="false" outlineLevel="0" collapsed="false">
      <c r="AP148" s="0" t="str">
        <f aca="false">IF($AD$26&lt;=0,"",FIFO_helper!$C$26)</f>
        <v/>
      </c>
      <c r="AQ148" s="0" t="str">
        <f aca="false">IF($AD$26&lt;=0,"",$AE$26)</f>
        <v/>
      </c>
      <c r="AR148" s="0" t="str">
        <f aca="false">IF($AD$26&lt;=0,"","PRIMERA")</f>
        <v/>
      </c>
      <c r="AS148" s="0" t="str">
        <f aca="false">IF($AD$26&lt;=0,"",$AF$26)</f>
        <v/>
      </c>
      <c r="AT148" s="0" t="str">
        <f aca="false">IF($AD$26&lt;=0,"",$AD$26)</f>
        <v/>
      </c>
      <c r="AU148" s="0" t="str">
        <f aca="false">IF($AD$26&lt;=0,"","kg")</f>
        <v/>
      </c>
      <c r="AV148" s="0" t="n">
        <f aca="false">IF($AD$26&lt;=0,0,1)</f>
        <v>0</v>
      </c>
      <c r="AW148" s="0" t="n">
        <f aca="false">AW147+AV148</f>
        <v>31</v>
      </c>
    </row>
    <row r="149" customFormat="false" ht="15" hidden="false" customHeight="false" outlineLevel="0" collapsed="false">
      <c r="AP149" s="0" t="str">
        <f aca="false">IF($AJ$26&lt;=0,"",FIFO_helper!$C$26)</f>
        <v/>
      </c>
      <c r="AQ149" s="0" t="str">
        <f aca="false">IF($AJ$26&lt;=0,"",$AK$26)</f>
        <v/>
      </c>
      <c r="AR149" s="0" t="str">
        <f aca="false">IF($AJ$26&lt;=0,"","PRIMERA")</f>
        <v/>
      </c>
      <c r="AS149" s="0" t="str">
        <f aca="false">IF($AJ$26&lt;=0,"",$AL$26)</f>
        <v/>
      </c>
      <c r="AT149" s="0" t="str">
        <f aca="false">IF($AJ$26&lt;=0,"",$AJ$26)</f>
        <v/>
      </c>
      <c r="AU149" s="0" t="str">
        <f aca="false">IF($AJ$26&lt;=0,"","kg")</f>
        <v/>
      </c>
      <c r="AV149" s="0" t="n">
        <f aca="false">IF($AJ$26&lt;=0,0,1)</f>
        <v>0</v>
      </c>
      <c r="AW149" s="0" t="n">
        <f aca="false">AW148+AV149</f>
        <v>31</v>
      </c>
    </row>
    <row r="150" customFormat="false" ht="15" hidden="false" customHeight="false" outlineLevel="0" collapsed="false">
      <c r="AP150" s="0" t="str">
        <f aca="false">IF($AN$26&lt;=0,"",FIFO_helper!$C$26)</f>
        <v/>
      </c>
      <c r="AQ150" s="0" t="str">
        <f aca="false">IF($AN$26&lt;=0,"","(queda en planta)")</f>
        <v/>
      </c>
      <c r="AR150" s="0" t="str">
        <f aca="false">IF($AN$26&lt;=0,"","PRIMERA")</f>
        <v/>
      </c>
      <c r="AS150" s="0" t="str">
        <f aca="false">""</f>
        <v/>
      </c>
      <c r="AT150" s="0" t="str">
        <f aca="false">IF($AN$26&lt;=0,"",$AN$26)</f>
        <v/>
      </c>
      <c r="AU150" s="0" t="str">
        <f aca="false">IF($AN$26&lt;=0,"","kg")</f>
        <v/>
      </c>
      <c r="AV150" s="0" t="n">
        <f aca="false">IF($AN$26&lt;=0,0,1)</f>
        <v>0</v>
      </c>
      <c r="AW150" s="0" t="n">
        <f aca="false">AW149+AV150</f>
        <v>31</v>
      </c>
    </row>
    <row r="151" customFormat="false" ht="15" hidden="false" customHeight="false" outlineLevel="0" collapsed="false">
      <c r="AP151" s="0" t="str">
        <f aca="false">IF($E$26&lt;=0,"",FIFO_helper!$C$26)</f>
        <v/>
      </c>
      <c r="AQ151" s="0" t="str">
        <f aca="false">IF($E$26&lt;=0,"","↳ Chancho (prod.)")</f>
        <v/>
      </c>
      <c r="AR151" s="0" t="str">
        <f aca="false">IF($E$26&lt;=0,"","CHANCHO")</f>
        <v/>
      </c>
      <c r="AS151" s="0" t="str">
        <f aca="false">""</f>
        <v/>
      </c>
      <c r="AT151" s="0" t="str">
        <f aca="false">IF($E$26&lt;=0,"",$E$26)</f>
        <v/>
      </c>
      <c r="AU151" s="0" t="str">
        <f aca="false">IF($E$26&lt;=0,"","sacos")</f>
        <v/>
      </c>
      <c r="AV151" s="0" t="n">
        <f aca="false">IF($E$26&lt;=0,0,1)</f>
        <v>0</v>
      </c>
      <c r="AW151" s="0" t="n">
        <f aca="false">AW150+AV151</f>
        <v>31</v>
      </c>
    </row>
    <row r="152" customFormat="false" ht="15" hidden="false" customHeight="false" outlineLevel="0" collapsed="false">
      <c r="AP152" s="0" t="str">
        <f aca="false">IF($R$27&lt;=0,"",FIFO_helper!$C$27)</f>
        <v/>
      </c>
      <c r="AQ152" s="0" t="str">
        <f aca="false">IF($R$27&lt;=0,"",$S$27)</f>
        <v/>
      </c>
      <c r="AR152" s="0" t="str">
        <f aca="false">IF($R$27&lt;=0,"","PRIMERA")</f>
        <v/>
      </c>
      <c r="AS152" s="0" t="str">
        <f aca="false">IF($R$27&lt;=0,"",$T$27)</f>
        <v/>
      </c>
      <c r="AT152" s="0" t="str">
        <f aca="false">IF($R$27&lt;=0,"",$R$27)</f>
        <v/>
      </c>
      <c r="AU152" s="0" t="str">
        <f aca="false">IF($R$27&lt;=0,"","kg")</f>
        <v/>
      </c>
      <c r="AV152" s="0" t="n">
        <f aca="false">IF($R$27&lt;=0,0,1)</f>
        <v>0</v>
      </c>
      <c r="AW152" s="0" t="n">
        <f aca="false">AW151+AV152</f>
        <v>31</v>
      </c>
    </row>
    <row r="153" customFormat="false" ht="15" hidden="false" customHeight="false" outlineLevel="0" collapsed="false">
      <c r="AP153" s="0" t="str">
        <f aca="false">IF($X$27&lt;=0,"",FIFO_helper!$C$27)</f>
        <v/>
      </c>
      <c r="AQ153" s="0" t="str">
        <f aca="false">IF($X$27&lt;=0,"",$Y$27)</f>
        <v/>
      </c>
      <c r="AR153" s="0" t="str">
        <f aca="false">IF($X$27&lt;=0,"","PRIMERA")</f>
        <v/>
      </c>
      <c r="AS153" s="0" t="str">
        <f aca="false">IF($X$27&lt;=0,"",$Z$27)</f>
        <v/>
      </c>
      <c r="AT153" s="0" t="str">
        <f aca="false">IF($X$27&lt;=0,"",$X$27)</f>
        <v/>
      </c>
      <c r="AU153" s="0" t="str">
        <f aca="false">IF($X$27&lt;=0,"","kg")</f>
        <v/>
      </c>
      <c r="AV153" s="0" t="n">
        <f aca="false">IF($X$27&lt;=0,0,1)</f>
        <v>0</v>
      </c>
      <c r="AW153" s="0" t="n">
        <f aca="false">AW152+AV153</f>
        <v>31</v>
      </c>
    </row>
    <row r="154" customFormat="false" ht="15" hidden="false" customHeight="false" outlineLevel="0" collapsed="false">
      <c r="AP154" s="0" t="str">
        <f aca="false">IF($AD$27&lt;=0,"",FIFO_helper!$C$27)</f>
        <v/>
      </c>
      <c r="AQ154" s="0" t="str">
        <f aca="false">IF($AD$27&lt;=0,"",$AE$27)</f>
        <v/>
      </c>
      <c r="AR154" s="0" t="str">
        <f aca="false">IF($AD$27&lt;=0,"","PRIMERA")</f>
        <v/>
      </c>
      <c r="AS154" s="0" t="str">
        <f aca="false">IF($AD$27&lt;=0,"",$AF$27)</f>
        <v/>
      </c>
      <c r="AT154" s="0" t="str">
        <f aca="false">IF($AD$27&lt;=0,"",$AD$27)</f>
        <v/>
      </c>
      <c r="AU154" s="0" t="str">
        <f aca="false">IF($AD$27&lt;=0,"","kg")</f>
        <v/>
      </c>
      <c r="AV154" s="0" t="n">
        <f aca="false">IF($AD$27&lt;=0,0,1)</f>
        <v>0</v>
      </c>
      <c r="AW154" s="0" t="n">
        <f aca="false">AW153+AV154</f>
        <v>31</v>
      </c>
    </row>
    <row r="155" customFormat="false" ht="15" hidden="false" customHeight="false" outlineLevel="0" collapsed="false">
      <c r="AP155" s="0" t="str">
        <f aca="false">IF($AJ$27&lt;=0,"",FIFO_helper!$C$27)</f>
        <v/>
      </c>
      <c r="AQ155" s="0" t="str">
        <f aca="false">IF($AJ$27&lt;=0,"",$AK$27)</f>
        <v/>
      </c>
      <c r="AR155" s="0" t="str">
        <f aca="false">IF($AJ$27&lt;=0,"","PRIMERA")</f>
        <v/>
      </c>
      <c r="AS155" s="0" t="str">
        <f aca="false">IF($AJ$27&lt;=0,"",$AL$27)</f>
        <v/>
      </c>
      <c r="AT155" s="0" t="str">
        <f aca="false">IF($AJ$27&lt;=0,"",$AJ$27)</f>
        <v/>
      </c>
      <c r="AU155" s="0" t="str">
        <f aca="false">IF($AJ$27&lt;=0,"","kg")</f>
        <v/>
      </c>
      <c r="AV155" s="0" t="n">
        <f aca="false">IF($AJ$27&lt;=0,0,1)</f>
        <v>0</v>
      </c>
      <c r="AW155" s="0" t="n">
        <f aca="false">AW154+AV155</f>
        <v>31</v>
      </c>
    </row>
    <row r="156" customFormat="false" ht="15" hidden="false" customHeight="false" outlineLevel="0" collapsed="false">
      <c r="AP156" s="0" t="str">
        <f aca="false">IF($AN$27&lt;=0,"",FIFO_helper!$C$27)</f>
        <v/>
      </c>
      <c r="AQ156" s="0" t="str">
        <f aca="false">IF($AN$27&lt;=0,"","(queda en planta)")</f>
        <v/>
      </c>
      <c r="AR156" s="0" t="str">
        <f aca="false">IF($AN$27&lt;=0,"","PRIMERA")</f>
        <v/>
      </c>
      <c r="AS156" s="0" t="str">
        <f aca="false">""</f>
        <v/>
      </c>
      <c r="AT156" s="0" t="str">
        <f aca="false">IF($AN$27&lt;=0,"",$AN$27)</f>
        <v/>
      </c>
      <c r="AU156" s="0" t="str">
        <f aca="false">IF($AN$27&lt;=0,"","kg")</f>
        <v/>
      </c>
      <c r="AV156" s="0" t="n">
        <f aca="false">IF($AN$27&lt;=0,0,1)</f>
        <v>0</v>
      </c>
      <c r="AW156" s="0" t="n">
        <f aca="false">AW155+AV156</f>
        <v>31</v>
      </c>
    </row>
    <row r="157" customFormat="false" ht="15" hidden="false" customHeight="false" outlineLevel="0" collapsed="false">
      <c r="AP157" s="0" t="str">
        <f aca="false">IF($E$27&lt;=0,"",FIFO_helper!$C$27)</f>
        <v/>
      </c>
      <c r="AQ157" s="0" t="str">
        <f aca="false">IF($E$27&lt;=0,"","↳ Chancho (prod.)")</f>
        <v/>
      </c>
      <c r="AR157" s="0" t="str">
        <f aca="false">IF($E$27&lt;=0,"","CHANCHO")</f>
        <v/>
      </c>
      <c r="AS157" s="0" t="str">
        <f aca="false">""</f>
        <v/>
      </c>
      <c r="AT157" s="0" t="str">
        <f aca="false">IF($E$27&lt;=0,"",$E$27)</f>
        <v/>
      </c>
      <c r="AU157" s="0" t="str">
        <f aca="false">IF($E$27&lt;=0,"","sacos")</f>
        <v/>
      </c>
      <c r="AV157" s="0" t="n">
        <f aca="false">IF($E$27&lt;=0,0,1)</f>
        <v>0</v>
      </c>
      <c r="AW157" s="0" t="n">
        <f aca="false">AW156+AV157</f>
        <v>31</v>
      </c>
    </row>
    <row r="158" customFormat="false" ht="15" hidden="false" customHeight="false" outlineLevel="0" collapsed="false">
      <c r="AP158" s="0" t="str">
        <f aca="false">IF($R$28&lt;=0,"",FIFO_helper!$C$28)</f>
        <v/>
      </c>
      <c r="AQ158" s="0" t="str">
        <f aca="false">IF($R$28&lt;=0,"",$S$28)</f>
        <v/>
      </c>
      <c r="AR158" s="0" t="str">
        <f aca="false">IF($R$28&lt;=0,"","PRIMERA")</f>
        <v/>
      </c>
      <c r="AS158" s="0" t="str">
        <f aca="false">IF($R$28&lt;=0,"",$T$28)</f>
        <v/>
      </c>
      <c r="AT158" s="0" t="str">
        <f aca="false">IF($R$28&lt;=0,"",$R$28)</f>
        <v/>
      </c>
      <c r="AU158" s="0" t="str">
        <f aca="false">IF($R$28&lt;=0,"","kg")</f>
        <v/>
      </c>
      <c r="AV158" s="0" t="n">
        <f aca="false">IF($R$28&lt;=0,0,1)</f>
        <v>0</v>
      </c>
      <c r="AW158" s="0" t="n">
        <f aca="false">AW157+AV158</f>
        <v>31</v>
      </c>
    </row>
    <row r="159" customFormat="false" ht="15" hidden="false" customHeight="false" outlineLevel="0" collapsed="false">
      <c r="AP159" s="0" t="str">
        <f aca="false">IF($X$28&lt;=0,"",FIFO_helper!$C$28)</f>
        <v/>
      </c>
      <c r="AQ159" s="0" t="str">
        <f aca="false">IF($X$28&lt;=0,"",$Y$28)</f>
        <v/>
      </c>
      <c r="AR159" s="0" t="str">
        <f aca="false">IF($X$28&lt;=0,"","PRIMERA")</f>
        <v/>
      </c>
      <c r="AS159" s="0" t="str">
        <f aca="false">IF($X$28&lt;=0,"",$Z$28)</f>
        <v/>
      </c>
      <c r="AT159" s="0" t="str">
        <f aca="false">IF($X$28&lt;=0,"",$X$28)</f>
        <v/>
      </c>
      <c r="AU159" s="0" t="str">
        <f aca="false">IF($X$28&lt;=0,"","kg")</f>
        <v/>
      </c>
      <c r="AV159" s="0" t="n">
        <f aca="false">IF($X$28&lt;=0,0,1)</f>
        <v>0</v>
      </c>
      <c r="AW159" s="0" t="n">
        <f aca="false">AW158+AV159</f>
        <v>31</v>
      </c>
    </row>
    <row r="160" customFormat="false" ht="15" hidden="false" customHeight="false" outlineLevel="0" collapsed="false">
      <c r="AP160" s="0" t="str">
        <f aca="false">IF($AD$28&lt;=0,"",FIFO_helper!$C$28)</f>
        <v/>
      </c>
      <c r="AQ160" s="0" t="str">
        <f aca="false">IF($AD$28&lt;=0,"",$AE$28)</f>
        <v/>
      </c>
      <c r="AR160" s="0" t="str">
        <f aca="false">IF($AD$28&lt;=0,"","PRIMERA")</f>
        <v/>
      </c>
      <c r="AS160" s="0" t="str">
        <f aca="false">IF($AD$28&lt;=0,"",$AF$28)</f>
        <v/>
      </c>
      <c r="AT160" s="0" t="str">
        <f aca="false">IF($AD$28&lt;=0,"",$AD$28)</f>
        <v/>
      </c>
      <c r="AU160" s="0" t="str">
        <f aca="false">IF($AD$28&lt;=0,"","kg")</f>
        <v/>
      </c>
      <c r="AV160" s="0" t="n">
        <f aca="false">IF($AD$28&lt;=0,0,1)</f>
        <v>0</v>
      </c>
      <c r="AW160" s="0" t="n">
        <f aca="false">AW159+AV160</f>
        <v>31</v>
      </c>
    </row>
    <row r="161" customFormat="false" ht="15" hidden="false" customHeight="false" outlineLevel="0" collapsed="false">
      <c r="AP161" s="0" t="str">
        <f aca="false">IF($AJ$28&lt;=0,"",FIFO_helper!$C$28)</f>
        <v/>
      </c>
      <c r="AQ161" s="0" t="str">
        <f aca="false">IF($AJ$28&lt;=0,"",$AK$28)</f>
        <v/>
      </c>
      <c r="AR161" s="0" t="str">
        <f aca="false">IF($AJ$28&lt;=0,"","PRIMERA")</f>
        <v/>
      </c>
      <c r="AS161" s="0" t="str">
        <f aca="false">IF($AJ$28&lt;=0,"",$AL$28)</f>
        <v/>
      </c>
      <c r="AT161" s="0" t="str">
        <f aca="false">IF($AJ$28&lt;=0,"",$AJ$28)</f>
        <v/>
      </c>
      <c r="AU161" s="0" t="str">
        <f aca="false">IF($AJ$28&lt;=0,"","kg")</f>
        <v/>
      </c>
      <c r="AV161" s="0" t="n">
        <f aca="false">IF($AJ$28&lt;=0,0,1)</f>
        <v>0</v>
      </c>
      <c r="AW161" s="0" t="n">
        <f aca="false">AW160+AV161</f>
        <v>31</v>
      </c>
    </row>
    <row r="162" customFormat="false" ht="15" hidden="false" customHeight="false" outlineLevel="0" collapsed="false">
      <c r="AP162" s="0" t="str">
        <f aca="false">IF($AN$28&lt;=0,"",FIFO_helper!$C$28)</f>
        <v/>
      </c>
      <c r="AQ162" s="0" t="str">
        <f aca="false">IF($AN$28&lt;=0,"","(queda en planta)")</f>
        <v/>
      </c>
      <c r="AR162" s="0" t="str">
        <f aca="false">IF($AN$28&lt;=0,"","PRIMERA")</f>
        <v/>
      </c>
      <c r="AS162" s="0" t="str">
        <f aca="false">""</f>
        <v/>
      </c>
      <c r="AT162" s="0" t="str">
        <f aca="false">IF($AN$28&lt;=0,"",$AN$28)</f>
        <v/>
      </c>
      <c r="AU162" s="0" t="str">
        <f aca="false">IF($AN$28&lt;=0,"","kg")</f>
        <v/>
      </c>
      <c r="AV162" s="0" t="n">
        <f aca="false">IF($AN$28&lt;=0,0,1)</f>
        <v>0</v>
      </c>
      <c r="AW162" s="0" t="n">
        <f aca="false">AW161+AV162</f>
        <v>31</v>
      </c>
    </row>
    <row r="163" customFormat="false" ht="15" hidden="false" customHeight="false" outlineLevel="0" collapsed="false">
      <c r="AP163" s="0" t="str">
        <f aca="false">IF($E$28&lt;=0,"",FIFO_helper!$C$28)</f>
        <v/>
      </c>
      <c r="AQ163" s="0" t="str">
        <f aca="false">IF($E$28&lt;=0,"","↳ Chancho (prod.)")</f>
        <v/>
      </c>
      <c r="AR163" s="0" t="str">
        <f aca="false">IF($E$28&lt;=0,"","CHANCHO")</f>
        <v/>
      </c>
      <c r="AS163" s="0" t="str">
        <f aca="false">""</f>
        <v/>
      </c>
      <c r="AT163" s="0" t="str">
        <f aca="false">IF($E$28&lt;=0,"",$E$28)</f>
        <v/>
      </c>
      <c r="AU163" s="0" t="str">
        <f aca="false">IF($E$28&lt;=0,"","sacos")</f>
        <v/>
      </c>
      <c r="AV163" s="0" t="n">
        <f aca="false">IF($E$28&lt;=0,0,1)</f>
        <v>0</v>
      </c>
      <c r="AW163" s="0" t="n">
        <f aca="false">AW162+AV163</f>
        <v>31</v>
      </c>
    </row>
    <row r="164" customFormat="false" ht="15" hidden="false" customHeight="false" outlineLevel="0" collapsed="false">
      <c r="AP164" s="0" t="str">
        <f aca="false">IF($R$29&lt;=0,"",FIFO_helper!$C$29)</f>
        <v/>
      </c>
      <c r="AQ164" s="0" t="str">
        <f aca="false">IF($R$29&lt;=0,"",$S$29)</f>
        <v/>
      </c>
      <c r="AR164" s="0" t="str">
        <f aca="false">IF($R$29&lt;=0,"","PRIMERA")</f>
        <v/>
      </c>
      <c r="AS164" s="0" t="str">
        <f aca="false">IF($R$29&lt;=0,"",$T$29)</f>
        <v/>
      </c>
      <c r="AT164" s="0" t="str">
        <f aca="false">IF($R$29&lt;=0,"",$R$29)</f>
        <v/>
      </c>
      <c r="AU164" s="0" t="str">
        <f aca="false">IF($R$29&lt;=0,"","kg")</f>
        <v/>
      </c>
      <c r="AV164" s="0" t="n">
        <f aca="false">IF($R$29&lt;=0,0,1)</f>
        <v>0</v>
      </c>
      <c r="AW164" s="0" t="n">
        <f aca="false">AW163+AV164</f>
        <v>31</v>
      </c>
    </row>
    <row r="165" customFormat="false" ht="15" hidden="false" customHeight="false" outlineLevel="0" collapsed="false">
      <c r="AP165" s="0" t="str">
        <f aca="false">IF($X$29&lt;=0,"",FIFO_helper!$C$29)</f>
        <v/>
      </c>
      <c r="AQ165" s="0" t="str">
        <f aca="false">IF($X$29&lt;=0,"",$Y$29)</f>
        <v/>
      </c>
      <c r="AR165" s="0" t="str">
        <f aca="false">IF($X$29&lt;=0,"","PRIMERA")</f>
        <v/>
      </c>
      <c r="AS165" s="0" t="str">
        <f aca="false">IF($X$29&lt;=0,"",$Z$29)</f>
        <v/>
      </c>
      <c r="AT165" s="0" t="str">
        <f aca="false">IF($X$29&lt;=0,"",$X$29)</f>
        <v/>
      </c>
      <c r="AU165" s="0" t="str">
        <f aca="false">IF($X$29&lt;=0,"","kg")</f>
        <v/>
      </c>
      <c r="AV165" s="0" t="n">
        <f aca="false">IF($X$29&lt;=0,0,1)</f>
        <v>0</v>
      </c>
      <c r="AW165" s="0" t="n">
        <f aca="false">AW164+AV165</f>
        <v>31</v>
      </c>
    </row>
    <row r="166" customFormat="false" ht="15" hidden="false" customHeight="false" outlineLevel="0" collapsed="false">
      <c r="AP166" s="0" t="str">
        <f aca="false">IF($AD$29&lt;=0,"",FIFO_helper!$C$29)</f>
        <v/>
      </c>
      <c r="AQ166" s="0" t="str">
        <f aca="false">IF($AD$29&lt;=0,"",$AE$29)</f>
        <v/>
      </c>
      <c r="AR166" s="0" t="str">
        <f aca="false">IF($AD$29&lt;=0,"","PRIMERA")</f>
        <v/>
      </c>
      <c r="AS166" s="0" t="str">
        <f aca="false">IF($AD$29&lt;=0,"",$AF$29)</f>
        <v/>
      </c>
      <c r="AT166" s="0" t="str">
        <f aca="false">IF($AD$29&lt;=0,"",$AD$29)</f>
        <v/>
      </c>
      <c r="AU166" s="0" t="str">
        <f aca="false">IF($AD$29&lt;=0,"","kg")</f>
        <v/>
      </c>
      <c r="AV166" s="0" t="n">
        <f aca="false">IF($AD$29&lt;=0,0,1)</f>
        <v>0</v>
      </c>
      <c r="AW166" s="0" t="n">
        <f aca="false">AW165+AV166</f>
        <v>31</v>
      </c>
    </row>
    <row r="167" customFormat="false" ht="15" hidden="false" customHeight="false" outlineLevel="0" collapsed="false">
      <c r="AP167" s="0" t="str">
        <f aca="false">IF($AJ$29&lt;=0,"",FIFO_helper!$C$29)</f>
        <v/>
      </c>
      <c r="AQ167" s="0" t="str">
        <f aca="false">IF($AJ$29&lt;=0,"",$AK$29)</f>
        <v/>
      </c>
      <c r="AR167" s="0" t="str">
        <f aca="false">IF($AJ$29&lt;=0,"","PRIMERA")</f>
        <v/>
      </c>
      <c r="AS167" s="0" t="str">
        <f aca="false">IF($AJ$29&lt;=0,"",$AL$29)</f>
        <v/>
      </c>
      <c r="AT167" s="0" t="str">
        <f aca="false">IF($AJ$29&lt;=0,"",$AJ$29)</f>
        <v/>
      </c>
      <c r="AU167" s="0" t="str">
        <f aca="false">IF($AJ$29&lt;=0,"","kg")</f>
        <v/>
      </c>
      <c r="AV167" s="0" t="n">
        <f aca="false">IF($AJ$29&lt;=0,0,1)</f>
        <v>0</v>
      </c>
      <c r="AW167" s="0" t="n">
        <f aca="false">AW166+AV167</f>
        <v>31</v>
      </c>
    </row>
    <row r="168" customFormat="false" ht="15" hidden="false" customHeight="false" outlineLevel="0" collapsed="false">
      <c r="AP168" s="0" t="str">
        <f aca="false">IF($AN$29&lt;=0,"",FIFO_helper!$C$29)</f>
        <v/>
      </c>
      <c r="AQ168" s="0" t="str">
        <f aca="false">IF($AN$29&lt;=0,"","(queda en planta)")</f>
        <v/>
      </c>
      <c r="AR168" s="0" t="str">
        <f aca="false">IF($AN$29&lt;=0,"","PRIMERA")</f>
        <v/>
      </c>
      <c r="AS168" s="0" t="str">
        <f aca="false">""</f>
        <v/>
      </c>
      <c r="AT168" s="0" t="str">
        <f aca="false">IF($AN$29&lt;=0,"",$AN$29)</f>
        <v/>
      </c>
      <c r="AU168" s="0" t="str">
        <f aca="false">IF($AN$29&lt;=0,"","kg")</f>
        <v/>
      </c>
      <c r="AV168" s="0" t="n">
        <f aca="false">IF($AN$29&lt;=0,0,1)</f>
        <v>0</v>
      </c>
      <c r="AW168" s="0" t="n">
        <f aca="false">AW167+AV168</f>
        <v>31</v>
      </c>
    </row>
    <row r="169" customFormat="false" ht="15" hidden="false" customHeight="false" outlineLevel="0" collapsed="false">
      <c r="AP169" s="0" t="str">
        <f aca="false">IF($E$29&lt;=0,"",FIFO_helper!$C$29)</f>
        <v/>
      </c>
      <c r="AQ169" s="0" t="str">
        <f aca="false">IF($E$29&lt;=0,"","↳ Chancho (prod.)")</f>
        <v/>
      </c>
      <c r="AR169" s="0" t="str">
        <f aca="false">IF($E$29&lt;=0,"","CHANCHO")</f>
        <v/>
      </c>
      <c r="AS169" s="0" t="str">
        <f aca="false">""</f>
        <v/>
      </c>
      <c r="AT169" s="0" t="str">
        <f aca="false">IF($E$29&lt;=0,"",$E$29)</f>
        <v/>
      </c>
      <c r="AU169" s="0" t="str">
        <f aca="false">IF($E$29&lt;=0,"","sacos")</f>
        <v/>
      </c>
      <c r="AV169" s="0" t="n">
        <f aca="false">IF($E$29&lt;=0,0,1)</f>
        <v>0</v>
      </c>
      <c r="AW169" s="0" t="n">
        <f aca="false">AW168+AV169</f>
        <v>31</v>
      </c>
    </row>
    <row r="170" customFormat="false" ht="15" hidden="false" customHeight="false" outlineLevel="0" collapsed="false">
      <c r="AP170" s="0" t="str">
        <f aca="false">IF($R$30&lt;=0,"",FIFO_helper!$C$30)</f>
        <v/>
      </c>
      <c r="AQ170" s="0" t="str">
        <f aca="false">IF($R$30&lt;=0,"",$S$30)</f>
        <v/>
      </c>
      <c r="AR170" s="0" t="str">
        <f aca="false">IF($R$30&lt;=0,"","PRIMERA")</f>
        <v/>
      </c>
      <c r="AS170" s="0" t="str">
        <f aca="false">IF($R$30&lt;=0,"",$T$30)</f>
        <v/>
      </c>
      <c r="AT170" s="0" t="str">
        <f aca="false">IF($R$30&lt;=0,"",$R$30)</f>
        <v/>
      </c>
      <c r="AU170" s="0" t="str">
        <f aca="false">IF($R$30&lt;=0,"","kg")</f>
        <v/>
      </c>
      <c r="AV170" s="0" t="n">
        <f aca="false">IF($R$30&lt;=0,0,1)</f>
        <v>0</v>
      </c>
      <c r="AW170" s="0" t="n">
        <f aca="false">AW169+AV170</f>
        <v>31</v>
      </c>
    </row>
    <row r="171" customFormat="false" ht="15" hidden="false" customHeight="false" outlineLevel="0" collapsed="false">
      <c r="AP171" s="0" t="str">
        <f aca="false">IF($X$30&lt;=0,"",FIFO_helper!$C$30)</f>
        <v/>
      </c>
      <c r="AQ171" s="0" t="str">
        <f aca="false">IF($X$30&lt;=0,"",$Y$30)</f>
        <v/>
      </c>
      <c r="AR171" s="0" t="str">
        <f aca="false">IF($X$30&lt;=0,"","PRIMERA")</f>
        <v/>
      </c>
      <c r="AS171" s="0" t="str">
        <f aca="false">IF($X$30&lt;=0,"",$Z$30)</f>
        <v/>
      </c>
      <c r="AT171" s="0" t="str">
        <f aca="false">IF($X$30&lt;=0,"",$X$30)</f>
        <v/>
      </c>
      <c r="AU171" s="0" t="str">
        <f aca="false">IF($X$30&lt;=0,"","kg")</f>
        <v/>
      </c>
      <c r="AV171" s="0" t="n">
        <f aca="false">IF($X$30&lt;=0,0,1)</f>
        <v>0</v>
      </c>
      <c r="AW171" s="0" t="n">
        <f aca="false">AW170+AV171</f>
        <v>31</v>
      </c>
    </row>
    <row r="172" customFormat="false" ht="15" hidden="false" customHeight="false" outlineLevel="0" collapsed="false">
      <c r="AP172" s="0" t="str">
        <f aca="false">IF($AD$30&lt;=0,"",FIFO_helper!$C$30)</f>
        <v/>
      </c>
      <c r="AQ172" s="0" t="str">
        <f aca="false">IF($AD$30&lt;=0,"",$AE$30)</f>
        <v/>
      </c>
      <c r="AR172" s="0" t="str">
        <f aca="false">IF($AD$30&lt;=0,"","PRIMERA")</f>
        <v/>
      </c>
      <c r="AS172" s="0" t="str">
        <f aca="false">IF($AD$30&lt;=0,"",$AF$30)</f>
        <v/>
      </c>
      <c r="AT172" s="0" t="str">
        <f aca="false">IF($AD$30&lt;=0,"",$AD$30)</f>
        <v/>
      </c>
      <c r="AU172" s="0" t="str">
        <f aca="false">IF($AD$30&lt;=0,"","kg")</f>
        <v/>
      </c>
      <c r="AV172" s="0" t="n">
        <f aca="false">IF($AD$30&lt;=0,0,1)</f>
        <v>0</v>
      </c>
      <c r="AW172" s="0" t="n">
        <f aca="false">AW171+AV172</f>
        <v>31</v>
      </c>
    </row>
    <row r="173" customFormat="false" ht="15" hidden="false" customHeight="false" outlineLevel="0" collapsed="false">
      <c r="AP173" s="0" t="str">
        <f aca="false">IF($AJ$30&lt;=0,"",FIFO_helper!$C$30)</f>
        <v/>
      </c>
      <c r="AQ173" s="0" t="str">
        <f aca="false">IF($AJ$30&lt;=0,"",$AK$30)</f>
        <v/>
      </c>
      <c r="AR173" s="0" t="str">
        <f aca="false">IF($AJ$30&lt;=0,"","PRIMERA")</f>
        <v/>
      </c>
      <c r="AS173" s="0" t="str">
        <f aca="false">IF($AJ$30&lt;=0,"",$AL$30)</f>
        <v/>
      </c>
      <c r="AT173" s="0" t="str">
        <f aca="false">IF($AJ$30&lt;=0,"",$AJ$30)</f>
        <v/>
      </c>
      <c r="AU173" s="0" t="str">
        <f aca="false">IF($AJ$30&lt;=0,"","kg")</f>
        <v/>
      </c>
      <c r="AV173" s="0" t="n">
        <f aca="false">IF($AJ$30&lt;=0,0,1)</f>
        <v>0</v>
      </c>
      <c r="AW173" s="0" t="n">
        <f aca="false">AW172+AV173</f>
        <v>31</v>
      </c>
    </row>
    <row r="174" customFormat="false" ht="15" hidden="false" customHeight="false" outlineLevel="0" collapsed="false">
      <c r="AP174" s="0" t="str">
        <f aca="false">IF($AN$30&lt;=0,"",FIFO_helper!$C$30)</f>
        <v/>
      </c>
      <c r="AQ174" s="0" t="str">
        <f aca="false">IF($AN$30&lt;=0,"","(queda en planta)")</f>
        <v/>
      </c>
      <c r="AR174" s="0" t="str">
        <f aca="false">IF($AN$30&lt;=0,"","PRIMERA")</f>
        <v/>
      </c>
      <c r="AS174" s="0" t="str">
        <f aca="false">""</f>
        <v/>
      </c>
      <c r="AT174" s="0" t="str">
        <f aca="false">IF($AN$30&lt;=0,"",$AN$30)</f>
        <v/>
      </c>
      <c r="AU174" s="0" t="str">
        <f aca="false">IF($AN$30&lt;=0,"","kg")</f>
        <v/>
      </c>
      <c r="AV174" s="0" t="n">
        <f aca="false">IF($AN$30&lt;=0,0,1)</f>
        <v>0</v>
      </c>
      <c r="AW174" s="0" t="n">
        <f aca="false">AW173+AV174</f>
        <v>31</v>
      </c>
    </row>
    <row r="175" customFormat="false" ht="15" hidden="false" customHeight="false" outlineLevel="0" collapsed="false">
      <c r="AP175" s="0" t="str">
        <f aca="false">IF($E$30&lt;=0,"",FIFO_helper!$C$30)</f>
        <v/>
      </c>
      <c r="AQ175" s="0" t="str">
        <f aca="false">IF($E$30&lt;=0,"","↳ Chancho (prod.)")</f>
        <v/>
      </c>
      <c r="AR175" s="0" t="str">
        <f aca="false">IF($E$30&lt;=0,"","CHANCHO")</f>
        <v/>
      </c>
      <c r="AS175" s="0" t="str">
        <f aca="false">""</f>
        <v/>
      </c>
      <c r="AT175" s="0" t="str">
        <f aca="false">IF($E$30&lt;=0,"",$E$30)</f>
        <v/>
      </c>
      <c r="AU175" s="0" t="str">
        <f aca="false">IF($E$30&lt;=0,"","sacos")</f>
        <v/>
      </c>
      <c r="AV175" s="0" t="n">
        <f aca="false">IF($E$30&lt;=0,0,1)</f>
        <v>0</v>
      </c>
      <c r="AW175" s="0" t="n">
        <f aca="false">AW174+AV175</f>
        <v>31</v>
      </c>
    </row>
    <row r="176" customFormat="false" ht="15" hidden="false" customHeight="false" outlineLevel="0" collapsed="false">
      <c r="AP176" s="0" t="str">
        <f aca="false">IF($R$31&lt;=0,"",FIFO_helper!$C$31)</f>
        <v/>
      </c>
      <c r="AQ176" s="0" t="str">
        <f aca="false">IF($R$31&lt;=0,"",$S$31)</f>
        <v/>
      </c>
      <c r="AR176" s="0" t="str">
        <f aca="false">IF($R$31&lt;=0,"","PRIMERA")</f>
        <v/>
      </c>
      <c r="AS176" s="0" t="str">
        <f aca="false">IF($R$31&lt;=0,"",$T$31)</f>
        <v/>
      </c>
      <c r="AT176" s="0" t="str">
        <f aca="false">IF($R$31&lt;=0,"",$R$31)</f>
        <v/>
      </c>
      <c r="AU176" s="0" t="str">
        <f aca="false">IF($R$31&lt;=0,"","kg")</f>
        <v/>
      </c>
      <c r="AV176" s="0" t="n">
        <f aca="false">IF($R$31&lt;=0,0,1)</f>
        <v>0</v>
      </c>
      <c r="AW176" s="0" t="n">
        <f aca="false">AW175+AV176</f>
        <v>31</v>
      </c>
    </row>
    <row r="177" customFormat="false" ht="15" hidden="false" customHeight="false" outlineLevel="0" collapsed="false">
      <c r="AP177" s="0" t="str">
        <f aca="false">IF($X$31&lt;=0,"",FIFO_helper!$C$31)</f>
        <v/>
      </c>
      <c r="AQ177" s="0" t="str">
        <f aca="false">IF($X$31&lt;=0,"",$Y$31)</f>
        <v/>
      </c>
      <c r="AR177" s="0" t="str">
        <f aca="false">IF($X$31&lt;=0,"","PRIMERA")</f>
        <v/>
      </c>
      <c r="AS177" s="0" t="str">
        <f aca="false">IF($X$31&lt;=0,"",$Z$31)</f>
        <v/>
      </c>
      <c r="AT177" s="0" t="str">
        <f aca="false">IF($X$31&lt;=0,"",$X$31)</f>
        <v/>
      </c>
      <c r="AU177" s="0" t="str">
        <f aca="false">IF($X$31&lt;=0,"","kg")</f>
        <v/>
      </c>
      <c r="AV177" s="0" t="n">
        <f aca="false">IF($X$31&lt;=0,0,1)</f>
        <v>0</v>
      </c>
      <c r="AW177" s="0" t="n">
        <f aca="false">AW176+AV177</f>
        <v>31</v>
      </c>
    </row>
    <row r="178" customFormat="false" ht="15" hidden="false" customHeight="false" outlineLevel="0" collapsed="false">
      <c r="AP178" s="0" t="str">
        <f aca="false">IF($AD$31&lt;=0,"",FIFO_helper!$C$31)</f>
        <v/>
      </c>
      <c r="AQ178" s="0" t="str">
        <f aca="false">IF($AD$31&lt;=0,"",$AE$31)</f>
        <v/>
      </c>
      <c r="AR178" s="0" t="str">
        <f aca="false">IF($AD$31&lt;=0,"","PRIMERA")</f>
        <v/>
      </c>
      <c r="AS178" s="0" t="str">
        <f aca="false">IF($AD$31&lt;=0,"",$AF$31)</f>
        <v/>
      </c>
      <c r="AT178" s="0" t="str">
        <f aca="false">IF($AD$31&lt;=0,"",$AD$31)</f>
        <v/>
      </c>
      <c r="AU178" s="0" t="str">
        <f aca="false">IF($AD$31&lt;=0,"","kg")</f>
        <v/>
      </c>
      <c r="AV178" s="0" t="n">
        <f aca="false">IF($AD$31&lt;=0,0,1)</f>
        <v>0</v>
      </c>
      <c r="AW178" s="0" t="n">
        <f aca="false">AW177+AV178</f>
        <v>31</v>
      </c>
    </row>
    <row r="179" customFormat="false" ht="15" hidden="false" customHeight="false" outlineLevel="0" collapsed="false">
      <c r="AP179" s="0" t="str">
        <f aca="false">IF($AJ$31&lt;=0,"",FIFO_helper!$C$31)</f>
        <v/>
      </c>
      <c r="AQ179" s="0" t="str">
        <f aca="false">IF($AJ$31&lt;=0,"",$AK$31)</f>
        <v/>
      </c>
      <c r="AR179" s="0" t="str">
        <f aca="false">IF($AJ$31&lt;=0,"","PRIMERA")</f>
        <v/>
      </c>
      <c r="AS179" s="0" t="str">
        <f aca="false">IF($AJ$31&lt;=0,"",$AL$31)</f>
        <v/>
      </c>
      <c r="AT179" s="0" t="str">
        <f aca="false">IF($AJ$31&lt;=0,"",$AJ$31)</f>
        <v/>
      </c>
      <c r="AU179" s="0" t="str">
        <f aca="false">IF($AJ$31&lt;=0,"","kg")</f>
        <v/>
      </c>
      <c r="AV179" s="0" t="n">
        <f aca="false">IF($AJ$31&lt;=0,0,1)</f>
        <v>0</v>
      </c>
      <c r="AW179" s="0" t="n">
        <f aca="false">AW178+AV179</f>
        <v>31</v>
      </c>
    </row>
    <row r="180" customFormat="false" ht="15" hidden="false" customHeight="false" outlineLevel="0" collapsed="false">
      <c r="AP180" s="0" t="str">
        <f aca="false">IF($AN$31&lt;=0,"",FIFO_helper!$C$31)</f>
        <v/>
      </c>
      <c r="AQ180" s="0" t="str">
        <f aca="false">IF($AN$31&lt;=0,"","(queda en planta)")</f>
        <v/>
      </c>
      <c r="AR180" s="0" t="str">
        <f aca="false">IF($AN$31&lt;=0,"","PRIMERA")</f>
        <v/>
      </c>
      <c r="AS180" s="0" t="str">
        <f aca="false">""</f>
        <v/>
      </c>
      <c r="AT180" s="0" t="str">
        <f aca="false">IF($AN$31&lt;=0,"",$AN$31)</f>
        <v/>
      </c>
      <c r="AU180" s="0" t="str">
        <f aca="false">IF($AN$31&lt;=0,"","kg")</f>
        <v/>
      </c>
      <c r="AV180" s="0" t="n">
        <f aca="false">IF($AN$31&lt;=0,0,1)</f>
        <v>0</v>
      </c>
      <c r="AW180" s="0" t="n">
        <f aca="false">AW179+AV180</f>
        <v>31</v>
      </c>
    </row>
    <row r="181" customFormat="false" ht="15" hidden="false" customHeight="false" outlineLevel="0" collapsed="false">
      <c r="AP181" s="0" t="str">
        <f aca="false">IF($E$31&lt;=0,"",FIFO_helper!$C$31)</f>
        <v/>
      </c>
      <c r="AQ181" s="0" t="str">
        <f aca="false">IF($E$31&lt;=0,"","↳ Chancho (prod.)")</f>
        <v/>
      </c>
      <c r="AR181" s="0" t="str">
        <f aca="false">IF($E$31&lt;=0,"","CHANCHO")</f>
        <v/>
      </c>
      <c r="AS181" s="0" t="str">
        <f aca="false">""</f>
        <v/>
      </c>
      <c r="AT181" s="0" t="str">
        <f aca="false">IF($E$31&lt;=0,"",$E$31)</f>
        <v/>
      </c>
      <c r="AU181" s="0" t="str">
        <f aca="false">IF($E$31&lt;=0,"","sacos")</f>
        <v/>
      </c>
      <c r="AV181" s="0" t="n">
        <f aca="false">IF($E$31&lt;=0,0,1)</f>
        <v>0</v>
      </c>
      <c r="AW181" s="0" t="n">
        <f aca="false">AW180+AV181</f>
        <v>31</v>
      </c>
    </row>
    <row r="182" customFormat="false" ht="15" hidden="false" customHeight="false" outlineLevel="0" collapsed="false">
      <c r="AP182" s="0" t="str">
        <f aca="false">IF($R$32&lt;=0,"",FIFO_helper!$C$32)</f>
        <v/>
      </c>
      <c r="AQ182" s="0" t="str">
        <f aca="false">IF($R$32&lt;=0,"",$S$32)</f>
        <v/>
      </c>
      <c r="AR182" s="0" t="str">
        <f aca="false">IF($R$32&lt;=0,"","PRIMERA")</f>
        <v/>
      </c>
      <c r="AS182" s="0" t="str">
        <f aca="false">IF($R$32&lt;=0,"",$T$32)</f>
        <v/>
      </c>
      <c r="AT182" s="0" t="str">
        <f aca="false">IF($R$32&lt;=0,"",$R$32)</f>
        <v/>
      </c>
      <c r="AU182" s="0" t="str">
        <f aca="false">IF($R$32&lt;=0,"","kg")</f>
        <v/>
      </c>
      <c r="AV182" s="0" t="n">
        <f aca="false">IF($R$32&lt;=0,0,1)</f>
        <v>0</v>
      </c>
      <c r="AW182" s="0" t="n">
        <f aca="false">AW181+AV182</f>
        <v>31</v>
      </c>
    </row>
    <row r="183" customFormat="false" ht="15" hidden="false" customHeight="false" outlineLevel="0" collapsed="false">
      <c r="AP183" s="0" t="str">
        <f aca="false">IF($X$32&lt;=0,"",FIFO_helper!$C$32)</f>
        <v/>
      </c>
      <c r="AQ183" s="0" t="str">
        <f aca="false">IF($X$32&lt;=0,"",$Y$32)</f>
        <v/>
      </c>
      <c r="AR183" s="0" t="str">
        <f aca="false">IF($X$32&lt;=0,"","PRIMERA")</f>
        <v/>
      </c>
      <c r="AS183" s="0" t="str">
        <f aca="false">IF($X$32&lt;=0,"",$Z$32)</f>
        <v/>
      </c>
      <c r="AT183" s="0" t="str">
        <f aca="false">IF($X$32&lt;=0,"",$X$32)</f>
        <v/>
      </c>
      <c r="AU183" s="0" t="str">
        <f aca="false">IF($X$32&lt;=0,"","kg")</f>
        <v/>
      </c>
      <c r="AV183" s="0" t="n">
        <f aca="false">IF($X$32&lt;=0,0,1)</f>
        <v>0</v>
      </c>
      <c r="AW183" s="0" t="n">
        <f aca="false">AW182+AV183</f>
        <v>31</v>
      </c>
    </row>
    <row r="184" customFormat="false" ht="15" hidden="false" customHeight="false" outlineLevel="0" collapsed="false">
      <c r="AP184" s="0" t="str">
        <f aca="false">IF($AD$32&lt;=0,"",FIFO_helper!$C$32)</f>
        <v/>
      </c>
      <c r="AQ184" s="0" t="str">
        <f aca="false">IF($AD$32&lt;=0,"",$AE$32)</f>
        <v/>
      </c>
      <c r="AR184" s="0" t="str">
        <f aca="false">IF($AD$32&lt;=0,"","PRIMERA")</f>
        <v/>
      </c>
      <c r="AS184" s="0" t="str">
        <f aca="false">IF($AD$32&lt;=0,"",$AF$32)</f>
        <v/>
      </c>
      <c r="AT184" s="0" t="str">
        <f aca="false">IF($AD$32&lt;=0,"",$AD$32)</f>
        <v/>
      </c>
      <c r="AU184" s="0" t="str">
        <f aca="false">IF($AD$32&lt;=0,"","kg")</f>
        <v/>
      </c>
      <c r="AV184" s="0" t="n">
        <f aca="false">IF($AD$32&lt;=0,0,1)</f>
        <v>0</v>
      </c>
      <c r="AW184" s="0" t="n">
        <f aca="false">AW183+AV184</f>
        <v>31</v>
      </c>
    </row>
    <row r="185" customFormat="false" ht="15" hidden="false" customHeight="false" outlineLevel="0" collapsed="false">
      <c r="AP185" s="0" t="str">
        <f aca="false">IF($AJ$32&lt;=0,"",FIFO_helper!$C$32)</f>
        <v/>
      </c>
      <c r="AQ185" s="0" t="str">
        <f aca="false">IF($AJ$32&lt;=0,"",$AK$32)</f>
        <v/>
      </c>
      <c r="AR185" s="0" t="str">
        <f aca="false">IF($AJ$32&lt;=0,"","PRIMERA")</f>
        <v/>
      </c>
      <c r="AS185" s="0" t="str">
        <f aca="false">IF($AJ$32&lt;=0,"",$AL$32)</f>
        <v/>
      </c>
      <c r="AT185" s="0" t="str">
        <f aca="false">IF($AJ$32&lt;=0,"",$AJ$32)</f>
        <v/>
      </c>
      <c r="AU185" s="0" t="str">
        <f aca="false">IF($AJ$32&lt;=0,"","kg")</f>
        <v/>
      </c>
      <c r="AV185" s="0" t="n">
        <f aca="false">IF($AJ$32&lt;=0,0,1)</f>
        <v>0</v>
      </c>
      <c r="AW185" s="0" t="n">
        <f aca="false">AW184+AV185</f>
        <v>31</v>
      </c>
    </row>
    <row r="186" customFormat="false" ht="15" hidden="false" customHeight="false" outlineLevel="0" collapsed="false">
      <c r="AP186" s="0" t="str">
        <f aca="false">IF($AN$32&lt;=0,"",FIFO_helper!$C$32)</f>
        <v/>
      </c>
      <c r="AQ186" s="0" t="str">
        <f aca="false">IF($AN$32&lt;=0,"","(queda en planta)")</f>
        <v/>
      </c>
      <c r="AR186" s="0" t="str">
        <f aca="false">IF($AN$32&lt;=0,"","PRIMERA")</f>
        <v/>
      </c>
      <c r="AS186" s="0" t="str">
        <f aca="false">""</f>
        <v/>
      </c>
      <c r="AT186" s="0" t="str">
        <f aca="false">IF($AN$32&lt;=0,"",$AN$32)</f>
        <v/>
      </c>
      <c r="AU186" s="0" t="str">
        <f aca="false">IF($AN$32&lt;=0,"","kg")</f>
        <v/>
      </c>
      <c r="AV186" s="0" t="n">
        <f aca="false">IF($AN$32&lt;=0,0,1)</f>
        <v>0</v>
      </c>
      <c r="AW186" s="0" t="n">
        <f aca="false">AW185+AV186</f>
        <v>31</v>
      </c>
    </row>
    <row r="187" customFormat="false" ht="15" hidden="false" customHeight="false" outlineLevel="0" collapsed="false">
      <c r="AP187" s="0" t="str">
        <f aca="false">IF($E$32&lt;=0,"",FIFO_helper!$C$32)</f>
        <v/>
      </c>
      <c r="AQ187" s="0" t="str">
        <f aca="false">IF($E$32&lt;=0,"","↳ Chancho (prod.)")</f>
        <v/>
      </c>
      <c r="AR187" s="0" t="str">
        <f aca="false">IF($E$32&lt;=0,"","CHANCHO")</f>
        <v/>
      </c>
      <c r="AS187" s="0" t="str">
        <f aca="false">""</f>
        <v/>
      </c>
      <c r="AT187" s="0" t="str">
        <f aca="false">IF($E$32&lt;=0,"",$E$32)</f>
        <v/>
      </c>
      <c r="AU187" s="0" t="str">
        <f aca="false">IF($E$32&lt;=0,"","sacos")</f>
        <v/>
      </c>
      <c r="AV187" s="0" t="n">
        <f aca="false">IF($E$32&lt;=0,0,1)</f>
        <v>0</v>
      </c>
      <c r="AW187" s="0" t="n">
        <f aca="false">AW186+AV187</f>
        <v>31</v>
      </c>
    </row>
    <row r="188" customFormat="false" ht="15" hidden="false" customHeight="false" outlineLevel="0" collapsed="false">
      <c r="AP188" s="0" t="str">
        <f aca="false">IF($R$33&lt;=0,"",FIFO_helper!$C$33)</f>
        <v/>
      </c>
      <c r="AQ188" s="0" t="str">
        <f aca="false">IF($R$33&lt;=0,"",$S$33)</f>
        <v/>
      </c>
      <c r="AR188" s="0" t="str">
        <f aca="false">IF($R$33&lt;=0,"","PRIMERA")</f>
        <v/>
      </c>
      <c r="AS188" s="0" t="str">
        <f aca="false">IF($R$33&lt;=0,"",$T$33)</f>
        <v/>
      </c>
      <c r="AT188" s="0" t="str">
        <f aca="false">IF($R$33&lt;=0,"",$R$33)</f>
        <v/>
      </c>
      <c r="AU188" s="0" t="str">
        <f aca="false">IF($R$33&lt;=0,"","kg")</f>
        <v/>
      </c>
      <c r="AV188" s="0" t="n">
        <f aca="false">IF($R$33&lt;=0,0,1)</f>
        <v>0</v>
      </c>
      <c r="AW188" s="0" t="n">
        <f aca="false">AW187+AV188</f>
        <v>31</v>
      </c>
    </row>
    <row r="189" customFormat="false" ht="15" hidden="false" customHeight="false" outlineLevel="0" collapsed="false">
      <c r="AP189" s="0" t="str">
        <f aca="false">IF($X$33&lt;=0,"",FIFO_helper!$C$33)</f>
        <v/>
      </c>
      <c r="AQ189" s="0" t="str">
        <f aca="false">IF($X$33&lt;=0,"",$Y$33)</f>
        <v/>
      </c>
      <c r="AR189" s="0" t="str">
        <f aca="false">IF($X$33&lt;=0,"","PRIMERA")</f>
        <v/>
      </c>
      <c r="AS189" s="0" t="str">
        <f aca="false">IF($X$33&lt;=0,"",$Z$33)</f>
        <v/>
      </c>
      <c r="AT189" s="0" t="str">
        <f aca="false">IF($X$33&lt;=0,"",$X$33)</f>
        <v/>
      </c>
      <c r="AU189" s="0" t="str">
        <f aca="false">IF($X$33&lt;=0,"","kg")</f>
        <v/>
      </c>
      <c r="AV189" s="0" t="n">
        <f aca="false">IF($X$33&lt;=0,0,1)</f>
        <v>0</v>
      </c>
      <c r="AW189" s="0" t="n">
        <f aca="false">AW188+AV189</f>
        <v>31</v>
      </c>
    </row>
    <row r="190" customFormat="false" ht="15" hidden="false" customHeight="false" outlineLevel="0" collapsed="false">
      <c r="AP190" s="0" t="str">
        <f aca="false">IF($AD$33&lt;=0,"",FIFO_helper!$C$33)</f>
        <v/>
      </c>
      <c r="AQ190" s="0" t="str">
        <f aca="false">IF($AD$33&lt;=0,"",$AE$33)</f>
        <v/>
      </c>
      <c r="AR190" s="0" t="str">
        <f aca="false">IF($AD$33&lt;=0,"","PRIMERA")</f>
        <v/>
      </c>
      <c r="AS190" s="0" t="str">
        <f aca="false">IF($AD$33&lt;=0,"",$AF$33)</f>
        <v/>
      </c>
      <c r="AT190" s="0" t="str">
        <f aca="false">IF($AD$33&lt;=0,"",$AD$33)</f>
        <v/>
      </c>
      <c r="AU190" s="0" t="str">
        <f aca="false">IF($AD$33&lt;=0,"","kg")</f>
        <v/>
      </c>
      <c r="AV190" s="0" t="n">
        <f aca="false">IF($AD$33&lt;=0,0,1)</f>
        <v>0</v>
      </c>
      <c r="AW190" s="0" t="n">
        <f aca="false">AW189+AV190</f>
        <v>31</v>
      </c>
    </row>
    <row r="191" customFormat="false" ht="15" hidden="false" customHeight="false" outlineLevel="0" collapsed="false">
      <c r="AP191" s="0" t="str">
        <f aca="false">IF($AJ$33&lt;=0,"",FIFO_helper!$C$33)</f>
        <v/>
      </c>
      <c r="AQ191" s="0" t="str">
        <f aca="false">IF($AJ$33&lt;=0,"",$AK$33)</f>
        <v/>
      </c>
      <c r="AR191" s="0" t="str">
        <f aca="false">IF($AJ$33&lt;=0,"","PRIMERA")</f>
        <v/>
      </c>
      <c r="AS191" s="0" t="str">
        <f aca="false">IF($AJ$33&lt;=0,"",$AL$33)</f>
        <v/>
      </c>
      <c r="AT191" s="0" t="str">
        <f aca="false">IF($AJ$33&lt;=0,"",$AJ$33)</f>
        <v/>
      </c>
      <c r="AU191" s="0" t="str">
        <f aca="false">IF($AJ$33&lt;=0,"","kg")</f>
        <v/>
      </c>
      <c r="AV191" s="0" t="n">
        <f aca="false">IF($AJ$33&lt;=0,0,1)</f>
        <v>0</v>
      </c>
      <c r="AW191" s="0" t="n">
        <f aca="false">AW190+AV191</f>
        <v>31</v>
      </c>
    </row>
    <row r="192" customFormat="false" ht="15" hidden="false" customHeight="false" outlineLevel="0" collapsed="false">
      <c r="AP192" s="0" t="str">
        <f aca="false">IF($AN$33&lt;=0,"",FIFO_helper!$C$33)</f>
        <v/>
      </c>
      <c r="AQ192" s="0" t="str">
        <f aca="false">IF($AN$33&lt;=0,"","(queda en planta)")</f>
        <v/>
      </c>
      <c r="AR192" s="0" t="str">
        <f aca="false">IF($AN$33&lt;=0,"","PRIMERA")</f>
        <v/>
      </c>
      <c r="AS192" s="0" t="str">
        <f aca="false">""</f>
        <v/>
      </c>
      <c r="AT192" s="0" t="str">
        <f aca="false">IF($AN$33&lt;=0,"",$AN$33)</f>
        <v/>
      </c>
      <c r="AU192" s="0" t="str">
        <f aca="false">IF($AN$33&lt;=0,"","kg")</f>
        <v/>
      </c>
      <c r="AV192" s="0" t="n">
        <f aca="false">IF($AN$33&lt;=0,0,1)</f>
        <v>0</v>
      </c>
      <c r="AW192" s="0" t="n">
        <f aca="false">AW191+AV192</f>
        <v>31</v>
      </c>
    </row>
    <row r="193" customFormat="false" ht="15" hidden="false" customHeight="false" outlineLevel="0" collapsed="false">
      <c r="AP193" s="0" t="str">
        <f aca="false">IF($E$33&lt;=0,"",FIFO_helper!$C$33)</f>
        <v/>
      </c>
      <c r="AQ193" s="0" t="str">
        <f aca="false">IF($E$33&lt;=0,"","↳ Chancho (prod.)")</f>
        <v/>
      </c>
      <c r="AR193" s="0" t="str">
        <f aca="false">IF($E$33&lt;=0,"","CHANCHO")</f>
        <v/>
      </c>
      <c r="AS193" s="0" t="str">
        <f aca="false">""</f>
        <v/>
      </c>
      <c r="AT193" s="0" t="str">
        <f aca="false">IF($E$33&lt;=0,"",$E$33)</f>
        <v/>
      </c>
      <c r="AU193" s="0" t="str">
        <f aca="false">IF($E$33&lt;=0,"","sacos")</f>
        <v/>
      </c>
      <c r="AV193" s="0" t="n">
        <f aca="false">IF($E$33&lt;=0,0,1)</f>
        <v>0</v>
      </c>
      <c r="AW193" s="0" t="n">
        <f aca="false">AW192+AV193</f>
        <v>31</v>
      </c>
    </row>
    <row r="194" customFormat="false" ht="15" hidden="false" customHeight="false" outlineLevel="0" collapsed="false">
      <c r="AP194" s="0" t="str">
        <f aca="false">IF($R$34&lt;=0,"",FIFO_helper!$C$34)</f>
        <v/>
      </c>
      <c r="AQ194" s="0" t="str">
        <f aca="false">IF($R$34&lt;=0,"",$S$34)</f>
        <v/>
      </c>
      <c r="AR194" s="0" t="str">
        <f aca="false">IF($R$34&lt;=0,"","PRIMERA")</f>
        <v/>
      </c>
      <c r="AS194" s="0" t="str">
        <f aca="false">IF($R$34&lt;=0,"",$T$34)</f>
        <v/>
      </c>
      <c r="AT194" s="0" t="str">
        <f aca="false">IF($R$34&lt;=0,"",$R$34)</f>
        <v/>
      </c>
      <c r="AU194" s="0" t="str">
        <f aca="false">IF($R$34&lt;=0,"","kg")</f>
        <v/>
      </c>
      <c r="AV194" s="0" t="n">
        <f aca="false">IF($R$34&lt;=0,0,1)</f>
        <v>0</v>
      </c>
      <c r="AW194" s="0" t="n">
        <f aca="false">AW193+AV194</f>
        <v>31</v>
      </c>
    </row>
    <row r="195" customFormat="false" ht="15" hidden="false" customHeight="false" outlineLevel="0" collapsed="false">
      <c r="AP195" s="0" t="str">
        <f aca="false">IF($X$34&lt;=0,"",FIFO_helper!$C$34)</f>
        <v/>
      </c>
      <c r="AQ195" s="0" t="str">
        <f aca="false">IF($X$34&lt;=0,"",$Y$34)</f>
        <v/>
      </c>
      <c r="AR195" s="0" t="str">
        <f aca="false">IF($X$34&lt;=0,"","PRIMERA")</f>
        <v/>
      </c>
      <c r="AS195" s="0" t="str">
        <f aca="false">IF($X$34&lt;=0,"",$Z$34)</f>
        <v/>
      </c>
      <c r="AT195" s="0" t="str">
        <f aca="false">IF($X$34&lt;=0,"",$X$34)</f>
        <v/>
      </c>
      <c r="AU195" s="0" t="str">
        <f aca="false">IF($X$34&lt;=0,"","kg")</f>
        <v/>
      </c>
      <c r="AV195" s="0" t="n">
        <f aca="false">IF($X$34&lt;=0,0,1)</f>
        <v>0</v>
      </c>
      <c r="AW195" s="0" t="n">
        <f aca="false">AW194+AV195</f>
        <v>31</v>
      </c>
    </row>
    <row r="196" customFormat="false" ht="15" hidden="false" customHeight="false" outlineLevel="0" collapsed="false">
      <c r="AP196" s="0" t="str">
        <f aca="false">IF($AD$34&lt;=0,"",FIFO_helper!$C$34)</f>
        <v/>
      </c>
      <c r="AQ196" s="0" t="str">
        <f aca="false">IF($AD$34&lt;=0,"",$AE$34)</f>
        <v/>
      </c>
      <c r="AR196" s="0" t="str">
        <f aca="false">IF($AD$34&lt;=0,"","PRIMERA")</f>
        <v/>
      </c>
      <c r="AS196" s="0" t="str">
        <f aca="false">IF($AD$34&lt;=0,"",$AF$34)</f>
        <v/>
      </c>
      <c r="AT196" s="0" t="str">
        <f aca="false">IF($AD$34&lt;=0,"",$AD$34)</f>
        <v/>
      </c>
      <c r="AU196" s="0" t="str">
        <f aca="false">IF($AD$34&lt;=0,"","kg")</f>
        <v/>
      </c>
      <c r="AV196" s="0" t="n">
        <f aca="false">IF($AD$34&lt;=0,0,1)</f>
        <v>0</v>
      </c>
      <c r="AW196" s="0" t="n">
        <f aca="false">AW195+AV196</f>
        <v>31</v>
      </c>
    </row>
    <row r="197" customFormat="false" ht="15" hidden="false" customHeight="false" outlineLevel="0" collapsed="false">
      <c r="AP197" s="0" t="str">
        <f aca="false">IF($AJ$34&lt;=0,"",FIFO_helper!$C$34)</f>
        <v/>
      </c>
      <c r="AQ197" s="0" t="str">
        <f aca="false">IF($AJ$34&lt;=0,"",$AK$34)</f>
        <v/>
      </c>
      <c r="AR197" s="0" t="str">
        <f aca="false">IF($AJ$34&lt;=0,"","PRIMERA")</f>
        <v/>
      </c>
      <c r="AS197" s="0" t="str">
        <f aca="false">IF($AJ$34&lt;=0,"",$AL$34)</f>
        <v/>
      </c>
      <c r="AT197" s="0" t="str">
        <f aca="false">IF($AJ$34&lt;=0,"",$AJ$34)</f>
        <v/>
      </c>
      <c r="AU197" s="0" t="str">
        <f aca="false">IF($AJ$34&lt;=0,"","kg")</f>
        <v/>
      </c>
      <c r="AV197" s="0" t="n">
        <f aca="false">IF($AJ$34&lt;=0,0,1)</f>
        <v>0</v>
      </c>
      <c r="AW197" s="0" t="n">
        <f aca="false">AW196+AV197</f>
        <v>31</v>
      </c>
    </row>
    <row r="198" customFormat="false" ht="15" hidden="false" customHeight="false" outlineLevel="0" collapsed="false">
      <c r="AP198" s="0" t="str">
        <f aca="false">IF($AN$34&lt;=0,"",FIFO_helper!$C$34)</f>
        <v/>
      </c>
      <c r="AQ198" s="0" t="str">
        <f aca="false">IF($AN$34&lt;=0,"","(queda en planta)")</f>
        <v/>
      </c>
      <c r="AR198" s="0" t="str">
        <f aca="false">IF($AN$34&lt;=0,"","PRIMERA")</f>
        <v/>
      </c>
      <c r="AS198" s="0" t="str">
        <f aca="false">""</f>
        <v/>
      </c>
      <c r="AT198" s="0" t="str">
        <f aca="false">IF($AN$34&lt;=0,"",$AN$34)</f>
        <v/>
      </c>
      <c r="AU198" s="0" t="str">
        <f aca="false">IF($AN$34&lt;=0,"","kg")</f>
        <v/>
      </c>
      <c r="AV198" s="0" t="n">
        <f aca="false">IF($AN$34&lt;=0,0,1)</f>
        <v>0</v>
      </c>
      <c r="AW198" s="0" t="n">
        <f aca="false">AW197+AV198</f>
        <v>31</v>
      </c>
    </row>
    <row r="199" customFormat="false" ht="15" hidden="false" customHeight="false" outlineLevel="0" collapsed="false">
      <c r="AP199" s="0" t="str">
        <f aca="false">IF($E$34&lt;=0,"",FIFO_helper!$C$34)</f>
        <v/>
      </c>
      <c r="AQ199" s="0" t="str">
        <f aca="false">IF($E$34&lt;=0,"","↳ Chancho (prod.)")</f>
        <v/>
      </c>
      <c r="AR199" s="0" t="str">
        <f aca="false">IF($E$34&lt;=0,"","CHANCHO")</f>
        <v/>
      </c>
      <c r="AS199" s="0" t="str">
        <f aca="false">""</f>
        <v/>
      </c>
      <c r="AT199" s="0" t="str">
        <f aca="false">IF($E$34&lt;=0,"",$E$34)</f>
        <v/>
      </c>
      <c r="AU199" s="0" t="str">
        <f aca="false">IF($E$34&lt;=0,"","sacos")</f>
        <v/>
      </c>
      <c r="AV199" s="0" t="n">
        <f aca="false">IF($E$34&lt;=0,0,1)</f>
        <v>0</v>
      </c>
      <c r="AW199" s="0" t="n">
        <f aca="false">AW198+AV199</f>
        <v>31</v>
      </c>
    </row>
    <row r="200" customFormat="false" ht="15" hidden="false" customHeight="false" outlineLevel="0" collapsed="false">
      <c r="AP200" s="0" t="str">
        <f aca="false">IF($R$35&lt;=0,"",FIFO_helper!$C$35)</f>
        <v/>
      </c>
      <c r="AQ200" s="0" t="str">
        <f aca="false">IF($R$35&lt;=0,"",$S$35)</f>
        <v/>
      </c>
      <c r="AR200" s="0" t="str">
        <f aca="false">IF($R$35&lt;=0,"","PRIMERA")</f>
        <v/>
      </c>
      <c r="AS200" s="0" t="str">
        <f aca="false">IF($R$35&lt;=0,"",$T$35)</f>
        <v/>
      </c>
      <c r="AT200" s="0" t="str">
        <f aca="false">IF($R$35&lt;=0,"",$R$35)</f>
        <v/>
      </c>
      <c r="AU200" s="0" t="str">
        <f aca="false">IF($R$35&lt;=0,"","kg")</f>
        <v/>
      </c>
      <c r="AV200" s="0" t="n">
        <f aca="false">IF($R$35&lt;=0,0,1)</f>
        <v>0</v>
      </c>
      <c r="AW200" s="0" t="n">
        <f aca="false">AW199+AV200</f>
        <v>31</v>
      </c>
    </row>
    <row r="201" customFormat="false" ht="15" hidden="false" customHeight="false" outlineLevel="0" collapsed="false">
      <c r="AP201" s="0" t="str">
        <f aca="false">IF($X$35&lt;=0,"",FIFO_helper!$C$35)</f>
        <v/>
      </c>
      <c r="AQ201" s="0" t="str">
        <f aca="false">IF($X$35&lt;=0,"",$Y$35)</f>
        <v/>
      </c>
      <c r="AR201" s="0" t="str">
        <f aca="false">IF($X$35&lt;=0,"","PRIMERA")</f>
        <v/>
      </c>
      <c r="AS201" s="0" t="str">
        <f aca="false">IF($X$35&lt;=0,"",$Z$35)</f>
        <v/>
      </c>
      <c r="AT201" s="0" t="str">
        <f aca="false">IF($X$35&lt;=0,"",$X$35)</f>
        <v/>
      </c>
      <c r="AU201" s="0" t="str">
        <f aca="false">IF($X$35&lt;=0,"","kg")</f>
        <v/>
      </c>
      <c r="AV201" s="0" t="n">
        <f aca="false">IF($X$35&lt;=0,0,1)</f>
        <v>0</v>
      </c>
      <c r="AW201" s="0" t="n">
        <f aca="false">AW200+AV201</f>
        <v>31</v>
      </c>
    </row>
    <row r="202" customFormat="false" ht="15" hidden="false" customHeight="false" outlineLevel="0" collapsed="false">
      <c r="AP202" s="0" t="str">
        <f aca="false">IF($AD$35&lt;=0,"",FIFO_helper!$C$35)</f>
        <v/>
      </c>
      <c r="AQ202" s="0" t="str">
        <f aca="false">IF($AD$35&lt;=0,"",$AE$35)</f>
        <v/>
      </c>
      <c r="AR202" s="0" t="str">
        <f aca="false">IF($AD$35&lt;=0,"","PRIMERA")</f>
        <v/>
      </c>
      <c r="AS202" s="0" t="str">
        <f aca="false">IF($AD$35&lt;=0,"",$AF$35)</f>
        <v/>
      </c>
      <c r="AT202" s="0" t="str">
        <f aca="false">IF($AD$35&lt;=0,"",$AD$35)</f>
        <v/>
      </c>
      <c r="AU202" s="0" t="str">
        <f aca="false">IF($AD$35&lt;=0,"","kg")</f>
        <v/>
      </c>
      <c r="AV202" s="0" t="n">
        <f aca="false">IF($AD$35&lt;=0,0,1)</f>
        <v>0</v>
      </c>
      <c r="AW202" s="0" t="n">
        <f aca="false">AW201+AV202</f>
        <v>31</v>
      </c>
    </row>
    <row r="203" customFormat="false" ht="15" hidden="false" customHeight="false" outlineLevel="0" collapsed="false">
      <c r="AP203" s="0" t="str">
        <f aca="false">IF($AJ$35&lt;=0,"",FIFO_helper!$C$35)</f>
        <v/>
      </c>
      <c r="AQ203" s="0" t="str">
        <f aca="false">IF($AJ$35&lt;=0,"",$AK$35)</f>
        <v/>
      </c>
      <c r="AR203" s="0" t="str">
        <f aca="false">IF($AJ$35&lt;=0,"","PRIMERA")</f>
        <v/>
      </c>
      <c r="AS203" s="0" t="str">
        <f aca="false">IF($AJ$35&lt;=0,"",$AL$35)</f>
        <v/>
      </c>
      <c r="AT203" s="0" t="str">
        <f aca="false">IF($AJ$35&lt;=0,"",$AJ$35)</f>
        <v/>
      </c>
      <c r="AU203" s="0" t="str">
        <f aca="false">IF($AJ$35&lt;=0,"","kg")</f>
        <v/>
      </c>
      <c r="AV203" s="0" t="n">
        <f aca="false">IF($AJ$35&lt;=0,0,1)</f>
        <v>0</v>
      </c>
      <c r="AW203" s="0" t="n">
        <f aca="false">AW202+AV203</f>
        <v>31</v>
      </c>
    </row>
    <row r="204" customFormat="false" ht="15" hidden="false" customHeight="false" outlineLevel="0" collapsed="false">
      <c r="AP204" s="0" t="str">
        <f aca="false">IF($AN$35&lt;=0,"",FIFO_helper!$C$35)</f>
        <v/>
      </c>
      <c r="AQ204" s="0" t="str">
        <f aca="false">IF($AN$35&lt;=0,"","(queda en planta)")</f>
        <v/>
      </c>
      <c r="AR204" s="0" t="str">
        <f aca="false">IF($AN$35&lt;=0,"","PRIMERA")</f>
        <v/>
      </c>
      <c r="AS204" s="0" t="str">
        <f aca="false">""</f>
        <v/>
      </c>
      <c r="AT204" s="0" t="str">
        <f aca="false">IF($AN$35&lt;=0,"",$AN$35)</f>
        <v/>
      </c>
      <c r="AU204" s="0" t="str">
        <f aca="false">IF($AN$35&lt;=0,"","kg")</f>
        <v/>
      </c>
      <c r="AV204" s="0" t="n">
        <f aca="false">IF($AN$35&lt;=0,0,1)</f>
        <v>0</v>
      </c>
      <c r="AW204" s="0" t="n">
        <f aca="false">AW203+AV204</f>
        <v>31</v>
      </c>
    </row>
    <row r="205" customFormat="false" ht="15" hidden="false" customHeight="false" outlineLevel="0" collapsed="false">
      <c r="AP205" s="0" t="str">
        <f aca="false">IF($E$35&lt;=0,"",FIFO_helper!$C$35)</f>
        <v/>
      </c>
      <c r="AQ205" s="0" t="str">
        <f aca="false">IF($E$35&lt;=0,"","↳ Chancho (prod.)")</f>
        <v/>
      </c>
      <c r="AR205" s="0" t="str">
        <f aca="false">IF($E$35&lt;=0,"","CHANCHO")</f>
        <v/>
      </c>
      <c r="AS205" s="0" t="str">
        <f aca="false">""</f>
        <v/>
      </c>
      <c r="AT205" s="0" t="str">
        <f aca="false">IF($E$35&lt;=0,"",$E$35)</f>
        <v/>
      </c>
      <c r="AU205" s="0" t="str">
        <f aca="false">IF($E$35&lt;=0,"","sacos")</f>
        <v/>
      </c>
      <c r="AV205" s="0" t="n">
        <f aca="false">IF($E$35&lt;=0,0,1)</f>
        <v>0</v>
      </c>
      <c r="AW205" s="0" t="n">
        <f aca="false">AW204+AV205</f>
        <v>31</v>
      </c>
    </row>
    <row r="206" customFormat="false" ht="15" hidden="false" customHeight="false" outlineLevel="0" collapsed="false">
      <c r="AP206" s="0" t="str">
        <f aca="false">IF($R$36&lt;=0,"",FIFO_helper!$C$36)</f>
        <v/>
      </c>
      <c r="AQ206" s="0" t="str">
        <f aca="false">IF($R$36&lt;=0,"",$S$36)</f>
        <v/>
      </c>
      <c r="AR206" s="0" t="str">
        <f aca="false">IF($R$36&lt;=0,"","PRIMERA")</f>
        <v/>
      </c>
      <c r="AS206" s="0" t="str">
        <f aca="false">IF($R$36&lt;=0,"",$T$36)</f>
        <v/>
      </c>
      <c r="AT206" s="0" t="str">
        <f aca="false">IF($R$36&lt;=0,"",$R$36)</f>
        <v/>
      </c>
      <c r="AU206" s="0" t="str">
        <f aca="false">IF($R$36&lt;=0,"","kg")</f>
        <v/>
      </c>
      <c r="AV206" s="0" t="n">
        <f aca="false">IF($R$36&lt;=0,0,1)</f>
        <v>0</v>
      </c>
      <c r="AW206" s="0" t="n">
        <f aca="false">AW205+AV206</f>
        <v>31</v>
      </c>
    </row>
    <row r="207" customFormat="false" ht="15" hidden="false" customHeight="false" outlineLevel="0" collapsed="false">
      <c r="AP207" s="0" t="str">
        <f aca="false">IF($X$36&lt;=0,"",FIFO_helper!$C$36)</f>
        <v/>
      </c>
      <c r="AQ207" s="0" t="str">
        <f aca="false">IF($X$36&lt;=0,"",$Y$36)</f>
        <v/>
      </c>
      <c r="AR207" s="0" t="str">
        <f aca="false">IF($X$36&lt;=0,"","PRIMERA")</f>
        <v/>
      </c>
      <c r="AS207" s="0" t="str">
        <f aca="false">IF($X$36&lt;=0,"",$Z$36)</f>
        <v/>
      </c>
      <c r="AT207" s="0" t="str">
        <f aca="false">IF($X$36&lt;=0,"",$X$36)</f>
        <v/>
      </c>
      <c r="AU207" s="0" t="str">
        <f aca="false">IF($X$36&lt;=0,"","kg")</f>
        <v/>
      </c>
      <c r="AV207" s="0" t="n">
        <f aca="false">IF($X$36&lt;=0,0,1)</f>
        <v>0</v>
      </c>
      <c r="AW207" s="0" t="n">
        <f aca="false">AW206+AV207</f>
        <v>31</v>
      </c>
    </row>
    <row r="208" customFormat="false" ht="15" hidden="false" customHeight="false" outlineLevel="0" collapsed="false">
      <c r="AP208" s="0" t="str">
        <f aca="false">IF($AD$36&lt;=0,"",FIFO_helper!$C$36)</f>
        <v/>
      </c>
      <c r="AQ208" s="0" t="str">
        <f aca="false">IF($AD$36&lt;=0,"",$AE$36)</f>
        <v/>
      </c>
      <c r="AR208" s="0" t="str">
        <f aca="false">IF($AD$36&lt;=0,"","PRIMERA")</f>
        <v/>
      </c>
      <c r="AS208" s="0" t="str">
        <f aca="false">IF($AD$36&lt;=0,"",$AF$36)</f>
        <v/>
      </c>
      <c r="AT208" s="0" t="str">
        <f aca="false">IF($AD$36&lt;=0,"",$AD$36)</f>
        <v/>
      </c>
      <c r="AU208" s="0" t="str">
        <f aca="false">IF($AD$36&lt;=0,"","kg")</f>
        <v/>
      </c>
      <c r="AV208" s="0" t="n">
        <f aca="false">IF($AD$36&lt;=0,0,1)</f>
        <v>0</v>
      </c>
      <c r="AW208" s="0" t="n">
        <f aca="false">AW207+AV208</f>
        <v>31</v>
      </c>
    </row>
    <row r="209" customFormat="false" ht="15" hidden="false" customHeight="false" outlineLevel="0" collapsed="false">
      <c r="AP209" s="0" t="str">
        <f aca="false">IF($AJ$36&lt;=0,"",FIFO_helper!$C$36)</f>
        <v/>
      </c>
      <c r="AQ209" s="0" t="str">
        <f aca="false">IF($AJ$36&lt;=0,"",$AK$36)</f>
        <v/>
      </c>
      <c r="AR209" s="0" t="str">
        <f aca="false">IF($AJ$36&lt;=0,"","PRIMERA")</f>
        <v/>
      </c>
      <c r="AS209" s="0" t="str">
        <f aca="false">IF($AJ$36&lt;=0,"",$AL$36)</f>
        <v/>
      </c>
      <c r="AT209" s="0" t="str">
        <f aca="false">IF($AJ$36&lt;=0,"",$AJ$36)</f>
        <v/>
      </c>
      <c r="AU209" s="0" t="str">
        <f aca="false">IF($AJ$36&lt;=0,"","kg")</f>
        <v/>
      </c>
      <c r="AV209" s="0" t="n">
        <f aca="false">IF($AJ$36&lt;=0,0,1)</f>
        <v>0</v>
      </c>
      <c r="AW209" s="0" t="n">
        <f aca="false">AW208+AV209</f>
        <v>31</v>
      </c>
    </row>
    <row r="210" customFormat="false" ht="15" hidden="false" customHeight="false" outlineLevel="0" collapsed="false">
      <c r="AP210" s="0" t="str">
        <f aca="false">IF($AN$36&lt;=0,"",FIFO_helper!$C$36)</f>
        <v/>
      </c>
      <c r="AQ210" s="0" t="str">
        <f aca="false">IF($AN$36&lt;=0,"","(queda en planta)")</f>
        <v/>
      </c>
      <c r="AR210" s="0" t="str">
        <f aca="false">IF($AN$36&lt;=0,"","PRIMERA")</f>
        <v/>
      </c>
      <c r="AS210" s="0" t="str">
        <f aca="false">""</f>
        <v/>
      </c>
      <c r="AT210" s="0" t="str">
        <f aca="false">IF($AN$36&lt;=0,"",$AN$36)</f>
        <v/>
      </c>
      <c r="AU210" s="0" t="str">
        <f aca="false">IF($AN$36&lt;=0,"","kg")</f>
        <v/>
      </c>
      <c r="AV210" s="0" t="n">
        <f aca="false">IF($AN$36&lt;=0,0,1)</f>
        <v>0</v>
      </c>
      <c r="AW210" s="0" t="n">
        <f aca="false">AW209+AV210</f>
        <v>31</v>
      </c>
    </row>
    <row r="211" customFormat="false" ht="15" hidden="false" customHeight="false" outlineLevel="0" collapsed="false">
      <c r="AP211" s="0" t="str">
        <f aca="false">IF($E$36&lt;=0,"",FIFO_helper!$C$36)</f>
        <v/>
      </c>
      <c r="AQ211" s="0" t="str">
        <f aca="false">IF($E$36&lt;=0,"","↳ Chancho (prod.)")</f>
        <v/>
      </c>
      <c r="AR211" s="0" t="str">
        <f aca="false">IF($E$36&lt;=0,"","CHANCHO")</f>
        <v/>
      </c>
      <c r="AS211" s="0" t="str">
        <f aca="false">""</f>
        <v/>
      </c>
      <c r="AT211" s="0" t="str">
        <f aca="false">IF($E$36&lt;=0,"",$E$36)</f>
        <v/>
      </c>
      <c r="AU211" s="0" t="str">
        <f aca="false">IF($E$36&lt;=0,"","sacos")</f>
        <v/>
      </c>
      <c r="AV211" s="0" t="n">
        <f aca="false">IF($E$36&lt;=0,0,1)</f>
        <v>0</v>
      </c>
      <c r="AW211" s="0" t="n">
        <f aca="false">AW210+AV211</f>
        <v>31</v>
      </c>
    </row>
    <row r="212" customFormat="false" ht="15" hidden="false" customHeight="false" outlineLevel="0" collapsed="false">
      <c r="AP212" s="0" t="str">
        <f aca="false">IF($R$37&lt;=0,"",FIFO_helper!$C$37)</f>
        <v/>
      </c>
      <c r="AQ212" s="0" t="str">
        <f aca="false">IF($R$37&lt;=0,"",$S$37)</f>
        <v/>
      </c>
      <c r="AR212" s="0" t="str">
        <f aca="false">IF($R$37&lt;=0,"","PRIMERA")</f>
        <v/>
      </c>
      <c r="AS212" s="0" t="str">
        <f aca="false">IF($R$37&lt;=0,"",$T$37)</f>
        <v/>
      </c>
      <c r="AT212" s="0" t="str">
        <f aca="false">IF($R$37&lt;=0,"",$R$37)</f>
        <v/>
      </c>
      <c r="AU212" s="0" t="str">
        <f aca="false">IF($R$37&lt;=0,"","kg")</f>
        <v/>
      </c>
      <c r="AV212" s="0" t="n">
        <f aca="false">IF($R$37&lt;=0,0,1)</f>
        <v>0</v>
      </c>
      <c r="AW212" s="0" t="n">
        <f aca="false">AW211+AV212</f>
        <v>31</v>
      </c>
    </row>
    <row r="213" customFormat="false" ht="15" hidden="false" customHeight="false" outlineLevel="0" collapsed="false">
      <c r="AP213" s="0" t="str">
        <f aca="false">IF($X$37&lt;=0,"",FIFO_helper!$C$37)</f>
        <v/>
      </c>
      <c r="AQ213" s="0" t="str">
        <f aca="false">IF($X$37&lt;=0,"",$Y$37)</f>
        <v/>
      </c>
      <c r="AR213" s="0" t="str">
        <f aca="false">IF($X$37&lt;=0,"","PRIMERA")</f>
        <v/>
      </c>
      <c r="AS213" s="0" t="str">
        <f aca="false">IF($X$37&lt;=0,"",$Z$37)</f>
        <v/>
      </c>
      <c r="AT213" s="0" t="str">
        <f aca="false">IF($X$37&lt;=0,"",$X$37)</f>
        <v/>
      </c>
      <c r="AU213" s="0" t="str">
        <f aca="false">IF($X$37&lt;=0,"","kg")</f>
        <v/>
      </c>
      <c r="AV213" s="0" t="n">
        <f aca="false">IF($X$37&lt;=0,0,1)</f>
        <v>0</v>
      </c>
      <c r="AW213" s="0" t="n">
        <f aca="false">AW212+AV213</f>
        <v>31</v>
      </c>
    </row>
    <row r="214" customFormat="false" ht="15" hidden="false" customHeight="false" outlineLevel="0" collapsed="false">
      <c r="AP214" s="0" t="str">
        <f aca="false">IF($AD$37&lt;=0,"",FIFO_helper!$C$37)</f>
        <v/>
      </c>
      <c r="AQ214" s="0" t="str">
        <f aca="false">IF($AD$37&lt;=0,"",$AE$37)</f>
        <v/>
      </c>
      <c r="AR214" s="0" t="str">
        <f aca="false">IF($AD$37&lt;=0,"","PRIMERA")</f>
        <v/>
      </c>
      <c r="AS214" s="0" t="str">
        <f aca="false">IF($AD$37&lt;=0,"",$AF$37)</f>
        <v/>
      </c>
      <c r="AT214" s="0" t="str">
        <f aca="false">IF($AD$37&lt;=0,"",$AD$37)</f>
        <v/>
      </c>
      <c r="AU214" s="0" t="str">
        <f aca="false">IF($AD$37&lt;=0,"","kg")</f>
        <v/>
      </c>
      <c r="AV214" s="0" t="n">
        <f aca="false">IF($AD$37&lt;=0,0,1)</f>
        <v>0</v>
      </c>
      <c r="AW214" s="0" t="n">
        <f aca="false">AW213+AV214</f>
        <v>31</v>
      </c>
    </row>
    <row r="215" customFormat="false" ht="15" hidden="false" customHeight="false" outlineLevel="0" collapsed="false">
      <c r="AP215" s="0" t="str">
        <f aca="false">IF($AJ$37&lt;=0,"",FIFO_helper!$C$37)</f>
        <v/>
      </c>
      <c r="AQ215" s="0" t="str">
        <f aca="false">IF($AJ$37&lt;=0,"",$AK$37)</f>
        <v/>
      </c>
      <c r="AR215" s="0" t="str">
        <f aca="false">IF($AJ$37&lt;=0,"","PRIMERA")</f>
        <v/>
      </c>
      <c r="AS215" s="0" t="str">
        <f aca="false">IF($AJ$37&lt;=0,"",$AL$37)</f>
        <v/>
      </c>
      <c r="AT215" s="0" t="str">
        <f aca="false">IF($AJ$37&lt;=0,"",$AJ$37)</f>
        <v/>
      </c>
      <c r="AU215" s="0" t="str">
        <f aca="false">IF($AJ$37&lt;=0,"","kg")</f>
        <v/>
      </c>
      <c r="AV215" s="0" t="n">
        <f aca="false">IF($AJ$37&lt;=0,0,1)</f>
        <v>0</v>
      </c>
      <c r="AW215" s="0" t="n">
        <f aca="false">AW214+AV215</f>
        <v>31</v>
      </c>
    </row>
    <row r="216" customFormat="false" ht="15" hidden="false" customHeight="false" outlineLevel="0" collapsed="false">
      <c r="AP216" s="0" t="str">
        <f aca="false">IF($AN$37&lt;=0,"",FIFO_helper!$C$37)</f>
        <v/>
      </c>
      <c r="AQ216" s="0" t="str">
        <f aca="false">IF($AN$37&lt;=0,"","(queda en planta)")</f>
        <v/>
      </c>
      <c r="AR216" s="0" t="str">
        <f aca="false">IF($AN$37&lt;=0,"","PRIMERA")</f>
        <v/>
      </c>
      <c r="AS216" s="0" t="str">
        <f aca="false">""</f>
        <v/>
      </c>
      <c r="AT216" s="0" t="str">
        <f aca="false">IF($AN$37&lt;=0,"",$AN$37)</f>
        <v/>
      </c>
      <c r="AU216" s="0" t="str">
        <f aca="false">IF($AN$37&lt;=0,"","kg")</f>
        <v/>
      </c>
      <c r="AV216" s="0" t="n">
        <f aca="false">IF($AN$37&lt;=0,0,1)</f>
        <v>0</v>
      </c>
      <c r="AW216" s="0" t="n">
        <f aca="false">AW215+AV216</f>
        <v>31</v>
      </c>
    </row>
    <row r="217" customFormat="false" ht="15" hidden="false" customHeight="false" outlineLevel="0" collapsed="false">
      <c r="AP217" s="0" t="str">
        <f aca="false">IF($E$37&lt;=0,"",FIFO_helper!$C$37)</f>
        <v/>
      </c>
      <c r="AQ217" s="0" t="str">
        <f aca="false">IF($E$37&lt;=0,"","↳ Chancho (prod.)")</f>
        <v/>
      </c>
      <c r="AR217" s="0" t="str">
        <f aca="false">IF($E$37&lt;=0,"","CHANCHO")</f>
        <v/>
      </c>
      <c r="AS217" s="0" t="str">
        <f aca="false">""</f>
        <v/>
      </c>
      <c r="AT217" s="0" t="str">
        <f aca="false">IF($E$37&lt;=0,"",$E$37)</f>
        <v/>
      </c>
      <c r="AU217" s="0" t="str">
        <f aca="false">IF($E$37&lt;=0,"","sacos")</f>
        <v/>
      </c>
      <c r="AV217" s="0" t="n">
        <f aca="false">IF($E$37&lt;=0,0,1)</f>
        <v>0</v>
      </c>
      <c r="AW217" s="0" t="n">
        <f aca="false">AW216+AV217</f>
        <v>31</v>
      </c>
    </row>
    <row r="218" customFormat="false" ht="15" hidden="false" customHeight="false" outlineLevel="0" collapsed="false">
      <c r="AP218" s="0" t="str">
        <f aca="false">IF($R$38&lt;=0,"",FIFO_helper!$C$38)</f>
        <v/>
      </c>
      <c r="AQ218" s="0" t="str">
        <f aca="false">IF($R$38&lt;=0,"",$S$38)</f>
        <v/>
      </c>
      <c r="AR218" s="0" t="str">
        <f aca="false">IF($R$38&lt;=0,"","PRIMERA")</f>
        <v/>
      </c>
      <c r="AS218" s="0" t="str">
        <f aca="false">IF($R$38&lt;=0,"",$T$38)</f>
        <v/>
      </c>
      <c r="AT218" s="0" t="str">
        <f aca="false">IF($R$38&lt;=0,"",$R$38)</f>
        <v/>
      </c>
      <c r="AU218" s="0" t="str">
        <f aca="false">IF($R$38&lt;=0,"","kg")</f>
        <v/>
      </c>
      <c r="AV218" s="0" t="n">
        <f aca="false">IF($R$38&lt;=0,0,1)</f>
        <v>0</v>
      </c>
      <c r="AW218" s="0" t="n">
        <f aca="false">AW217+AV218</f>
        <v>31</v>
      </c>
    </row>
    <row r="219" customFormat="false" ht="15" hidden="false" customHeight="false" outlineLevel="0" collapsed="false">
      <c r="AP219" s="0" t="str">
        <f aca="false">IF($X$38&lt;=0,"",FIFO_helper!$C$38)</f>
        <v/>
      </c>
      <c r="AQ219" s="0" t="str">
        <f aca="false">IF($X$38&lt;=0,"",$Y$38)</f>
        <v/>
      </c>
      <c r="AR219" s="0" t="str">
        <f aca="false">IF($X$38&lt;=0,"","PRIMERA")</f>
        <v/>
      </c>
      <c r="AS219" s="0" t="str">
        <f aca="false">IF($X$38&lt;=0,"",$Z$38)</f>
        <v/>
      </c>
      <c r="AT219" s="0" t="str">
        <f aca="false">IF($X$38&lt;=0,"",$X$38)</f>
        <v/>
      </c>
      <c r="AU219" s="0" t="str">
        <f aca="false">IF($X$38&lt;=0,"","kg")</f>
        <v/>
      </c>
      <c r="AV219" s="0" t="n">
        <f aca="false">IF($X$38&lt;=0,0,1)</f>
        <v>0</v>
      </c>
      <c r="AW219" s="0" t="n">
        <f aca="false">AW218+AV219</f>
        <v>31</v>
      </c>
    </row>
    <row r="220" customFormat="false" ht="15" hidden="false" customHeight="false" outlineLevel="0" collapsed="false">
      <c r="AP220" s="0" t="str">
        <f aca="false">IF($AD$38&lt;=0,"",FIFO_helper!$C$38)</f>
        <v/>
      </c>
      <c r="AQ220" s="0" t="str">
        <f aca="false">IF($AD$38&lt;=0,"",$AE$38)</f>
        <v/>
      </c>
      <c r="AR220" s="0" t="str">
        <f aca="false">IF($AD$38&lt;=0,"","PRIMERA")</f>
        <v/>
      </c>
      <c r="AS220" s="0" t="str">
        <f aca="false">IF($AD$38&lt;=0,"",$AF$38)</f>
        <v/>
      </c>
      <c r="AT220" s="0" t="str">
        <f aca="false">IF($AD$38&lt;=0,"",$AD$38)</f>
        <v/>
      </c>
      <c r="AU220" s="0" t="str">
        <f aca="false">IF($AD$38&lt;=0,"","kg")</f>
        <v/>
      </c>
      <c r="AV220" s="0" t="n">
        <f aca="false">IF($AD$38&lt;=0,0,1)</f>
        <v>0</v>
      </c>
      <c r="AW220" s="0" t="n">
        <f aca="false">AW219+AV220</f>
        <v>31</v>
      </c>
    </row>
    <row r="221" customFormat="false" ht="15" hidden="false" customHeight="false" outlineLevel="0" collapsed="false">
      <c r="AP221" s="0" t="str">
        <f aca="false">IF($AJ$38&lt;=0,"",FIFO_helper!$C$38)</f>
        <v/>
      </c>
      <c r="AQ221" s="0" t="str">
        <f aca="false">IF($AJ$38&lt;=0,"",$AK$38)</f>
        <v/>
      </c>
      <c r="AR221" s="0" t="str">
        <f aca="false">IF($AJ$38&lt;=0,"","PRIMERA")</f>
        <v/>
      </c>
      <c r="AS221" s="0" t="str">
        <f aca="false">IF($AJ$38&lt;=0,"",$AL$38)</f>
        <v/>
      </c>
      <c r="AT221" s="0" t="str">
        <f aca="false">IF($AJ$38&lt;=0,"",$AJ$38)</f>
        <v/>
      </c>
      <c r="AU221" s="0" t="str">
        <f aca="false">IF($AJ$38&lt;=0,"","kg")</f>
        <v/>
      </c>
      <c r="AV221" s="0" t="n">
        <f aca="false">IF($AJ$38&lt;=0,0,1)</f>
        <v>0</v>
      </c>
      <c r="AW221" s="0" t="n">
        <f aca="false">AW220+AV221</f>
        <v>31</v>
      </c>
    </row>
    <row r="222" customFormat="false" ht="15" hidden="false" customHeight="false" outlineLevel="0" collapsed="false">
      <c r="AP222" s="0" t="str">
        <f aca="false">IF($AN$38&lt;=0,"",FIFO_helper!$C$38)</f>
        <v/>
      </c>
      <c r="AQ222" s="0" t="str">
        <f aca="false">IF($AN$38&lt;=0,"","(queda en planta)")</f>
        <v/>
      </c>
      <c r="AR222" s="0" t="str">
        <f aca="false">IF($AN$38&lt;=0,"","PRIMERA")</f>
        <v/>
      </c>
      <c r="AS222" s="0" t="str">
        <f aca="false">""</f>
        <v/>
      </c>
      <c r="AT222" s="0" t="str">
        <f aca="false">IF($AN$38&lt;=0,"",$AN$38)</f>
        <v/>
      </c>
      <c r="AU222" s="0" t="str">
        <f aca="false">IF($AN$38&lt;=0,"","kg")</f>
        <v/>
      </c>
      <c r="AV222" s="0" t="n">
        <f aca="false">IF($AN$38&lt;=0,0,1)</f>
        <v>0</v>
      </c>
      <c r="AW222" s="0" t="n">
        <f aca="false">AW221+AV222</f>
        <v>31</v>
      </c>
    </row>
    <row r="223" customFormat="false" ht="15" hidden="false" customHeight="false" outlineLevel="0" collapsed="false">
      <c r="AP223" s="0" t="str">
        <f aca="false">IF($E$38&lt;=0,"",FIFO_helper!$C$38)</f>
        <v/>
      </c>
      <c r="AQ223" s="0" t="str">
        <f aca="false">IF($E$38&lt;=0,"","↳ Chancho (prod.)")</f>
        <v/>
      </c>
      <c r="AR223" s="0" t="str">
        <f aca="false">IF($E$38&lt;=0,"","CHANCHO")</f>
        <v/>
      </c>
      <c r="AS223" s="0" t="str">
        <f aca="false">""</f>
        <v/>
      </c>
      <c r="AT223" s="0" t="str">
        <f aca="false">IF($E$38&lt;=0,"",$E$38)</f>
        <v/>
      </c>
      <c r="AU223" s="0" t="str">
        <f aca="false">IF($E$38&lt;=0,"","sacos")</f>
        <v/>
      </c>
      <c r="AV223" s="0" t="n">
        <f aca="false">IF($E$38&lt;=0,0,1)</f>
        <v>0</v>
      </c>
      <c r="AW223" s="0" t="n">
        <f aca="false">AW222+AV223</f>
        <v>31</v>
      </c>
    </row>
    <row r="224" customFormat="false" ht="15" hidden="false" customHeight="false" outlineLevel="0" collapsed="false">
      <c r="AP224" s="0" t="str">
        <f aca="false">IF($R$39&lt;=0,"",FIFO_helper!$C$39)</f>
        <v/>
      </c>
      <c r="AQ224" s="0" t="str">
        <f aca="false">IF($R$39&lt;=0,"",$S$39)</f>
        <v/>
      </c>
      <c r="AR224" s="0" t="str">
        <f aca="false">IF($R$39&lt;=0,"","PRIMERA")</f>
        <v/>
      </c>
      <c r="AS224" s="0" t="str">
        <f aca="false">IF($R$39&lt;=0,"",$T$39)</f>
        <v/>
      </c>
      <c r="AT224" s="0" t="str">
        <f aca="false">IF($R$39&lt;=0,"",$R$39)</f>
        <v/>
      </c>
      <c r="AU224" s="0" t="str">
        <f aca="false">IF($R$39&lt;=0,"","kg")</f>
        <v/>
      </c>
      <c r="AV224" s="0" t="n">
        <f aca="false">IF($R$39&lt;=0,0,1)</f>
        <v>0</v>
      </c>
      <c r="AW224" s="0" t="n">
        <f aca="false">AW223+AV224</f>
        <v>31</v>
      </c>
    </row>
    <row r="225" customFormat="false" ht="15" hidden="false" customHeight="false" outlineLevel="0" collapsed="false">
      <c r="AP225" s="0" t="str">
        <f aca="false">IF($X$39&lt;=0,"",FIFO_helper!$C$39)</f>
        <v/>
      </c>
      <c r="AQ225" s="0" t="str">
        <f aca="false">IF($X$39&lt;=0,"",$Y$39)</f>
        <v/>
      </c>
      <c r="AR225" s="0" t="str">
        <f aca="false">IF($X$39&lt;=0,"","PRIMERA")</f>
        <v/>
      </c>
      <c r="AS225" s="0" t="str">
        <f aca="false">IF($X$39&lt;=0,"",$Z$39)</f>
        <v/>
      </c>
      <c r="AT225" s="0" t="str">
        <f aca="false">IF($X$39&lt;=0,"",$X$39)</f>
        <v/>
      </c>
      <c r="AU225" s="0" t="str">
        <f aca="false">IF($X$39&lt;=0,"","kg")</f>
        <v/>
      </c>
      <c r="AV225" s="0" t="n">
        <f aca="false">IF($X$39&lt;=0,0,1)</f>
        <v>0</v>
      </c>
      <c r="AW225" s="0" t="n">
        <f aca="false">AW224+AV225</f>
        <v>31</v>
      </c>
    </row>
    <row r="226" customFormat="false" ht="15" hidden="false" customHeight="false" outlineLevel="0" collapsed="false">
      <c r="AP226" s="0" t="str">
        <f aca="false">IF($AD$39&lt;=0,"",FIFO_helper!$C$39)</f>
        <v/>
      </c>
      <c r="AQ226" s="0" t="str">
        <f aca="false">IF($AD$39&lt;=0,"",$AE$39)</f>
        <v/>
      </c>
      <c r="AR226" s="0" t="str">
        <f aca="false">IF($AD$39&lt;=0,"","PRIMERA")</f>
        <v/>
      </c>
      <c r="AS226" s="0" t="str">
        <f aca="false">IF($AD$39&lt;=0,"",$AF$39)</f>
        <v/>
      </c>
      <c r="AT226" s="0" t="str">
        <f aca="false">IF($AD$39&lt;=0,"",$AD$39)</f>
        <v/>
      </c>
      <c r="AU226" s="0" t="str">
        <f aca="false">IF($AD$39&lt;=0,"","kg")</f>
        <v/>
      </c>
      <c r="AV226" s="0" t="n">
        <f aca="false">IF($AD$39&lt;=0,0,1)</f>
        <v>0</v>
      </c>
      <c r="AW226" s="0" t="n">
        <f aca="false">AW225+AV226</f>
        <v>31</v>
      </c>
    </row>
    <row r="227" customFormat="false" ht="15" hidden="false" customHeight="false" outlineLevel="0" collapsed="false">
      <c r="AP227" s="0" t="str">
        <f aca="false">IF($AJ$39&lt;=0,"",FIFO_helper!$C$39)</f>
        <v/>
      </c>
      <c r="AQ227" s="0" t="str">
        <f aca="false">IF($AJ$39&lt;=0,"",$AK$39)</f>
        <v/>
      </c>
      <c r="AR227" s="0" t="str">
        <f aca="false">IF($AJ$39&lt;=0,"","PRIMERA")</f>
        <v/>
      </c>
      <c r="AS227" s="0" t="str">
        <f aca="false">IF($AJ$39&lt;=0,"",$AL$39)</f>
        <v/>
      </c>
      <c r="AT227" s="0" t="str">
        <f aca="false">IF($AJ$39&lt;=0,"",$AJ$39)</f>
        <v/>
      </c>
      <c r="AU227" s="0" t="str">
        <f aca="false">IF($AJ$39&lt;=0,"","kg")</f>
        <v/>
      </c>
      <c r="AV227" s="0" t="n">
        <f aca="false">IF($AJ$39&lt;=0,0,1)</f>
        <v>0</v>
      </c>
      <c r="AW227" s="0" t="n">
        <f aca="false">AW226+AV227</f>
        <v>31</v>
      </c>
    </row>
    <row r="228" customFormat="false" ht="15" hidden="false" customHeight="false" outlineLevel="0" collapsed="false">
      <c r="AP228" s="0" t="str">
        <f aca="false">IF($AN$39&lt;=0,"",FIFO_helper!$C$39)</f>
        <v/>
      </c>
      <c r="AQ228" s="0" t="str">
        <f aca="false">IF($AN$39&lt;=0,"","(queda en planta)")</f>
        <v/>
      </c>
      <c r="AR228" s="0" t="str">
        <f aca="false">IF($AN$39&lt;=0,"","PRIMERA")</f>
        <v/>
      </c>
      <c r="AS228" s="0" t="str">
        <f aca="false">""</f>
        <v/>
      </c>
      <c r="AT228" s="0" t="str">
        <f aca="false">IF($AN$39&lt;=0,"",$AN$39)</f>
        <v/>
      </c>
      <c r="AU228" s="0" t="str">
        <f aca="false">IF($AN$39&lt;=0,"","kg")</f>
        <v/>
      </c>
      <c r="AV228" s="0" t="n">
        <f aca="false">IF($AN$39&lt;=0,0,1)</f>
        <v>0</v>
      </c>
      <c r="AW228" s="0" t="n">
        <f aca="false">AW227+AV228</f>
        <v>31</v>
      </c>
    </row>
    <row r="229" customFormat="false" ht="15" hidden="false" customHeight="false" outlineLevel="0" collapsed="false">
      <c r="AP229" s="0" t="str">
        <f aca="false">IF($E$39&lt;=0,"",FIFO_helper!$C$39)</f>
        <v/>
      </c>
      <c r="AQ229" s="0" t="str">
        <f aca="false">IF($E$39&lt;=0,"","↳ Chancho (prod.)")</f>
        <v/>
      </c>
      <c r="AR229" s="0" t="str">
        <f aca="false">IF($E$39&lt;=0,"","CHANCHO")</f>
        <v/>
      </c>
      <c r="AS229" s="0" t="str">
        <f aca="false">""</f>
        <v/>
      </c>
      <c r="AT229" s="0" t="str">
        <f aca="false">IF($E$39&lt;=0,"",$E$39)</f>
        <v/>
      </c>
      <c r="AU229" s="0" t="str">
        <f aca="false">IF($E$39&lt;=0,"","sacos")</f>
        <v/>
      </c>
      <c r="AV229" s="0" t="n">
        <f aca="false">IF($E$39&lt;=0,0,1)</f>
        <v>0</v>
      </c>
      <c r="AW229" s="0" t="n">
        <f aca="false">AW228+AV229</f>
        <v>31</v>
      </c>
    </row>
    <row r="230" customFormat="false" ht="15" hidden="false" customHeight="false" outlineLevel="0" collapsed="false">
      <c r="AP230" s="0" t="str">
        <f aca="false">IF($R$40&lt;=0,"",FIFO_helper!$C$40)</f>
        <v/>
      </c>
      <c r="AQ230" s="0" t="str">
        <f aca="false">IF($R$40&lt;=0,"",$S$40)</f>
        <v/>
      </c>
      <c r="AR230" s="0" t="str">
        <f aca="false">IF($R$40&lt;=0,"","PRIMERA")</f>
        <v/>
      </c>
      <c r="AS230" s="0" t="str">
        <f aca="false">IF($R$40&lt;=0,"",$T$40)</f>
        <v/>
      </c>
      <c r="AT230" s="0" t="str">
        <f aca="false">IF($R$40&lt;=0,"",$R$40)</f>
        <v/>
      </c>
      <c r="AU230" s="0" t="str">
        <f aca="false">IF($R$40&lt;=0,"","kg")</f>
        <v/>
      </c>
      <c r="AV230" s="0" t="n">
        <f aca="false">IF($R$40&lt;=0,0,1)</f>
        <v>0</v>
      </c>
      <c r="AW230" s="0" t="n">
        <f aca="false">AW229+AV230</f>
        <v>31</v>
      </c>
    </row>
    <row r="231" customFormat="false" ht="15" hidden="false" customHeight="false" outlineLevel="0" collapsed="false">
      <c r="AP231" s="0" t="str">
        <f aca="false">IF($X$40&lt;=0,"",FIFO_helper!$C$40)</f>
        <v/>
      </c>
      <c r="AQ231" s="0" t="str">
        <f aca="false">IF($X$40&lt;=0,"",$Y$40)</f>
        <v/>
      </c>
      <c r="AR231" s="0" t="str">
        <f aca="false">IF($X$40&lt;=0,"","PRIMERA")</f>
        <v/>
      </c>
      <c r="AS231" s="0" t="str">
        <f aca="false">IF($X$40&lt;=0,"",$Z$40)</f>
        <v/>
      </c>
      <c r="AT231" s="0" t="str">
        <f aca="false">IF($X$40&lt;=0,"",$X$40)</f>
        <v/>
      </c>
      <c r="AU231" s="0" t="str">
        <f aca="false">IF($X$40&lt;=0,"","kg")</f>
        <v/>
      </c>
      <c r="AV231" s="0" t="n">
        <f aca="false">IF($X$40&lt;=0,0,1)</f>
        <v>0</v>
      </c>
      <c r="AW231" s="0" t="n">
        <f aca="false">AW230+AV231</f>
        <v>31</v>
      </c>
    </row>
    <row r="232" customFormat="false" ht="15" hidden="false" customHeight="false" outlineLevel="0" collapsed="false">
      <c r="AP232" s="0" t="str">
        <f aca="false">IF($AD$40&lt;=0,"",FIFO_helper!$C$40)</f>
        <v/>
      </c>
      <c r="AQ232" s="0" t="str">
        <f aca="false">IF($AD$40&lt;=0,"",$AE$40)</f>
        <v/>
      </c>
      <c r="AR232" s="0" t="str">
        <f aca="false">IF($AD$40&lt;=0,"","PRIMERA")</f>
        <v/>
      </c>
      <c r="AS232" s="0" t="str">
        <f aca="false">IF($AD$40&lt;=0,"",$AF$40)</f>
        <v/>
      </c>
      <c r="AT232" s="0" t="str">
        <f aca="false">IF($AD$40&lt;=0,"",$AD$40)</f>
        <v/>
      </c>
      <c r="AU232" s="0" t="str">
        <f aca="false">IF($AD$40&lt;=0,"","kg")</f>
        <v/>
      </c>
      <c r="AV232" s="0" t="n">
        <f aca="false">IF($AD$40&lt;=0,0,1)</f>
        <v>0</v>
      </c>
      <c r="AW232" s="0" t="n">
        <f aca="false">AW231+AV232</f>
        <v>31</v>
      </c>
    </row>
    <row r="233" customFormat="false" ht="15" hidden="false" customHeight="false" outlineLevel="0" collapsed="false">
      <c r="AP233" s="0" t="str">
        <f aca="false">IF($AJ$40&lt;=0,"",FIFO_helper!$C$40)</f>
        <v/>
      </c>
      <c r="AQ233" s="0" t="str">
        <f aca="false">IF($AJ$40&lt;=0,"",$AK$40)</f>
        <v/>
      </c>
      <c r="AR233" s="0" t="str">
        <f aca="false">IF($AJ$40&lt;=0,"","PRIMERA")</f>
        <v/>
      </c>
      <c r="AS233" s="0" t="str">
        <f aca="false">IF($AJ$40&lt;=0,"",$AL$40)</f>
        <v/>
      </c>
      <c r="AT233" s="0" t="str">
        <f aca="false">IF($AJ$40&lt;=0,"",$AJ$40)</f>
        <v/>
      </c>
      <c r="AU233" s="0" t="str">
        <f aca="false">IF($AJ$40&lt;=0,"","kg")</f>
        <v/>
      </c>
      <c r="AV233" s="0" t="n">
        <f aca="false">IF($AJ$40&lt;=0,0,1)</f>
        <v>0</v>
      </c>
      <c r="AW233" s="0" t="n">
        <f aca="false">AW232+AV233</f>
        <v>31</v>
      </c>
    </row>
    <row r="234" customFormat="false" ht="15" hidden="false" customHeight="false" outlineLevel="0" collapsed="false">
      <c r="AP234" s="0" t="str">
        <f aca="false">IF($AN$40&lt;=0,"",FIFO_helper!$C$40)</f>
        <v/>
      </c>
      <c r="AQ234" s="0" t="str">
        <f aca="false">IF($AN$40&lt;=0,"","(queda en planta)")</f>
        <v/>
      </c>
      <c r="AR234" s="0" t="str">
        <f aca="false">IF($AN$40&lt;=0,"","PRIMERA")</f>
        <v/>
      </c>
      <c r="AS234" s="0" t="str">
        <f aca="false">""</f>
        <v/>
      </c>
      <c r="AT234" s="0" t="str">
        <f aca="false">IF($AN$40&lt;=0,"",$AN$40)</f>
        <v/>
      </c>
      <c r="AU234" s="0" t="str">
        <f aca="false">IF($AN$40&lt;=0,"","kg")</f>
        <v/>
      </c>
      <c r="AV234" s="0" t="n">
        <f aca="false">IF($AN$40&lt;=0,0,1)</f>
        <v>0</v>
      </c>
      <c r="AW234" s="0" t="n">
        <f aca="false">AW233+AV234</f>
        <v>31</v>
      </c>
    </row>
    <row r="235" customFormat="false" ht="15" hidden="false" customHeight="false" outlineLevel="0" collapsed="false">
      <c r="AP235" s="0" t="str">
        <f aca="false">IF($E$40&lt;=0,"",FIFO_helper!$C$40)</f>
        <v/>
      </c>
      <c r="AQ235" s="0" t="str">
        <f aca="false">IF($E$40&lt;=0,"","↳ Chancho (prod.)")</f>
        <v/>
      </c>
      <c r="AR235" s="0" t="str">
        <f aca="false">IF($E$40&lt;=0,"","CHANCHO")</f>
        <v/>
      </c>
      <c r="AS235" s="0" t="str">
        <f aca="false">""</f>
        <v/>
      </c>
      <c r="AT235" s="0" t="str">
        <f aca="false">IF($E$40&lt;=0,"",$E$40)</f>
        <v/>
      </c>
      <c r="AU235" s="0" t="str">
        <f aca="false">IF($E$40&lt;=0,"","sacos")</f>
        <v/>
      </c>
      <c r="AV235" s="0" t="n">
        <f aca="false">IF($E$40&lt;=0,0,1)</f>
        <v>0</v>
      </c>
      <c r="AW235" s="0" t="n">
        <f aca="false">AW234+AV235</f>
        <v>31</v>
      </c>
    </row>
    <row r="236" customFormat="false" ht="15" hidden="false" customHeight="false" outlineLevel="0" collapsed="false">
      <c r="AP236" s="0" t="str">
        <f aca="false">IF($R$41&lt;=0,"",FIFO_helper!$C$41)</f>
        <v/>
      </c>
      <c r="AQ236" s="0" t="str">
        <f aca="false">IF($R$41&lt;=0,"",$S$41)</f>
        <v/>
      </c>
      <c r="AR236" s="0" t="str">
        <f aca="false">IF($R$41&lt;=0,"","PRIMERA")</f>
        <v/>
      </c>
      <c r="AS236" s="0" t="str">
        <f aca="false">IF($R$41&lt;=0,"",$T$41)</f>
        <v/>
      </c>
      <c r="AT236" s="0" t="str">
        <f aca="false">IF($R$41&lt;=0,"",$R$41)</f>
        <v/>
      </c>
      <c r="AU236" s="0" t="str">
        <f aca="false">IF($R$41&lt;=0,"","kg")</f>
        <v/>
      </c>
      <c r="AV236" s="0" t="n">
        <f aca="false">IF($R$41&lt;=0,0,1)</f>
        <v>0</v>
      </c>
      <c r="AW236" s="0" t="n">
        <f aca="false">AW235+AV236</f>
        <v>31</v>
      </c>
    </row>
    <row r="237" customFormat="false" ht="15" hidden="false" customHeight="false" outlineLevel="0" collapsed="false">
      <c r="AP237" s="0" t="str">
        <f aca="false">IF($X$41&lt;=0,"",FIFO_helper!$C$41)</f>
        <v/>
      </c>
      <c r="AQ237" s="0" t="str">
        <f aca="false">IF($X$41&lt;=0,"",$Y$41)</f>
        <v/>
      </c>
      <c r="AR237" s="0" t="str">
        <f aca="false">IF($X$41&lt;=0,"","PRIMERA")</f>
        <v/>
      </c>
      <c r="AS237" s="0" t="str">
        <f aca="false">IF($X$41&lt;=0,"",$Z$41)</f>
        <v/>
      </c>
      <c r="AT237" s="0" t="str">
        <f aca="false">IF($X$41&lt;=0,"",$X$41)</f>
        <v/>
      </c>
      <c r="AU237" s="0" t="str">
        <f aca="false">IF($X$41&lt;=0,"","kg")</f>
        <v/>
      </c>
      <c r="AV237" s="0" t="n">
        <f aca="false">IF($X$41&lt;=0,0,1)</f>
        <v>0</v>
      </c>
      <c r="AW237" s="0" t="n">
        <f aca="false">AW236+AV237</f>
        <v>31</v>
      </c>
    </row>
    <row r="238" customFormat="false" ht="15" hidden="false" customHeight="false" outlineLevel="0" collapsed="false">
      <c r="AP238" s="0" t="str">
        <f aca="false">IF($AD$41&lt;=0,"",FIFO_helper!$C$41)</f>
        <v/>
      </c>
      <c r="AQ238" s="0" t="str">
        <f aca="false">IF($AD$41&lt;=0,"",$AE$41)</f>
        <v/>
      </c>
      <c r="AR238" s="0" t="str">
        <f aca="false">IF($AD$41&lt;=0,"","PRIMERA")</f>
        <v/>
      </c>
      <c r="AS238" s="0" t="str">
        <f aca="false">IF($AD$41&lt;=0,"",$AF$41)</f>
        <v/>
      </c>
      <c r="AT238" s="0" t="str">
        <f aca="false">IF($AD$41&lt;=0,"",$AD$41)</f>
        <v/>
      </c>
      <c r="AU238" s="0" t="str">
        <f aca="false">IF($AD$41&lt;=0,"","kg")</f>
        <v/>
      </c>
      <c r="AV238" s="0" t="n">
        <f aca="false">IF($AD$41&lt;=0,0,1)</f>
        <v>0</v>
      </c>
      <c r="AW238" s="0" t="n">
        <f aca="false">AW237+AV238</f>
        <v>31</v>
      </c>
    </row>
    <row r="239" customFormat="false" ht="15" hidden="false" customHeight="false" outlineLevel="0" collapsed="false">
      <c r="AP239" s="0" t="str">
        <f aca="false">IF($AJ$41&lt;=0,"",FIFO_helper!$C$41)</f>
        <v/>
      </c>
      <c r="AQ239" s="0" t="str">
        <f aca="false">IF($AJ$41&lt;=0,"",$AK$41)</f>
        <v/>
      </c>
      <c r="AR239" s="0" t="str">
        <f aca="false">IF($AJ$41&lt;=0,"","PRIMERA")</f>
        <v/>
      </c>
      <c r="AS239" s="0" t="str">
        <f aca="false">IF($AJ$41&lt;=0,"",$AL$41)</f>
        <v/>
      </c>
      <c r="AT239" s="0" t="str">
        <f aca="false">IF($AJ$41&lt;=0,"",$AJ$41)</f>
        <v/>
      </c>
      <c r="AU239" s="0" t="str">
        <f aca="false">IF($AJ$41&lt;=0,"","kg")</f>
        <v/>
      </c>
      <c r="AV239" s="0" t="n">
        <f aca="false">IF($AJ$41&lt;=0,0,1)</f>
        <v>0</v>
      </c>
      <c r="AW239" s="0" t="n">
        <f aca="false">AW238+AV239</f>
        <v>31</v>
      </c>
    </row>
    <row r="240" customFormat="false" ht="15" hidden="false" customHeight="false" outlineLevel="0" collapsed="false">
      <c r="AP240" s="0" t="str">
        <f aca="false">IF($AN$41&lt;=0,"",FIFO_helper!$C$41)</f>
        <v/>
      </c>
      <c r="AQ240" s="0" t="str">
        <f aca="false">IF($AN$41&lt;=0,"","(queda en planta)")</f>
        <v/>
      </c>
      <c r="AR240" s="0" t="str">
        <f aca="false">IF($AN$41&lt;=0,"","PRIMERA")</f>
        <v/>
      </c>
      <c r="AS240" s="0" t="str">
        <f aca="false">""</f>
        <v/>
      </c>
      <c r="AT240" s="0" t="str">
        <f aca="false">IF($AN$41&lt;=0,"",$AN$41)</f>
        <v/>
      </c>
      <c r="AU240" s="0" t="str">
        <f aca="false">IF($AN$41&lt;=0,"","kg")</f>
        <v/>
      </c>
      <c r="AV240" s="0" t="n">
        <f aca="false">IF($AN$41&lt;=0,0,1)</f>
        <v>0</v>
      </c>
      <c r="AW240" s="0" t="n">
        <f aca="false">AW239+AV240</f>
        <v>31</v>
      </c>
    </row>
    <row r="241" customFormat="false" ht="15" hidden="false" customHeight="false" outlineLevel="0" collapsed="false">
      <c r="AP241" s="0" t="str">
        <f aca="false">IF($E$41&lt;=0,"",FIFO_helper!$C$41)</f>
        <v/>
      </c>
      <c r="AQ241" s="0" t="str">
        <f aca="false">IF($E$41&lt;=0,"","↳ Chancho (prod.)")</f>
        <v/>
      </c>
      <c r="AR241" s="0" t="str">
        <f aca="false">IF($E$41&lt;=0,"","CHANCHO")</f>
        <v/>
      </c>
      <c r="AS241" s="0" t="str">
        <f aca="false">""</f>
        <v/>
      </c>
      <c r="AT241" s="0" t="str">
        <f aca="false">IF($E$41&lt;=0,"",$E$41)</f>
        <v/>
      </c>
      <c r="AU241" s="0" t="str">
        <f aca="false">IF($E$41&lt;=0,"","sacos")</f>
        <v/>
      </c>
      <c r="AV241" s="0" t="n">
        <f aca="false">IF($E$41&lt;=0,0,1)</f>
        <v>0</v>
      </c>
      <c r="AW241" s="0" t="n">
        <f aca="false">AW240+AV241</f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2026-07-19T18:22:44Z</dcterms:created>
  <dc:creator>openpyxl</dc:creator>
  <dc:description/>
  <dc:language>en-US</dc:language>
  <cp:lastModifiedBy>Mirian Martinez Paredes</cp:lastModifiedBy>
  <dcterms:modified xsi:type="dcterms:W3CDTF">2026-07-21T16:27:45Z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