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O" sheetId="1" state="visible" r:id="rId3"/>
    <sheet name="TOTALES" sheetId="2" state="visible" r:id="rId4"/>
  </sheets>
  <definedNames>
    <definedName function="false" hidden="false" localSheetId="0" name="_xlnm.Print_Area" vbProcedure="false">PROCESO!$A$1:$R$82</definedName>
    <definedName function="false" hidden="true" localSheetId="1" name="_xlnm._FilterDatabase" vbProcedure="false">TOTALES!$A$5:$F$201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X7" authorId="0">
      <text>
        <r>
          <rPr>
            <sz val="10"/>
            <rFont val="Arial"/>
            <family val="2"/>
          </rPr>
          <t xml:space="preserve">Agregado por Claude: Malogrado normalmente se registra directo en KG (columna H), no por jabas. Factor=1 es un valor neutro solo para que la fórmula de Saldo kg no truene (VLOOKUP) si alguna vez se usa trasiego/devolución en jabas para esta calidad.</t>
        </r>
      </text>
    </comment>
  </commentList>
</comments>
</file>

<file path=xl/sharedStrings.xml><?xml version="1.0" encoding="utf-8"?>
<sst xmlns="http://schemas.openxmlformats.org/spreadsheetml/2006/main" count="332" uniqueCount="67">
  <si>
    <t xml:space="preserve">AGRO PACAYALES · PLANTA CAMOTE 2026  |  KARDEX POR CALIDAD — Proceso · Envío · Devolución · Saldo en planta (jabas y kg)</t>
  </si>
  <si>
    <t xml:space="preserve">Factor kg/unidad</t>
  </si>
  <si>
    <t xml:space="preserve">Calidades A/P/C/M en jabas · Chancho en sacos (1 saco = 95 kg). Conversión jaba→kg: A=15 · P=18 · C=17 · M=17. Saldo en planta = Apertura + Procesado − Enviado + Devuelto.</t>
  </si>
  <si>
    <t xml:space="preserve">A</t>
  </si>
  <si>
    <t xml:space="preserve">P</t>
  </si>
  <si>
    <t xml:space="preserve">DETALLE DIARIO POR CALIDAD</t>
  </si>
  <si>
    <t xml:space="preserve">PROCESO</t>
  </si>
  <si>
    <t xml:space="preserve">ENVIO DE PRODUCTO</t>
  </si>
  <si>
    <t xml:space="preserve">C</t>
  </si>
  <si>
    <t xml:space="preserve">Fecha
Compra</t>
  </si>
  <si>
    <t xml:space="preserve">Compra sacos</t>
  </si>
  <si>
    <t xml:space="preserve">Peso 
aprox</t>
  </si>
  <si>
    <t xml:space="preserve">Compra kg</t>
  </si>
  <si>
    <t xml:space="preserve">Fecha
Proceso</t>
  </si>
  <si>
    <t xml:space="preserve">Calidad</t>
  </si>
  <si>
    <t xml:space="preserve">Proceso jabas</t>
  </si>
  <si>
    <t xml:space="preserve">Proceso kg</t>
  </si>
  <si>
    <t xml:space="preserve">Fecha
Envio</t>
  </si>
  <si>
    <t xml:space="preserve">N° Guía</t>
  </si>
  <si>
    <t xml:space="preserve">Envío jabas</t>
  </si>
  <si>
    <t xml:space="preserve">Envío kg</t>
  </si>
  <si>
    <t xml:space="preserve">Devolución
Jabas</t>
  </si>
  <si>
    <t xml:space="preserve">Reproceso
Kg</t>
  </si>
  <si>
    <t xml:space="preserve">Trasiego jabas</t>
  </si>
  <si>
    <t xml:space="preserve">Trasiego
Kg</t>
  </si>
  <si>
    <t xml:space="preserve">Saldo jabas</t>
  </si>
  <si>
    <t xml:space="preserve">Saldo kg</t>
  </si>
  <si>
    <t xml:space="preserve">Nota</t>
  </si>
  <si>
    <t xml:space="preserve">M</t>
  </si>
  <si>
    <t xml:space="preserve">SAB 11-07</t>
  </si>
  <si>
    <t xml:space="preserve">Apertura</t>
  </si>
  <si>
    <t xml:space="preserve">Chancho</t>
  </si>
  <si>
    <t xml:space="preserve">Malogrado</t>
  </si>
  <si>
    <t xml:space="preserve">DOM 12-07</t>
  </si>
  <si>
    <t xml:space="preserve">LUN 13-07</t>
  </si>
  <si>
    <t xml:space="preserve">MAR 14-07</t>
  </si>
  <si>
    <t xml:space="preserve">MIE 15-07</t>
  </si>
  <si>
    <t xml:space="preserve">TCK002-724</t>
  </si>
  <si>
    <t xml:space="preserve">JUE 16-07</t>
  </si>
  <si>
    <t xml:space="preserve">VIE 17-07</t>
  </si>
  <si>
    <t xml:space="preserve">TCK002-725</t>
  </si>
  <si>
    <t xml:space="preserve">SAB 18-07</t>
  </si>
  <si>
    <t xml:space="preserve">DOM 19-07</t>
  </si>
  <si>
    <t xml:space="preserve">LUN 20-07</t>
  </si>
  <si>
    <t xml:space="preserve">TCK002-726</t>
  </si>
  <si>
    <t xml:space="preserve">MAR 21-07</t>
  </si>
  <si>
    <t xml:space="preserve">MIE 22-07</t>
  </si>
  <si>
    <t xml:space="preserve">S/T</t>
  </si>
  <si>
    <t xml:space="preserve">no hay ticket de esta venta</t>
  </si>
  <si>
    <t xml:space="preserve">JUE 23-07</t>
  </si>
  <si>
    <t xml:space="preserve">JUE 24-7</t>
  </si>
  <si>
    <t xml:space="preserve">VIE 24-07</t>
  </si>
  <si>
    <t xml:space="preserve">G-3011</t>
  </si>
  <si>
    <t xml:space="preserve">TCK002-729</t>
  </si>
  <si>
    <t xml:space="preserve">TOTAL</t>
  </si>
  <si>
    <t xml:space="preserve">AGRO PACAYALES · PLANTA CAMOTE 2026  |  TOTALES — Entradas / Salidas y Rendimiento (kg)</t>
  </si>
  <si>
    <t xml:space="preserve">100% automático: cualquier dato que agregues o corrijas en PROCESO (incluso en fechas pasadas) aparece aquí solo, sin filas vacías y sin regenerar nada. ENTRADAS: compras y reprocesos. SALIDAS: envíos, chancho del proceso y malogrado.</t>
  </si>
  <si>
    <t xml:space="preserve">ENTRADAS</t>
  </si>
  <si>
    <t xml:space="preserve">SALIDAS</t>
  </si>
  <si>
    <t xml:space="preserve">Fecha</t>
  </si>
  <si>
    <t xml:space="preserve">Detalle</t>
  </si>
  <si>
    <t xml:space="preserve">Ingresos Kg</t>
  </si>
  <si>
    <t xml:space="preserve">Salidas Kg</t>
  </si>
  <si>
    <t xml:space="preserve">N. Guía / Nota</t>
  </si>
  <si>
    <t xml:space="preserve">Stock Kg</t>
  </si>
  <si>
    <t xml:space="preserve">APERTURA (saldo semana anterior)</t>
  </si>
  <si>
    <t xml:space="preserve">Solo camote A/P/C/M, sin sacos de chancho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</si>
</sst>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##;\(#,##0.##\);\-"/>
    <numFmt numFmtId="167" formatCode="&quot;G-&quot;0"/>
    <numFmt numFmtId="168" formatCode="@"/>
    <numFmt numFmtId="169" formatCode="m/d/yyyy"/>
    <numFmt numFmtId="170" formatCode="#,##0.0"/>
    <numFmt numFmtId="171" formatCode="#,##0.#;\(#,##0.#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8"/>
      <color theme="1"/>
      <name val="Arial"/>
      <family val="2"/>
      <charset val="1"/>
    </font>
    <font>
      <i val="true"/>
      <sz val="8"/>
      <color rgb="FFFFFFFF"/>
      <name val="Arial"/>
      <family val="2"/>
      <charset val="1"/>
    </font>
    <font>
      <b val="true"/>
      <i val="true"/>
      <sz val="8"/>
      <color rgb="FFFFFFFF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FFFFFF"/>
      <name val="Cambria"/>
      <family val="1"/>
      <charset val="1"/>
    </font>
    <font>
      <sz val="9"/>
      <color theme="1"/>
      <name val="Arial"/>
      <family val="2"/>
      <charset val="1"/>
    </font>
    <font>
      <sz val="11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474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ECEFF1"/>
        <bgColor rgb="FFEFEBE9"/>
      </patternFill>
    </fill>
    <fill>
      <patternFill patternType="solid">
        <fgColor rgb="FF1976D2"/>
        <bgColor rgb="FF1565C0"/>
      </patternFill>
    </fill>
    <fill>
      <patternFill patternType="solid">
        <fgColor rgb="FF0D47A1"/>
        <bgColor rgb="FF1565C0"/>
      </patternFill>
    </fill>
    <fill>
      <patternFill patternType="solid">
        <fgColor theme="6"/>
        <bgColor rgb="FF969696"/>
      </patternFill>
    </fill>
    <fill>
      <patternFill patternType="solid">
        <fgColor theme="7" tint="0.3994"/>
        <bgColor rgb="FFBFBFBF"/>
      </patternFill>
    </fill>
    <fill>
      <patternFill patternType="solid">
        <fgColor rgb="FF2E7D32"/>
        <bgColor rgb="FF008000"/>
      </patternFill>
    </fill>
    <fill>
      <patternFill patternType="solid">
        <fgColor rgb="FF4527A0"/>
        <bgColor rgb="FF311B92"/>
      </patternFill>
    </fill>
    <fill>
      <patternFill patternType="solid">
        <fgColor rgb="FFEF6C00"/>
        <bgColor rgb="FFFF9900"/>
      </patternFill>
    </fill>
    <fill>
      <patternFill patternType="solid">
        <fgColor rgb="FF5D4037"/>
        <bgColor rgb="FF4E342E"/>
      </patternFill>
    </fill>
    <fill>
      <patternFill patternType="solid">
        <fgColor rgb="FF607D8B"/>
        <bgColor rgb="FF969696"/>
      </patternFill>
    </fill>
    <fill>
      <patternFill patternType="solid">
        <fgColor theme="0"/>
        <bgColor rgb="FFFAFAFA"/>
      </patternFill>
    </fill>
    <fill>
      <patternFill patternType="solid">
        <fgColor theme="6" tint="0.7998"/>
        <bgColor rgb="FFEFEBE9"/>
      </patternFill>
    </fill>
    <fill>
      <patternFill patternType="solid">
        <fgColor rgb="FFEDE7F6"/>
        <bgColor rgb="FFEFEBE9"/>
      </patternFill>
    </fill>
    <fill>
      <patternFill patternType="solid">
        <fgColor theme="9" tint="0.7998"/>
        <bgColor rgb="FFFFEBEE"/>
      </patternFill>
    </fill>
    <fill>
      <patternFill patternType="solid">
        <fgColor rgb="FFEFEBE9"/>
        <bgColor rgb="FFECEFF1"/>
      </patternFill>
    </fill>
    <fill>
      <patternFill patternType="solid">
        <fgColor rgb="FFFAFAFA"/>
        <bgColor rgb="FFFFFFFF"/>
      </patternFill>
    </fill>
    <fill>
      <patternFill patternType="solid">
        <fgColor theme="7" tint="0.7998"/>
        <bgColor rgb="FFDDDDDD"/>
      </patternFill>
    </fill>
    <fill>
      <patternFill patternType="solid">
        <fgColor rgb="FF263238"/>
        <bgColor rgb="FF37474F"/>
      </patternFill>
    </fill>
    <fill>
      <patternFill patternType="solid">
        <fgColor rgb="FF8E24AA"/>
        <bgColor rgb="FF800080"/>
      </patternFill>
    </fill>
    <fill>
      <patternFill patternType="solid">
        <fgColor rgb="FF37474F"/>
        <bgColor rgb="FF555555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07D8B"/>
      </bottom>
      <diagonal/>
    </border>
    <border diagonalUp="false" diagonalDown="false">
      <left style="thin">
        <color rgb="FF607D8B"/>
      </left>
      <right style="thin">
        <color rgb="FFCFD8DC"/>
      </right>
      <top style="thin">
        <color rgb="FF607D8B"/>
      </top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607D8B"/>
      </top>
      <bottom/>
      <diagonal/>
    </border>
    <border diagonalUp="false" diagonalDown="false">
      <left style="thin">
        <color rgb="FFCFD8DC"/>
      </left>
      <right style="thin">
        <color rgb="FF607D8B"/>
      </right>
      <top style="thin">
        <color rgb="FF607D8B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rgb="FF607D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9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8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1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2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37474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311B92"/>
          <bgColor rgb="FF000000"/>
        </patternFill>
      </fill>
    </dxf>
    <dxf>
      <fill>
        <patternFill patternType="solid">
          <fgColor rgb="FF4E342E"/>
          <bgColor rgb="FF000000"/>
        </patternFill>
      </fill>
    </dxf>
    <dxf>
      <fill>
        <patternFill patternType="solid">
          <fgColor rgb="FF5D4037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5D4037"/>
      </font>
      <fill>
        <patternFill>
          <bgColor rgb="FFFFF8E1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ont>
        <b val="1"/>
        <color rgb="FF0D47A1"/>
      </font>
      <fill>
        <patternFill>
          <bgColor rgb="FFE3F2FD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ont>
        <color rgb="FF4E342E"/>
      </font>
      <fill>
        <patternFill>
          <bgColor rgb="FFEFEBE9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ont>
        <b val="1"/>
        <color rgb="FFB71C1C"/>
      </font>
      <fill>
        <patternFill>
          <bgColor rgb="FFFFEBEE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ont>
        <color rgb="FF311B92"/>
      </font>
      <fill>
        <patternFill>
          <bgColor rgb="FFEDE7F6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ont>
        <b val="1"/>
        <color rgb="FF00695C"/>
      </font>
      <fill>
        <patternFill>
          <bgColor rgb="FFE0F2F1"/>
        </patternFill>
      </fill>
      <border diagonalUp="false" diagonalDown="false">
        <left/>
        <right/>
        <top/>
        <bottom style="thin">
          <color rgb="FFDDDDDD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008000"/>
      <rgbColor rgb="FF311B92"/>
      <rgbColor rgb="FF808000"/>
      <rgbColor rgb="FF800080"/>
      <rgbColor rgb="FF00695C"/>
      <rgbColor rgb="FFBFBFBF"/>
      <rgbColor rgb="FF607D8B"/>
      <rgbColor rgb="FFEFEBE9"/>
      <rgbColor rgb="FF8E24AA"/>
      <rgbColor rgb="FFFFF8E1"/>
      <rgbColor rgb="FFE0F2F1"/>
      <rgbColor rgb="FF660066"/>
      <rgbColor rgb="FFFF8080"/>
      <rgbColor rgb="FF1565C0"/>
      <rgbColor rgb="FFCFD8DC"/>
      <rgbColor rgb="FF000080"/>
      <rgbColor rgb="FFFF00FF"/>
      <rgbColor rgb="FFECEFF1"/>
      <rgbColor rgb="FF00FFFF"/>
      <rgbColor rgb="FF800080"/>
      <rgbColor rgb="FF800000"/>
      <rgbColor rgb="FF008080"/>
      <rgbColor rgb="FF0000FF"/>
      <rgbColor rgb="FF00CCFF"/>
      <rgbColor rgb="FFE3F2FD"/>
      <rgbColor rgb="FFEBF1DE"/>
      <rgbColor rgb="FFFDEADA"/>
      <rgbColor rgb="FFE6E0EC"/>
      <rgbColor rgb="FFEDE7F6"/>
      <rgbColor rgb="FFB3A2C7"/>
      <rgbColor rgb="FFDDDDDD"/>
      <rgbColor rgb="FF1976D2"/>
      <rgbColor rgb="FF33CCCC"/>
      <rgbColor rgb="FF9BBB59"/>
      <rgbColor rgb="FFFAFAFA"/>
      <rgbColor rgb="FFFF9900"/>
      <rgbColor rgb="FFEF6C00"/>
      <rgbColor rgb="FF555555"/>
      <rgbColor rgb="FF969696"/>
      <rgbColor rgb="FF0D47A1"/>
      <rgbColor rgb="FF2E7D32"/>
      <rgbColor rgb="FF37474F"/>
      <rgbColor rgb="FF4E342E"/>
      <rgbColor rgb="FFB71C1C"/>
      <rgbColor rgb="FF5D4037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70" activePane="bottomLeft" state="frozen"/>
      <selection pane="topLeft" activeCell="A1" activeCellId="0" sqref="A1"/>
      <selection pane="bottomLeft" activeCell="I97" activeCellId="0" sqref="I97"/>
    </sheetView>
  </sheetViews>
  <sheetFormatPr defaultColWidth="10.66796875" defaultRowHeight="15" customHeight="false" zeroHeight="false" outlineLevelRow="0" outlineLevelCol="0"/>
  <cols>
    <col collapsed="false" customWidth="true" hidden="false" outlineLevel="0" max="1" min="1" style="0" width="10.33"/>
    <col collapsed="false" customWidth="true" hidden="false" outlineLevel="0" max="3" min="2" style="0" width="9.33"/>
    <col collapsed="false" customWidth="true" hidden="false" outlineLevel="0" max="4" min="4" style="1" width="9.67"/>
    <col collapsed="false" customWidth="true" hidden="false" outlineLevel="0" max="5" min="5" style="2" width="9.67"/>
    <col collapsed="false" customWidth="true" hidden="false" outlineLevel="0" max="6" min="6" style="0" width="10.33"/>
    <col collapsed="false" customWidth="true" hidden="false" outlineLevel="0" max="7" min="7" style="0" width="9"/>
    <col collapsed="false" customWidth="true" hidden="false" outlineLevel="0" max="9" min="8" style="0" width="9.33"/>
    <col collapsed="false" customWidth="true" hidden="false" outlineLevel="0" max="10" min="10" style="3" width="9.51"/>
    <col collapsed="false" customWidth="true" hidden="false" outlineLevel="0" max="11" min="11" style="0" width="9"/>
    <col collapsed="false" customWidth="true" hidden="false" outlineLevel="0" max="14" min="12" style="0" width="9.33"/>
    <col collapsed="false" customWidth="true" hidden="false" outlineLevel="0" max="17" min="15" style="0" width="9"/>
    <col collapsed="false" customWidth="true" hidden="false" outlineLevel="0" max="18" min="18" style="0" width="9.67"/>
    <col collapsed="false" customWidth="true" hidden="false" outlineLevel="0" max="19" min="19" style="0" width="25"/>
    <col collapsed="false" customWidth="true" hidden="false" outlineLevel="0" max="30" min="20" style="0" width="10.33"/>
  </cols>
  <sheetData>
    <row r="1" customFormat="false" ht="24" hidden="false" customHeight="true" outlineLevel="0" collapsed="false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X1" s="6" t="s">
        <v>1</v>
      </c>
      <c r="Y1" s="6"/>
    </row>
    <row r="2" customFormat="false" ht="15" hidden="false" customHeight="true" outlineLevel="0" collapsed="false">
      <c r="A2" s="7" t="s">
        <v>2</v>
      </c>
      <c r="B2" s="7"/>
      <c r="C2" s="7"/>
      <c r="D2" s="8"/>
      <c r="E2" s="9"/>
      <c r="F2" s="7"/>
      <c r="G2" s="7"/>
      <c r="H2" s="7"/>
      <c r="I2" s="7"/>
      <c r="J2" s="10"/>
      <c r="K2" s="7"/>
      <c r="L2" s="7"/>
      <c r="M2" s="7"/>
      <c r="N2" s="7"/>
      <c r="O2" s="7"/>
      <c r="P2" s="7"/>
      <c r="Q2" s="7"/>
      <c r="R2" s="7"/>
      <c r="S2" s="7"/>
      <c r="X2" s="11" t="s">
        <v>3</v>
      </c>
      <c r="Y2" s="11" t="n">
        <v>15</v>
      </c>
    </row>
    <row r="3" customFormat="false" ht="15" hidden="false" customHeight="true" outlineLevel="0" collapsed="false">
      <c r="X3" s="11" t="s">
        <v>4</v>
      </c>
      <c r="Y3" s="11" t="n">
        <v>18</v>
      </c>
    </row>
    <row r="4" customFormat="false" ht="15" hidden="false" customHeight="true" outlineLevel="0" collapsed="false">
      <c r="A4" s="12" t="s">
        <v>5</v>
      </c>
      <c r="B4" s="12"/>
      <c r="C4" s="12"/>
      <c r="D4" s="12"/>
      <c r="E4" s="13" t="s">
        <v>6</v>
      </c>
      <c r="F4" s="13"/>
      <c r="G4" s="13"/>
      <c r="H4" s="13"/>
      <c r="I4" s="14" t="s">
        <v>7</v>
      </c>
      <c r="J4" s="14"/>
      <c r="K4" s="14"/>
      <c r="L4" s="14"/>
      <c r="M4" s="12"/>
      <c r="N4" s="12"/>
      <c r="O4" s="12"/>
      <c r="P4" s="12"/>
      <c r="Q4" s="12"/>
      <c r="R4" s="12"/>
      <c r="S4" s="12"/>
      <c r="X4" s="0" t="s">
        <v>8</v>
      </c>
      <c r="Y4" s="0" t="n">
        <v>17</v>
      </c>
    </row>
    <row r="5" customFormat="false" ht="25.5" hidden="false" customHeight="true" outlineLevel="0" collapsed="false">
      <c r="A5" s="15" t="s">
        <v>9</v>
      </c>
      <c r="B5" s="16" t="s">
        <v>10</v>
      </c>
      <c r="C5" s="16" t="s">
        <v>11</v>
      </c>
      <c r="D5" s="16" t="s">
        <v>12</v>
      </c>
      <c r="E5" s="17" t="s">
        <v>13</v>
      </c>
      <c r="F5" s="17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8" t="s">
        <v>19</v>
      </c>
      <c r="L5" s="18" t="s">
        <v>20</v>
      </c>
      <c r="M5" s="19" t="s">
        <v>21</v>
      </c>
      <c r="N5" s="19" t="s">
        <v>22</v>
      </c>
      <c r="O5" s="19" t="s">
        <v>23</v>
      </c>
      <c r="P5" s="19" t="s">
        <v>24</v>
      </c>
      <c r="Q5" s="20" t="s">
        <v>25</v>
      </c>
      <c r="R5" s="20" t="s">
        <v>26</v>
      </c>
      <c r="S5" s="21" t="s">
        <v>27</v>
      </c>
      <c r="X5" s="0" t="s">
        <v>28</v>
      </c>
      <c r="Y5" s="0" t="n">
        <v>17</v>
      </c>
    </row>
    <row r="6" customFormat="false" ht="15" hidden="false" customHeight="true" outlineLevel="0" collapsed="false">
      <c r="A6" s="22" t="s">
        <v>29</v>
      </c>
      <c r="B6" s="23"/>
      <c r="C6" s="23"/>
      <c r="D6" s="23"/>
      <c r="E6" s="24"/>
      <c r="F6" s="25" t="s">
        <v>3</v>
      </c>
      <c r="G6" s="26"/>
      <c r="H6" s="27" t="n">
        <f aca="false">G6*VLOOKUP(F6,$X$2:$Y$7,2,FALSE())</f>
        <v>0</v>
      </c>
      <c r="I6" s="28"/>
      <c r="J6" s="29" t="s">
        <v>30</v>
      </c>
      <c r="K6" s="30"/>
      <c r="L6" s="31" t="n">
        <f aca="false">K6*VLOOKUP(F6,$X$2:$Y$7,2,FALSE())</f>
        <v>0</v>
      </c>
      <c r="M6" s="32"/>
      <c r="N6" s="33"/>
      <c r="O6" s="32"/>
      <c r="P6" s="32"/>
      <c r="Q6" s="34" t="n">
        <v>8</v>
      </c>
      <c r="R6" s="35" t="n">
        <f aca="false">Q6*VLOOKUP(F6,$X$2:$Y$7,2,FALSE())</f>
        <v>120</v>
      </c>
      <c r="S6" s="36"/>
      <c r="X6" s="0" t="s">
        <v>31</v>
      </c>
      <c r="Y6" s="0" t="n">
        <v>95</v>
      </c>
    </row>
    <row r="7" customFormat="false" ht="15" hidden="false" customHeight="true" outlineLevel="0" collapsed="false">
      <c r="A7" s="37"/>
      <c r="B7" s="23"/>
      <c r="C7" s="23"/>
      <c r="D7" s="23"/>
      <c r="E7" s="24"/>
      <c r="F7" s="25" t="s">
        <v>4</v>
      </c>
      <c r="G7" s="26"/>
      <c r="H7" s="27" t="n">
        <f aca="false">G7*VLOOKUP(F7,$X$2:$Y$7,2,FALSE())</f>
        <v>0</v>
      </c>
      <c r="I7" s="28"/>
      <c r="J7" s="29" t="s">
        <v>30</v>
      </c>
      <c r="K7" s="30"/>
      <c r="L7" s="31" t="n">
        <f aca="false">K7*VLOOKUP(F7,$X$2:$Y$7,2,FALSE())</f>
        <v>0</v>
      </c>
      <c r="M7" s="32"/>
      <c r="N7" s="33"/>
      <c r="O7" s="32"/>
      <c r="P7" s="32"/>
      <c r="Q7" s="34" t="n">
        <v>0</v>
      </c>
      <c r="R7" s="35" t="n">
        <f aca="false">Q7*VLOOKUP(F7,$X$2:$Y$7,2,FALSE())</f>
        <v>0</v>
      </c>
      <c r="S7" s="36"/>
      <c r="X7" s="0" t="s">
        <v>32</v>
      </c>
      <c r="Y7" s="0" t="n">
        <v>1</v>
      </c>
    </row>
    <row r="8" customFormat="false" ht="15" hidden="false" customHeight="true" outlineLevel="0" collapsed="false">
      <c r="A8" s="37"/>
      <c r="B8" s="23"/>
      <c r="C8" s="23"/>
      <c r="D8" s="23"/>
      <c r="E8" s="24"/>
      <c r="F8" s="25" t="s">
        <v>8</v>
      </c>
      <c r="G8" s="26"/>
      <c r="H8" s="27" t="n">
        <f aca="false">G8*VLOOKUP(F8,$X$2:$Y$7,2,FALSE())</f>
        <v>0</v>
      </c>
      <c r="I8" s="28"/>
      <c r="J8" s="29" t="s">
        <v>30</v>
      </c>
      <c r="K8" s="30"/>
      <c r="L8" s="31" t="n">
        <f aca="false">K8*VLOOKUP(F8,$X$2:$Y$7,2,FALSE())</f>
        <v>0</v>
      </c>
      <c r="M8" s="32"/>
      <c r="N8" s="33"/>
      <c r="O8" s="32"/>
      <c r="P8" s="32"/>
      <c r="Q8" s="34" t="n">
        <v>0</v>
      </c>
      <c r="R8" s="35" t="n">
        <f aca="false">Q8*VLOOKUP(F8,$X$2:$Y$7,2,FALSE())</f>
        <v>0</v>
      </c>
      <c r="S8" s="36"/>
    </row>
    <row r="9" customFormat="false" ht="15" hidden="false" customHeight="true" outlineLevel="0" collapsed="false">
      <c r="A9" s="37"/>
      <c r="B9" s="23"/>
      <c r="C9" s="23"/>
      <c r="D9" s="23"/>
      <c r="E9" s="24"/>
      <c r="F9" s="25" t="s">
        <v>28</v>
      </c>
      <c r="G9" s="26"/>
      <c r="H9" s="27" t="n">
        <f aca="false">G9*VLOOKUP(F9,$X$2:$Y$7,2,FALSE())</f>
        <v>0</v>
      </c>
      <c r="I9" s="28"/>
      <c r="J9" s="29" t="s">
        <v>30</v>
      </c>
      <c r="K9" s="30"/>
      <c r="L9" s="31" t="n">
        <f aca="false">K9*VLOOKUP(F9,$X$2:$Y$7,2,FALSE())</f>
        <v>0</v>
      </c>
      <c r="M9" s="32"/>
      <c r="N9" s="33"/>
      <c r="O9" s="32"/>
      <c r="P9" s="32"/>
      <c r="Q9" s="34" t="n">
        <v>7</v>
      </c>
      <c r="R9" s="35" t="n">
        <f aca="false">Q9*VLOOKUP(F9,$X$2:$Y$7,2,FALSE())</f>
        <v>119</v>
      </c>
      <c r="S9" s="36"/>
    </row>
    <row r="10" customFormat="false" ht="15.75" hidden="false" customHeight="true" outlineLevel="0" collapsed="false">
      <c r="A10" s="37"/>
      <c r="B10" s="23"/>
      <c r="C10" s="23"/>
      <c r="D10" s="23"/>
      <c r="E10" s="24"/>
      <c r="F10" s="25" t="s">
        <v>31</v>
      </c>
      <c r="G10" s="26"/>
      <c r="H10" s="27" t="n">
        <f aca="false">G10*VLOOKUP(F10,$X$2:$Y$7,2,FALSE())</f>
        <v>0</v>
      </c>
      <c r="I10" s="28"/>
      <c r="J10" s="38"/>
      <c r="K10" s="30"/>
      <c r="L10" s="31" t="n">
        <f aca="false">K10*VLOOKUP(F10,$X$2:$Y$7,2,FALSE())</f>
        <v>0</v>
      </c>
      <c r="M10" s="32"/>
      <c r="N10" s="33"/>
      <c r="O10" s="32"/>
      <c r="P10" s="32"/>
      <c r="Q10" s="34" t="n">
        <v>20</v>
      </c>
      <c r="R10" s="35" t="n">
        <f aca="false">Q10*VLOOKUP(F10,$X$2:$Y$7,2,FALSE())</f>
        <v>1900</v>
      </c>
      <c r="S10" s="36"/>
    </row>
    <row r="11" customFormat="false" ht="15" hidden="false" customHeight="true" outlineLevel="0" collapsed="false">
      <c r="A11" s="22"/>
      <c r="B11" s="39"/>
      <c r="C11" s="39"/>
      <c r="D11" s="40"/>
      <c r="E11" s="41"/>
      <c r="F11" s="25" t="s">
        <v>32</v>
      </c>
      <c r="G11" s="42"/>
      <c r="H11" s="27"/>
      <c r="I11" s="43"/>
      <c r="J11" s="44"/>
      <c r="K11" s="45"/>
      <c r="L11" s="43"/>
      <c r="M11" s="46"/>
      <c r="N11" s="47"/>
      <c r="O11" s="46"/>
      <c r="P11" s="46"/>
      <c r="Q11" s="34"/>
      <c r="R11" s="35"/>
      <c r="S11" s="36"/>
    </row>
    <row r="12" customFormat="false" ht="15" hidden="false" customHeight="true" outlineLevel="0" collapsed="false">
      <c r="A12" s="48" t="s">
        <v>33</v>
      </c>
      <c r="B12" s="49" t="n">
        <v>30</v>
      </c>
      <c r="C12" s="49" t="n">
        <v>95</v>
      </c>
      <c r="D12" s="50" t="n">
        <f aca="false">B12*C12</f>
        <v>2850</v>
      </c>
      <c r="E12" s="51"/>
      <c r="F12" s="52" t="s">
        <v>3</v>
      </c>
      <c r="G12" s="53" t="n">
        <v>59</v>
      </c>
      <c r="H12" s="54" t="n">
        <f aca="false">G12*VLOOKUP(F12,$X$2:$Y$7,2,FALSE())</f>
        <v>885</v>
      </c>
      <c r="I12" s="55" t="s">
        <v>33</v>
      </c>
      <c r="J12" s="56" t="n">
        <v>2977</v>
      </c>
      <c r="K12" s="57" t="n">
        <v>67</v>
      </c>
      <c r="L12" s="58" t="n">
        <f aca="false">K12*VLOOKUP(F12,$X$2:$Y$7,2,FALSE())</f>
        <v>1005</v>
      </c>
      <c r="M12" s="59"/>
      <c r="N12" s="60"/>
      <c r="O12" s="59"/>
      <c r="P12" s="59"/>
      <c r="Q12" s="61" t="n">
        <f aca="false">Q6+G12-K12+M12-O12</f>
        <v>0</v>
      </c>
      <c r="R12" s="62" t="n">
        <f aca="false">R6+H12-L12+N12-O12*VLOOKUP(F12,$X$2:$Y$7,2,FALSE())</f>
        <v>0</v>
      </c>
      <c r="S12" s="63"/>
    </row>
    <row r="13" customFormat="false" ht="15" hidden="false" customHeight="true" outlineLevel="0" collapsed="false">
      <c r="A13" s="37"/>
      <c r="B13" s="23"/>
      <c r="C13" s="23"/>
      <c r="D13" s="23"/>
      <c r="E13" s="24"/>
      <c r="F13" s="25" t="s">
        <v>4</v>
      </c>
      <c r="G13" s="42" t="n">
        <v>11</v>
      </c>
      <c r="H13" s="27" t="n">
        <f aca="false">G13*VLOOKUP(F13,$X$2:$Y$7,2,FALSE())</f>
        <v>198</v>
      </c>
      <c r="I13" s="64"/>
      <c r="J13" s="44" t="n">
        <v>2977</v>
      </c>
      <c r="K13" s="45" t="n">
        <v>11</v>
      </c>
      <c r="L13" s="43" t="n">
        <f aca="false">K13*VLOOKUP(F13,$X$2:$Y$7,2,FALSE())</f>
        <v>198</v>
      </c>
      <c r="M13" s="32"/>
      <c r="N13" s="33"/>
      <c r="O13" s="32"/>
      <c r="P13" s="32"/>
      <c r="Q13" s="34" t="n">
        <f aca="false">Q7+G13-K13+M13-O13</f>
        <v>0</v>
      </c>
      <c r="R13" s="35" t="n">
        <f aca="false">R7+H13-L13+N13-O13*VLOOKUP(F13,$X$2:$Y$7,2,FALSE())</f>
        <v>0</v>
      </c>
      <c r="S13" s="36"/>
    </row>
    <row r="14" customFormat="false" ht="15" hidden="false" customHeight="true" outlineLevel="0" collapsed="false">
      <c r="A14" s="37"/>
      <c r="B14" s="23"/>
      <c r="C14" s="23"/>
      <c r="D14" s="23"/>
      <c r="E14" s="24"/>
      <c r="F14" s="25" t="s">
        <v>8</v>
      </c>
      <c r="G14" s="42" t="n">
        <v>12</v>
      </c>
      <c r="H14" s="27" t="n">
        <f aca="false">G14*VLOOKUP(F14,$X$2:$Y$7,2,FALSE())</f>
        <v>204</v>
      </c>
      <c r="I14" s="64"/>
      <c r="J14" s="44" t="n">
        <v>2977</v>
      </c>
      <c r="K14" s="45" t="n">
        <v>12</v>
      </c>
      <c r="L14" s="43" t="n">
        <f aca="false">K14*VLOOKUP(F14,$X$2:$Y$7,2,FALSE())</f>
        <v>204</v>
      </c>
      <c r="M14" s="32"/>
      <c r="N14" s="33"/>
      <c r="O14" s="32"/>
      <c r="P14" s="32"/>
      <c r="Q14" s="34" t="n">
        <f aca="false">Q8+G14-K14+M14-O14</f>
        <v>0</v>
      </c>
      <c r="R14" s="35" t="n">
        <f aca="false">R8+H14-L14+N14-O14*VLOOKUP(F14,$X$2:$Y$7,2,FALSE())</f>
        <v>0</v>
      </c>
      <c r="S14" s="36"/>
    </row>
    <row r="15" customFormat="false" ht="15.75" hidden="false" customHeight="true" outlineLevel="0" collapsed="false">
      <c r="A15" s="37"/>
      <c r="B15" s="23"/>
      <c r="C15" s="23"/>
      <c r="D15" s="23"/>
      <c r="E15" s="24"/>
      <c r="F15" s="25" t="s">
        <v>28</v>
      </c>
      <c r="G15" s="42" t="n">
        <v>64</v>
      </c>
      <c r="H15" s="27" t="n">
        <f aca="false">G15*VLOOKUP(F15,$X$2:$Y$7,2,FALSE())</f>
        <v>1088</v>
      </c>
      <c r="I15" s="64"/>
      <c r="J15" s="44" t="n">
        <v>2977</v>
      </c>
      <c r="K15" s="45" t="n">
        <v>42</v>
      </c>
      <c r="L15" s="43" t="n">
        <f aca="false">K15*VLOOKUP(F15,$X$2:$Y$7,2,FALSE())</f>
        <v>714</v>
      </c>
      <c r="M15" s="32"/>
      <c r="N15" s="33"/>
      <c r="O15" s="32"/>
      <c r="P15" s="32"/>
      <c r="Q15" s="34" t="n">
        <f aca="false">Q9+G15-K15+M15-O15</f>
        <v>29</v>
      </c>
      <c r="R15" s="35" t="n">
        <f aca="false">R9+H15-L15+N15-O15*VLOOKUP(F15,$X$2:$Y$7,2,FALSE())</f>
        <v>493</v>
      </c>
      <c r="S15" s="36"/>
    </row>
    <row r="16" customFormat="false" ht="15" hidden="false" customHeight="true" outlineLevel="0" collapsed="false">
      <c r="A16" s="65"/>
      <c r="B16" s="23"/>
      <c r="C16" s="23"/>
      <c r="D16" s="23"/>
      <c r="E16" s="24"/>
      <c r="F16" s="25" t="s">
        <v>31</v>
      </c>
      <c r="G16" s="42" t="n">
        <v>6</v>
      </c>
      <c r="H16" s="27" t="n">
        <f aca="false">G16*VLOOKUP(F16,$X$2:$Y$7,2,FALSE())</f>
        <v>570</v>
      </c>
      <c r="I16" s="66"/>
      <c r="J16" s="67"/>
      <c r="K16" s="45" t="n">
        <v>0</v>
      </c>
      <c r="L16" s="43" t="n">
        <f aca="false">K16*VLOOKUP(F16,$X$2:$Y$7,2,FALSE())</f>
        <v>0</v>
      </c>
      <c r="M16" s="32"/>
      <c r="N16" s="33"/>
      <c r="O16" s="32"/>
      <c r="P16" s="32"/>
      <c r="Q16" s="34" t="n">
        <f aca="false">Q10+G16-K16+M16-O16</f>
        <v>26</v>
      </c>
      <c r="R16" s="35" t="n">
        <f aca="false">R10+H16-L16+N16-O16*VLOOKUP(F16,$X$2:$Y$7,2,FALSE())</f>
        <v>2470</v>
      </c>
      <c r="S16" s="36"/>
    </row>
    <row r="17" customFormat="false" ht="15" hidden="false" customHeight="true" outlineLevel="0" collapsed="false">
      <c r="A17" s="68"/>
      <c r="B17" s="69"/>
      <c r="C17" s="69"/>
      <c r="D17" s="70"/>
      <c r="E17" s="71"/>
      <c r="F17" s="72" t="s">
        <v>32</v>
      </c>
      <c r="G17" s="73"/>
      <c r="H17" s="74"/>
      <c r="I17" s="75"/>
      <c r="J17" s="76"/>
      <c r="K17" s="77"/>
      <c r="L17" s="78"/>
      <c r="M17" s="79"/>
      <c r="N17" s="80"/>
      <c r="O17" s="79"/>
      <c r="P17" s="79"/>
      <c r="Q17" s="81"/>
      <c r="R17" s="82"/>
      <c r="S17" s="83"/>
    </row>
    <row r="18" customFormat="false" ht="15" hidden="false" customHeight="true" outlineLevel="0" collapsed="false">
      <c r="A18" s="22" t="s">
        <v>34</v>
      </c>
      <c r="B18" s="39" t="n">
        <v>40</v>
      </c>
      <c r="C18" s="39" t="n">
        <v>95</v>
      </c>
      <c r="D18" s="40" t="n">
        <f aca="false">B18*C18</f>
        <v>3800</v>
      </c>
      <c r="E18" s="24"/>
      <c r="F18" s="25" t="s">
        <v>3</v>
      </c>
      <c r="G18" s="42" t="n">
        <v>107</v>
      </c>
      <c r="H18" s="27" t="n">
        <f aca="false">G18*VLOOKUP(F18,$X$2:$Y$7,2,FALSE())</f>
        <v>1605</v>
      </c>
      <c r="I18" s="84" t="s">
        <v>34</v>
      </c>
      <c r="J18" s="44" t="n">
        <v>2980</v>
      </c>
      <c r="K18" s="45" t="n">
        <v>67</v>
      </c>
      <c r="L18" s="43" t="n">
        <f aca="false">K18*VLOOKUP(F18,$X$2:$Y$7,2,FALSE())</f>
        <v>1005</v>
      </c>
      <c r="M18" s="32"/>
      <c r="N18" s="33"/>
      <c r="O18" s="32"/>
      <c r="P18" s="32"/>
      <c r="Q18" s="34" t="n">
        <f aca="false">Q12+G18-K18+M18-O18</f>
        <v>40</v>
      </c>
      <c r="R18" s="35" t="n">
        <f aca="false">R12+H18-L18+N18-O18*VLOOKUP(F18,$X$2:$Y$7,2,FALSE())</f>
        <v>600</v>
      </c>
      <c r="S18" s="36"/>
    </row>
    <row r="19" customFormat="false" ht="15" hidden="false" customHeight="true" outlineLevel="0" collapsed="false">
      <c r="A19" s="37"/>
      <c r="B19" s="23"/>
      <c r="C19" s="23"/>
      <c r="D19" s="23"/>
      <c r="E19" s="24"/>
      <c r="F19" s="25" t="s">
        <v>4</v>
      </c>
      <c r="G19" s="42" t="n">
        <v>11</v>
      </c>
      <c r="H19" s="27" t="n">
        <f aca="false">G19*VLOOKUP(F19,$X$2:$Y$7,2,FALSE())</f>
        <v>198</v>
      </c>
      <c r="I19" s="64"/>
      <c r="J19" s="44" t="n">
        <v>2980</v>
      </c>
      <c r="K19" s="45" t="n">
        <v>11</v>
      </c>
      <c r="L19" s="43" t="n">
        <f aca="false">K19*VLOOKUP(F19,$X$2:$Y$7,2,FALSE())</f>
        <v>198</v>
      </c>
      <c r="M19" s="32"/>
      <c r="N19" s="33"/>
      <c r="O19" s="32"/>
      <c r="P19" s="32"/>
      <c r="Q19" s="34" t="n">
        <f aca="false">Q13+G19-K19+M19-O19</f>
        <v>0</v>
      </c>
      <c r="R19" s="35" t="n">
        <f aca="false">R13+H19-L19+N19-O19*VLOOKUP(F19,$X$2:$Y$7,2,FALSE())</f>
        <v>0</v>
      </c>
      <c r="S19" s="36"/>
    </row>
    <row r="20" customFormat="false" ht="15.75" hidden="false" customHeight="true" outlineLevel="0" collapsed="false">
      <c r="A20" s="37"/>
      <c r="B20" s="23"/>
      <c r="C20" s="23"/>
      <c r="D20" s="23"/>
      <c r="E20" s="24"/>
      <c r="F20" s="25" t="s">
        <v>8</v>
      </c>
      <c r="G20" s="42" t="n">
        <v>12</v>
      </c>
      <c r="H20" s="27" t="n">
        <f aca="false">G20*VLOOKUP(F20,$X$2:$Y$7,2,FALSE())</f>
        <v>204</v>
      </c>
      <c r="I20" s="64"/>
      <c r="J20" s="44" t="n">
        <v>2980</v>
      </c>
      <c r="K20" s="45" t="n">
        <v>12</v>
      </c>
      <c r="L20" s="43" t="n">
        <f aca="false">K20*VLOOKUP(F20,$X$2:$Y$7,2,FALSE())</f>
        <v>204</v>
      </c>
      <c r="M20" s="32"/>
      <c r="N20" s="33"/>
      <c r="O20" s="32"/>
      <c r="P20" s="32"/>
      <c r="Q20" s="34" t="n">
        <f aca="false">Q14+G20-K20+M20-O20</f>
        <v>0</v>
      </c>
      <c r="R20" s="35" t="n">
        <f aca="false">R14+H20-L20+N20-O20*VLOOKUP(F20,$X$2:$Y$7,2,FALSE())</f>
        <v>0</v>
      </c>
      <c r="S20" s="36"/>
    </row>
    <row r="21" customFormat="false" ht="15" hidden="false" customHeight="true" outlineLevel="0" collapsed="false">
      <c r="A21" s="65"/>
      <c r="B21" s="23"/>
      <c r="C21" s="23"/>
      <c r="D21" s="23"/>
      <c r="E21" s="24"/>
      <c r="F21" s="25" t="s">
        <v>28</v>
      </c>
      <c r="G21" s="42" t="n">
        <v>110</v>
      </c>
      <c r="H21" s="27" t="n">
        <f aca="false">G21*VLOOKUP(F21,$X$2:$Y$7,2,FALSE())</f>
        <v>1870</v>
      </c>
      <c r="I21" s="66"/>
      <c r="J21" s="44" t="n">
        <v>2980</v>
      </c>
      <c r="K21" s="45" t="n">
        <v>97</v>
      </c>
      <c r="L21" s="43" t="n">
        <f aca="false">K21*VLOOKUP(F21,$X$2:$Y$7,2,FALSE())</f>
        <v>1649</v>
      </c>
      <c r="M21" s="32"/>
      <c r="N21" s="33"/>
      <c r="O21" s="32"/>
      <c r="P21" s="32"/>
      <c r="Q21" s="34" t="n">
        <f aca="false">Q15+G21-K21+M21-O21</f>
        <v>42</v>
      </c>
      <c r="R21" s="35" t="n">
        <f aca="false">R15+H21-L21+N21-O21*VLOOKUP(F21,$X$2:$Y$7,2,FALSE())</f>
        <v>714</v>
      </c>
      <c r="S21" s="36"/>
    </row>
    <row r="22" customFormat="false" ht="15" hidden="false" customHeight="true" outlineLevel="0" collapsed="false">
      <c r="A22" s="37"/>
      <c r="B22" s="23"/>
      <c r="C22" s="23"/>
      <c r="D22" s="23"/>
      <c r="E22" s="24"/>
      <c r="F22" s="25" t="s">
        <v>31</v>
      </c>
      <c r="G22" s="42" t="n">
        <v>2</v>
      </c>
      <c r="H22" s="27" t="n">
        <f aca="false">G22*VLOOKUP(F22,$X$2:$Y$7,2,FALSE())</f>
        <v>190</v>
      </c>
      <c r="I22" s="64"/>
      <c r="J22" s="67"/>
      <c r="K22" s="45" t="n">
        <v>0</v>
      </c>
      <c r="L22" s="43" t="n">
        <f aca="false">K22*VLOOKUP(F22,$X$2:$Y$7,2,FALSE())</f>
        <v>0</v>
      </c>
      <c r="M22" s="32"/>
      <c r="N22" s="33"/>
      <c r="O22" s="32"/>
      <c r="P22" s="32"/>
      <c r="Q22" s="34" t="n">
        <f aca="false">Q16+G22-K22+M22-O22</f>
        <v>28</v>
      </c>
      <c r="R22" s="35" t="n">
        <f aca="false">R16+H22-L22+N22-O22*VLOOKUP(F22,$X$2:$Y$7,2,FALSE())</f>
        <v>2660</v>
      </c>
      <c r="S22" s="36"/>
    </row>
    <row r="23" customFormat="false" ht="15" hidden="false" customHeight="true" outlineLevel="0" collapsed="false">
      <c r="A23" s="22"/>
      <c r="B23" s="39"/>
      <c r="C23" s="39"/>
      <c r="D23" s="40"/>
      <c r="E23" s="41"/>
      <c r="F23" s="25" t="s">
        <v>32</v>
      </c>
      <c r="G23" s="42"/>
      <c r="H23" s="27"/>
      <c r="I23" s="84"/>
      <c r="J23" s="44"/>
      <c r="K23" s="45"/>
      <c r="L23" s="43"/>
      <c r="M23" s="46"/>
      <c r="N23" s="47"/>
      <c r="O23" s="46"/>
      <c r="P23" s="46"/>
      <c r="Q23" s="34"/>
      <c r="R23" s="35"/>
      <c r="S23" s="36"/>
    </row>
    <row r="24" customFormat="false" ht="15" hidden="false" customHeight="true" outlineLevel="0" collapsed="false">
      <c r="A24" s="48" t="s">
        <v>35</v>
      </c>
      <c r="B24" s="49" t="n">
        <v>40</v>
      </c>
      <c r="C24" s="49" t="n">
        <v>95</v>
      </c>
      <c r="D24" s="50" t="n">
        <f aca="false">B24*C24</f>
        <v>3800</v>
      </c>
      <c r="E24" s="51"/>
      <c r="F24" s="52" t="s">
        <v>3</v>
      </c>
      <c r="G24" s="53" t="n">
        <v>45</v>
      </c>
      <c r="H24" s="54" t="n">
        <f aca="false">G24*VLOOKUP(F24,$X$2:$Y$7,2,FALSE())</f>
        <v>675</v>
      </c>
      <c r="I24" s="55" t="s">
        <v>35</v>
      </c>
      <c r="J24" s="56" t="n">
        <v>2984</v>
      </c>
      <c r="K24" s="57" t="n">
        <v>67</v>
      </c>
      <c r="L24" s="58" t="n">
        <f aca="false">K24*VLOOKUP(F24,$X$2:$Y$7,2,FALSE())</f>
        <v>1005</v>
      </c>
      <c r="M24" s="59"/>
      <c r="N24" s="60"/>
      <c r="O24" s="59"/>
      <c r="P24" s="59"/>
      <c r="Q24" s="61" t="n">
        <f aca="false">Q18+G24-K24+M24-O24</f>
        <v>18</v>
      </c>
      <c r="R24" s="62" t="n">
        <f aca="false">R18+H24-L24+N24-O24*VLOOKUP(F24,$X$2:$Y$7,2,FALSE())</f>
        <v>270</v>
      </c>
      <c r="S24" s="63"/>
    </row>
    <row r="25" customFormat="false" ht="15.75" hidden="false" customHeight="true" outlineLevel="0" collapsed="false">
      <c r="A25" s="37"/>
      <c r="B25" s="23"/>
      <c r="C25" s="23"/>
      <c r="D25" s="23"/>
      <c r="E25" s="24"/>
      <c r="F25" s="25" t="s">
        <v>4</v>
      </c>
      <c r="G25" s="42" t="n">
        <v>11</v>
      </c>
      <c r="H25" s="27" t="n">
        <f aca="false">G25*VLOOKUP(F25,$X$2:$Y$7,2,FALSE())</f>
        <v>198</v>
      </c>
      <c r="I25" s="64"/>
      <c r="J25" s="44" t="n">
        <v>2984</v>
      </c>
      <c r="K25" s="45" t="n">
        <v>11</v>
      </c>
      <c r="L25" s="43" t="n">
        <f aca="false">K25*VLOOKUP(F25,$X$2:$Y$7,2,FALSE())</f>
        <v>198</v>
      </c>
      <c r="M25" s="32"/>
      <c r="N25" s="33"/>
      <c r="O25" s="32"/>
      <c r="P25" s="32"/>
      <c r="Q25" s="34" t="n">
        <f aca="false">Q19+G25-K25+M25-O25</f>
        <v>0</v>
      </c>
      <c r="R25" s="35" t="n">
        <f aca="false">R19+H25-L25+N25-O25*VLOOKUP(F25,$X$2:$Y$7,2,FALSE())</f>
        <v>0</v>
      </c>
      <c r="S25" s="36"/>
    </row>
    <row r="26" customFormat="false" ht="15" hidden="false" customHeight="true" outlineLevel="0" collapsed="false">
      <c r="A26" s="65"/>
      <c r="B26" s="23"/>
      <c r="C26" s="23"/>
      <c r="D26" s="23"/>
      <c r="E26" s="24"/>
      <c r="F26" s="25" t="s">
        <v>8</v>
      </c>
      <c r="G26" s="42" t="n">
        <v>12</v>
      </c>
      <c r="H26" s="27" t="n">
        <f aca="false">G26*VLOOKUP(F26,$X$2:$Y$7,2,FALSE())</f>
        <v>204</v>
      </c>
      <c r="I26" s="66"/>
      <c r="J26" s="44" t="n">
        <v>2984</v>
      </c>
      <c r="K26" s="45" t="n">
        <v>12</v>
      </c>
      <c r="L26" s="43" t="n">
        <f aca="false">K26*VLOOKUP(F26,$X$2:$Y$7,2,FALSE())</f>
        <v>204</v>
      </c>
      <c r="M26" s="32"/>
      <c r="N26" s="33"/>
      <c r="O26" s="32"/>
      <c r="P26" s="32"/>
      <c r="Q26" s="34" t="n">
        <f aca="false">Q20+G26-K26+M26-O26</f>
        <v>0</v>
      </c>
      <c r="R26" s="35" t="n">
        <f aca="false">R20+H26-L26+N26-O26*VLOOKUP(F26,$X$2:$Y$7,2,FALSE())</f>
        <v>0</v>
      </c>
      <c r="S26" s="36"/>
    </row>
    <row r="27" customFormat="false" ht="15" hidden="false" customHeight="true" outlineLevel="0" collapsed="false">
      <c r="A27" s="37"/>
      <c r="B27" s="23"/>
      <c r="C27" s="23"/>
      <c r="D27" s="23"/>
      <c r="E27" s="24"/>
      <c r="F27" s="25" t="s">
        <v>28</v>
      </c>
      <c r="G27" s="42" t="n">
        <v>121</v>
      </c>
      <c r="H27" s="27" t="n">
        <f aca="false">G27*VLOOKUP(F27,$X$2:$Y$7,2,FALSE())</f>
        <v>2057</v>
      </c>
      <c r="I27" s="64"/>
      <c r="J27" s="44" t="n">
        <v>2984</v>
      </c>
      <c r="K27" s="45" t="n">
        <v>116</v>
      </c>
      <c r="L27" s="43" t="n">
        <f aca="false">K27*VLOOKUP(F27,$X$2:$Y$7,2,FALSE())</f>
        <v>1972</v>
      </c>
      <c r="M27" s="32"/>
      <c r="N27" s="33"/>
      <c r="O27" s="32"/>
      <c r="P27" s="32"/>
      <c r="Q27" s="34" t="n">
        <f aca="false">Q21+G27-K27+M27-O27</f>
        <v>47</v>
      </c>
      <c r="R27" s="35" t="n">
        <f aca="false">R21+H27-L27+N27-O27*VLOOKUP(F27,$X$2:$Y$7,2,FALSE())</f>
        <v>799</v>
      </c>
      <c r="S27" s="36"/>
    </row>
    <row r="28" customFormat="false" ht="15" hidden="false" customHeight="true" outlineLevel="0" collapsed="false">
      <c r="A28" s="37"/>
      <c r="B28" s="23"/>
      <c r="C28" s="23"/>
      <c r="D28" s="23"/>
      <c r="E28" s="24"/>
      <c r="F28" s="25" t="s">
        <v>31</v>
      </c>
      <c r="G28" s="42" t="n">
        <v>7</v>
      </c>
      <c r="H28" s="27" t="n">
        <f aca="false">G28*VLOOKUP(F28,$X$2:$Y$7,2,FALSE())</f>
        <v>665</v>
      </c>
      <c r="I28" s="64"/>
      <c r="J28" s="67"/>
      <c r="K28" s="45" t="n">
        <v>0</v>
      </c>
      <c r="L28" s="43" t="n">
        <f aca="false">K28*VLOOKUP(F28,$X$2:$Y$7,2,FALSE())</f>
        <v>0</v>
      </c>
      <c r="M28" s="32"/>
      <c r="N28" s="33"/>
      <c r="O28" s="32"/>
      <c r="P28" s="32"/>
      <c r="Q28" s="34" t="n">
        <f aca="false">Q22+G28-K28+M28-O28</f>
        <v>35</v>
      </c>
      <c r="R28" s="35" t="n">
        <f aca="false">R22+H28-L28+N28-O28*VLOOKUP(F28,$X$2:$Y$7,2,FALSE())</f>
        <v>3325</v>
      </c>
      <c r="S28" s="36"/>
    </row>
    <row r="29" customFormat="false" ht="15" hidden="false" customHeight="true" outlineLevel="0" collapsed="false">
      <c r="A29" s="68"/>
      <c r="B29" s="69"/>
      <c r="C29" s="69"/>
      <c r="D29" s="70"/>
      <c r="E29" s="71"/>
      <c r="F29" s="72" t="s">
        <v>32</v>
      </c>
      <c r="G29" s="73"/>
      <c r="H29" s="74"/>
      <c r="I29" s="75"/>
      <c r="J29" s="76"/>
      <c r="K29" s="77"/>
      <c r="L29" s="78"/>
      <c r="M29" s="79"/>
      <c r="N29" s="80"/>
      <c r="O29" s="79"/>
      <c r="P29" s="79"/>
      <c r="Q29" s="81"/>
      <c r="R29" s="82"/>
      <c r="S29" s="83"/>
    </row>
    <row r="30" customFormat="false" ht="15.75" hidden="false" customHeight="true" outlineLevel="0" collapsed="false">
      <c r="A30" s="22" t="s">
        <v>36</v>
      </c>
      <c r="B30" s="39" t="n">
        <v>40</v>
      </c>
      <c r="C30" s="39" t="n">
        <v>95</v>
      </c>
      <c r="D30" s="40" t="n">
        <f aca="false">B30*C30</f>
        <v>3800</v>
      </c>
      <c r="E30" s="24"/>
      <c r="F30" s="25" t="s">
        <v>3</v>
      </c>
      <c r="G30" s="42" t="n">
        <v>79</v>
      </c>
      <c r="H30" s="27" t="n">
        <f aca="false">G30*VLOOKUP(F30,$X$2:$Y$7,2,FALSE())</f>
        <v>1185</v>
      </c>
      <c r="I30" s="84" t="s">
        <v>36</v>
      </c>
      <c r="J30" s="44" t="n">
        <v>2986</v>
      </c>
      <c r="K30" s="45" t="n">
        <v>67</v>
      </c>
      <c r="L30" s="43" t="n">
        <f aca="false">K30*VLOOKUP(F30,$X$2:$Y$7,2,FALSE())</f>
        <v>1005</v>
      </c>
      <c r="M30" s="32"/>
      <c r="N30" s="33"/>
      <c r="O30" s="32"/>
      <c r="P30" s="32"/>
      <c r="Q30" s="34" t="n">
        <f aca="false">Q24+G30-K30+M30-O30</f>
        <v>30</v>
      </c>
      <c r="R30" s="35" t="n">
        <f aca="false">R24+H30-L30+N30-O30*VLOOKUP(F30,$X$2:$Y$7,2,FALSE())</f>
        <v>450</v>
      </c>
      <c r="S30" s="36"/>
    </row>
    <row r="31" customFormat="false" ht="15" hidden="false" customHeight="true" outlineLevel="0" collapsed="false">
      <c r="A31" s="65"/>
      <c r="B31" s="23"/>
      <c r="C31" s="23"/>
      <c r="D31" s="23"/>
      <c r="E31" s="24"/>
      <c r="F31" s="25" t="s">
        <v>4</v>
      </c>
      <c r="G31" s="42" t="n">
        <v>22</v>
      </c>
      <c r="H31" s="27" t="n">
        <f aca="false">G31*VLOOKUP(F31,$X$2:$Y$7,2,FALSE())</f>
        <v>396</v>
      </c>
      <c r="I31" s="66"/>
      <c r="J31" s="44" t="n">
        <v>2986</v>
      </c>
      <c r="K31" s="45" t="n">
        <v>11</v>
      </c>
      <c r="L31" s="43" t="n">
        <f aca="false">K31*VLOOKUP(F31,$X$2:$Y$7,2,FALSE())</f>
        <v>198</v>
      </c>
      <c r="M31" s="32"/>
      <c r="N31" s="33"/>
      <c r="O31" s="32"/>
      <c r="P31" s="32"/>
      <c r="Q31" s="34" t="n">
        <f aca="false">Q25+G31-K31+M31-O31</f>
        <v>11</v>
      </c>
      <c r="R31" s="35" t="n">
        <f aca="false">R25+H31-L31+N31-O31*VLOOKUP(F31,$X$2:$Y$7,2,FALSE())</f>
        <v>198</v>
      </c>
      <c r="S31" s="36"/>
    </row>
    <row r="32" customFormat="false" ht="15" hidden="false" customHeight="true" outlineLevel="0" collapsed="false">
      <c r="A32" s="37"/>
      <c r="B32" s="23"/>
      <c r="C32" s="23"/>
      <c r="D32" s="23"/>
      <c r="E32" s="24"/>
      <c r="F32" s="25" t="s">
        <v>8</v>
      </c>
      <c r="G32" s="42" t="n">
        <v>21</v>
      </c>
      <c r="H32" s="27" t="n">
        <f aca="false">G32*VLOOKUP(F32,$X$2:$Y$7,2,FALSE())</f>
        <v>357</v>
      </c>
      <c r="I32" s="64"/>
      <c r="J32" s="44" t="n">
        <v>2986</v>
      </c>
      <c r="K32" s="45" t="n">
        <v>9</v>
      </c>
      <c r="L32" s="43" t="n">
        <f aca="false">K32*VLOOKUP(F32,$X$2:$Y$7,2,FALSE())</f>
        <v>153</v>
      </c>
      <c r="M32" s="32"/>
      <c r="N32" s="33"/>
      <c r="O32" s="32"/>
      <c r="P32" s="32"/>
      <c r="Q32" s="34" t="n">
        <f aca="false">Q26+G32-K32+M32-O32</f>
        <v>12</v>
      </c>
      <c r="R32" s="35" t="n">
        <f aca="false">R26+H32-L32+N32-O32*VLOOKUP(F32,$X$2:$Y$7,2,FALSE())</f>
        <v>204</v>
      </c>
      <c r="S32" s="36"/>
    </row>
    <row r="33" customFormat="false" ht="15" hidden="false" customHeight="true" outlineLevel="0" collapsed="false">
      <c r="A33" s="37"/>
      <c r="B33" s="23"/>
      <c r="C33" s="23"/>
      <c r="D33" s="23"/>
      <c r="E33" s="24"/>
      <c r="F33" s="25" t="s">
        <v>28</v>
      </c>
      <c r="G33" s="42" t="n">
        <v>83</v>
      </c>
      <c r="H33" s="27" t="n">
        <f aca="false">G33*VLOOKUP(F33,$X$2:$Y$7,2,FALSE())</f>
        <v>1411</v>
      </c>
      <c r="I33" s="64"/>
      <c r="J33" s="44" t="n">
        <v>2986</v>
      </c>
      <c r="K33" s="45" t="n">
        <v>95</v>
      </c>
      <c r="L33" s="43" t="n">
        <f aca="false">K33*VLOOKUP(F33,$X$2:$Y$7,2,FALSE())</f>
        <v>1615</v>
      </c>
      <c r="M33" s="32"/>
      <c r="N33" s="33"/>
      <c r="O33" s="32"/>
      <c r="P33" s="32"/>
      <c r="Q33" s="34" t="n">
        <f aca="false">Q27+G33-K33+M33-O33</f>
        <v>35</v>
      </c>
      <c r="R33" s="35" t="n">
        <f aca="false">R27+H33-L33+N33-O33*VLOOKUP(F33,$X$2:$Y$7,2,FALSE())</f>
        <v>595</v>
      </c>
      <c r="S33" s="36"/>
    </row>
    <row r="34" customFormat="false" ht="15" hidden="false" customHeight="true" outlineLevel="0" collapsed="false">
      <c r="A34" s="37"/>
      <c r="B34" s="23"/>
      <c r="C34" s="23"/>
      <c r="D34" s="23"/>
      <c r="E34" s="24"/>
      <c r="F34" s="25" t="s">
        <v>31</v>
      </c>
      <c r="G34" s="42" t="n">
        <v>5</v>
      </c>
      <c r="H34" s="27" t="n">
        <f aca="false">G34*VLOOKUP(F34,$X$2:$Y$7,2,FALSE())</f>
        <v>475</v>
      </c>
      <c r="I34" s="64"/>
      <c r="J34" s="44" t="s">
        <v>37</v>
      </c>
      <c r="K34" s="45" t="n">
        <v>35</v>
      </c>
      <c r="L34" s="43" t="n">
        <f aca="false">K34*VLOOKUP(F34,$X$2:$Y$7,2,FALSE())</f>
        <v>3325</v>
      </c>
      <c r="M34" s="32"/>
      <c r="N34" s="33"/>
      <c r="O34" s="32"/>
      <c r="P34" s="32"/>
      <c r="Q34" s="34" t="n">
        <f aca="false">Q28+G34-K34+M34-O34</f>
        <v>5</v>
      </c>
      <c r="R34" s="35" t="n">
        <f aca="false">R28+H34-L34+N34-O34*VLOOKUP(F34,$X$2:$Y$7,2,FALSE())</f>
        <v>475</v>
      </c>
      <c r="S34" s="36"/>
    </row>
    <row r="35" customFormat="false" ht="15.75" hidden="false" customHeight="true" outlineLevel="0" collapsed="false">
      <c r="A35" s="22"/>
      <c r="B35" s="39"/>
      <c r="C35" s="39"/>
      <c r="D35" s="40"/>
      <c r="E35" s="41"/>
      <c r="F35" s="25" t="s">
        <v>32</v>
      </c>
      <c r="G35" s="42"/>
      <c r="H35" s="27"/>
      <c r="I35" s="84"/>
      <c r="J35" s="44"/>
      <c r="K35" s="45"/>
      <c r="L35" s="43"/>
      <c r="M35" s="46"/>
      <c r="N35" s="47"/>
      <c r="O35" s="46"/>
      <c r="P35" s="46"/>
      <c r="Q35" s="34"/>
      <c r="R35" s="35"/>
      <c r="S35" s="36"/>
    </row>
    <row r="36" customFormat="false" ht="15" hidden="false" customHeight="true" outlineLevel="0" collapsed="false">
      <c r="A36" s="48" t="s">
        <v>38</v>
      </c>
      <c r="B36" s="49" t="n">
        <v>40</v>
      </c>
      <c r="C36" s="49" t="n">
        <v>95</v>
      </c>
      <c r="D36" s="50" t="n">
        <f aca="false">B36*C36</f>
        <v>3800</v>
      </c>
      <c r="E36" s="51"/>
      <c r="F36" s="52" t="s">
        <v>3</v>
      </c>
      <c r="G36" s="53" t="n">
        <v>68</v>
      </c>
      <c r="H36" s="54" t="n">
        <f aca="false">G36*VLOOKUP(F36,$X$2:$Y$7,2,FALSE())</f>
        <v>1020</v>
      </c>
      <c r="I36" s="55" t="s">
        <v>38</v>
      </c>
      <c r="J36" s="56" t="n">
        <v>2992</v>
      </c>
      <c r="K36" s="57" t="n">
        <v>63</v>
      </c>
      <c r="L36" s="58" t="n">
        <f aca="false">K36*VLOOKUP(F36,$X$2:$Y$7,2,FALSE())</f>
        <v>945</v>
      </c>
      <c r="M36" s="59"/>
      <c r="N36" s="60"/>
      <c r="O36" s="59"/>
      <c r="P36" s="59"/>
      <c r="Q36" s="61" t="n">
        <f aca="false">Q30+G36-K36+M36-O36</f>
        <v>35</v>
      </c>
      <c r="R36" s="62" t="n">
        <f aca="false">R30+H36-L36+N36-O36*VLOOKUP(F36,$X$2:$Y$7,2,FALSE())</f>
        <v>525</v>
      </c>
      <c r="S36" s="63"/>
    </row>
    <row r="37" customFormat="false" ht="15" hidden="false" customHeight="true" outlineLevel="0" collapsed="false">
      <c r="A37" s="37"/>
      <c r="B37" s="23"/>
      <c r="C37" s="23"/>
      <c r="D37" s="23"/>
      <c r="E37" s="24"/>
      <c r="F37" s="25" t="s">
        <v>4</v>
      </c>
      <c r="G37" s="42" t="n">
        <v>11</v>
      </c>
      <c r="H37" s="27" t="n">
        <f aca="false">G37*VLOOKUP(F37,$X$2:$Y$7,2,FALSE())</f>
        <v>198</v>
      </c>
      <c r="I37" s="64"/>
      <c r="J37" s="44" t="n">
        <v>2992</v>
      </c>
      <c r="K37" s="45" t="n">
        <v>11</v>
      </c>
      <c r="L37" s="43" t="n">
        <f aca="false">K37*VLOOKUP(F37,$X$2:$Y$7,2,FALSE())</f>
        <v>198</v>
      </c>
      <c r="M37" s="32"/>
      <c r="N37" s="33"/>
      <c r="O37" s="32"/>
      <c r="P37" s="32"/>
      <c r="Q37" s="34" t="n">
        <f aca="false">Q31+G37-K37+M37-O37</f>
        <v>11</v>
      </c>
      <c r="R37" s="35" t="n">
        <f aca="false">R31+H37-L37+N37-O37*VLOOKUP(F37,$X$2:$Y$7,2,FALSE())</f>
        <v>198</v>
      </c>
      <c r="S37" s="36"/>
    </row>
    <row r="38" customFormat="false" ht="15" hidden="false" customHeight="true" outlineLevel="0" collapsed="false">
      <c r="A38" s="37"/>
      <c r="B38" s="23"/>
      <c r="C38" s="23"/>
      <c r="D38" s="23"/>
      <c r="E38" s="24"/>
      <c r="F38" s="25" t="s">
        <v>8</v>
      </c>
      <c r="G38" s="42" t="n">
        <v>12</v>
      </c>
      <c r="H38" s="27" t="n">
        <f aca="false">G38*VLOOKUP(F38,$X$2:$Y$7,2,FALSE())</f>
        <v>204</v>
      </c>
      <c r="I38" s="64"/>
      <c r="J38" s="44" t="n">
        <v>2992</v>
      </c>
      <c r="K38" s="45" t="n">
        <v>12</v>
      </c>
      <c r="L38" s="43" t="n">
        <f aca="false">K38*VLOOKUP(F38,$X$2:$Y$7,2,FALSE())</f>
        <v>204</v>
      </c>
      <c r="M38" s="32"/>
      <c r="N38" s="33"/>
      <c r="O38" s="32"/>
      <c r="P38" s="32"/>
      <c r="Q38" s="34" t="n">
        <f aca="false">Q32+G38-K38+M38-O38</f>
        <v>12</v>
      </c>
      <c r="R38" s="35" t="n">
        <f aca="false">R32+H38-L38+N38-O38*VLOOKUP(F38,$X$2:$Y$7,2,FALSE())</f>
        <v>204</v>
      </c>
      <c r="S38" s="36"/>
    </row>
    <row r="39" customFormat="false" ht="15" hidden="false" customHeight="true" outlineLevel="0" collapsed="false">
      <c r="A39" s="37"/>
      <c r="B39" s="23"/>
      <c r="C39" s="23"/>
      <c r="D39" s="23"/>
      <c r="E39" s="24"/>
      <c r="F39" s="25" t="s">
        <v>28</v>
      </c>
      <c r="G39" s="42" t="n">
        <v>116</v>
      </c>
      <c r="H39" s="27" t="n">
        <f aca="false">G39*VLOOKUP(F39,$X$2:$Y$7,2,FALSE())</f>
        <v>1972</v>
      </c>
      <c r="I39" s="64"/>
      <c r="J39" s="44" t="n">
        <v>2992</v>
      </c>
      <c r="K39" s="45" t="n">
        <v>115</v>
      </c>
      <c r="L39" s="43" t="n">
        <f aca="false">K39*VLOOKUP(F39,$X$2:$Y$7,2,FALSE())</f>
        <v>1955</v>
      </c>
      <c r="M39" s="32"/>
      <c r="N39" s="33"/>
      <c r="O39" s="32"/>
      <c r="P39" s="32"/>
      <c r="Q39" s="34" t="n">
        <f aca="false">Q33+G39-K39+M39-O39</f>
        <v>36</v>
      </c>
      <c r="R39" s="35" t="n">
        <f aca="false">R33+H39-L39+N39-O39*VLOOKUP(F39,$X$2:$Y$7,2,FALSE())</f>
        <v>612</v>
      </c>
      <c r="S39" s="36"/>
    </row>
    <row r="40" customFormat="false" ht="15.75" hidden="false" customHeight="true" outlineLevel="0" collapsed="false">
      <c r="A40" s="37"/>
      <c r="B40" s="23"/>
      <c r="C40" s="23"/>
      <c r="D40" s="23"/>
      <c r="E40" s="24"/>
      <c r="F40" s="25" t="s">
        <v>31</v>
      </c>
      <c r="G40" s="42" t="n">
        <v>4</v>
      </c>
      <c r="H40" s="27" t="n">
        <f aca="false">G40*VLOOKUP(F40,$X$2:$Y$7,2,FALSE())</f>
        <v>380</v>
      </c>
      <c r="I40" s="64"/>
      <c r="J40" s="67"/>
      <c r="K40" s="45" t="n">
        <v>0</v>
      </c>
      <c r="L40" s="43" t="n">
        <f aca="false">K40*VLOOKUP(F40,$X$2:$Y$7,2,FALSE())</f>
        <v>0</v>
      </c>
      <c r="M40" s="32"/>
      <c r="N40" s="33"/>
      <c r="O40" s="32"/>
      <c r="P40" s="32"/>
      <c r="Q40" s="34" t="n">
        <f aca="false">Q34+G40-K40+M40-O40</f>
        <v>9</v>
      </c>
      <c r="R40" s="35" t="n">
        <f aca="false">R34+H40-L40+N40-O40*VLOOKUP(F40,$X$2:$Y$7,2,FALSE())</f>
        <v>855</v>
      </c>
      <c r="S40" s="36"/>
    </row>
    <row r="41" customFormat="false" ht="15" hidden="false" customHeight="true" outlineLevel="0" collapsed="false">
      <c r="A41" s="68"/>
      <c r="B41" s="69"/>
      <c r="C41" s="69"/>
      <c r="D41" s="70"/>
      <c r="E41" s="71"/>
      <c r="F41" s="72" t="s">
        <v>32</v>
      </c>
      <c r="G41" s="73"/>
      <c r="H41" s="74"/>
      <c r="I41" s="75"/>
      <c r="J41" s="76"/>
      <c r="K41" s="77"/>
      <c r="L41" s="78"/>
      <c r="M41" s="79"/>
      <c r="N41" s="80"/>
      <c r="O41" s="79"/>
      <c r="P41" s="79"/>
      <c r="Q41" s="81"/>
      <c r="R41" s="82"/>
      <c r="S41" s="83"/>
    </row>
    <row r="42" customFormat="false" ht="15" hidden="false" customHeight="true" outlineLevel="0" collapsed="false">
      <c r="A42" s="22" t="s">
        <v>39</v>
      </c>
      <c r="B42" s="39" t="n">
        <v>60</v>
      </c>
      <c r="C42" s="39" t="n">
        <v>95</v>
      </c>
      <c r="D42" s="40" t="n">
        <f aca="false">B42*C42</f>
        <v>5700</v>
      </c>
      <c r="E42" s="24"/>
      <c r="F42" s="25" t="s">
        <v>3</v>
      </c>
      <c r="G42" s="42" t="n">
        <v>99</v>
      </c>
      <c r="H42" s="27" t="n">
        <f aca="false">G42*VLOOKUP(F42,$X$2:$Y$7,2,FALSE())</f>
        <v>1485</v>
      </c>
      <c r="I42" s="84" t="s">
        <v>39</v>
      </c>
      <c r="J42" s="44" t="n">
        <v>2994</v>
      </c>
      <c r="K42" s="45" t="n">
        <v>67</v>
      </c>
      <c r="L42" s="43" t="n">
        <f aca="false">K42*VLOOKUP(F42,$X$2:$Y$7,2,FALSE())</f>
        <v>1005</v>
      </c>
      <c r="M42" s="32"/>
      <c r="N42" s="33"/>
      <c r="O42" s="32"/>
      <c r="P42" s="32"/>
      <c r="Q42" s="34" t="n">
        <f aca="false">Q36+G42-K42+M42-O42</f>
        <v>67</v>
      </c>
      <c r="R42" s="35" t="n">
        <f aca="false">R36+H42-L42+N42-O42*VLOOKUP(F42,$X$2:$Y$7,2,FALSE())</f>
        <v>1005</v>
      </c>
      <c r="S42" s="36"/>
    </row>
    <row r="43" customFormat="false" ht="15" hidden="false" customHeight="true" outlineLevel="0" collapsed="false">
      <c r="A43" s="37"/>
      <c r="B43" s="23"/>
      <c r="C43" s="23"/>
      <c r="D43" s="23"/>
      <c r="E43" s="24"/>
      <c r="F43" s="25" t="s">
        <v>4</v>
      </c>
      <c r="G43" s="42" t="n">
        <v>4</v>
      </c>
      <c r="H43" s="27" t="n">
        <f aca="false">G43*VLOOKUP(F43,$X$2:$Y$7,2,FALSE())</f>
        <v>72</v>
      </c>
      <c r="I43" s="64"/>
      <c r="J43" s="44" t="n">
        <v>2994</v>
      </c>
      <c r="K43" s="45" t="n">
        <v>11</v>
      </c>
      <c r="L43" s="43" t="n">
        <f aca="false">K43*VLOOKUP(F43,$X$2:$Y$7,2,FALSE())</f>
        <v>198</v>
      </c>
      <c r="M43" s="32"/>
      <c r="N43" s="33"/>
      <c r="O43" s="32"/>
      <c r="P43" s="32"/>
      <c r="Q43" s="34" t="n">
        <f aca="false">Q37+G43-K43+M43-O43</f>
        <v>4</v>
      </c>
      <c r="R43" s="35" t="n">
        <f aca="false">R37+H43-L43+N43-O43*VLOOKUP(F43,$X$2:$Y$7,2,FALSE())</f>
        <v>72</v>
      </c>
      <c r="S43" s="36"/>
    </row>
    <row r="44" customFormat="false" ht="15" hidden="false" customHeight="true" outlineLevel="0" collapsed="false">
      <c r="A44" s="37"/>
      <c r="B44" s="23"/>
      <c r="C44" s="23"/>
      <c r="D44" s="23"/>
      <c r="E44" s="24"/>
      <c r="F44" s="25" t="s">
        <v>8</v>
      </c>
      <c r="G44" s="42" t="n">
        <v>9</v>
      </c>
      <c r="H44" s="27" t="n">
        <f aca="false">G44*VLOOKUP(F44,$X$2:$Y$7,2,FALSE())</f>
        <v>153</v>
      </c>
      <c r="I44" s="64"/>
      <c r="J44" s="44" t="n">
        <v>2994</v>
      </c>
      <c r="K44" s="45" t="n">
        <v>12</v>
      </c>
      <c r="L44" s="43" t="n">
        <f aca="false">K44*VLOOKUP(F44,$X$2:$Y$7,2,FALSE())</f>
        <v>204</v>
      </c>
      <c r="M44" s="32"/>
      <c r="N44" s="33"/>
      <c r="O44" s="32"/>
      <c r="P44" s="32"/>
      <c r="Q44" s="34" t="n">
        <f aca="false">Q38+G44-K44+M44-O44</f>
        <v>9</v>
      </c>
      <c r="R44" s="35" t="n">
        <f aca="false">R38+H44-L44+N44-O44*VLOOKUP(F44,$X$2:$Y$7,2,FALSE())</f>
        <v>153</v>
      </c>
      <c r="S44" s="36"/>
    </row>
    <row r="45" customFormat="false" ht="15.75" hidden="false" customHeight="true" outlineLevel="0" collapsed="false">
      <c r="A45" s="37"/>
      <c r="B45" s="23"/>
      <c r="C45" s="23"/>
      <c r="D45" s="23"/>
      <c r="E45" s="24"/>
      <c r="F45" s="25" t="s">
        <v>28</v>
      </c>
      <c r="G45" s="42" t="n">
        <v>178</v>
      </c>
      <c r="H45" s="27" t="n">
        <f aca="false">G45*VLOOKUP(F45,$X$2:$Y$7,2,FALSE())</f>
        <v>3026</v>
      </c>
      <c r="I45" s="64"/>
      <c r="J45" s="44" t="n">
        <v>2994</v>
      </c>
      <c r="K45" s="45" t="n">
        <v>118</v>
      </c>
      <c r="L45" s="43" t="n">
        <f aca="false">K45*VLOOKUP(F45,$X$2:$Y$7,2,FALSE())</f>
        <v>2006</v>
      </c>
      <c r="M45" s="32"/>
      <c r="N45" s="33"/>
      <c r="O45" s="32"/>
      <c r="P45" s="32"/>
      <c r="Q45" s="34" t="n">
        <f aca="false">Q39+G45-K45+M45-O45</f>
        <v>96</v>
      </c>
      <c r="R45" s="35" t="n">
        <f aca="false">R39+H45-L45+N45-O45*VLOOKUP(F45,$X$2:$Y$7,2,FALSE())</f>
        <v>1632</v>
      </c>
      <c r="S45" s="36"/>
    </row>
    <row r="46" customFormat="false" ht="15" hidden="false" customHeight="true" outlineLevel="0" collapsed="false">
      <c r="A46" s="65"/>
      <c r="B46" s="23"/>
      <c r="C46" s="23"/>
      <c r="D46" s="23"/>
      <c r="E46" s="24"/>
      <c r="F46" s="25" t="s">
        <v>31</v>
      </c>
      <c r="G46" s="42" t="n">
        <v>10</v>
      </c>
      <c r="H46" s="27" t="n">
        <f aca="false">G46*VLOOKUP(F46,$X$2:$Y$7,2,FALSE())</f>
        <v>950</v>
      </c>
      <c r="I46" s="66"/>
      <c r="J46" s="44" t="s">
        <v>40</v>
      </c>
      <c r="K46" s="45" t="n">
        <v>15</v>
      </c>
      <c r="L46" s="43" t="n">
        <f aca="false">K46*VLOOKUP(F46,$X$2:$Y$7,2,FALSE())</f>
        <v>1425</v>
      </c>
      <c r="M46" s="32"/>
      <c r="N46" s="33"/>
      <c r="O46" s="32"/>
      <c r="P46" s="32"/>
      <c r="Q46" s="34" t="n">
        <f aca="false">Q40+G46-K46+M46-O46</f>
        <v>4</v>
      </c>
      <c r="R46" s="35" t="n">
        <f aca="false">R40+H46-L46+N46-O46*VLOOKUP(F46,$X$2:$Y$7,2,FALSE())</f>
        <v>380</v>
      </c>
      <c r="S46" s="36"/>
    </row>
    <row r="47" customFormat="false" ht="15" hidden="false" customHeight="true" outlineLevel="0" collapsed="false">
      <c r="A47" s="22"/>
      <c r="B47" s="39"/>
      <c r="C47" s="39"/>
      <c r="D47" s="40"/>
      <c r="E47" s="41"/>
      <c r="F47" s="25" t="s">
        <v>32</v>
      </c>
      <c r="G47" s="42"/>
      <c r="H47" s="27"/>
      <c r="I47" s="84"/>
      <c r="J47" s="44"/>
      <c r="K47" s="45"/>
      <c r="L47" s="43"/>
      <c r="M47" s="46"/>
      <c r="N47" s="47"/>
      <c r="O47" s="46"/>
      <c r="P47" s="46"/>
      <c r="Q47" s="34"/>
      <c r="R47" s="35"/>
      <c r="S47" s="36"/>
    </row>
    <row r="48" customFormat="false" ht="15" hidden="false" customHeight="true" outlineLevel="0" collapsed="false">
      <c r="A48" s="48" t="s">
        <v>39</v>
      </c>
      <c r="B48" s="49" t="n">
        <v>5</v>
      </c>
      <c r="C48" s="49" t="n">
        <v>95</v>
      </c>
      <c r="D48" s="50" t="n">
        <f aca="false">B48*C48</f>
        <v>475</v>
      </c>
      <c r="E48" s="51"/>
      <c r="F48" s="52" t="s">
        <v>3</v>
      </c>
      <c r="G48" s="53" t="n">
        <v>4</v>
      </c>
      <c r="H48" s="54" t="n">
        <f aca="false">G48*VLOOKUP(F48,$X$2:$Y$7,2,FALSE())</f>
        <v>60</v>
      </c>
      <c r="I48" s="85"/>
      <c r="J48" s="86"/>
      <c r="K48" s="57" t="n">
        <v>0</v>
      </c>
      <c r="L48" s="58" t="n">
        <f aca="false">K48*VLOOKUP(F48,$X$2:$Y$7,2,FALSE())</f>
        <v>0</v>
      </c>
      <c r="M48" s="59"/>
      <c r="N48" s="60"/>
      <c r="O48" s="59"/>
      <c r="P48" s="59"/>
      <c r="Q48" s="61" t="n">
        <f aca="false">Q42+G48-K48+M48-O48</f>
        <v>71</v>
      </c>
      <c r="R48" s="62" t="n">
        <f aca="false">R42+H48-L48+N48-O48*VLOOKUP(F48,$X$2:$Y$7,2,FALSE())</f>
        <v>1065</v>
      </c>
      <c r="S48" s="63"/>
    </row>
    <row r="49" customFormat="false" ht="15" hidden="false" customHeight="true" outlineLevel="0" collapsed="false">
      <c r="A49" s="37"/>
      <c r="B49" s="23"/>
      <c r="C49" s="23"/>
      <c r="D49" s="23"/>
      <c r="E49" s="24"/>
      <c r="F49" s="25" t="s">
        <v>4</v>
      </c>
      <c r="G49" s="42" t="n">
        <v>0</v>
      </c>
      <c r="H49" s="27" t="n">
        <f aca="false">G49*VLOOKUP(F49,$X$2:$Y$7,2,FALSE())</f>
        <v>0</v>
      </c>
      <c r="I49" s="64"/>
      <c r="J49" s="87"/>
      <c r="K49" s="45" t="n">
        <v>0</v>
      </c>
      <c r="L49" s="43" t="n">
        <f aca="false">K49*VLOOKUP(F49,$X$2:$Y$7,2,FALSE())</f>
        <v>0</v>
      </c>
      <c r="M49" s="32"/>
      <c r="N49" s="33"/>
      <c r="O49" s="32"/>
      <c r="P49" s="32"/>
      <c r="Q49" s="34" t="n">
        <f aca="false">Q43+G49-K49+M49-O49</f>
        <v>4</v>
      </c>
      <c r="R49" s="35" t="n">
        <f aca="false">R43+H49-L49+N49-O49*VLOOKUP(F49,$X$2:$Y$7,2,FALSE())</f>
        <v>72</v>
      </c>
      <c r="S49" s="36"/>
    </row>
    <row r="50" customFormat="false" ht="15.75" hidden="false" customHeight="true" outlineLevel="0" collapsed="false">
      <c r="A50" s="37"/>
      <c r="B50" s="23"/>
      <c r="C50" s="23"/>
      <c r="D50" s="23"/>
      <c r="E50" s="24"/>
      <c r="F50" s="25" t="s">
        <v>8</v>
      </c>
      <c r="G50" s="42" t="n">
        <v>0</v>
      </c>
      <c r="H50" s="27" t="n">
        <f aca="false">G50*VLOOKUP(F50,$X$2:$Y$7,2,FALSE())</f>
        <v>0</v>
      </c>
      <c r="I50" s="64"/>
      <c r="J50" s="87"/>
      <c r="K50" s="45" t="n">
        <v>0</v>
      </c>
      <c r="L50" s="43" t="n">
        <f aca="false">K50*VLOOKUP(F50,$X$2:$Y$7,2,FALSE())</f>
        <v>0</v>
      </c>
      <c r="M50" s="32"/>
      <c r="N50" s="33"/>
      <c r="O50" s="32"/>
      <c r="P50" s="32"/>
      <c r="Q50" s="34" t="n">
        <f aca="false">Q44+G50-K50+M50-O50</f>
        <v>9</v>
      </c>
      <c r="R50" s="35" t="n">
        <f aca="false">R44+H50-L50+N50-O50*VLOOKUP(F50,$X$2:$Y$7,2,FALSE())</f>
        <v>153</v>
      </c>
      <c r="S50" s="36"/>
    </row>
    <row r="51" customFormat="false" ht="15" hidden="false" customHeight="true" outlineLevel="0" collapsed="false">
      <c r="A51" s="65"/>
      <c r="B51" s="23"/>
      <c r="C51" s="23"/>
      <c r="D51" s="23"/>
      <c r="E51" s="24"/>
      <c r="F51" s="25" t="s">
        <v>28</v>
      </c>
      <c r="G51" s="42" t="n">
        <v>18</v>
      </c>
      <c r="H51" s="27" t="n">
        <f aca="false">G51*VLOOKUP(F51,$X$2:$Y$7,2,FALSE())</f>
        <v>306</v>
      </c>
      <c r="I51" s="66"/>
      <c r="J51" s="67"/>
      <c r="K51" s="45" t="n">
        <v>0</v>
      </c>
      <c r="L51" s="43" t="n">
        <f aca="false">K51*VLOOKUP(F51,$X$2:$Y$7,2,FALSE())</f>
        <v>0</v>
      </c>
      <c r="M51" s="32"/>
      <c r="N51" s="33"/>
      <c r="O51" s="32"/>
      <c r="P51" s="32"/>
      <c r="Q51" s="34" t="n">
        <f aca="false">Q45+G51-K51+M51-O51</f>
        <v>114</v>
      </c>
      <c r="R51" s="35" t="n">
        <f aca="false">R45+H51-L51+N51-O51*VLOOKUP(F51,$X$2:$Y$7,2,FALSE())</f>
        <v>1938</v>
      </c>
      <c r="S51" s="36"/>
    </row>
    <row r="52" customFormat="false" ht="15" hidden="false" customHeight="true" outlineLevel="0" collapsed="false">
      <c r="A52" s="37"/>
      <c r="B52" s="23"/>
      <c r="C52" s="23"/>
      <c r="D52" s="23"/>
      <c r="E52" s="24"/>
      <c r="F52" s="25" t="s">
        <v>31</v>
      </c>
      <c r="G52" s="42" t="n">
        <v>1</v>
      </c>
      <c r="H52" s="27" t="n">
        <f aca="false">G52*VLOOKUP(F52,$X$2:$Y$7,2,FALSE())</f>
        <v>95</v>
      </c>
      <c r="I52" s="64"/>
      <c r="J52" s="67"/>
      <c r="K52" s="45" t="n">
        <v>0</v>
      </c>
      <c r="L52" s="43" t="n">
        <f aca="false">K52*VLOOKUP(F52,$X$2:$Y$7,2,FALSE())</f>
        <v>0</v>
      </c>
      <c r="M52" s="32"/>
      <c r="N52" s="33"/>
      <c r="O52" s="32"/>
      <c r="P52" s="32"/>
      <c r="Q52" s="34" t="n">
        <f aca="false">Q46+G52-K52+M52-O52</f>
        <v>5</v>
      </c>
      <c r="R52" s="35" t="n">
        <f aca="false">R46+H52-L52+N52-O52*VLOOKUP(F52,$X$2:$Y$7,2,FALSE())</f>
        <v>475</v>
      </c>
      <c r="S52" s="36"/>
    </row>
    <row r="53" customFormat="false" ht="15" hidden="false" customHeight="true" outlineLevel="0" collapsed="false">
      <c r="A53" s="68"/>
      <c r="B53" s="69"/>
      <c r="C53" s="69"/>
      <c r="D53" s="70"/>
      <c r="E53" s="71"/>
      <c r="F53" s="72" t="s">
        <v>32</v>
      </c>
      <c r="G53" s="73"/>
      <c r="H53" s="74"/>
      <c r="I53" s="75"/>
      <c r="J53" s="76"/>
      <c r="K53" s="77"/>
      <c r="L53" s="78"/>
      <c r="M53" s="79"/>
      <c r="N53" s="80"/>
      <c r="O53" s="79"/>
      <c r="P53" s="79"/>
      <c r="Q53" s="81"/>
      <c r="R53" s="82"/>
      <c r="S53" s="83"/>
    </row>
    <row r="54" customFormat="false" ht="15" hidden="false" customHeight="true" outlineLevel="0" collapsed="false">
      <c r="A54" s="22" t="s">
        <v>41</v>
      </c>
      <c r="B54" s="39" t="n">
        <v>0</v>
      </c>
      <c r="C54" s="23"/>
      <c r="D54" s="40" t="n">
        <f aca="false">B54*C54</f>
        <v>0</v>
      </c>
      <c r="E54" s="24"/>
      <c r="F54" s="25" t="s">
        <v>3</v>
      </c>
      <c r="G54" s="42" t="n">
        <v>0</v>
      </c>
      <c r="H54" s="27" t="n">
        <f aca="false">G54*VLOOKUP(F54,$X$2:$Y$7,2,FALSE())</f>
        <v>0</v>
      </c>
      <c r="I54" s="84" t="s">
        <v>41</v>
      </c>
      <c r="J54" s="44" t="n">
        <v>2996</v>
      </c>
      <c r="K54" s="45" t="n">
        <v>67</v>
      </c>
      <c r="L54" s="43" t="n">
        <f aca="false">K54*VLOOKUP(F54,$X$2:$Y$7,2,FALSE())</f>
        <v>1005</v>
      </c>
      <c r="M54" s="32"/>
      <c r="N54" s="33"/>
      <c r="O54" s="46" t="n">
        <v>1</v>
      </c>
      <c r="P54" s="32"/>
      <c r="Q54" s="34" t="n">
        <f aca="false">Q48+G54-K54+M54-O54</f>
        <v>3</v>
      </c>
      <c r="R54" s="35" t="n">
        <f aca="false">R48+H54-L54+N54-O54*VLOOKUP(F54,$X$2:$Y$7,2,FALSE())</f>
        <v>45</v>
      </c>
      <c r="S54" s="36"/>
    </row>
    <row r="55" customFormat="false" ht="15.75" hidden="false" customHeight="true" outlineLevel="0" collapsed="false">
      <c r="A55" s="37"/>
      <c r="B55" s="23"/>
      <c r="C55" s="23"/>
      <c r="D55" s="23"/>
      <c r="E55" s="24"/>
      <c r="F55" s="25" t="s">
        <v>4</v>
      </c>
      <c r="G55" s="42" t="n">
        <v>0</v>
      </c>
      <c r="H55" s="27" t="n">
        <f aca="false">G55*VLOOKUP(F55,$X$2:$Y$7,2,FALSE())</f>
        <v>0</v>
      </c>
      <c r="I55" s="64"/>
      <c r="J55" s="44" t="n">
        <v>2996</v>
      </c>
      <c r="K55" s="45" t="n">
        <v>4</v>
      </c>
      <c r="L55" s="43" t="n">
        <f aca="false">K55*VLOOKUP(F55,$X$2:$Y$7,2,FALSE())</f>
        <v>72</v>
      </c>
      <c r="M55" s="32"/>
      <c r="N55" s="33"/>
      <c r="O55" s="32"/>
      <c r="P55" s="32"/>
      <c r="Q55" s="34" t="n">
        <f aca="false">Q49+G55-K55+M55-O55</f>
        <v>0</v>
      </c>
      <c r="R55" s="35" t="n">
        <f aca="false">R49+H55-L55+N55-O55*VLOOKUP(F55,$X$2:$Y$7,2,FALSE())</f>
        <v>0</v>
      </c>
      <c r="S55" s="36"/>
    </row>
    <row r="56" customFormat="false" ht="15" hidden="false" customHeight="true" outlineLevel="0" collapsed="false">
      <c r="A56" s="65"/>
      <c r="B56" s="23"/>
      <c r="C56" s="23"/>
      <c r="D56" s="23"/>
      <c r="E56" s="24"/>
      <c r="F56" s="25" t="s">
        <v>8</v>
      </c>
      <c r="G56" s="42" t="n">
        <v>0</v>
      </c>
      <c r="H56" s="27" t="n">
        <f aca="false">G56*VLOOKUP(F56,$X$2:$Y$7,2,FALSE())</f>
        <v>0</v>
      </c>
      <c r="I56" s="66"/>
      <c r="J56" s="44" t="n">
        <v>2996</v>
      </c>
      <c r="K56" s="45" t="n">
        <v>9</v>
      </c>
      <c r="L56" s="43" t="n">
        <f aca="false">K56*VLOOKUP(F56,$X$2:$Y$7,2,FALSE())</f>
        <v>153</v>
      </c>
      <c r="M56" s="32"/>
      <c r="N56" s="33"/>
      <c r="O56" s="32"/>
      <c r="P56" s="32"/>
      <c r="Q56" s="34" t="n">
        <f aca="false">Q50+G56-K56+M56-O56</f>
        <v>0</v>
      </c>
      <c r="R56" s="35" t="n">
        <f aca="false">R50+H56-L56+N56-O56*VLOOKUP(F56,$X$2:$Y$7,2,FALSE())</f>
        <v>0</v>
      </c>
      <c r="S56" s="36"/>
    </row>
    <row r="57" customFormat="false" ht="15" hidden="false" customHeight="true" outlineLevel="0" collapsed="false">
      <c r="A57" s="37"/>
      <c r="B57" s="23"/>
      <c r="C57" s="23"/>
      <c r="D57" s="23"/>
      <c r="E57" s="24"/>
      <c r="F57" s="25" t="s">
        <v>28</v>
      </c>
      <c r="G57" s="42" t="n">
        <v>0</v>
      </c>
      <c r="H57" s="27" t="n">
        <f aca="false">G57*VLOOKUP(F57,$X$2:$Y$7,2,FALSE())</f>
        <v>0</v>
      </c>
      <c r="I57" s="88"/>
      <c r="J57" s="44" t="n">
        <v>2996</v>
      </c>
      <c r="K57" s="45" t="n">
        <v>114</v>
      </c>
      <c r="L57" s="43" t="n">
        <f aca="false">K57*VLOOKUP(F57,$X$2:$Y$7,2,FALSE())</f>
        <v>1938</v>
      </c>
      <c r="M57" s="32"/>
      <c r="N57" s="33"/>
      <c r="O57" s="32"/>
      <c r="P57" s="32"/>
      <c r="Q57" s="34" t="n">
        <f aca="false">Q51+G57-K57+M57-O57</f>
        <v>0</v>
      </c>
      <c r="R57" s="35" t="n">
        <f aca="false">R51+H57-L57+N57-O57*VLOOKUP(F57,$X$2:$Y$7,2,FALSE())</f>
        <v>0</v>
      </c>
      <c r="S57" s="36"/>
    </row>
    <row r="58" customFormat="false" ht="15" hidden="false" customHeight="true" outlineLevel="0" collapsed="false">
      <c r="A58" s="37"/>
      <c r="B58" s="23"/>
      <c r="C58" s="23"/>
      <c r="D58" s="23"/>
      <c r="E58" s="24"/>
      <c r="F58" s="25" t="s">
        <v>31</v>
      </c>
      <c r="G58" s="42" t="n">
        <v>0</v>
      </c>
      <c r="H58" s="27" t="n">
        <f aca="false">G58*VLOOKUP(F58,$X$2:$Y$7,2,FALSE())</f>
        <v>0</v>
      </c>
      <c r="I58" s="64"/>
      <c r="J58" s="67"/>
      <c r="K58" s="45" t="n">
        <v>0</v>
      </c>
      <c r="L58" s="43" t="n">
        <f aca="false">K58*VLOOKUP(F58,$X$2:$Y$7,2,FALSE())</f>
        <v>0</v>
      </c>
      <c r="M58" s="32"/>
      <c r="N58" s="33"/>
      <c r="O58" s="32"/>
      <c r="P58" s="32"/>
      <c r="Q58" s="34" t="n">
        <f aca="false">Q52+G58-K58+M58-O58</f>
        <v>5</v>
      </c>
      <c r="R58" s="35" t="n">
        <f aca="false">R52+H58-L58+N58-O58*VLOOKUP(F58,$X$2:$Y$7,2,FALSE())</f>
        <v>475</v>
      </c>
      <c r="S58" s="36"/>
    </row>
    <row r="59" customFormat="false" ht="15" hidden="false" customHeight="true" outlineLevel="0" collapsed="false">
      <c r="A59" s="22"/>
      <c r="B59" s="39"/>
      <c r="C59" s="39"/>
      <c r="D59" s="40"/>
      <c r="E59" s="41"/>
      <c r="F59" s="25" t="s">
        <v>32</v>
      </c>
      <c r="G59" s="42"/>
      <c r="H59" s="27"/>
      <c r="I59" s="84"/>
      <c r="J59" s="44"/>
      <c r="K59" s="45"/>
      <c r="L59" s="43"/>
      <c r="M59" s="46"/>
      <c r="N59" s="47"/>
      <c r="O59" s="46"/>
      <c r="P59" s="46"/>
      <c r="Q59" s="34"/>
      <c r="R59" s="35"/>
      <c r="S59" s="36"/>
    </row>
    <row r="60" customFormat="false" ht="15.75" hidden="false" customHeight="true" outlineLevel="0" collapsed="false">
      <c r="A60" s="48" t="s">
        <v>42</v>
      </c>
      <c r="B60" s="49" t="n">
        <v>50</v>
      </c>
      <c r="C60" s="49" t="n">
        <v>95</v>
      </c>
      <c r="D60" s="50" t="n">
        <f aca="false">B60*C60</f>
        <v>4750</v>
      </c>
      <c r="E60" s="51"/>
      <c r="F60" s="52" t="s">
        <v>3</v>
      </c>
      <c r="G60" s="53" t="n">
        <v>107</v>
      </c>
      <c r="H60" s="54" t="n">
        <f aca="false">G60*VLOOKUP(F60,$X$2:$Y$7,2,FALSE())</f>
        <v>1605</v>
      </c>
      <c r="I60" s="55" t="s">
        <v>42</v>
      </c>
      <c r="J60" s="56" t="n">
        <v>2998</v>
      </c>
      <c r="K60" s="57" t="n">
        <v>67</v>
      </c>
      <c r="L60" s="58" t="n">
        <f aca="false">K60*VLOOKUP(F60,$X$2:$Y$7,2,FALSE())</f>
        <v>1005</v>
      </c>
      <c r="M60" s="59"/>
      <c r="N60" s="60"/>
      <c r="O60" s="59"/>
      <c r="P60" s="59"/>
      <c r="Q60" s="61" t="n">
        <f aca="false">Q54+G60-K60+M60-O60</f>
        <v>43</v>
      </c>
      <c r="R60" s="62" t="n">
        <f aca="false">R54+H60-L60+N60-O60*VLOOKUP(F60,$X$2:$Y$7,2,FALSE())</f>
        <v>645</v>
      </c>
      <c r="S60" s="63"/>
    </row>
    <row r="61" customFormat="false" ht="15" hidden="false" customHeight="true" outlineLevel="0" collapsed="false">
      <c r="A61" s="65"/>
      <c r="B61" s="23"/>
      <c r="C61" s="23"/>
      <c r="D61" s="23"/>
      <c r="E61" s="89"/>
      <c r="F61" s="25" t="s">
        <v>4</v>
      </c>
      <c r="G61" s="42" t="n">
        <v>11</v>
      </c>
      <c r="H61" s="27" t="n">
        <f aca="false">G61*VLOOKUP(F61,$X$2:$Y$7,2,FALSE())</f>
        <v>198</v>
      </c>
      <c r="I61" s="64"/>
      <c r="J61" s="56" t="n">
        <v>2998</v>
      </c>
      <c r="K61" s="45" t="n">
        <v>11</v>
      </c>
      <c r="L61" s="43" t="n">
        <f aca="false">K61*VLOOKUP(F61,$X$2:$Y$7,2,FALSE())</f>
        <v>198</v>
      </c>
      <c r="M61" s="32"/>
      <c r="N61" s="33"/>
      <c r="O61" s="32"/>
      <c r="P61" s="32"/>
      <c r="Q61" s="34" t="n">
        <f aca="false">Q55+G61-K61+M61-O61</f>
        <v>0</v>
      </c>
      <c r="R61" s="35" t="n">
        <f aca="false">R55+H61-L61+N61-O61*VLOOKUP(F61,$X$2:$Y$7,2,FALSE())</f>
        <v>0</v>
      </c>
      <c r="S61" s="36"/>
    </row>
    <row r="62" customFormat="false" ht="15" hidden="false" customHeight="true" outlineLevel="0" collapsed="false">
      <c r="A62" s="37"/>
      <c r="B62" s="23"/>
      <c r="C62" s="23"/>
      <c r="D62" s="23"/>
      <c r="E62" s="24"/>
      <c r="F62" s="25" t="s">
        <v>8</v>
      </c>
      <c r="G62" s="42" t="n">
        <v>12</v>
      </c>
      <c r="H62" s="27" t="n">
        <f aca="false">G62*VLOOKUP(F62,$X$2:$Y$7,2,FALSE())</f>
        <v>204</v>
      </c>
      <c r="I62" s="64"/>
      <c r="J62" s="56" t="n">
        <v>2998</v>
      </c>
      <c r="K62" s="45" t="n">
        <v>12</v>
      </c>
      <c r="L62" s="43" t="n">
        <f aca="false">K62*VLOOKUP(F62,$X$2:$Y$7,2,FALSE())</f>
        <v>204</v>
      </c>
      <c r="M62" s="32"/>
      <c r="N62" s="33"/>
      <c r="O62" s="32"/>
      <c r="P62" s="32"/>
      <c r="Q62" s="34" t="n">
        <f aca="false">Q56+G62-K62+M62-O62</f>
        <v>0</v>
      </c>
      <c r="R62" s="35" t="n">
        <f aca="false">R56+H62-L62+N62-O62*VLOOKUP(F62,$X$2:$Y$7,2,FALSE())</f>
        <v>0</v>
      </c>
      <c r="S62" s="36"/>
    </row>
    <row r="63" customFormat="false" ht="15" hidden="false" customHeight="true" outlineLevel="0" collapsed="false">
      <c r="A63" s="37"/>
      <c r="B63" s="23"/>
      <c r="C63" s="23"/>
      <c r="D63" s="23"/>
      <c r="E63" s="24"/>
      <c r="F63" s="25" t="s">
        <v>28</v>
      </c>
      <c r="G63" s="42" t="n">
        <v>88</v>
      </c>
      <c r="H63" s="27" t="n">
        <f aca="false">G63*VLOOKUP(F63,$X$2:$Y$7,2,FALSE())</f>
        <v>1496</v>
      </c>
      <c r="I63" s="64"/>
      <c r="J63" s="56" t="n">
        <v>2998</v>
      </c>
      <c r="K63" s="45" t="n">
        <v>28</v>
      </c>
      <c r="L63" s="43" t="n">
        <f aca="false">K63*VLOOKUP(F63,$X$2:$Y$7,2,FALSE())</f>
        <v>476</v>
      </c>
      <c r="M63" s="32"/>
      <c r="N63" s="33"/>
      <c r="O63" s="32"/>
      <c r="P63" s="32"/>
      <c r="Q63" s="34" t="n">
        <f aca="false">Q57+G63-K63+M63-O63</f>
        <v>60</v>
      </c>
      <c r="R63" s="35" t="n">
        <f aca="false">R57+H63-L63+N63-O63*VLOOKUP(F63,$X$2:$Y$7,2,FALSE())</f>
        <v>1020</v>
      </c>
      <c r="S63" s="36"/>
    </row>
    <row r="64" customFormat="false" ht="15" hidden="false" customHeight="true" outlineLevel="0" collapsed="false">
      <c r="A64" s="37"/>
      <c r="B64" s="23"/>
      <c r="C64" s="23"/>
      <c r="D64" s="23"/>
      <c r="E64" s="24"/>
      <c r="F64" s="25" t="s">
        <v>31</v>
      </c>
      <c r="G64" s="42" t="n">
        <v>13.5</v>
      </c>
      <c r="H64" s="27" t="n">
        <f aca="false">G64*VLOOKUP(F64,$X$2:$Y$7,2,FALSE())</f>
        <v>1282.5</v>
      </c>
      <c r="I64" s="64"/>
      <c r="J64" s="87"/>
      <c r="K64" s="45" t="n">
        <v>0</v>
      </c>
      <c r="L64" s="43" t="n">
        <f aca="false">K64*VLOOKUP(F64,$X$2:$Y$7,2,FALSE())</f>
        <v>0</v>
      </c>
      <c r="M64" s="32"/>
      <c r="N64" s="33"/>
      <c r="O64" s="32"/>
      <c r="P64" s="32"/>
      <c r="Q64" s="34" t="n">
        <f aca="false">Q58+G64-K64+M64-O64</f>
        <v>18.5</v>
      </c>
      <c r="R64" s="35" t="n">
        <f aca="false">R58+H64-L64+N64-O64*VLOOKUP(F64,$X$2:$Y$7,2,FALSE())</f>
        <v>1757.5</v>
      </c>
      <c r="S64" s="36"/>
    </row>
    <row r="65" customFormat="false" ht="15.75" hidden="false" customHeight="true" outlineLevel="0" collapsed="false">
      <c r="A65" s="68"/>
      <c r="B65" s="69"/>
      <c r="C65" s="69"/>
      <c r="D65" s="70"/>
      <c r="E65" s="71"/>
      <c r="F65" s="72" t="s">
        <v>32</v>
      </c>
      <c r="G65" s="73"/>
      <c r="H65" s="74"/>
      <c r="I65" s="75"/>
      <c r="J65" s="76"/>
      <c r="K65" s="77"/>
      <c r="L65" s="78"/>
      <c r="M65" s="79"/>
      <c r="N65" s="80"/>
      <c r="O65" s="79"/>
      <c r="P65" s="79"/>
      <c r="Q65" s="81"/>
      <c r="R65" s="82"/>
      <c r="S65" s="83"/>
    </row>
    <row r="66" customFormat="false" ht="15" hidden="false" customHeight="true" outlineLevel="0" collapsed="false">
      <c r="A66" s="22" t="s">
        <v>43</v>
      </c>
      <c r="B66" s="39" t="n">
        <v>48</v>
      </c>
      <c r="C66" s="39" t="n">
        <v>95</v>
      </c>
      <c r="D66" s="40" t="n">
        <f aca="false">B66*C66</f>
        <v>4560</v>
      </c>
      <c r="E66" s="24"/>
      <c r="F66" s="25" t="s">
        <v>3</v>
      </c>
      <c r="G66" s="42" t="n">
        <v>68</v>
      </c>
      <c r="H66" s="27" t="n">
        <f aca="false">G66*VLOOKUP(F66,$X$2:$Y$7,2,FALSE())</f>
        <v>1020</v>
      </c>
      <c r="I66" s="84" t="s">
        <v>43</v>
      </c>
      <c r="J66" s="44" t="n">
        <v>3001</v>
      </c>
      <c r="K66" s="45" t="n">
        <v>67</v>
      </c>
      <c r="L66" s="43" t="n">
        <f aca="false">K66*VLOOKUP(F66,$X$2:$Y$7,2,FALSE())</f>
        <v>1005</v>
      </c>
      <c r="M66" s="32"/>
      <c r="N66" s="33"/>
      <c r="O66" s="32"/>
      <c r="P66" s="32"/>
      <c r="Q66" s="34" t="n">
        <f aca="false">Q60+G66-K66+M66-O66</f>
        <v>44</v>
      </c>
      <c r="R66" s="35" t="n">
        <f aca="false">R60+H66-L66+N66-O66*VLOOKUP(F66,$X$2:$Y$7,2,FALSE())</f>
        <v>660</v>
      </c>
      <c r="S66" s="36"/>
    </row>
    <row r="67" customFormat="false" ht="15" hidden="false" customHeight="true" outlineLevel="0" collapsed="false">
      <c r="A67" s="37"/>
      <c r="B67" s="23"/>
      <c r="C67" s="23"/>
      <c r="D67" s="23"/>
      <c r="E67" s="24"/>
      <c r="F67" s="25" t="s">
        <v>4</v>
      </c>
      <c r="G67" s="42" t="n">
        <v>23</v>
      </c>
      <c r="H67" s="27" t="n">
        <f aca="false">G67*VLOOKUP(F67,$X$2:$Y$7,2,FALSE())</f>
        <v>414</v>
      </c>
      <c r="I67" s="64"/>
      <c r="J67" s="44" t="n">
        <v>3001</v>
      </c>
      <c r="K67" s="45" t="n">
        <v>11</v>
      </c>
      <c r="L67" s="43" t="n">
        <f aca="false">K67*VLOOKUP(F67,$X$2:$Y$7,2,FALSE())</f>
        <v>198</v>
      </c>
      <c r="M67" s="32"/>
      <c r="N67" s="33"/>
      <c r="O67" s="32"/>
      <c r="P67" s="32"/>
      <c r="Q67" s="34" t="n">
        <f aca="false">Q61+G67-K67+M67-O67</f>
        <v>12</v>
      </c>
      <c r="R67" s="35" t="n">
        <f aca="false">R61+H67-L67+N67-O67*VLOOKUP(F67,$X$2:$Y$7,2,FALSE())</f>
        <v>216</v>
      </c>
      <c r="S67" s="36"/>
    </row>
    <row r="68" customFormat="false" ht="15" hidden="false" customHeight="true" outlineLevel="0" collapsed="false">
      <c r="A68" s="37"/>
      <c r="B68" s="23"/>
      <c r="C68" s="23"/>
      <c r="D68" s="23"/>
      <c r="E68" s="24"/>
      <c r="F68" s="25" t="s">
        <v>8</v>
      </c>
      <c r="G68" s="42" t="n">
        <v>23</v>
      </c>
      <c r="H68" s="27" t="n">
        <f aca="false">G68*VLOOKUP(F68,$X$2:$Y$7,2,FALSE())</f>
        <v>391</v>
      </c>
      <c r="I68" s="64"/>
      <c r="J68" s="44" t="n">
        <v>3001</v>
      </c>
      <c r="K68" s="45" t="n">
        <v>12</v>
      </c>
      <c r="L68" s="43" t="n">
        <f aca="false">K68*VLOOKUP(F68,$X$2:$Y$7,2,FALSE())</f>
        <v>204</v>
      </c>
      <c r="M68" s="32"/>
      <c r="N68" s="33"/>
      <c r="O68" s="32"/>
      <c r="P68" s="32"/>
      <c r="Q68" s="34" t="n">
        <f aca="false">Q62+G68-K68+M68-O68</f>
        <v>11</v>
      </c>
      <c r="R68" s="35" t="n">
        <f aca="false">R62+H68-L68+N68-O68*VLOOKUP(F68,$X$2:$Y$7,2,FALSE())</f>
        <v>187</v>
      </c>
      <c r="S68" s="36"/>
    </row>
    <row r="69" customFormat="false" ht="15" hidden="false" customHeight="true" outlineLevel="0" collapsed="false">
      <c r="A69" s="37"/>
      <c r="B69" s="23"/>
      <c r="C69" s="23"/>
      <c r="D69" s="23"/>
      <c r="E69" s="24"/>
      <c r="F69" s="25" t="s">
        <v>28</v>
      </c>
      <c r="G69" s="42" t="n">
        <v>129</v>
      </c>
      <c r="H69" s="27" t="n">
        <f aca="false">G69*VLOOKUP(F69,$X$2:$Y$7,2,FALSE())</f>
        <v>2193</v>
      </c>
      <c r="I69" s="64"/>
      <c r="J69" s="44" t="n">
        <v>3001</v>
      </c>
      <c r="K69" s="45" t="n">
        <v>111</v>
      </c>
      <c r="L69" s="43" t="n">
        <f aca="false">K69*VLOOKUP(F69,$X$2:$Y$7,2,FALSE())</f>
        <v>1887</v>
      </c>
      <c r="M69" s="32"/>
      <c r="N69" s="33"/>
      <c r="O69" s="32"/>
      <c r="P69" s="32"/>
      <c r="Q69" s="34" t="n">
        <f aca="false">Q63+G69-K69+M69-O69</f>
        <v>78</v>
      </c>
      <c r="R69" s="35" t="n">
        <f aca="false">R63+H69-L69+N69-O69*VLOOKUP(F69,$X$2:$Y$7,2,FALSE())</f>
        <v>1326</v>
      </c>
      <c r="S69" s="36"/>
    </row>
    <row r="70" customFormat="false" ht="15" hidden="false" customHeight="true" outlineLevel="0" collapsed="false">
      <c r="A70" s="37"/>
      <c r="B70" s="23"/>
      <c r="C70" s="23"/>
      <c r="D70" s="23"/>
      <c r="E70" s="24"/>
      <c r="F70" s="25" t="s">
        <v>31</v>
      </c>
      <c r="G70" s="42" t="n">
        <v>6.5</v>
      </c>
      <c r="H70" s="27" t="n">
        <f aca="false">G70*VLOOKUP(F70,$X$2:$Y$7,2,FALSE())</f>
        <v>617.5</v>
      </c>
      <c r="I70" s="64"/>
      <c r="J70" s="44" t="s">
        <v>44</v>
      </c>
      <c r="K70" s="45" t="n">
        <v>18</v>
      </c>
      <c r="L70" s="43" t="n">
        <f aca="false">K70*VLOOKUP(F70,$X$2:$Y$7,2,FALSE())</f>
        <v>1710</v>
      </c>
      <c r="M70" s="32"/>
      <c r="N70" s="33"/>
      <c r="O70" s="32"/>
      <c r="P70" s="32"/>
      <c r="Q70" s="34" t="n">
        <f aca="false">Q64+G70-K70+M70-O70</f>
        <v>7</v>
      </c>
      <c r="R70" s="35" t="n">
        <f aca="false">R64+H70-L70+N70-O70*VLOOKUP(F70,$X$2:$Y$7,2,FALSE())</f>
        <v>665</v>
      </c>
      <c r="S70" s="36"/>
    </row>
    <row r="71" customFormat="false" ht="15.75" hidden="false" customHeight="true" outlineLevel="0" collapsed="false">
      <c r="A71" s="22"/>
      <c r="B71" s="39"/>
      <c r="C71" s="39"/>
      <c r="D71" s="40"/>
      <c r="E71" s="41"/>
      <c r="F71" s="25" t="s">
        <v>32</v>
      </c>
      <c r="G71" s="42"/>
      <c r="H71" s="27"/>
      <c r="I71" s="84"/>
      <c r="J71" s="44"/>
      <c r="K71" s="45"/>
      <c r="L71" s="43"/>
      <c r="M71" s="46"/>
      <c r="N71" s="47"/>
      <c r="O71" s="46"/>
      <c r="P71" s="46"/>
      <c r="Q71" s="34"/>
      <c r="R71" s="35"/>
      <c r="S71" s="36"/>
    </row>
    <row r="72" customFormat="false" ht="15" hidden="false" customHeight="true" outlineLevel="0" collapsed="false">
      <c r="A72" s="48" t="s">
        <v>43</v>
      </c>
      <c r="B72" s="49" t="n">
        <v>22</v>
      </c>
      <c r="C72" s="49" t="n">
        <v>95</v>
      </c>
      <c r="D72" s="50" t="n">
        <f aca="false">B72*C72</f>
        <v>2090</v>
      </c>
      <c r="E72" s="90" t="s">
        <v>45</v>
      </c>
      <c r="F72" s="52" t="s">
        <v>3</v>
      </c>
      <c r="G72" s="53" t="n">
        <v>43</v>
      </c>
      <c r="H72" s="54" t="n">
        <f aca="false">G72*VLOOKUP(F72,$X$2:$Y$7,2,FALSE())</f>
        <v>645</v>
      </c>
      <c r="I72" s="91"/>
      <c r="J72" s="92"/>
      <c r="K72" s="93"/>
      <c r="L72" s="58" t="n">
        <f aca="false">K72*VLOOKUP(F72,$X$2:$Y$7,2,FALSE())</f>
        <v>0</v>
      </c>
      <c r="M72" s="59"/>
      <c r="N72" s="60"/>
      <c r="O72" s="59"/>
      <c r="P72" s="59"/>
      <c r="Q72" s="61" t="n">
        <f aca="false">Q66+G72-K72+M72-O72</f>
        <v>87</v>
      </c>
      <c r="R72" s="62" t="n">
        <f aca="false">R66+H72-L72+N72-O72*VLOOKUP(F72,$X$2:$Y$7,2,FALSE())</f>
        <v>1305</v>
      </c>
      <c r="S72" s="63"/>
    </row>
    <row r="73" customFormat="false" ht="15" hidden="false" customHeight="true" outlineLevel="0" collapsed="false">
      <c r="A73" s="37"/>
      <c r="B73" s="23"/>
      <c r="C73" s="23"/>
      <c r="D73" s="23"/>
      <c r="E73" s="24"/>
      <c r="F73" s="25" t="s">
        <v>4</v>
      </c>
      <c r="G73" s="42" t="n">
        <v>0</v>
      </c>
      <c r="H73" s="27" t="n">
        <f aca="false">G73*VLOOKUP(F73,$X$2:$Y$7,2,FALSE())</f>
        <v>0</v>
      </c>
      <c r="I73" s="64"/>
      <c r="J73" s="67"/>
      <c r="K73" s="94"/>
      <c r="L73" s="43" t="n">
        <f aca="false">K73*VLOOKUP(F73,$X$2:$Y$7,2,FALSE())</f>
        <v>0</v>
      </c>
      <c r="M73" s="32"/>
      <c r="N73" s="33"/>
      <c r="O73" s="46" t="n">
        <v>1</v>
      </c>
      <c r="P73" s="32"/>
      <c r="Q73" s="34" t="n">
        <f aca="false">Q67+G73-K73+M73-O73</f>
        <v>11</v>
      </c>
      <c r="R73" s="35" t="n">
        <f aca="false">R67+H73-L73+N73-O73*VLOOKUP(F73,$X$2:$Y$7,2,FALSE())</f>
        <v>198</v>
      </c>
      <c r="S73" s="36"/>
    </row>
    <row r="74" customFormat="false" ht="15" hidden="false" customHeight="true" outlineLevel="0" collapsed="false">
      <c r="A74" s="37"/>
      <c r="B74" s="23"/>
      <c r="C74" s="23"/>
      <c r="D74" s="23"/>
      <c r="E74" s="24"/>
      <c r="F74" s="25" t="s">
        <v>8</v>
      </c>
      <c r="G74" s="42" t="n">
        <v>0</v>
      </c>
      <c r="H74" s="27" t="n">
        <f aca="false">G74*VLOOKUP(F74,$X$2:$Y$7,2,FALSE())</f>
        <v>0</v>
      </c>
      <c r="I74" s="64"/>
      <c r="J74" s="67"/>
      <c r="K74" s="94"/>
      <c r="L74" s="43" t="n">
        <f aca="false">K74*VLOOKUP(F74,$X$2:$Y$7,2,FALSE())</f>
        <v>0</v>
      </c>
      <c r="M74" s="32"/>
      <c r="N74" s="33"/>
      <c r="O74" s="46" t="n">
        <v>1</v>
      </c>
      <c r="P74" s="32"/>
      <c r="Q74" s="34" t="n">
        <f aca="false">Q68+G74-K74+M74-O74</f>
        <v>10</v>
      </c>
      <c r="R74" s="35" t="n">
        <f aca="false">R68+H74-L74+N74-O74*VLOOKUP(F74,$X$2:$Y$7,2,FALSE())</f>
        <v>170</v>
      </c>
      <c r="S74" s="36"/>
    </row>
    <row r="75" customFormat="false" ht="15" hidden="false" customHeight="true" outlineLevel="0" collapsed="false">
      <c r="A75" s="37"/>
      <c r="B75" s="23"/>
      <c r="C75" s="23"/>
      <c r="D75" s="23"/>
      <c r="E75" s="24"/>
      <c r="F75" s="25" t="s">
        <v>28</v>
      </c>
      <c r="G75" s="42" t="n">
        <v>72</v>
      </c>
      <c r="H75" s="27" t="n">
        <f aca="false">G75*VLOOKUP(F75,$X$2:$Y$7,2,FALSE())</f>
        <v>1224</v>
      </c>
      <c r="I75" s="64"/>
      <c r="J75" s="67"/>
      <c r="K75" s="94"/>
      <c r="L75" s="43" t="n">
        <f aca="false">K75*VLOOKUP(F75,$X$2:$Y$7,2,FALSE())</f>
        <v>0</v>
      </c>
      <c r="M75" s="32"/>
      <c r="N75" s="33"/>
      <c r="O75" s="32"/>
      <c r="P75" s="32"/>
      <c r="Q75" s="34" t="n">
        <f aca="false">Q69+G75-K75+M75-O75</f>
        <v>150</v>
      </c>
      <c r="R75" s="35" t="n">
        <f aca="false">R69+H75-L75+N75-O75*VLOOKUP(F75,$X$2:$Y$7,2,FALSE())</f>
        <v>2550</v>
      </c>
      <c r="S75" s="36"/>
    </row>
    <row r="76" customFormat="false" ht="15" hidden="false" customHeight="true" outlineLevel="0" collapsed="false">
      <c r="A76" s="37"/>
      <c r="B76" s="23"/>
      <c r="C76" s="23"/>
      <c r="D76" s="23"/>
      <c r="E76" s="24"/>
      <c r="F76" s="25" t="s">
        <v>31</v>
      </c>
      <c r="G76" s="42" t="n">
        <v>3</v>
      </c>
      <c r="H76" s="27" t="n">
        <f aca="false">G76*VLOOKUP(F76,$X$2:$Y$7,2,FALSE())</f>
        <v>285</v>
      </c>
      <c r="I76" s="64"/>
      <c r="J76" s="67"/>
      <c r="K76" s="94"/>
      <c r="L76" s="43" t="n">
        <f aca="false">K76*VLOOKUP(F76,$X$2:$Y$7,2,FALSE())</f>
        <v>0</v>
      </c>
      <c r="M76" s="32"/>
      <c r="N76" s="33"/>
      <c r="O76" s="32"/>
      <c r="P76" s="32"/>
      <c r="Q76" s="95" t="n">
        <f aca="false">Q70+G76-K76+M76-O76</f>
        <v>10</v>
      </c>
      <c r="R76" s="35" t="n">
        <f aca="false">R70+H76-L76+N76-O76*VLOOKUP(F76,$X$2:$Y$7,2,FALSE())</f>
        <v>950</v>
      </c>
      <c r="S76" s="36"/>
    </row>
    <row r="77" customFormat="false" ht="15.75" hidden="false" customHeight="true" outlineLevel="0" collapsed="false">
      <c r="A77" s="68"/>
      <c r="B77" s="69"/>
      <c r="C77" s="69"/>
      <c r="D77" s="70"/>
      <c r="E77" s="71"/>
      <c r="F77" s="72" t="s">
        <v>32</v>
      </c>
      <c r="G77" s="73"/>
      <c r="H77" s="74"/>
      <c r="I77" s="75"/>
      <c r="J77" s="76"/>
      <c r="K77" s="77"/>
      <c r="L77" s="78"/>
      <c r="M77" s="79"/>
      <c r="N77" s="80"/>
      <c r="O77" s="79"/>
      <c r="P77" s="79"/>
      <c r="Q77" s="81"/>
      <c r="R77" s="82"/>
      <c r="S77" s="83"/>
    </row>
    <row r="78" customFormat="false" ht="15" hidden="false" customHeight="true" outlineLevel="0" collapsed="false">
      <c r="A78" s="22" t="s">
        <v>45</v>
      </c>
      <c r="B78" s="39" t="n">
        <v>70</v>
      </c>
      <c r="C78" s="39" t="n">
        <v>95</v>
      </c>
      <c r="D78" s="40" t="n">
        <f aca="false">B78*C78</f>
        <v>6650</v>
      </c>
      <c r="E78" s="90" t="s">
        <v>45</v>
      </c>
      <c r="F78" s="25" t="s">
        <v>3</v>
      </c>
      <c r="G78" s="42" t="n">
        <v>47</v>
      </c>
      <c r="H78" s="27" t="n">
        <f aca="false">G78*VLOOKUP(F78,$X$2:$Y$7,2,FALSE())</f>
        <v>705</v>
      </c>
      <c r="I78" s="84" t="s">
        <v>45</v>
      </c>
      <c r="J78" s="44" t="n">
        <v>3004</v>
      </c>
      <c r="K78" s="45" t="n">
        <v>67</v>
      </c>
      <c r="L78" s="43" t="n">
        <f aca="false">K78*VLOOKUP(F78,$X$2:$Y$7,2,FALSE())</f>
        <v>1005</v>
      </c>
      <c r="M78" s="96" t="n">
        <v>1</v>
      </c>
      <c r="N78" s="97" t="n">
        <v>7</v>
      </c>
      <c r="O78" s="32" t="n">
        <v>1</v>
      </c>
      <c r="P78" s="32"/>
      <c r="Q78" s="34" t="n">
        <f aca="false">Q72+G78-K78+M78-O78</f>
        <v>67</v>
      </c>
      <c r="R78" s="35" t="n">
        <f aca="false">R72+H78-L78+N78-O78*VLOOKUP(F78,$X$2:$Y$7,2,FALSE())</f>
        <v>997</v>
      </c>
      <c r="S78" s="36"/>
    </row>
    <row r="79" customFormat="false" ht="15" hidden="false" customHeight="true" outlineLevel="0" collapsed="false">
      <c r="A79" s="37"/>
      <c r="B79" s="23"/>
      <c r="C79" s="23"/>
      <c r="D79" s="23"/>
      <c r="E79" s="24"/>
      <c r="F79" s="25" t="s">
        <v>4</v>
      </c>
      <c r="G79" s="42" t="n">
        <v>11</v>
      </c>
      <c r="H79" s="27" t="n">
        <f aca="false">G79*VLOOKUP(F79,$X$2:$Y$7,2,FALSE())</f>
        <v>198</v>
      </c>
      <c r="I79" s="64"/>
      <c r="J79" s="44" t="n">
        <v>3004</v>
      </c>
      <c r="K79" s="45" t="n">
        <v>11</v>
      </c>
      <c r="L79" s="43" t="n">
        <f aca="false">K79*VLOOKUP(F79,$X$2:$Y$7,2,FALSE())</f>
        <v>198</v>
      </c>
      <c r="M79" s="32"/>
      <c r="N79" s="98"/>
      <c r="O79" s="32"/>
      <c r="P79" s="32"/>
      <c r="Q79" s="34" t="n">
        <f aca="false">Q73+G79-K79+M79-O79</f>
        <v>11</v>
      </c>
      <c r="R79" s="35" t="n">
        <f aca="false">R73+H79-L79+N79-O79*VLOOKUP(F79,$X$2:$Y$7,2,FALSE())</f>
        <v>198</v>
      </c>
      <c r="S79" s="36"/>
    </row>
    <row r="80" customFormat="false" ht="15" hidden="false" customHeight="true" outlineLevel="0" collapsed="false">
      <c r="A80" s="37"/>
      <c r="B80" s="23"/>
      <c r="C80" s="23"/>
      <c r="D80" s="23"/>
      <c r="E80" s="24"/>
      <c r="F80" s="25" t="s">
        <v>8</v>
      </c>
      <c r="G80" s="42" t="n">
        <v>12</v>
      </c>
      <c r="H80" s="27" t="n">
        <f aca="false">G80*VLOOKUP(F80,$X$2:$Y$7,2,FALSE())</f>
        <v>204</v>
      </c>
      <c r="I80" s="64"/>
      <c r="J80" s="44" t="n">
        <v>3004</v>
      </c>
      <c r="K80" s="45" t="n">
        <v>10</v>
      </c>
      <c r="L80" s="43" t="n">
        <f aca="false">K80*VLOOKUP(F80,$X$2:$Y$7,2,FALSE())</f>
        <v>170</v>
      </c>
      <c r="M80" s="32"/>
      <c r="N80" s="98"/>
      <c r="O80" s="32"/>
      <c r="P80" s="32"/>
      <c r="Q80" s="34" t="n">
        <f aca="false">Q74+G80-K80+M80-O80</f>
        <v>12</v>
      </c>
      <c r="R80" s="35" t="n">
        <f aca="false">R74+H80-L80+N80-O80*VLOOKUP(F80,$X$2:$Y$7,2,FALSE())</f>
        <v>204</v>
      </c>
      <c r="S80" s="36"/>
    </row>
    <row r="81" customFormat="false" ht="15" hidden="false" customHeight="true" outlineLevel="0" collapsed="false">
      <c r="A81" s="37"/>
      <c r="B81" s="23"/>
      <c r="C81" s="23"/>
      <c r="D81" s="23"/>
      <c r="E81" s="24"/>
      <c r="F81" s="25" t="s">
        <v>28</v>
      </c>
      <c r="G81" s="42" t="n">
        <v>72</v>
      </c>
      <c r="H81" s="27" t="n">
        <f aca="false">G81*VLOOKUP(F81,$X$2:$Y$7,2,FALSE())</f>
        <v>1224</v>
      </c>
      <c r="I81" s="64"/>
      <c r="J81" s="44" t="n">
        <v>3004</v>
      </c>
      <c r="K81" s="45" t="n">
        <v>111</v>
      </c>
      <c r="L81" s="43" t="n">
        <f aca="false">K81*VLOOKUP(F81,$X$2:$Y$7,2,FALSE())</f>
        <v>1887</v>
      </c>
      <c r="M81" s="32" t="n">
        <v>1</v>
      </c>
      <c r="N81" s="47" t="n">
        <v>10</v>
      </c>
      <c r="O81" s="32" t="n">
        <v>1</v>
      </c>
      <c r="P81" s="32"/>
      <c r="Q81" s="34" t="n">
        <f aca="false">Q75+G81-K81+M81-O81</f>
        <v>111</v>
      </c>
      <c r="R81" s="35" t="n">
        <f aca="false">R75+H81-L81+N81-O81*VLOOKUP(F81,$X$2:$Y$7,2,FALSE())</f>
        <v>1880</v>
      </c>
      <c r="S81" s="36"/>
    </row>
    <row r="82" customFormat="false" ht="15.75" hidden="false" customHeight="true" outlineLevel="0" collapsed="false">
      <c r="A82" s="37"/>
      <c r="B82" s="23"/>
      <c r="C82" s="23"/>
      <c r="D82" s="23"/>
      <c r="E82" s="24"/>
      <c r="F82" s="25" t="s">
        <v>31</v>
      </c>
      <c r="G82" s="42" t="n">
        <v>4</v>
      </c>
      <c r="H82" s="27" t="n">
        <f aca="false">G82*VLOOKUP(F82,$X$2:$Y$7,2,FALSE())</f>
        <v>380</v>
      </c>
      <c r="I82" s="64"/>
      <c r="J82" s="67"/>
      <c r="K82" s="94"/>
      <c r="L82" s="43" t="n">
        <f aca="false">K82*VLOOKUP(F82,$X$2:$Y$7,2,FALSE())</f>
        <v>0</v>
      </c>
      <c r="M82" s="32"/>
      <c r="N82" s="33"/>
      <c r="O82" s="32"/>
      <c r="P82" s="32"/>
      <c r="Q82" s="95" t="n">
        <f aca="false">Q76+G82-K82+M82-O82</f>
        <v>14</v>
      </c>
      <c r="R82" s="35" t="n">
        <f aca="false">R76+H82-L82+N82-O82*VLOOKUP(F82,$X$2:$Y$7,2,FALSE())</f>
        <v>1330</v>
      </c>
      <c r="S82" s="36"/>
    </row>
    <row r="83" customFormat="false" ht="15" hidden="false" customHeight="true" outlineLevel="0" collapsed="false">
      <c r="A83" s="22"/>
      <c r="B83" s="39"/>
      <c r="C83" s="39"/>
      <c r="D83" s="40"/>
      <c r="E83" s="41"/>
      <c r="F83" s="25" t="s">
        <v>32</v>
      </c>
      <c r="G83" s="42"/>
      <c r="H83" s="27"/>
      <c r="I83" s="84"/>
      <c r="J83" s="44"/>
      <c r="K83" s="45"/>
      <c r="L83" s="43"/>
      <c r="M83" s="46"/>
      <c r="N83" s="47"/>
      <c r="O83" s="46"/>
      <c r="P83" s="46"/>
      <c r="Q83" s="34"/>
      <c r="R83" s="35"/>
      <c r="S83" s="36"/>
    </row>
    <row r="84" customFormat="false" ht="15" hidden="false" customHeight="true" outlineLevel="0" collapsed="false">
      <c r="A84" s="48" t="s">
        <v>46</v>
      </c>
      <c r="B84" s="99"/>
      <c r="C84" s="99"/>
      <c r="D84" s="99"/>
      <c r="E84" s="51"/>
      <c r="F84" s="52" t="s">
        <v>3</v>
      </c>
      <c r="G84" s="53" t="n">
        <v>64</v>
      </c>
      <c r="H84" s="54" t="n">
        <f aca="false">G84*VLOOKUP(F84,$X$2:$Y$7,2,FALSE())</f>
        <v>960</v>
      </c>
      <c r="I84" s="55" t="s">
        <v>46</v>
      </c>
      <c r="J84" s="56" t="n">
        <v>3006</v>
      </c>
      <c r="K84" s="57" t="n">
        <v>67</v>
      </c>
      <c r="L84" s="58" t="n">
        <f aca="false">K84*VLOOKUP(F84,$X$2:$Y$7,2,FALSE())</f>
        <v>1005</v>
      </c>
      <c r="M84" s="96" t="n">
        <v>1</v>
      </c>
      <c r="N84" s="97" t="n">
        <v>9</v>
      </c>
      <c r="O84" s="97" t="n">
        <v>1</v>
      </c>
      <c r="P84" s="97"/>
      <c r="Q84" s="61" t="n">
        <f aca="false">Q78+G84-K84+M84-O84</f>
        <v>64</v>
      </c>
      <c r="R84" s="62" t="n">
        <f aca="false">R78+H84-L84+N84-O84*VLOOKUP(F84,$X$2:$Y$7,2,FALSE())</f>
        <v>946</v>
      </c>
      <c r="S84" s="63"/>
    </row>
    <row r="85" customFormat="false" ht="15" hidden="false" customHeight="true" outlineLevel="0" collapsed="false">
      <c r="A85" s="37"/>
      <c r="B85" s="23"/>
      <c r="C85" s="23"/>
      <c r="D85" s="23"/>
      <c r="E85" s="24"/>
      <c r="F85" s="25" t="s">
        <v>4</v>
      </c>
      <c r="G85" s="42" t="n">
        <v>11</v>
      </c>
      <c r="H85" s="27" t="n">
        <f aca="false">G85*VLOOKUP(F85,$X$2:$Y$7,2,FALSE())</f>
        <v>198</v>
      </c>
      <c r="I85" s="64"/>
      <c r="J85" s="44" t="n">
        <v>3006</v>
      </c>
      <c r="K85" s="45" t="n">
        <v>11</v>
      </c>
      <c r="L85" s="43" t="n">
        <f aca="false">K85*VLOOKUP(F85,$X$2:$Y$7,2,FALSE())</f>
        <v>198</v>
      </c>
      <c r="M85" s="32"/>
      <c r="N85" s="47"/>
      <c r="O85" s="47"/>
      <c r="P85" s="47"/>
      <c r="Q85" s="34" t="n">
        <f aca="false">Q79+G85-K85+M85-O85</f>
        <v>11</v>
      </c>
      <c r="R85" s="35" t="n">
        <f aca="false">R79+H85-L85+N85-O85*VLOOKUP(F85,$X$2:$Y$7,2,FALSE())</f>
        <v>198</v>
      </c>
      <c r="S85" s="36"/>
    </row>
    <row r="86" customFormat="false" ht="15" hidden="false" customHeight="true" outlineLevel="0" collapsed="false">
      <c r="A86" s="37"/>
      <c r="B86" s="23"/>
      <c r="C86" s="23"/>
      <c r="D86" s="23"/>
      <c r="E86" s="24"/>
      <c r="F86" s="25" t="s">
        <v>8</v>
      </c>
      <c r="G86" s="42" t="n">
        <v>12</v>
      </c>
      <c r="H86" s="27" t="n">
        <f aca="false">G86*VLOOKUP(F86,$X$2:$Y$7,2,FALSE())</f>
        <v>204</v>
      </c>
      <c r="I86" s="64"/>
      <c r="J86" s="44" t="n">
        <v>3006</v>
      </c>
      <c r="K86" s="45" t="n">
        <v>12</v>
      </c>
      <c r="L86" s="43" t="n">
        <f aca="false">K86*VLOOKUP(F86,$X$2:$Y$7,2,FALSE())</f>
        <v>204</v>
      </c>
      <c r="M86" s="32"/>
      <c r="N86" s="47"/>
      <c r="O86" s="47"/>
      <c r="P86" s="47"/>
      <c r="Q86" s="34" t="n">
        <f aca="false">Q80+G86-K86+M86-O86</f>
        <v>12</v>
      </c>
      <c r="R86" s="35" t="n">
        <f aca="false">R80+H86-L86+N86-O86*VLOOKUP(F86,$X$2:$Y$7,2,FALSE())</f>
        <v>204</v>
      </c>
      <c r="S86" s="36"/>
    </row>
    <row r="87" customFormat="false" ht="15" hidden="false" customHeight="true" outlineLevel="0" collapsed="false">
      <c r="A87" s="37"/>
      <c r="B87" s="23"/>
      <c r="C87" s="23"/>
      <c r="D87" s="23"/>
      <c r="E87" s="24"/>
      <c r="F87" s="25" t="s">
        <v>28</v>
      </c>
      <c r="G87" s="42" t="n">
        <v>111</v>
      </c>
      <c r="H87" s="27" t="n">
        <f aca="false">G87*VLOOKUP(F87,$X$2:$Y$7,2,FALSE())</f>
        <v>1887</v>
      </c>
      <c r="I87" s="64"/>
      <c r="J87" s="44" t="n">
        <v>3006</v>
      </c>
      <c r="K87" s="45" t="n">
        <v>111</v>
      </c>
      <c r="L87" s="43" t="n">
        <f aca="false">K87*VLOOKUP(F87,$X$2:$Y$7,2,FALSE())</f>
        <v>1887</v>
      </c>
      <c r="M87" s="46" t="n">
        <v>9</v>
      </c>
      <c r="N87" s="47" t="n">
        <v>153</v>
      </c>
      <c r="O87" s="47"/>
      <c r="P87" s="47"/>
      <c r="Q87" s="34" t="n">
        <f aca="false">Q81+G87-K87+M87-O87</f>
        <v>120</v>
      </c>
      <c r="R87" s="35" t="n">
        <f aca="false">R81+H87-L87+N87-O87*VLOOKUP(F87,$X$2:$Y$7,2,FALSE())</f>
        <v>2033</v>
      </c>
      <c r="S87" s="36"/>
    </row>
    <row r="88" customFormat="false" ht="15.75" hidden="false" customHeight="true" outlineLevel="0" collapsed="false">
      <c r="A88" s="37"/>
      <c r="B88" s="23"/>
      <c r="C88" s="23"/>
      <c r="D88" s="23"/>
      <c r="E88" s="24"/>
      <c r="F88" s="25" t="s">
        <v>31</v>
      </c>
      <c r="G88" s="42" t="n">
        <v>8</v>
      </c>
      <c r="H88" s="27" t="n">
        <f aca="false">G88*VLOOKUP(F88,$X$2:$Y$7,2,FALSE())</f>
        <v>760</v>
      </c>
      <c r="I88" s="64"/>
      <c r="J88" s="100" t="s">
        <v>47</v>
      </c>
      <c r="K88" s="101" t="n">
        <v>10</v>
      </c>
      <c r="L88" s="102" t="n">
        <f aca="false">K88*VLOOKUP(F88,$X$2:$Y$7,2,FALSE())</f>
        <v>950</v>
      </c>
      <c r="M88" s="32"/>
      <c r="N88" s="47"/>
      <c r="O88" s="47"/>
      <c r="P88" s="47"/>
      <c r="Q88" s="34" t="n">
        <f aca="false">Q82+G88-K88+M88-O88</f>
        <v>12</v>
      </c>
      <c r="R88" s="35" t="n">
        <f aca="false">R82+H88-L88+N88-O88*VLOOKUP(F88,$X$2:$Y$7,2,FALSE())</f>
        <v>1140</v>
      </c>
      <c r="S88" s="36" t="s">
        <v>48</v>
      </c>
    </row>
    <row r="89" customFormat="false" ht="15" hidden="false" customHeight="true" outlineLevel="0" collapsed="false">
      <c r="A89" s="68"/>
      <c r="B89" s="69"/>
      <c r="C89" s="69"/>
      <c r="D89" s="70"/>
      <c r="E89" s="71"/>
      <c r="F89" s="72" t="s">
        <v>32</v>
      </c>
      <c r="G89" s="73"/>
      <c r="H89" s="74" t="n">
        <v>50</v>
      </c>
      <c r="I89" s="75"/>
      <c r="J89" s="76"/>
      <c r="K89" s="77"/>
      <c r="L89" s="78"/>
      <c r="M89" s="79"/>
      <c r="N89" s="80"/>
      <c r="O89" s="80"/>
      <c r="P89" s="80"/>
      <c r="Q89" s="81"/>
      <c r="R89" s="82"/>
      <c r="S89" s="83"/>
    </row>
    <row r="90" customFormat="false" ht="15" hidden="false" customHeight="true" outlineLevel="0" collapsed="false">
      <c r="A90" s="22" t="s">
        <v>46</v>
      </c>
      <c r="B90" s="39" t="n">
        <v>40</v>
      </c>
      <c r="C90" s="39" t="n">
        <v>95</v>
      </c>
      <c r="D90" s="40" t="n">
        <f aca="false">B90*C90</f>
        <v>3800</v>
      </c>
      <c r="E90" s="90" t="s">
        <v>49</v>
      </c>
      <c r="F90" s="25" t="s">
        <v>3</v>
      </c>
      <c r="G90" s="42" t="n">
        <v>78</v>
      </c>
      <c r="H90" s="27" t="n">
        <f aca="false">G90*VLOOKUP(F90,$X$2:$Y$7,2,FALSE())</f>
        <v>1170</v>
      </c>
      <c r="I90" s="84" t="s">
        <v>49</v>
      </c>
      <c r="J90" s="44" t="n">
        <v>3008</v>
      </c>
      <c r="K90" s="45" t="n">
        <v>67</v>
      </c>
      <c r="L90" s="43" t="n">
        <f aca="false">K90*VLOOKUP(F90,$X$2:$Y$7,2,FALSE())</f>
        <v>1005</v>
      </c>
      <c r="M90" s="32"/>
      <c r="N90" s="47"/>
      <c r="O90" s="47"/>
      <c r="P90" s="47"/>
      <c r="Q90" s="34" t="n">
        <f aca="false">Q84+G90-K90+M90-O90</f>
        <v>75</v>
      </c>
      <c r="R90" s="35" t="n">
        <f aca="false">R84+H90-L90+N90-O90*VLOOKUP(F90,$X$2:$Y$7,2,FALSE())</f>
        <v>1111</v>
      </c>
      <c r="S90" s="36"/>
    </row>
    <row r="91" customFormat="false" ht="15" hidden="false" customHeight="true" outlineLevel="0" collapsed="false">
      <c r="A91" s="37"/>
      <c r="B91" s="23"/>
      <c r="C91" s="23"/>
      <c r="D91" s="23"/>
      <c r="E91" s="24"/>
      <c r="F91" s="25" t="s">
        <v>4</v>
      </c>
      <c r="G91" s="42" t="n">
        <v>11</v>
      </c>
      <c r="H91" s="27" t="n">
        <f aca="false">G91*VLOOKUP(F91,$X$2:$Y$7,2,FALSE())</f>
        <v>198</v>
      </c>
      <c r="I91" s="64"/>
      <c r="J91" s="44" t="n">
        <v>3008</v>
      </c>
      <c r="K91" s="45" t="n">
        <v>11</v>
      </c>
      <c r="L91" s="43" t="n">
        <f aca="false">K91*VLOOKUP(F91,$X$2:$Y$7,2,FALSE())</f>
        <v>198</v>
      </c>
      <c r="M91" s="32"/>
      <c r="N91" s="47"/>
      <c r="O91" s="47"/>
      <c r="P91" s="47"/>
      <c r="Q91" s="34" t="n">
        <f aca="false">Q85+G91-K91+M91-O91</f>
        <v>11</v>
      </c>
      <c r="R91" s="35" t="n">
        <f aca="false">R85+H91-L91+N91-O91*VLOOKUP(F91,$X$2:$Y$7,2,FALSE())</f>
        <v>198</v>
      </c>
      <c r="S91" s="36"/>
    </row>
    <row r="92" customFormat="false" ht="15" hidden="false" customHeight="true" outlineLevel="0" collapsed="false">
      <c r="A92" s="37"/>
      <c r="B92" s="23"/>
      <c r="C92" s="23"/>
      <c r="D92" s="23"/>
      <c r="E92" s="24"/>
      <c r="F92" s="25" t="s">
        <v>8</v>
      </c>
      <c r="G92" s="42" t="n">
        <v>12</v>
      </c>
      <c r="H92" s="27" t="n">
        <f aca="false">G92*VLOOKUP(F92,$X$2:$Y$7,2,FALSE())</f>
        <v>204</v>
      </c>
      <c r="I92" s="64"/>
      <c r="J92" s="44" t="n">
        <v>3008</v>
      </c>
      <c r="K92" s="45" t="n">
        <v>12</v>
      </c>
      <c r="L92" s="43" t="n">
        <f aca="false">K92*VLOOKUP(F92,$X$2:$Y$7,2,FALSE())</f>
        <v>204</v>
      </c>
      <c r="M92" s="32"/>
      <c r="N92" s="47"/>
      <c r="O92" s="47"/>
      <c r="P92" s="47"/>
      <c r="Q92" s="34" t="n">
        <f aca="false">Q86+G92-K92+M92-O92</f>
        <v>12</v>
      </c>
      <c r="R92" s="35" t="n">
        <f aca="false">R86+H92-L92+N92-O92*VLOOKUP(F92,$X$2:$Y$7,2,FALSE())</f>
        <v>204</v>
      </c>
      <c r="S92" s="36"/>
    </row>
    <row r="93" customFormat="false" ht="15.75" hidden="false" customHeight="true" outlineLevel="0" collapsed="false">
      <c r="A93" s="37"/>
      <c r="B93" s="23"/>
      <c r="C93" s="23"/>
      <c r="D93" s="23"/>
      <c r="E93" s="24"/>
      <c r="F93" s="25" t="s">
        <v>28</v>
      </c>
      <c r="G93" s="42" t="n">
        <v>94</v>
      </c>
      <c r="H93" s="27" t="n">
        <f aca="false">G93*VLOOKUP(F93,$X$2:$Y$7,2,FALSE())</f>
        <v>1598</v>
      </c>
      <c r="I93" s="64"/>
      <c r="J93" s="44" t="n">
        <v>3008</v>
      </c>
      <c r="K93" s="45" t="n">
        <v>118</v>
      </c>
      <c r="L93" s="43" t="n">
        <f aca="false">K93*VLOOKUP(F93,$X$2:$Y$7,2,FALSE())</f>
        <v>2006</v>
      </c>
      <c r="M93" s="32"/>
      <c r="N93" s="47"/>
      <c r="O93" s="47"/>
      <c r="P93" s="47"/>
      <c r="Q93" s="34" t="n">
        <f aca="false">Q87+G93-K93+M93-O93</f>
        <v>96</v>
      </c>
      <c r="R93" s="35" t="n">
        <f aca="false">R87+H93-L93+N93-O93*VLOOKUP(F93,$X$2:$Y$7,2,FALSE())</f>
        <v>1625</v>
      </c>
      <c r="S93" s="36"/>
    </row>
    <row r="94" customFormat="false" ht="15" hidden="false" customHeight="true" outlineLevel="0" collapsed="false">
      <c r="A94" s="103"/>
      <c r="B94" s="104"/>
      <c r="C94" s="104"/>
      <c r="D94" s="104"/>
      <c r="E94" s="105"/>
      <c r="F94" s="25" t="s">
        <v>31</v>
      </c>
      <c r="G94" s="42" t="n">
        <v>6.5</v>
      </c>
      <c r="H94" s="27" t="n">
        <f aca="false">G94*VLOOKUP(F94,$X$2:$Y$7,2,FALSE())</f>
        <v>617.5</v>
      </c>
      <c r="I94" s="106"/>
      <c r="J94" s="44" t="s">
        <v>47</v>
      </c>
      <c r="K94" s="45" t="n">
        <v>0.5</v>
      </c>
      <c r="L94" s="43" t="n">
        <f aca="false">K94*VLOOKUP(F94,$X$2:$Y$7,2,FALSE())</f>
        <v>47.5</v>
      </c>
      <c r="M94" s="107"/>
      <c r="N94" s="47"/>
      <c r="O94" s="47"/>
      <c r="P94" s="47"/>
      <c r="Q94" s="108" t="n">
        <f aca="false">Q88+G94-K94+M94-O94</f>
        <v>18</v>
      </c>
      <c r="R94" s="35" t="n">
        <f aca="false">R88+H94-L94+N94-O94*VLOOKUP(F94,$X$2:$Y$7,2,FALSE())</f>
        <v>1710</v>
      </c>
      <c r="S94" s="36"/>
    </row>
    <row r="95" customFormat="false" ht="15" hidden="false" customHeight="true" outlineLevel="0" collapsed="false">
      <c r="A95" s="109"/>
      <c r="B95" s="39"/>
      <c r="C95" s="39"/>
      <c r="D95" s="40"/>
      <c r="E95" s="41"/>
      <c r="F95" s="25" t="s">
        <v>32</v>
      </c>
      <c r="G95" s="42"/>
      <c r="H95" s="27"/>
      <c r="I95" s="84"/>
      <c r="J95" s="44"/>
      <c r="K95" s="45"/>
      <c r="L95" s="43"/>
      <c r="M95" s="46"/>
      <c r="N95" s="47"/>
      <c r="O95" s="47"/>
      <c r="P95" s="47"/>
      <c r="Q95" s="34"/>
      <c r="R95" s="35"/>
      <c r="S95" s="110"/>
    </row>
    <row r="96" customFormat="false" ht="15" hidden="false" customHeight="true" outlineLevel="0" collapsed="false">
      <c r="A96" s="48" t="s">
        <v>50</v>
      </c>
      <c r="B96" s="49" t="n">
        <v>70</v>
      </c>
      <c r="C96" s="49" t="n">
        <v>95</v>
      </c>
      <c r="D96" s="50" t="n">
        <f aca="false">+B96*C96</f>
        <v>6650</v>
      </c>
      <c r="E96" s="90" t="s">
        <v>51</v>
      </c>
      <c r="F96" s="52" t="s">
        <v>3</v>
      </c>
      <c r="G96" s="111" t="n">
        <v>48</v>
      </c>
      <c r="H96" s="54" t="n">
        <f aca="false">G96*VLOOKUP(F96,$X$2:$Y$7,2,FALSE())</f>
        <v>720</v>
      </c>
      <c r="I96" s="112" t="s">
        <v>51</v>
      </c>
      <c r="J96" s="56" t="s">
        <v>52</v>
      </c>
      <c r="K96" s="57" t="n">
        <v>67</v>
      </c>
      <c r="L96" s="58" t="n">
        <f aca="false">K96*VLOOKUP(F96,$X$2:$Y$7,2,FALSE())</f>
        <v>1005</v>
      </c>
      <c r="M96" s="113"/>
      <c r="N96" s="97"/>
      <c r="O96" s="97"/>
      <c r="P96" s="97"/>
      <c r="Q96" s="61" t="n">
        <f aca="false">Q90+G96-K96+M96-O96</f>
        <v>56</v>
      </c>
      <c r="R96" s="62" t="n">
        <f aca="false">R90+H96-L96+N96-O96*VLOOKUP(F96,$X$2:$Y$7,2,FALSE())</f>
        <v>826</v>
      </c>
      <c r="S96" s="114"/>
    </row>
    <row r="97" customFormat="false" ht="15" hidden="false" customHeight="true" outlineLevel="0" collapsed="false">
      <c r="A97" s="109"/>
      <c r="B97" s="109"/>
      <c r="C97" s="109"/>
      <c r="D97" s="115"/>
      <c r="E97" s="41"/>
      <c r="F97" s="25" t="s">
        <v>4</v>
      </c>
      <c r="G97" s="116" t="n">
        <v>3</v>
      </c>
      <c r="H97" s="27" t="n">
        <f aca="false">G97*VLOOKUP(F97,$X$2:$Y$7,2,FALSE())</f>
        <v>54</v>
      </c>
      <c r="I97" s="117"/>
      <c r="J97" s="44" t="s">
        <v>52</v>
      </c>
      <c r="K97" s="45" t="n">
        <v>11</v>
      </c>
      <c r="L97" s="43" t="n">
        <f aca="false">K97*VLOOKUP(F97,$X$2:$Y$7,2,FALSE())</f>
        <v>198</v>
      </c>
      <c r="M97" s="118"/>
      <c r="N97" s="47"/>
      <c r="O97" s="47"/>
      <c r="P97" s="47"/>
      <c r="Q97" s="34" t="n">
        <f aca="false">Q91+G97-K97+M97-O97</f>
        <v>3</v>
      </c>
      <c r="R97" s="35" t="n">
        <f aca="false">R91+H97-L97+N97-O97*VLOOKUP(F97,$X$2:$Y$7,2,FALSE())</f>
        <v>54</v>
      </c>
      <c r="S97" s="110"/>
    </row>
    <row r="98" customFormat="false" ht="15" hidden="false" customHeight="true" outlineLevel="0" collapsed="false">
      <c r="A98" s="109"/>
      <c r="B98" s="109"/>
      <c r="C98" s="109"/>
      <c r="D98" s="115"/>
      <c r="E98" s="119"/>
      <c r="F98" s="25" t="s">
        <v>8</v>
      </c>
      <c r="G98" s="116" t="n">
        <v>5</v>
      </c>
      <c r="H98" s="27" t="n">
        <f aca="false">G98*VLOOKUP(F98,$X$2:$Y$7,2,FALSE())</f>
        <v>85</v>
      </c>
      <c r="I98" s="117"/>
      <c r="J98" s="44" t="s">
        <v>52</v>
      </c>
      <c r="K98" s="45" t="n">
        <v>12</v>
      </c>
      <c r="L98" s="43" t="n">
        <f aca="false">K98*VLOOKUP(F98,$X$2:$Y$7,2,FALSE())</f>
        <v>204</v>
      </c>
      <c r="M98" s="118"/>
      <c r="N98" s="47"/>
      <c r="O98" s="47"/>
      <c r="P98" s="47"/>
      <c r="Q98" s="34" t="n">
        <f aca="false">Q92+G98-K98+M98-O98</f>
        <v>5</v>
      </c>
      <c r="R98" s="35" t="n">
        <f aca="false">R92+H98-L98+N98-O98*VLOOKUP(F98,$X$2:$Y$7,2,FALSE())</f>
        <v>85</v>
      </c>
      <c r="S98" s="110"/>
    </row>
    <row r="99" customFormat="false" ht="15" hidden="false" customHeight="true" outlineLevel="0" collapsed="false">
      <c r="A99" s="109"/>
      <c r="B99" s="109"/>
      <c r="C99" s="109"/>
      <c r="D99" s="115"/>
      <c r="E99" s="119"/>
      <c r="F99" s="25" t="s">
        <v>28</v>
      </c>
      <c r="G99" s="116" t="n">
        <v>73</v>
      </c>
      <c r="H99" s="27" t="n">
        <f aca="false">G99*VLOOKUP(F99,$X$2:$Y$7,2,FALSE())</f>
        <v>1241</v>
      </c>
      <c r="I99" s="117"/>
      <c r="J99" s="44" t="s">
        <v>52</v>
      </c>
      <c r="K99" s="45" t="n">
        <v>118</v>
      </c>
      <c r="L99" s="43" t="n">
        <f aca="false">K99*VLOOKUP(F99,$X$2:$Y$7,2,FALSE())</f>
        <v>2006</v>
      </c>
      <c r="M99" s="118"/>
      <c r="N99" s="47"/>
      <c r="O99" s="47"/>
      <c r="P99" s="47"/>
      <c r="Q99" s="34" t="n">
        <f aca="false">Q93+G99-K99+M99-O99</f>
        <v>51</v>
      </c>
      <c r="R99" s="35" t="n">
        <f aca="false">R93+H99-L99+N99-O99*VLOOKUP(F99,$X$2:$Y$7,2,FALSE())</f>
        <v>860</v>
      </c>
      <c r="S99" s="110"/>
    </row>
    <row r="100" customFormat="false" ht="15" hidden="false" customHeight="true" outlineLevel="0" collapsed="false">
      <c r="A100" s="109"/>
      <c r="B100" s="109"/>
      <c r="C100" s="109"/>
      <c r="D100" s="115"/>
      <c r="E100" s="119"/>
      <c r="F100" s="25" t="s">
        <v>31</v>
      </c>
      <c r="G100" s="116" t="n">
        <v>6</v>
      </c>
      <c r="H100" s="27" t="n">
        <f aca="false">G100*VLOOKUP(F100,$X$2:$Y$7,2,FALSE())</f>
        <v>570</v>
      </c>
      <c r="I100" s="117"/>
      <c r="J100" s="44" t="s">
        <v>53</v>
      </c>
      <c r="K100" s="45" t="n">
        <v>9</v>
      </c>
      <c r="L100" s="43" t="n">
        <f aca="false">K100*VLOOKUP(F100,$X$2:$Y$7,2,FALSE())</f>
        <v>855</v>
      </c>
      <c r="M100" s="118"/>
      <c r="N100" s="47"/>
      <c r="O100" s="47"/>
      <c r="P100" s="47"/>
      <c r="Q100" s="34" t="n">
        <f aca="false">Q94+G100-K100+M100-O100</f>
        <v>15</v>
      </c>
      <c r="R100" s="35" t="n">
        <f aca="false">R94+H100-L100+N100-O100*VLOOKUP(F100,$X$2:$Y$7,2,FALSE())</f>
        <v>1425</v>
      </c>
      <c r="S100" s="110"/>
    </row>
    <row r="101" customFormat="false" ht="15" hidden="false" customHeight="true" outlineLevel="0" collapsed="false">
      <c r="A101" s="68"/>
      <c r="B101" s="69"/>
      <c r="C101" s="69"/>
      <c r="D101" s="70"/>
      <c r="E101" s="71"/>
      <c r="F101" s="72" t="s">
        <v>32</v>
      </c>
      <c r="G101" s="73"/>
      <c r="H101" s="74"/>
      <c r="I101" s="75"/>
      <c r="J101" s="76"/>
      <c r="K101" s="77"/>
      <c r="L101" s="78"/>
      <c r="M101" s="79"/>
      <c r="N101" s="80"/>
      <c r="O101" s="80"/>
      <c r="P101" s="80"/>
      <c r="Q101" s="81"/>
      <c r="R101" s="82"/>
      <c r="S101" s="120"/>
    </row>
    <row r="102" customFormat="false" ht="15" hidden="false" customHeight="true" outlineLevel="0" collapsed="false">
      <c r="A102" s="121"/>
      <c r="B102" s="121"/>
      <c r="C102" s="121"/>
      <c r="D102" s="122"/>
      <c r="E102" s="123"/>
      <c r="F102" s="52" t="s">
        <v>3</v>
      </c>
      <c r="G102" s="111"/>
      <c r="H102" s="54" t="n">
        <f aca="false">G102*VLOOKUP(F102,$X$2:$Y$7,2,FALSE())</f>
        <v>0</v>
      </c>
      <c r="I102" s="112"/>
      <c r="J102" s="56"/>
      <c r="K102" s="57"/>
      <c r="L102" s="58" t="n">
        <f aca="false">K102*VLOOKUP(F102,$X$2:$Y$7,2,FALSE())</f>
        <v>0</v>
      </c>
      <c r="M102" s="113"/>
      <c r="N102" s="47"/>
      <c r="O102" s="47"/>
      <c r="P102" s="47"/>
      <c r="Q102" s="61" t="n">
        <f aca="false">Q96+G102-K102+M102-O102</f>
        <v>56</v>
      </c>
      <c r="R102" s="62" t="n">
        <f aca="false">R96+H102-L102+N102-O102*VLOOKUP(F102,$X$2:$Y$7,2,FALSE())</f>
        <v>826</v>
      </c>
      <c r="S102" s="114"/>
    </row>
    <row r="103" customFormat="false" ht="15" hidden="false" customHeight="true" outlineLevel="0" collapsed="false">
      <c r="A103" s="109"/>
      <c r="B103" s="109"/>
      <c r="C103" s="109"/>
      <c r="D103" s="115"/>
      <c r="E103" s="119"/>
      <c r="F103" s="25" t="s">
        <v>4</v>
      </c>
      <c r="G103" s="116"/>
      <c r="H103" s="27" t="n">
        <f aca="false">G103*VLOOKUP(F103,$X$2:$Y$7,2,FALSE())</f>
        <v>0</v>
      </c>
      <c r="I103" s="117"/>
      <c r="J103" s="44"/>
      <c r="K103" s="45"/>
      <c r="L103" s="43" t="n">
        <f aca="false">K103*VLOOKUP(F103,$X$2:$Y$7,2,FALSE())</f>
        <v>0</v>
      </c>
      <c r="M103" s="118"/>
      <c r="N103" s="47"/>
      <c r="O103" s="47"/>
      <c r="P103" s="47"/>
      <c r="Q103" s="34" t="n">
        <f aca="false">Q97+G103-K103+M103-O103</f>
        <v>3</v>
      </c>
      <c r="R103" s="35" t="n">
        <f aca="false">R97+H103-L103+N103-O103*VLOOKUP(F103,$X$2:$Y$7,2,FALSE())</f>
        <v>54</v>
      </c>
      <c r="S103" s="110"/>
    </row>
    <row r="104" customFormat="false" ht="15" hidden="false" customHeight="true" outlineLevel="0" collapsed="false">
      <c r="A104" s="109"/>
      <c r="B104" s="109"/>
      <c r="C104" s="109"/>
      <c r="D104" s="115"/>
      <c r="E104" s="119"/>
      <c r="F104" s="25" t="s">
        <v>8</v>
      </c>
      <c r="G104" s="116"/>
      <c r="H104" s="27" t="n">
        <f aca="false">G104*VLOOKUP(F104,$X$2:$Y$7,2,FALSE())</f>
        <v>0</v>
      </c>
      <c r="I104" s="117"/>
      <c r="J104" s="44"/>
      <c r="K104" s="45"/>
      <c r="L104" s="43" t="n">
        <f aca="false">K104*VLOOKUP(F104,$X$2:$Y$7,2,FALSE())</f>
        <v>0</v>
      </c>
      <c r="M104" s="118"/>
      <c r="N104" s="47"/>
      <c r="O104" s="47"/>
      <c r="P104" s="47"/>
      <c r="Q104" s="34" t="n">
        <f aca="false">Q98+G104-K104+M104-O104</f>
        <v>5</v>
      </c>
      <c r="R104" s="35" t="n">
        <f aca="false">R98+H104-L104+N104-O104*VLOOKUP(F104,$X$2:$Y$7,2,FALSE())</f>
        <v>85</v>
      </c>
      <c r="S104" s="110"/>
    </row>
    <row r="105" customFormat="false" ht="15" hidden="false" customHeight="true" outlineLevel="0" collapsed="false">
      <c r="A105" s="109"/>
      <c r="B105" s="109"/>
      <c r="C105" s="109"/>
      <c r="D105" s="115"/>
      <c r="E105" s="119"/>
      <c r="F105" s="25" t="s">
        <v>28</v>
      </c>
      <c r="G105" s="116"/>
      <c r="H105" s="27" t="n">
        <f aca="false">G105*VLOOKUP(F105,$X$2:$Y$7,2,FALSE())</f>
        <v>0</v>
      </c>
      <c r="I105" s="117"/>
      <c r="J105" s="44"/>
      <c r="K105" s="45"/>
      <c r="L105" s="43" t="n">
        <f aca="false">K105*VLOOKUP(F105,$X$2:$Y$7,2,FALSE())</f>
        <v>0</v>
      </c>
      <c r="M105" s="118"/>
      <c r="N105" s="47"/>
      <c r="O105" s="47"/>
      <c r="P105" s="47"/>
      <c r="Q105" s="34" t="n">
        <f aca="false">Q99+G105-K105+M105-O105</f>
        <v>51</v>
      </c>
      <c r="R105" s="35" t="n">
        <f aca="false">R99+H105-L105+N105-O105*VLOOKUP(F105,$X$2:$Y$7,2,FALSE())</f>
        <v>860</v>
      </c>
      <c r="S105" s="110"/>
    </row>
    <row r="106" customFormat="false" ht="15" hidden="false" customHeight="true" outlineLevel="0" collapsed="false">
      <c r="A106" s="109"/>
      <c r="B106" s="109"/>
      <c r="C106" s="109"/>
      <c r="D106" s="115"/>
      <c r="E106" s="119"/>
      <c r="F106" s="25" t="s">
        <v>31</v>
      </c>
      <c r="G106" s="116"/>
      <c r="H106" s="27" t="n">
        <f aca="false">G106*VLOOKUP(F106,$X$2:$Y$7,2,FALSE())</f>
        <v>0</v>
      </c>
      <c r="I106" s="117"/>
      <c r="J106" s="44"/>
      <c r="K106" s="45"/>
      <c r="L106" s="43" t="n">
        <f aca="false">K106*VLOOKUP(F106,$X$2:$Y$7,2,FALSE())</f>
        <v>0</v>
      </c>
      <c r="M106" s="118"/>
      <c r="N106" s="47"/>
      <c r="O106" s="47"/>
      <c r="P106" s="47"/>
      <c r="Q106" s="34" t="n">
        <f aca="false">Q100+G106-K106+M106-O106</f>
        <v>15</v>
      </c>
      <c r="R106" s="35" t="n">
        <f aca="false">R100+H106-L106+N106-O106*VLOOKUP(F106,$X$2:$Y$7,2,FALSE())</f>
        <v>1425</v>
      </c>
      <c r="S106" s="110"/>
    </row>
    <row r="107" customFormat="false" ht="15" hidden="false" customHeight="true" outlineLevel="0" collapsed="false">
      <c r="A107" s="22"/>
      <c r="B107" s="39"/>
      <c r="C107" s="39"/>
      <c r="D107" s="40"/>
      <c r="E107" s="41"/>
      <c r="F107" s="25" t="s">
        <v>32</v>
      </c>
      <c r="G107" s="42"/>
      <c r="H107" s="27"/>
      <c r="I107" s="84"/>
      <c r="J107" s="44"/>
      <c r="K107" s="45"/>
      <c r="L107" s="43"/>
      <c r="M107" s="46"/>
      <c r="N107" s="47"/>
      <c r="O107" s="47"/>
      <c r="P107" s="47"/>
      <c r="Q107" s="34"/>
      <c r="R107" s="35"/>
      <c r="S107" s="120"/>
    </row>
    <row r="108" customFormat="false" ht="15" hidden="false" customHeight="true" outlineLevel="0" collapsed="false">
      <c r="A108" s="121"/>
      <c r="B108" s="121"/>
      <c r="C108" s="121"/>
      <c r="D108" s="122"/>
      <c r="E108" s="123"/>
      <c r="F108" s="52" t="s">
        <v>3</v>
      </c>
      <c r="G108" s="111"/>
      <c r="H108" s="54" t="n">
        <f aca="false">G108*VLOOKUP(F108,$X$2:$Y$7,2,FALSE())</f>
        <v>0</v>
      </c>
      <c r="I108" s="112"/>
      <c r="J108" s="56"/>
      <c r="K108" s="57"/>
      <c r="L108" s="58" t="n">
        <f aca="false">K108*VLOOKUP(F108,$X$2:$Y$7,2,FALSE())</f>
        <v>0</v>
      </c>
      <c r="M108" s="113"/>
      <c r="N108" s="113"/>
      <c r="O108" s="113"/>
      <c r="P108" s="113"/>
      <c r="Q108" s="61" t="n">
        <f aca="false">Q102+G108-K108+M108-O108</f>
        <v>56</v>
      </c>
      <c r="R108" s="62" t="n">
        <f aca="false">R102+H108-L108+N108-O108*VLOOKUP(F108,$X$2:$Y$7,2,FALSE())</f>
        <v>826</v>
      </c>
      <c r="S108" s="114"/>
    </row>
    <row r="109" customFormat="false" ht="15" hidden="false" customHeight="true" outlineLevel="0" collapsed="false">
      <c r="A109" s="109"/>
      <c r="B109" s="109"/>
      <c r="C109" s="109"/>
      <c r="D109" s="115"/>
      <c r="E109" s="119"/>
      <c r="F109" s="25" t="s">
        <v>4</v>
      </c>
      <c r="G109" s="116"/>
      <c r="H109" s="27" t="n">
        <f aca="false">G109*VLOOKUP(F109,$X$2:$Y$7,2,FALSE())</f>
        <v>0</v>
      </c>
      <c r="I109" s="117"/>
      <c r="J109" s="44"/>
      <c r="K109" s="45"/>
      <c r="L109" s="43" t="n">
        <f aca="false">K109*VLOOKUP(F109,$X$2:$Y$7,2,FALSE())</f>
        <v>0</v>
      </c>
      <c r="M109" s="118"/>
      <c r="N109" s="118"/>
      <c r="O109" s="118"/>
      <c r="P109" s="118"/>
      <c r="Q109" s="34" t="n">
        <f aca="false">Q103+G109-K109+M109-O109</f>
        <v>3</v>
      </c>
      <c r="R109" s="35" t="n">
        <f aca="false">R103+H109-L109+N109-O109*VLOOKUP(F109,$X$2:$Y$7,2,FALSE())</f>
        <v>54</v>
      </c>
      <c r="S109" s="110"/>
    </row>
    <row r="110" customFormat="false" ht="15" hidden="false" customHeight="true" outlineLevel="0" collapsed="false">
      <c r="A110" s="109"/>
      <c r="B110" s="109"/>
      <c r="C110" s="109"/>
      <c r="D110" s="115"/>
      <c r="E110" s="119"/>
      <c r="F110" s="25" t="s">
        <v>8</v>
      </c>
      <c r="G110" s="116"/>
      <c r="H110" s="27" t="n">
        <f aca="false">G110*VLOOKUP(F110,$X$2:$Y$7,2,FALSE())</f>
        <v>0</v>
      </c>
      <c r="I110" s="117"/>
      <c r="J110" s="44"/>
      <c r="K110" s="45"/>
      <c r="L110" s="43" t="n">
        <f aca="false">K110*VLOOKUP(F110,$X$2:$Y$7,2,FALSE())</f>
        <v>0</v>
      </c>
      <c r="M110" s="118"/>
      <c r="N110" s="118"/>
      <c r="O110" s="118"/>
      <c r="P110" s="118"/>
      <c r="Q110" s="34" t="n">
        <f aca="false">Q104+G110-K110+M110-O110</f>
        <v>5</v>
      </c>
      <c r="R110" s="35" t="n">
        <f aca="false">R104+H110-L110+N110-O110*VLOOKUP(F110,$X$2:$Y$7,2,FALSE())</f>
        <v>85</v>
      </c>
      <c r="S110" s="110"/>
    </row>
    <row r="111" customFormat="false" ht="15" hidden="false" customHeight="true" outlineLevel="0" collapsed="false">
      <c r="A111" s="109"/>
      <c r="B111" s="109"/>
      <c r="C111" s="109"/>
      <c r="D111" s="115"/>
      <c r="E111" s="119"/>
      <c r="F111" s="25" t="s">
        <v>28</v>
      </c>
      <c r="G111" s="116"/>
      <c r="H111" s="27" t="n">
        <f aca="false">G111*VLOOKUP(F111,$X$2:$Y$7,2,FALSE())</f>
        <v>0</v>
      </c>
      <c r="I111" s="117"/>
      <c r="J111" s="44"/>
      <c r="K111" s="45"/>
      <c r="L111" s="43" t="n">
        <f aca="false">K111*VLOOKUP(F111,$X$2:$Y$7,2,FALSE())</f>
        <v>0</v>
      </c>
      <c r="M111" s="118"/>
      <c r="N111" s="118"/>
      <c r="O111" s="118"/>
      <c r="P111" s="118"/>
      <c r="Q111" s="34" t="n">
        <f aca="false">Q105+G111-K111+M111-O111</f>
        <v>51</v>
      </c>
      <c r="R111" s="35" t="n">
        <f aca="false">R105+H111-L111+N111-O111*VLOOKUP(F111,$X$2:$Y$7,2,FALSE())</f>
        <v>860</v>
      </c>
      <c r="S111" s="110"/>
    </row>
    <row r="112" customFormat="false" ht="15" hidden="false" customHeight="true" outlineLevel="0" collapsed="false">
      <c r="A112" s="109"/>
      <c r="B112" s="109"/>
      <c r="C112" s="109"/>
      <c r="D112" s="115"/>
      <c r="E112" s="119"/>
      <c r="F112" s="25" t="s">
        <v>31</v>
      </c>
      <c r="G112" s="116"/>
      <c r="H112" s="27" t="n">
        <f aca="false">G112*VLOOKUP(F112,$X$2:$Y$7,2,FALSE())</f>
        <v>0</v>
      </c>
      <c r="I112" s="117"/>
      <c r="J112" s="44"/>
      <c r="K112" s="45"/>
      <c r="L112" s="43" t="n">
        <f aca="false">K112*VLOOKUP(F112,$X$2:$Y$7,2,FALSE())</f>
        <v>0</v>
      </c>
      <c r="M112" s="118"/>
      <c r="N112" s="118"/>
      <c r="O112" s="118"/>
      <c r="P112" s="118"/>
      <c r="Q112" s="34" t="n">
        <f aca="false">Q106+G112-K112+M112-O112</f>
        <v>15</v>
      </c>
      <c r="R112" s="35" t="n">
        <f aca="false">R106+H112-L112+N112-O112*VLOOKUP(F112,$X$2:$Y$7,2,FALSE())</f>
        <v>1425</v>
      </c>
      <c r="S112" s="110"/>
    </row>
    <row r="113" customFormat="false" ht="15" hidden="false" customHeight="true" outlineLevel="0" collapsed="false">
      <c r="A113" s="22"/>
      <c r="B113" s="39"/>
      <c r="C113" s="39"/>
      <c r="D113" s="40"/>
      <c r="E113" s="41"/>
      <c r="F113" s="25" t="s">
        <v>32</v>
      </c>
      <c r="G113" s="42"/>
      <c r="H113" s="27"/>
      <c r="I113" s="84"/>
      <c r="J113" s="44"/>
      <c r="K113" s="45"/>
      <c r="L113" s="43"/>
      <c r="M113" s="46"/>
      <c r="N113" s="47"/>
      <c r="O113" s="46"/>
      <c r="P113" s="46"/>
      <c r="Q113" s="34"/>
      <c r="R113" s="35"/>
      <c r="S113" s="120"/>
    </row>
    <row r="114" customFormat="false" ht="15" hidden="false" customHeight="true" outlineLevel="0" collapsed="false">
      <c r="A114" s="121"/>
      <c r="B114" s="121"/>
      <c r="C114" s="121"/>
      <c r="D114" s="122"/>
      <c r="E114" s="123"/>
      <c r="F114" s="52" t="s">
        <v>3</v>
      </c>
      <c r="G114" s="111"/>
      <c r="H114" s="54" t="n">
        <f aca="false">G114*VLOOKUP(F114,$X$2:$Y$7,2,FALSE())</f>
        <v>0</v>
      </c>
      <c r="I114" s="112"/>
      <c r="J114" s="56"/>
      <c r="K114" s="57"/>
      <c r="L114" s="58" t="n">
        <f aca="false">K114*VLOOKUP(F114,$X$2:$Y$7,2,FALSE())</f>
        <v>0</v>
      </c>
      <c r="M114" s="113"/>
      <c r="N114" s="113"/>
      <c r="O114" s="113"/>
      <c r="P114" s="113"/>
      <c r="Q114" s="61" t="n">
        <f aca="false">Q108+G114-K114+M114-O114</f>
        <v>56</v>
      </c>
      <c r="R114" s="62" t="n">
        <f aca="false">R108+H114-L114+N114-O114*VLOOKUP(F114,$X$2:$Y$7,2,FALSE())</f>
        <v>826</v>
      </c>
      <c r="S114" s="114"/>
    </row>
    <row r="115" customFormat="false" ht="15" hidden="false" customHeight="true" outlineLevel="0" collapsed="false">
      <c r="A115" s="109"/>
      <c r="B115" s="109"/>
      <c r="C115" s="109"/>
      <c r="D115" s="115"/>
      <c r="E115" s="119"/>
      <c r="F115" s="25" t="s">
        <v>4</v>
      </c>
      <c r="G115" s="116"/>
      <c r="H115" s="27" t="n">
        <f aca="false">G115*VLOOKUP(F115,$X$2:$Y$7,2,FALSE())</f>
        <v>0</v>
      </c>
      <c r="I115" s="117"/>
      <c r="J115" s="44"/>
      <c r="K115" s="45"/>
      <c r="L115" s="43" t="n">
        <f aca="false">K115*VLOOKUP(F115,$X$2:$Y$7,2,FALSE())</f>
        <v>0</v>
      </c>
      <c r="M115" s="118"/>
      <c r="N115" s="118"/>
      <c r="O115" s="118"/>
      <c r="P115" s="118"/>
      <c r="Q115" s="34" t="n">
        <f aca="false">Q109+G115-K115+M115-O115</f>
        <v>3</v>
      </c>
      <c r="R115" s="35" t="n">
        <f aca="false">R109+H115-L115+N115-O115*VLOOKUP(F115,$X$2:$Y$7,2,FALSE())</f>
        <v>54</v>
      </c>
      <c r="S115" s="110"/>
    </row>
    <row r="116" customFormat="false" ht="15" hidden="false" customHeight="true" outlineLevel="0" collapsed="false">
      <c r="A116" s="109"/>
      <c r="B116" s="109"/>
      <c r="C116" s="109"/>
      <c r="D116" s="115"/>
      <c r="E116" s="119"/>
      <c r="F116" s="25" t="s">
        <v>8</v>
      </c>
      <c r="G116" s="116"/>
      <c r="H116" s="27" t="n">
        <f aca="false">G116*VLOOKUP(F116,$X$2:$Y$7,2,FALSE())</f>
        <v>0</v>
      </c>
      <c r="I116" s="117"/>
      <c r="J116" s="44"/>
      <c r="K116" s="45"/>
      <c r="L116" s="43" t="n">
        <f aca="false">K116*VLOOKUP(F116,$X$2:$Y$7,2,FALSE())</f>
        <v>0</v>
      </c>
      <c r="M116" s="118"/>
      <c r="N116" s="118"/>
      <c r="O116" s="118"/>
      <c r="P116" s="118"/>
      <c r="Q116" s="34" t="n">
        <f aca="false">Q110+G116-K116+M116-O116</f>
        <v>5</v>
      </c>
      <c r="R116" s="35" t="n">
        <f aca="false">R110+H116-L116+N116-O116*VLOOKUP(F116,$X$2:$Y$7,2,FALSE())</f>
        <v>85</v>
      </c>
      <c r="S116" s="110"/>
    </row>
    <row r="117" customFormat="false" ht="15" hidden="false" customHeight="true" outlineLevel="0" collapsed="false">
      <c r="A117" s="109"/>
      <c r="B117" s="109"/>
      <c r="C117" s="109"/>
      <c r="D117" s="115"/>
      <c r="E117" s="119"/>
      <c r="F117" s="25" t="s">
        <v>28</v>
      </c>
      <c r="G117" s="116"/>
      <c r="H117" s="27" t="n">
        <f aca="false">G117*VLOOKUP(F117,$X$2:$Y$7,2,FALSE())</f>
        <v>0</v>
      </c>
      <c r="I117" s="117"/>
      <c r="J117" s="44"/>
      <c r="K117" s="45"/>
      <c r="L117" s="43" t="n">
        <f aca="false">K117*VLOOKUP(F117,$X$2:$Y$7,2,FALSE())</f>
        <v>0</v>
      </c>
      <c r="M117" s="118"/>
      <c r="N117" s="118"/>
      <c r="O117" s="118"/>
      <c r="P117" s="118"/>
      <c r="Q117" s="34" t="n">
        <f aca="false">Q111+G117-K117+M117-O117</f>
        <v>51</v>
      </c>
      <c r="R117" s="35" t="n">
        <f aca="false">R111+H117-L117+N117-O117*VLOOKUP(F117,$X$2:$Y$7,2,FALSE())</f>
        <v>860</v>
      </c>
      <c r="S117" s="110"/>
    </row>
    <row r="118" customFormat="false" ht="15" hidden="false" customHeight="true" outlineLevel="0" collapsed="false">
      <c r="A118" s="109"/>
      <c r="B118" s="109"/>
      <c r="C118" s="109"/>
      <c r="D118" s="115"/>
      <c r="E118" s="119"/>
      <c r="F118" s="25" t="s">
        <v>31</v>
      </c>
      <c r="G118" s="116"/>
      <c r="H118" s="27" t="n">
        <f aca="false">G118*VLOOKUP(F118,$X$2:$Y$7,2,FALSE())</f>
        <v>0</v>
      </c>
      <c r="I118" s="117"/>
      <c r="J118" s="44"/>
      <c r="K118" s="45"/>
      <c r="L118" s="43" t="n">
        <f aca="false">K118*VLOOKUP(F118,$X$2:$Y$7,2,FALSE())</f>
        <v>0</v>
      </c>
      <c r="M118" s="118"/>
      <c r="N118" s="118"/>
      <c r="O118" s="118"/>
      <c r="P118" s="118"/>
      <c r="Q118" s="34" t="n">
        <f aca="false">Q112+G118-K118+M118-O118</f>
        <v>15</v>
      </c>
      <c r="R118" s="35" t="n">
        <f aca="false">R112+H118-L118+N118-O118*VLOOKUP(F118,$X$2:$Y$7,2,FALSE())</f>
        <v>1425</v>
      </c>
      <c r="S118" s="110"/>
    </row>
    <row r="119" customFormat="false" ht="15" hidden="false" customHeight="true" outlineLevel="0" collapsed="false">
      <c r="A119" s="22"/>
      <c r="B119" s="39"/>
      <c r="C119" s="39"/>
      <c r="D119" s="40"/>
      <c r="E119" s="41"/>
      <c r="F119" s="25" t="s">
        <v>32</v>
      </c>
      <c r="G119" s="42"/>
      <c r="H119" s="27"/>
      <c r="I119" s="84"/>
      <c r="J119" s="44"/>
      <c r="K119" s="45"/>
      <c r="L119" s="43"/>
      <c r="M119" s="46"/>
      <c r="N119" s="47"/>
      <c r="O119" s="46"/>
      <c r="P119" s="46"/>
      <c r="Q119" s="34"/>
      <c r="R119" s="35"/>
      <c r="S119" s="120"/>
    </row>
    <row r="120" customFormat="false" ht="15" hidden="false" customHeight="true" outlineLevel="0" collapsed="false">
      <c r="A120" s="121"/>
      <c r="B120" s="121"/>
      <c r="C120" s="121"/>
      <c r="D120" s="122"/>
      <c r="E120" s="123"/>
      <c r="F120" s="52" t="s">
        <v>3</v>
      </c>
      <c r="G120" s="111"/>
      <c r="H120" s="54" t="n">
        <f aca="false">G120*VLOOKUP(F120,$X$2:$Y$7,2,FALSE())</f>
        <v>0</v>
      </c>
      <c r="I120" s="112"/>
      <c r="J120" s="56"/>
      <c r="K120" s="57"/>
      <c r="L120" s="58" t="n">
        <f aca="false">K120*VLOOKUP(F120,$X$2:$Y$7,2,FALSE())</f>
        <v>0</v>
      </c>
      <c r="M120" s="113"/>
      <c r="N120" s="113"/>
      <c r="O120" s="113"/>
      <c r="P120" s="113"/>
      <c r="Q120" s="61" t="n">
        <f aca="false">Q114+G120-K120+M120-O120</f>
        <v>56</v>
      </c>
      <c r="R120" s="62" t="n">
        <f aca="false">R114+H120-L120+N120-O120*VLOOKUP(F120,$X$2:$Y$7,2,FALSE())</f>
        <v>826</v>
      </c>
      <c r="S120" s="114"/>
    </row>
    <row r="121" customFormat="false" ht="15" hidden="false" customHeight="true" outlineLevel="0" collapsed="false">
      <c r="A121" s="109"/>
      <c r="B121" s="109"/>
      <c r="C121" s="109"/>
      <c r="D121" s="115"/>
      <c r="E121" s="119"/>
      <c r="F121" s="25" t="s">
        <v>4</v>
      </c>
      <c r="G121" s="116"/>
      <c r="H121" s="27" t="n">
        <f aca="false">G121*VLOOKUP(F121,$X$2:$Y$7,2,FALSE())</f>
        <v>0</v>
      </c>
      <c r="I121" s="117"/>
      <c r="J121" s="44"/>
      <c r="K121" s="45"/>
      <c r="L121" s="43" t="n">
        <f aca="false">K121*VLOOKUP(F121,$X$2:$Y$7,2,FALSE())</f>
        <v>0</v>
      </c>
      <c r="M121" s="118"/>
      <c r="N121" s="118"/>
      <c r="O121" s="118"/>
      <c r="P121" s="118"/>
      <c r="Q121" s="34" t="n">
        <f aca="false">Q115+G121-K121+M121-O121</f>
        <v>3</v>
      </c>
      <c r="R121" s="35" t="n">
        <f aca="false">R115+H121-L121+N121-O121*VLOOKUP(F121,$X$2:$Y$7,2,FALSE())</f>
        <v>54</v>
      </c>
      <c r="S121" s="110"/>
    </row>
    <row r="122" customFormat="false" ht="15" hidden="false" customHeight="true" outlineLevel="0" collapsed="false">
      <c r="A122" s="109"/>
      <c r="B122" s="109"/>
      <c r="C122" s="109"/>
      <c r="D122" s="115"/>
      <c r="E122" s="119"/>
      <c r="F122" s="25" t="s">
        <v>8</v>
      </c>
      <c r="G122" s="116"/>
      <c r="H122" s="27" t="n">
        <f aca="false">G122*VLOOKUP(F122,$X$2:$Y$7,2,FALSE())</f>
        <v>0</v>
      </c>
      <c r="I122" s="117"/>
      <c r="J122" s="44"/>
      <c r="K122" s="45"/>
      <c r="L122" s="43" t="n">
        <f aca="false">K122*VLOOKUP(F122,$X$2:$Y$7,2,FALSE())</f>
        <v>0</v>
      </c>
      <c r="M122" s="118"/>
      <c r="N122" s="118"/>
      <c r="O122" s="118"/>
      <c r="P122" s="118"/>
      <c r="Q122" s="34" t="n">
        <f aca="false">Q116+G122-K122+M122-O122</f>
        <v>5</v>
      </c>
      <c r="R122" s="35" t="n">
        <f aca="false">R116+H122-L122+N122-O122*VLOOKUP(F122,$X$2:$Y$7,2,FALSE())</f>
        <v>85</v>
      </c>
      <c r="S122" s="110"/>
    </row>
    <row r="123" customFormat="false" ht="15" hidden="false" customHeight="true" outlineLevel="0" collapsed="false">
      <c r="A123" s="109"/>
      <c r="B123" s="109"/>
      <c r="C123" s="109"/>
      <c r="D123" s="115"/>
      <c r="E123" s="119"/>
      <c r="F123" s="25" t="s">
        <v>28</v>
      </c>
      <c r="G123" s="116"/>
      <c r="H123" s="27" t="n">
        <f aca="false">G123*VLOOKUP(F123,$X$2:$Y$7,2,FALSE())</f>
        <v>0</v>
      </c>
      <c r="I123" s="117"/>
      <c r="J123" s="44"/>
      <c r="K123" s="45"/>
      <c r="L123" s="43" t="n">
        <f aca="false">K123*VLOOKUP(F123,$X$2:$Y$7,2,FALSE())</f>
        <v>0</v>
      </c>
      <c r="M123" s="118"/>
      <c r="N123" s="118"/>
      <c r="O123" s="118"/>
      <c r="P123" s="118"/>
      <c r="Q123" s="34" t="n">
        <f aca="false">Q117+G123-K123+M123-O123</f>
        <v>51</v>
      </c>
      <c r="R123" s="35" t="n">
        <f aca="false">R117+H123-L123+N123-O123*VLOOKUP(F123,$X$2:$Y$7,2,FALSE())</f>
        <v>860</v>
      </c>
      <c r="S123" s="110"/>
    </row>
    <row r="124" customFormat="false" ht="15" hidden="false" customHeight="true" outlineLevel="0" collapsed="false">
      <c r="A124" s="109"/>
      <c r="B124" s="109"/>
      <c r="C124" s="109"/>
      <c r="D124" s="115"/>
      <c r="E124" s="119"/>
      <c r="F124" s="25" t="s">
        <v>31</v>
      </c>
      <c r="G124" s="116"/>
      <c r="H124" s="27" t="n">
        <f aca="false">G124*VLOOKUP(F124,$X$2:$Y$7,2,FALSE())</f>
        <v>0</v>
      </c>
      <c r="I124" s="117"/>
      <c r="J124" s="44"/>
      <c r="K124" s="45"/>
      <c r="L124" s="43" t="n">
        <f aca="false">K124*VLOOKUP(F124,$X$2:$Y$7,2,FALSE())</f>
        <v>0</v>
      </c>
      <c r="M124" s="118"/>
      <c r="N124" s="118"/>
      <c r="O124" s="118"/>
      <c r="P124" s="118"/>
      <c r="Q124" s="34" t="n">
        <f aca="false">Q118+G124-K124+M124-O124</f>
        <v>15</v>
      </c>
      <c r="R124" s="35" t="n">
        <f aca="false">R118+H124-L124+N124-O124*VLOOKUP(F124,$X$2:$Y$7,2,FALSE())</f>
        <v>1425</v>
      </c>
      <c r="S124" s="110"/>
    </row>
    <row r="125" customFormat="false" ht="15" hidden="false" customHeight="true" outlineLevel="0" collapsed="false">
      <c r="A125" s="22"/>
      <c r="B125" s="39"/>
      <c r="C125" s="39"/>
      <c r="D125" s="40"/>
      <c r="E125" s="41"/>
      <c r="F125" s="25" t="s">
        <v>32</v>
      </c>
      <c r="G125" s="42"/>
      <c r="H125" s="27"/>
      <c r="I125" s="84"/>
      <c r="J125" s="44"/>
      <c r="K125" s="45"/>
      <c r="L125" s="43"/>
      <c r="M125" s="46"/>
      <c r="N125" s="47"/>
      <c r="O125" s="46"/>
      <c r="P125" s="46"/>
      <c r="Q125" s="34"/>
      <c r="R125" s="35"/>
      <c r="S125" s="120"/>
    </row>
    <row r="126" customFormat="false" ht="15" hidden="false" customHeight="true" outlineLevel="0" collapsed="false">
      <c r="A126" s="124"/>
      <c r="B126" s="125"/>
      <c r="C126" s="110"/>
      <c r="D126" s="125"/>
      <c r="E126" s="126"/>
      <c r="F126" s="52" t="s">
        <v>3</v>
      </c>
      <c r="G126" s="125"/>
      <c r="H126" s="54" t="n">
        <f aca="false">G126*VLOOKUP(F126,$X$2:$Y$7,2,FALSE())</f>
        <v>0</v>
      </c>
      <c r="I126" s="110"/>
      <c r="J126" s="127"/>
      <c r="K126" s="125"/>
      <c r="L126" s="58" t="n">
        <f aca="false">K126*VLOOKUP(F126,$X$2:$Y$7,2,FALSE())</f>
        <v>0</v>
      </c>
      <c r="M126" s="125"/>
      <c r="N126" s="125"/>
      <c r="O126" s="128"/>
      <c r="P126" s="110"/>
      <c r="Q126" s="61" t="n">
        <f aca="false">Q120+G126-K126+M126-O126</f>
        <v>56</v>
      </c>
      <c r="R126" s="62" t="n">
        <f aca="false">R120+H126-L126+N126-O126*VLOOKUP(F126,$X$2:$Y$7,2,FALSE())</f>
        <v>826</v>
      </c>
      <c r="S126" s="110"/>
    </row>
    <row r="127" customFormat="false" ht="15" hidden="false" customHeight="true" outlineLevel="0" collapsed="false">
      <c r="F127" s="52" t="s">
        <v>4</v>
      </c>
      <c r="H127" s="54" t="n">
        <f aca="false">G127*VLOOKUP(F127,$X$2:$Y$7,2,FALSE())</f>
        <v>0</v>
      </c>
      <c r="L127" s="58" t="n">
        <f aca="false">K127*VLOOKUP(F127,$X$2:$Y$7,2,FALSE())</f>
        <v>0</v>
      </c>
      <c r="Q127" s="61" t="n">
        <f aca="false">Q121+G127-K127+M127-O127</f>
        <v>3</v>
      </c>
      <c r="R127" s="62" t="n">
        <f aca="false">R121+H127-L127+N127-O127*VLOOKUP(F127,$X$2:$Y$7,2,FALSE())</f>
        <v>54</v>
      </c>
    </row>
    <row r="128" customFormat="false" ht="15" hidden="false" customHeight="true" outlineLevel="0" collapsed="false">
      <c r="F128" s="52" t="s">
        <v>8</v>
      </c>
      <c r="H128" s="54" t="n">
        <f aca="false">G128*VLOOKUP(F128,$X$2:$Y$7,2,FALSE())</f>
        <v>0</v>
      </c>
      <c r="L128" s="58" t="n">
        <f aca="false">K128*VLOOKUP(F128,$X$2:$Y$7,2,FALSE())</f>
        <v>0</v>
      </c>
      <c r="Q128" s="61" t="n">
        <f aca="false">Q122+G128-K128+M128-O128</f>
        <v>5</v>
      </c>
      <c r="R128" s="62" t="n">
        <f aca="false">R122+H128-L128+N128-O128*VLOOKUP(F128,$X$2:$Y$7,2,FALSE())</f>
        <v>85</v>
      </c>
    </row>
    <row r="129" customFormat="false" ht="15" hidden="false" customHeight="true" outlineLevel="0" collapsed="false">
      <c r="F129" s="52" t="s">
        <v>28</v>
      </c>
      <c r="H129" s="54" t="n">
        <f aca="false">G129*VLOOKUP(F129,$X$2:$Y$7,2,FALSE())</f>
        <v>0</v>
      </c>
      <c r="L129" s="58" t="n">
        <f aca="false">K129*VLOOKUP(F129,$X$2:$Y$7,2,FALSE())</f>
        <v>0</v>
      </c>
      <c r="Q129" s="61" t="n">
        <f aca="false">Q123+G129-K129+M129-O129</f>
        <v>51</v>
      </c>
      <c r="R129" s="62" t="n">
        <f aca="false">R123+H129-L129+N129-O129*VLOOKUP(F129,$X$2:$Y$7,2,FALSE())</f>
        <v>860</v>
      </c>
    </row>
    <row r="130" customFormat="false" ht="15" hidden="false" customHeight="true" outlineLevel="0" collapsed="false">
      <c r="F130" s="52" t="s">
        <v>31</v>
      </c>
      <c r="H130" s="54" t="n">
        <f aca="false">G130*VLOOKUP(F130,$X$2:$Y$7,2,FALSE())</f>
        <v>0</v>
      </c>
      <c r="L130" s="58" t="n">
        <f aca="false">K130*VLOOKUP(F130,$X$2:$Y$7,2,FALSE())</f>
        <v>0</v>
      </c>
      <c r="Q130" s="61" t="n">
        <f aca="false">Q124+G130-K130+M130-O130</f>
        <v>15</v>
      </c>
      <c r="R130" s="62" t="n">
        <f aca="false">R124+H130-L130+N130-O130*VLOOKUP(F130,$X$2:$Y$7,2,FALSE())</f>
        <v>1425</v>
      </c>
    </row>
    <row r="131" customFormat="false" ht="15" hidden="false" customHeight="true" outlineLevel="0" collapsed="false">
      <c r="F131" s="25" t="s">
        <v>32</v>
      </c>
    </row>
    <row r="132" customFormat="false" ht="15" hidden="false" customHeight="true" outlineLevel="0" collapsed="false">
      <c r="F132" s="52" t="s">
        <v>3</v>
      </c>
      <c r="H132" s="54" t="n">
        <f aca="false">G132*VLOOKUP(F132,$X$2:$Y$7,2,FALSE())</f>
        <v>0</v>
      </c>
      <c r="L132" s="58" t="n">
        <f aca="false">K132*VLOOKUP(F132,$X$2:$Y$7,2,FALSE())</f>
        <v>0</v>
      </c>
      <c r="Q132" s="61" t="n">
        <f aca="false">Q126+G132-K132+M132-O132</f>
        <v>56</v>
      </c>
      <c r="R132" s="62" t="n">
        <f aca="false">R126+H132-L132+N132-O132*VLOOKUP(F132,$X$2:$Y$7,2,FALSE())</f>
        <v>826</v>
      </c>
    </row>
    <row r="133" customFormat="false" ht="15" hidden="false" customHeight="true" outlineLevel="0" collapsed="false">
      <c r="F133" s="52" t="s">
        <v>4</v>
      </c>
      <c r="H133" s="54" t="n">
        <f aca="false">G133*VLOOKUP(F133,$X$2:$Y$7,2,FALSE())</f>
        <v>0</v>
      </c>
      <c r="L133" s="58" t="n">
        <f aca="false">K133*VLOOKUP(F133,$X$2:$Y$7,2,FALSE())</f>
        <v>0</v>
      </c>
      <c r="Q133" s="61" t="n">
        <f aca="false">Q127+G133-K133+M133-O133</f>
        <v>3</v>
      </c>
      <c r="R133" s="62" t="n">
        <f aca="false">R127+H133-L133+N133-O133*VLOOKUP(F133,$X$2:$Y$7,2,FALSE())</f>
        <v>54</v>
      </c>
    </row>
    <row r="134" customFormat="false" ht="15" hidden="false" customHeight="true" outlineLevel="0" collapsed="false">
      <c r="F134" s="52" t="s">
        <v>8</v>
      </c>
      <c r="H134" s="54" t="n">
        <f aca="false">G134*VLOOKUP(F134,$X$2:$Y$7,2,FALSE())</f>
        <v>0</v>
      </c>
      <c r="L134" s="58" t="n">
        <f aca="false">K134*VLOOKUP(F134,$X$2:$Y$7,2,FALSE())</f>
        <v>0</v>
      </c>
      <c r="Q134" s="61" t="n">
        <f aca="false">Q128+G134-K134+M134-O134</f>
        <v>5</v>
      </c>
      <c r="R134" s="62" t="n">
        <f aca="false">R128+H134-L134+N134-O134*VLOOKUP(F134,$X$2:$Y$7,2,FALSE())</f>
        <v>85</v>
      </c>
    </row>
    <row r="135" customFormat="false" ht="15" hidden="false" customHeight="true" outlineLevel="0" collapsed="false">
      <c r="F135" s="52" t="s">
        <v>28</v>
      </c>
      <c r="H135" s="54" t="n">
        <f aca="false">G135*VLOOKUP(F135,$X$2:$Y$7,2,FALSE())</f>
        <v>0</v>
      </c>
      <c r="L135" s="58" t="n">
        <f aca="false">K135*VLOOKUP(F135,$X$2:$Y$7,2,FALSE())</f>
        <v>0</v>
      </c>
      <c r="Q135" s="61" t="n">
        <f aca="false">Q129+G135-K135+M135-O135</f>
        <v>51</v>
      </c>
      <c r="R135" s="62" t="n">
        <f aca="false">R129+H135-L135+N135-O135*VLOOKUP(F135,$X$2:$Y$7,2,FALSE())</f>
        <v>860</v>
      </c>
    </row>
    <row r="136" customFormat="false" ht="15" hidden="false" customHeight="true" outlineLevel="0" collapsed="false">
      <c r="F136" s="52" t="s">
        <v>31</v>
      </c>
      <c r="H136" s="54" t="n">
        <f aca="false">G136*VLOOKUP(F136,$X$2:$Y$7,2,FALSE())</f>
        <v>0</v>
      </c>
      <c r="L136" s="58" t="n">
        <f aca="false">K136*VLOOKUP(F136,$X$2:$Y$7,2,FALSE())</f>
        <v>0</v>
      </c>
      <c r="Q136" s="61" t="n">
        <f aca="false">Q130+G136-K136+M136-O136</f>
        <v>15</v>
      </c>
      <c r="R136" s="62" t="n">
        <f aca="false">R130+H136-L136+N136-O136*VLOOKUP(F136,$X$2:$Y$7,2,FALSE())</f>
        <v>1425</v>
      </c>
    </row>
    <row r="137" customFormat="false" ht="15" hidden="false" customHeight="true" outlineLevel="0" collapsed="false">
      <c r="F137" s="25" t="s">
        <v>32</v>
      </c>
    </row>
    <row r="138" customFormat="false" ht="15" hidden="false" customHeight="true" outlineLevel="0" collapsed="false">
      <c r="F138" s="52" t="s">
        <v>3</v>
      </c>
      <c r="H138" s="54" t="n">
        <f aca="false">G138*VLOOKUP(F138,$X$2:$Y$7,2,FALSE())</f>
        <v>0</v>
      </c>
      <c r="L138" s="58" t="n">
        <f aca="false">K138*VLOOKUP(F138,$X$2:$Y$7,2,FALSE())</f>
        <v>0</v>
      </c>
      <c r="Q138" s="61" t="n">
        <f aca="false">Q132+G138-K138+M138-O138</f>
        <v>56</v>
      </c>
      <c r="R138" s="62" t="n">
        <f aca="false">R132+H138-L138+N138-O138*VLOOKUP(F138,$X$2:$Y$7,2,FALSE())</f>
        <v>826</v>
      </c>
    </row>
    <row r="139" customFormat="false" ht="15" hidden="false" customHeight="true" outlineLevel="0" collapsed="false">
      <c r="F139" s="52" t="s">
        <v>4</v>
      </c>
      <c r="H139" s="54" t="n">
        <f aca="false">G139*VLOOKUP(F139,$X$2:$Y$7,2,FALSE())</f>
        <v>0</v>
      </c>
      <c r="L139" s="58" t="n">
        <f aca="false">K139*VLOOKUP(F139,$X$2:$Y$7,2,FALSE())</f>
        <v>0</v>
      </c>
      <c r="Q139" s="61" t="n">
        <f aca="false">Q133+G139-K139+M139-O139</f>
        <v>3</v>
      </c>
      <c r="R139" s="62" t="n">
        <f aca="false">R133+H139-L139+N139-O139*VLOOKUP(F139,$X$2:$Y$7,2,FALSE())</f>
        <v>54</v>
      </c>
    </row>
    <row r="140" customFormat="false" ht="15" hidden="false" customHeight="true" outlineLevel="0" collapsed="false">
      <c r="F140" s="52" t="s">
        <v>8</v>
      </c>
      <c r="H140" s="54" t="n">
        <f aca="false">G140*VLOOKUP(F140,$X$2:$Y$7,2,FALSE())</f>
        <v>0</v>
      </c>
      <c r="L140" s="58" t="n">
        <f aca="false">K140*VLOOKUP(F140,$X$2:$Y$7,2,FALSE())</f>
        <v>0</v>
      </c>
      <c r="Q140" s="61" t="n">
        <f aca="false">Q134+G140-K140+M140-O140</f>
        <v>5</v>
      </c>
      <c r="R140" s="62" t="n">
        <f aca="false">R134+H140-L140+N140-O140*VLOOKUP(F140,$X$2:$Y$7,2,FALSE())</f>
        <v>85</v>
      </c>
    </row>
    <row r="141" customFormat="false" ht="15" hidden="false" customHeight="true" outlineLevel="0" collapsed="false">
      <c r="F141" s="52" t="s">
        <v>28</v>
      </c>
      <c r="H141" s="54" t="n">
        <f aca="false">G141*VLOOKUP(F141,$X$2:$Y$7,2,FALSE())</f>
        <v>0</v>
      </c>
      <c r="L141" s="58" t="n">
        <f aca="false">K141*VLOOKUP(F141,$X$2:$Y$7,2,FALSE())</f>
        <v>0</v>
      </c>
      <c r="Q141" s="61" t="n">
        <f aca="false">Q135+G141-K141+M141-O141</f>
        <v>51</v>
      </c>
      <c r="R141" s="62" t="n">
        <f aca="false">R135+H141-L141+N141-O141*VLOOKUP(F141,$X$2:$Y$7,2,FALSE())</f>
        <v>860</v>
      </c>
    </row>
    <row r="142" customFormat="false" ht="15" hidden="false" customHeight="true" outlineLevel="0" collapsed="false">
      <c r="F142" s="52" t="s">
        <v>31</v>
      </c>
      <c r="H142" s="54" t="n">
        <f aca="false">G142*VLOOKUP(F142,$X$2:$Y$7,2,FALSE())</f>
        <v>0</v>
      </c>
      <c r="L142" s="58" t="n">
        <f aca="false">K142*VLOOKUP(F142,$X$2:$Y$7,2,FALSE())</f>
        <v>0</v>
      </c>
      <c r="Q142" s="61" t="n">
        <f aca="false">Q136+G142-K142+M142-O142</f>
        <v>15</v>
      </c>
      <c r="R142" s="62" t="n">
        <f aca="false">R136+H142-L142+N142-O142*VLOOKUP(F142,$X$2:$Y$7,2,FALSE())</f>
        <v>1425</v>
      </c>
    </row>
    <row r="143" customFormat="false" ht="15" hidden="false" customHeight="true" outlineLevel="0" collapsed="false">
      <c r="F143" s="25" t="s">
        <v>32</v>
      </c>
    </row>
    <row r="144" customFormat="false" ht="15" hidden="false" customHeight="true" outlineLevel="0" collapsed="false">
      <c r="F144" s="52" t="s">
        <v>3</v>
      </c>
      <c r="H144" s="54" t="n">
        <f aca="false">G144*VLOOKUP(F144,$X$2:$Y$7,2,FALSE())</f>
        <v>0</v>
      </c>
      <c r="L144" s="58" t="n">
        <f aca="false">K144*VLOOKUP(F144,$X$2:$Y$7,2,FALSE())</f>
        <v>0</v>
      </c>
      <c r="Q144" s="61" t="n">
        <f aca="false">Q138+G144-K144+M144-O144</f>
        <v>56</v>
      </c>
      <c r="R144" s="62" t="n">
        <f aca="false">R138+H144-L144+N144-O144*VLOOKUP(F144,$X$2:$Y$7,2,FALSE())</f>
        <v>826</v>
      </c>
    </row>
    <row r="145" customFormat="false" ht="15" hidden="false" customHeight="true" outlineLevel="0" collapsed="false">
      <c r="F145" s="52" t="s">
        <v>4</v>
      </c>
      <c r="H145" s="54" t="n">
        <f aca="false">G145*VLOOKUP(F145,$X$2:$Y$7,2,FALSE())</f>
        <v>0</v>
      </c>
      <c r="L145" s="58" t="n">
        <f aca="false">K145*VLOOKUP(F145,$X$2:$Y$7,2,FALSE())</f>
        <v>0</v>
      </c>
      <c r="Q145" s="61" t="n">
        <f aca="false">Q139+G145-K145+M145-O145</f>
        <v>3</v>
      </c>
      <c r="R145" s="62" t="n">
        <f aca="false">R139+H145-L145+N145-O145*VLOOKUP(F145,$X$2:$Y$7,2,FALSE())</f>
        <v>54</v>
      </c>
    </row>
    <row r="146" customFormat="false" ht="15" hidden="false" customHeight="true" outlineLevel="0" collapsed="false">
      <c r="F146" s="52" t="s">
        <v>8</v>
      </c>
      <c r="H146" s="54" t="n">
        <f aca="false">G146*VLOOKUP(F146,$X$2:$Y$7,2,FALSE())</f>
        <v>0</v>
      </c>
      <c r="L146" s="58" t="n">
        <f aca="false">K146*VLOOKUP(F146,$X$2:$Y$7,2,FALSE())</f>
        <v>0</v>
      </c>
      <c r="Q146" s="61" t="n">
        <f aca="false">Q140+G146-K146+M146-O146</f>
        <v>5</v>
      </c>
      <c r="R146" s="62" t="n">
        <f aca="false">R140+H146-L146+N146-O146*VLOOKUP(F146,$X$2:$Y$7,2,FALSE())</f>
        <v>85</v>
      </c>
    </row>
    <row r="147" customFormat="false" ht="15" hidden="false" customHeight="true" outlineLevel="0" collapsed="false">
      <c r="F147" s="52" t="s">
        <v>28</v>
      </c>
      <c r="H147" s="54" t="n">
        <f aca="false">G147*VLOOKUP(F147,$X$2:$Y$7,2,FALSE())</f>
        <v>0</v>
      </c>
      <c r="L147" s="58" t="n">
        <f aca="false">K147*VLOOKUP(F147,$X$2:$Y$7,2,FALSE())</f>
        <v>0</v>
      </c>
      <c r="Q147" s="61" t="n">
        <f aca="false">Q141+G147-K147+M147-O147</f>
        <v>51</v>
      </c>
      <c r="R147" s="62" t="n">
        <f aca="false">R141+H147-L147+N147-O147*VLOOKUP(F147,$X$2:$Y$7,2,FALSE())</f>
        <v>860</v>
      </c>
    </row>
    <row r="148" customFormat="false" ht="15" hidden="false" customHeight="true" outlineLevel="0" collapsed="false">
      <c r="F148" s="52" t="s">
        <v>31</v>
      </c>
      <c r="H148" s="54" t="n">
        <f aca="false">G148*VLOOKUP(F148,$X$2:$Y$7,2,FALSE())</f>
        <v>0</v>
      </c>
      <c r="L148" s="58" t="n">
        <f aca="false">K148*VLOOKUP(F148,$X$2:$Y$7,2,FALSE())</f>
        <v>0</v>
      </c>
      <c r="Q148" s="61" t="n">
        <f aca="false">Q142+G148-K148+M148-O148</f>
        <v>15</v>
      </c>
      <c r="R148" s="62" t="n">
        <f aca="false">R142+H148-L148+N148-O148*VLOOKUP(F148,$X$2:$Y$7,2,FALSE())</f>
        <v>1425</v>
      </c>
    </row>
    <row r="149" customFormat="false" ht="15" hidden="false" customHeight="true" outlineLevel="0" collapsed="false">
      <c r="F149" s="25" t="s">
        <v>32</v>
      </c>
    </row>
    <row r="150" customFormat="false" ht="15" hidden="false" customHeight="true" outlineLevel="0" collapsed="false">
      <c r="F150" s="52" t="s">
        <v>3</v>
      </c>
      <c r="H150" s="54" t="n">
        <f aca="false">G150*VLOOKUP(F150,$X$2:$Y$7,2,FALSE())</f>
        <v>0</v>
      </c>
      <c r="L150" s="58" t="n">
        <f aca="false">K150*VLOOKUP(F150,$X$2:$Y$7,2,FALSE())</f>
        <v>0</v>
      </c>
      <c r="Q150" s="61" t="n">
        <f aca="false">Q144+G150-K150+M150-O150</f>
        <v>56</v>
      </c>
      <c r="R150" s="62" t="n">
        <f aca="false">R144+H150-L150+N150-O150*VLOOKUP(F150,$X$2:$Y$7,2,FALSE())</f>
        <v>826</v>
      </c>
    </row>
    <row r="151" customFormat="false" ht="15" hidden="false" customHeight="true" outlineLevel="0" collapsed="false">
      <c r="F151" s="52" t="s">
        <v>4</v>
      </c>
      <c r="H151" s="54" t="n">
        <f aca="false">G151*VLOOKUP(F151,$X$2:$Y$7,2,FALSE())</f>
        <v>0</v>
      </c>
      <c r="L151" s="58" t="n">
        <f aca="false">K151*VLOOKUP(F151,$X$2:$Y$7,2,FALSE())</f>
        <v>0</v>
      </c>
      <c r="Q151" s="61" t="n">
        <f aca="false">Q145+G151-K151+M151-O151</f>
        <v>3</v>
      </c>
      <c r="R151" s="62" t="n">
        <f aca="false">R145+H151-L151+N151-O151*VLOOKUP(F151,$X$2:$Y$7,2,FALSE())</f>
        <v>54</v>
      </c>
    </row>
    <row r="152" customFormat="false" ht="15" hidden="false" customHeight="true" outlineLevel="0" collapsed="false">
      <c r="F152" s="52" t="s">
        <v>8</v>
      </c>
      <c r="H152" s="54" t="n">
        <f aca="false">G152*VLOOKUP(F152,$X$2:$Y$7,2,FALSE())</f>
        <v>0</v>
      </c>
      <c r="L152" s="58" t="n">
        <f aca="false">K152*VLOOKUP(F152,$X$2:$Y$7,2,FALSE())</f>
        <v>0</v>
      </c>
      <c r="Q152" s="61" t="n">
        <f aca="false">Q146+G152-K152+M152-O152</f>
        <v>5</v>
      </c>
      <c r="R152" s="62" t="n">
        <f aca="false">R146+H152-L152+N152-O152*VLOOKUP(F152,$X$2:$Y$7,2,FALSE())</f>
        <v>85</v>
      </c>
    </row>
    <row r="153" customFormat="false" ht="15" hidden="false" customHeight="true" outlineLevel="0" collapsed="false">
      <c r="F153" s="52" t="s">
        <v>28</v>
      </c>
      <c r="H153" s="54" t="n">
        <f aca="false">G153*VLOOKUP(F153,$X$2:$Y$7,2,FALSE())</f>
        <v>0</v>
      </c>
      <c r="L153" s="58" t="n">
        <f aca="false">K153*VLOOKUP(F153,$X$2:$Y$7,2,FALSE())</f>
        <v>0</v>
      </c>
      <c r="Q153" s="61" t="n">
        <f aca="false">Q147+G153-K153+M153-O153</f>
        <v>51</v>
      </c>
      <c r="R153" s="62" t="n">
        <f aca="false">R147+H153-L153+N153-O153*VLOOKUP(F153,$X$2:$Y$7,2,FALSE())</f>
        <v>860</v>
      </c>
    </row>
    <row r="154" customFormat="false" ht="15" hidden="false" customHeight="true" outlineLevel="0" collapsed="false">
      <c r="F154" s="52" t="s">
        <v>31</v>
      </c>
      <c r="H154" s="54" t="n">
        <f aca="false">G154*VLOOKUP(F154,$X$2:$Y$7,2,FALSE())</f>
        <v>0</v>
      </c>
      <c r="L154" s="58" t="n">
        <f aca="false">K154*VLOOKUP(F154,$X$2:$Y$7,2,FALSE())</f>
        <v>0</v>
      </c>
      <c r="Q154" s="61" t="n">
        <f aca="false">Q148+G154-K154+M154-O154</f>
        <v>15</v>
      </c>
      <c r="R154" s="62" t="n">
        <f aca="false">R148+H154-L154+N154-O154*VLOOKUP(F154,$X$2:$Y$7,2,FALSE())</f>
        <v>1425</v>
      </c>
    </row>
    <row r="155" customFormat="false" ht="15" hidden="false" customHeight="true" outlineLevel="0" collapsed="false">
      <c r="F155" s="25" t="s">
        <v>32</v>
      </c>
    </row>
    <row r="156" customFormat="false" ht="15" hidden="false" customHeight="true" outlineLevel="0" collapsed="false">
      <c r="F156" s="52" t="s">
        <v>3</v>
      </c>
      <c r="H156" s="54" t="n">
        <f aca="false">G156*VLOOKUP(F156,$X$2:$Y$7,2,FALSE())</f>
        <v>0</v>
      </c>
      <c r="L156" s="58" t="n">
        <f aca="false">K156*VLOOKUP(F156,$X$2:$Y$7,2,FALSE())</f>
        <v>0</v>
      </c>
      <c r="Q156" s="61" t="n">
        <f aca="false">Q150+G156-K156+M156-O156</f>
        <v>56</v>
      </c>
      <c r="R156" s="62" t="n">
        <f aca="false">R150+H156-L156+N156-O156*VLOOKUP(F156,$X$2:$Y$7,2,FALSE())</f>
        <v>826</v>
      </c>
    </row>
    <row r="157" customFormat="false" ht="15" hidden="false" customHeight="true" outlineLevel="0" collapsed="false">
      <c r="F157" s="52" t="s">
        <v>4</v>
      </c>
      <c r="H157" s="54" t="n">
        <f aca="false">G157*VLOOKUP(F157,$X$2:$Y$7,2,FALSE())</f>
        <v>0</v>
      </c>
      <c r="L157" s="58" t="n">
        <f aca="false">K157*VLOOKUP(F157,$X$2:$Y$7,2,FALSE())</f>
        <v>0</v>
      </c>
      <c r="Q157" s="61" t="n">
        <f aca="false">Q151+G157-K157+M157-O157</f>
        <v>3</v>
      </c>
      <c r="R157" s="62" t="n">
        <f aca="false">R151+H157-L157+N157-O157*VLOOKUP(F157,$X$2:$Y$7,2,FALSE())</f>
        <v>54</v>
      </c>
    </row>
    <row r="158" customFormat="false" ht="15" hidden="false" customHeight="true" outlineLevel="0" collapsed="false">
      <c r="F158" s="52" t="s">
        <v>8</v>
      </c>
      <c r="H158" s="54" t="n">
        <f aca="false">G158*VLOOKUP(F158,$X$2:$Y$7,2,FALSE())</f>
        <v>0</v>
      </c>
      <c r="L158" s="58" t="n">
        <f aca="false">K158*VLOOKUP(F158,$X$2:$Y$7,2,FALSE())</f>
        <v>0</v>
      </c>
      <c r="Q158" s="61" t="n">
        <f aca="false">Q152+G158-K158+M158-O158</f>
        <v>5</v>
      </c>
      <c r="R158" s="62" t="n">
        <f aca="false">R152+H158-L158+N158-O158*VLOOKUP(F158,$X$2:$Y$7,2,FALSE())</f>
        <v>85</v>
      </c>
    </row>
    <row r="159" customFormat="false" ht="15" hidden="false" customHeight="true" outlineLevel="0" collapsed="false">
      <c r="F159" s="52" t="s">
        <v>28</v>
      </c>
      <c r="H159" s="54" t="n">
        <f aca="false">G159*VLOOKUP(F159,$X$2:$Y$7,2,FALSE())</f>
        <v>0</v>
      </c>
      <c r="L159" s="58" t="n">
        <f aca="false">K159*VLOOKUP(F159,$X$2:$Y$7,2,FALSE())</f>
        <v>0</v>
      </c>
      <c r="Q159" s="61" t="n">
        <f aca="false">Q153+G159-K159+M159-O159</f>
        <v>51</v>
      </c>
      <c r="R159" s="62" t="n">
        <f aca="false">R153+H159-L159+N159-O159*VLOOKUP(F159,$X$2:$Y$7,2,FALSE())</f>
        <v>860</v>
      </c>
    </row>
    <row r="160" customFormat="false" ht="15" hidden="false" customHeight="true" outlineLevel="0" collapsed="false">
      <c r="F160" s="52" t="s">
        <v>31</v>
      </c>
      <c r="H160" s="54" t="n">
        <f aca="false">G160*VLOOKUP(F160,$X$2:$Y$7,2,FALSE())</f>
        <v>0</v>
      </c>
      <c r="L160" s="58" t="n">
        <f aca="false">K160*VLOOKUP(F160,$X$2:$Y$7,2,FALSE())</f>
        <v>0</v>
      </c>
      <c r="Q160" s="61" t="n">
        <f aca="false">Q154+G160-K160+M160-O160</f>
        <v>15</v>
      </c>
      <c r="R160" s="62" t="n">
        <f aca="false">R154+H160-L160+N160-O160*VLOOKUP(F160,$X$2:$Y$7,2,FALSE())</f>
        <v>1425</v>
      </c>
    </row>
    <row r="161" customFormat="false" ht="15" hidden="false" customHeight="true" outlineLevel="0" collapsed="false">
      <c r="F161" s="25" t="s">
        <v>32</v>
      </c>
    </row>
    <row r="162" customFormat="false" ht="15" hidden="false" customHeight="true" outlineLevel="0" collapsed="false">
      <c r="F162" s="52" t="s">
        <v>3</v>
      </c>
      <c r="H162" s="54" t="n">
        <f aca="false">G162*VLOOKUP(F162,$X$2:$Y$7,2,FALSE())</f>
        <v>0</v>
      </c>
      <c r="L162" s="58" t="n">
        <f aca="false">K162*VLOOKUP(F162,$X$2:$Y$7,2,FALSE())</f>
        <v>0</v>
      </c>
      <c r="Q162" s="61" t="n">
        <f aca="false">Q156+G162-K162+M162-O162</f>
        <v>56</v>
      </c>
      <c r="R162" s="62" t="n">
        <f aca="false">R156+H162-L162+N162-O162*VLOOKUP(F162,$X$2:$Y$7,2,FALSE())</f>
        <v>826</v>
      </c>
    </row>
    <row r="163" customFormat="false" ht="15" hidden="false" customHeight="true" outlineLevel="0" collapsed="false">
      <c r="F163" s="52" t="s">
        <v>4</v>
      </c>
      <c r="H163" s="54" t="n">
        <f aca="false">G163*VLOOKUP(F163,$X$2:$Y$7,2,FALSE())</f>
        <v>0</v>
      </c>
      <c r="L163" s="58" t="n">
        <f aca="false">K163*VLOOKUP(F163,$X$2:$Y$7,2,FALSE())</f>
        <v>0</v>
      </c>
      <c r="Q163" s="61" t="n">
        <f aca="false">Q157+G163-K163+M163-O163</f>
        <v>3</v>
      </c>
      <c r="R163" s="62" t="n">
        <f aca="false">R157+H163-L163+N163-O163*VLOOKUP(F163,$X$2:$Y$7,2,FALSE())</f>
        <v>54</v>
      </c>
    </row>
    <row r="164" customFormat="false" ht="15" hidden="false" customHeight="true" outlineLevel="0" collapsed="false">
      <c r="F164" s="52" t="s">
        <v>8</v>
      </c>
      <c r="H164" s="54" t="n">
        <f aca="false">G164*VLOOKUP(F164,$X$2:$Y$7,2,FALSE())</f>
        <v>0</v>
      </c>
      <c r="L164" s="58" t="n">
        <f aca="false">K164*VLOOKUP(F164,$X$2:$Y$7,2,FALSE())</f>
        <v>0</v>
      </c>
      <c r="Q164" s="61" t="n">
        <f aca="false">Q158+G164-K164+M164-O164</f>
        <v>5</v>
      </c>
      <c r="R164" s="62" t="n">
        <f aca="false">R158+H164-L164+N164-O164*VLOOKUP(F164,$X$2:$Y$7,2,FALSE())</f>
        <v>85</v>
      </c>
    </row>
    <row r="165" customFormat="false" ht="15" hidden="false" customHeight="true" outlineLevel="0" collapsed="false">
      <c r="F165" s="52" t="s">
        <v>28</v>
      </c>
      <c r="H165" s="54" t="n">
        <f aca="false">G165*VLOOKUP(F165,$X$2:$Y$7,2,FALSE())</f>
        <v>0</v>
      </c>
      <c r="L165" s="58" t="n">
        <f aca="false">K165*VLOOKUP(F165,$X$2:$Y$7,2,FALSE())</f>
        <v>0</v>
      </c>
      <c r="Q165" s="61" t="n">
        <f aca="false">Q159+G165-K165+M165-O165</f>
        <v>51</v>
      </c>
      <c r="R165" s="62" t="n">
        <f aca="false">R159+H165-L165+N165-O165*VLOOKUP(F165,$X$2:$Y$7,2,FALSE())</f>
        <v>860</v>
      </c>
    </row>
    <row r="166" customFormat="false" ht="15" hidden="false" customHeight="true" outlineLevel="0" collapsed="false">
      <c r="F166" s="52" t="s">
        <v>31</v>
      </c>
      <c r="H166" s="54" t="n">
        <f aca="false">G166*VLOOKUP(F166,$X$2:$Y$7,2,FALSE())</f>
        <v>0</v>
      </c>
      <c r="L166" s="58" t="n">
        <f aca="false">K166*VLOOKUP(F166,$X$2:$Y$7,2,FALSE())</f>
        <v>0</v>
      </c>
      <c r="Q166" s="61" t="n">
        <f aca="false">Q160+G166-K166+M166-O166</f>
        <v>15</v>
      </c>
      <c r="R166" s="62" t="n">
        <f aca="false">R160+H166-L166+N166-O166*VLOOKUP(F166,$X$2:$Y$7,2,FALSE())</f>
        <v>1425</v>
      </c>
    </row>
    <row r="167" customFormat="false" ht="15" hidden="false" customHeight="true" outlineLevel="0" collapsed="false">
      <c r="F167" s="25" t="s">
        <v>32</v>
      </c>
    </row>
    <row r="168" customFormat="false" ht="15" hidden="false" customHeight="true" outlineLevel="0" collapsed="false">
      <c r="F168" s="52" t="s">
        <v>3</v>
      </c>
      <c r="H168" s="54" t="n">
        <f aca="false">G168*VLOOKUP(F168,$X$2:$Y$7,2,FALSE())</f>
        <v>0</v>
      </c>
      <c r="L168" s="58" t="n">
        <f aca="false">K168*VLOOKUP(F168,$X$2:$Y$7,2,FALSE())</f>
        <v>0</v>
      </c>
      <c r="Q168" s="61" t="n">
        <f aca="false">Q162+G168-K168+M168-O168</f>
        <v>56</v>
      </c>
      <c r="R168" s="62" t="n">
        <f aca="false">R162+H168-L168+N168-O168*VLOOKUP(F168,$X$2:$Y$7,2,FALSE())</f>
        <v>826</v>
      </c>
    </row>
    <row r="169" customFormat="false" ht="15" hidden="false" customHeight="true" outlineLevel="0" collapsed="false">
      <c r="F169" s="52" t="s">
        <v>4</v>
      </c>
      <c r="H169" s="54" t="n">
        <f aca="false">G169*VLOOKUP(F169,$X$2:$Y$7,2,FALSE())</f>
        <v>0</v>
      </c>
      <c r="L169" s="58" t="n">
        <f aca="false">K169*VLOOKUP(F169,$X$2:$Y$7,2,FALSE())</f>
        <v>0</v>
      </c>
      <c r="Q169" s="61" t="n">
        <f aca="false">Q163+G169-K169+M169-O169</f>
        <v>3</v>
      </c>
      <c r="R169" s="62" t="n">
        <f aca="false">R163+H169-L169+N169-O169*VLOOKUP(F169,$X$2:$Y$7,2,FALSE())</f>
        <v>54</v>
      </c>
    </row>
    <row r="170" customFormat="false" ht="15" hidden="false" customHeight="true" outlineLevel="0" collapsed="false">
      <c r="F170" s="52" t="s">
        <v>8</v>
      </c>
      <c r="H170" s="54" t="n">
        <f aca="false">G170*VLOOKUP(F170,$X$2:$Y$7,2,FALSE())</f>
        <v>0</v>
      </c>
      <c r="L170" s="58" t="n">
        <f aca="false">K170*VLOOKUP(F170,$X$2:$Y$7,2,FALSE())</f>
        <v>0</v>
      </c>
      <c r="Q170" s="61" t="n">
        <f aca="false">Q164+G170-K170+M170-O170</f>
        <v>5</v>
      </c>
      <c r="R170" s="62" t="n">
        <f aca="false">R164+H170-L170+N170-O170*VLOOKUP(F170,$X$2:$Y$7,2,FALSE())</f>
        <v>85</v>
      </c>
    </row>
    <row r="171" customFormat="false" ht="15" hidden="false" customHeight="true" outlineLevel="0" collapsed="false">
      <c r="F171" s="52" t="s">
        <v>28</v>
      </c>
      <c r="H171" s="54" t="n">
        <f aca="false">G171*VLOOKUP(F171,$X$2:$Y$7,2,FALSE())</f>
        <v>0</v>
      </c>
      <c r="L171" s="58" t="n">
        <f aca="false">K171*VLOOKUP(F171,$X$2:$Y$7,2,FALSE())</f>
        <v>0</v>
      </c>
      <c r="Q171" s="61" t="n">
        <f aca="false">Q165+G171-K171+M171-O171</f>
        <v>51</v>
      </c>
      <c r="R171" s="62" t="n">
        <f aca="false">R165+H171-L171+N171-O171*VLOOKUP(F171,$X$2:$Y$7,2,FALSE())</f>
        <v>860</v>
      </c>
    </row>
    <row r="172" customFormat="false" ht="15" hidden="false" customHeight="true" outlineLevel="0" collapsed="false">
      <c r="F172" s="52" t="s">
        <v>31</v>
      </c>
      <c r="H172" s="54" t="n">
        <f aca="false">G172*VLOOKUP(F172,$X$2:$Y$7,2,FALSE())</f>
        <v>0</v>
      </c>
      <c r="L172" s="58" t="n">
        <f aca="false">K172*VLOOKUP(F172,$X$2:$Y$7,2,FALSE())</f>
        <v>0</v>
      </c>
      <c r="Q172" s="61" t="n">
        <f aca="false">Q166+G172-K172+M172-O172</f>
        <v>15</v>
      </c>
      <c r="R172" s="62" t="n">
        <f aca="false">R166+H172-L172+N172-O172*VLOOKUP(F172,$X$2:$Y$7,2,FALSE())</f>
        <v>1425</v>
      </c>
    </row>
    <row r="173" customFormat="false" ht="15" hidden="false" customHeight="true" outlineLevel="0" collapsed="false">
      <c r="F173" s="25" t="s">
        <v>32</v>
      </c>
    </row>
    <row r="174" customFormat="false" ht="15" hidden="false" customHeight="true" outlineLevel="0" collapsed="false">
      <c r="F174" s="52" t="s">
        <v>3</v>
      </c>
      <c r="H174" s="54" t="n">
        <f aca="false">G174*VLOOKUP(F174,$X$2:$Y$7,2,FALSE())</f>
        <v>0</v>
      </c>
      <c r="L174" s="58" t="n">
        <f aca="false">K174*VLOOKUP(F174,$X$2:$Y$7,2,FALSE())</f>
        <v>0</v>
      </c>
      <c r="Q174" s="61" t="n">
        <f aca="false">Q168+G174-K174+M174-O174</f>
        <v>56</v>
      </c>
      <c r="R174" s="62" t="n">
        <f aca="false">R168+H174-L174+N174-O174*VLOOKUP(F174,$X$2:$Y$7,2,FALSE())</f>
        <v>826</v>
      </c>
    </row>
    <row r="175" customFormat="false" ht="15" hidden="false" customHeight="true" outlineLevel="0" collapsed="false">
      <c r="F175" s="52" t="s">
        <v>4</v>
      </c>
      <c r="H175" s="54" t="n">
        <f aca="false">G175*VLOOKUP(F175,$X$2:$Y$7,2,FALSE())</f>
        <v>0</v>
      </c>
      <c r="L175" s="58" t="n">
        <f aca="false">K175*VLOOKUP(F175,$X$2:$Y$7,2,FALSE())</f>
        <v>0</v>
      </c>
      <c r="Q175" s="61" t="n">
        <f aca="false">Q169+G175-K175+M175-O175</f>
        <v>3</v>
      </c>
      <c r="R175" s="62" t="n">
        <f aca="false">R169+H175-L175+N175-O175*VLOOKUP(F175,$X$2:$Y$7,2,FALSE())</f>
        <v>54</v>
      </c>
    </row>
    <row r="176" customFormat="false" ht="15" hidden="false" customHeight="true" outlineLevel="0" collapsed="false">
      <c r="F176" s="52" t="s">
        <v>8</v>
      </c>
      <c r="H176" s="54" t="n">
        <f aca="false">G176*VLOOKUP(F176,$X$2:$Y$7,2,FALSE())</f>
        <v>0</v>
      </c>
      <c r="L176" s="58" t="n">
        <f aca="false">K176*VLOOKUP(F176,$X$2:$Y$7,2,FALSE())</f>
        <v>0</v>
      </c>
      <c r="Q176" s="61" t="n">
        <f aca="false">Q170+G176-K176+M176-O176</f>
        <v>5</v>
      </c>
      <c r="R176" s="62" t="n">
        <f aca="false">R170+H176-L176+N176-O176*VLOOKUP(F176,$X$2:$Y$7,2,FALSE())</f>
        <v>85</v>
      </c>
    </row>
    <row r="177" customFormat="false" ht="15" hidden="false" customHeight="true" outlineLevel="0" collapsed="false">
      <c r="F177" s="52" t="s">
        <v>28</v>
      </c>
      <c r="H177" s="54" t="n">
        <f aca="false">G177*VLOOKUP(F177,$X$2:$Y$7,2,FALSE())</f>
        <v>0</v>
      </c>
      <c r="L177" s="58" t="n">
        <f aca="false">K177*VLOOKUP(F177,$X$2:$Y$7,2,FALSE())</f>
        <v>0</v>
      </c>
      <c r="Q177" s="61" t="n">
        <f aca="false">Q171+G177-K177+M177-O177</f>
        <v>51</v>
      </c>
      <c r="R177" s="62" t="n">
        <f aca="false">R171+H177-L177+N177-O177*VLOOKUP(F177,$X$2:$Y$7,2,FALSE())</f>
        <v>860</v>
      </c>
    </row>
    <row r="178" customFormat="false" ht="15" hidden="false" customHeight="true" outlineLevel="0" collapsed="false">
      <c r="F178" s="52" t="s">
        <v>31</v>
      </c>
      <c r="H178" s="54" t="n">
        <f aca="false">G178*VLOOKUP(F178,$X$2:$Y$7,2,FALSE())</f>
        <v>0</v>
      </c>
      <c r="L178" s="58" t="n">
        <f aca="false">K178*VLOOKUP(F178,$X$2:$Y$7,2,FALSE())</f>
        <v>0</v>
      </c>
      <c r="Q178" s="61" t="n">
        <f aca="false">Q172+G178-K178+M178-O178</f>
        <v>15</v>
      </c>
      <c r="R178" s="62" t="n">
        <f aca="false">R172+H178-L178+N178-O178*VLOOKUP(F178,$X$2:$Y$7,2,FALSE())</f>
        <v>1425</v>
      </c>
    </row>
    <row r="179" customFormat="false" ht="15" hidden="false" customHeight="true" outlineLevel="0" collapsed="false">
      <c r="F179" s="25" t="s">
        <v>32</v>
      </c>
    </row>
    <row r="180" customFormat="false" ht="15" hidden="false" customHeight="true" outlineLevel="0" collapsed="false">
      <c r="F180" s="52" t="s">
        <v>3</v>
      </c>
      <c r="H180" s="54" t="n">
        <f aca="false">G180*VLOOKUP(F180,$X$2:$Y$7,2,FALSE())</f>
        <v>0</v>
      </c>
      <c r="L180" s="58" t="n">
        <f aca="false">K180*VLOOKUP(F180,$X$2:$Y$7,2,FALSE())</f>
        <v>0</v>
      </c>
      <c r="Q180" s="61" t="n">
        <f aca="false">Q174+G180-K180+M180-O180</f>
        <v>56</v>
      </c>
      <c r="R180" s="62" t="n">
        <f aca="false">R174+H180-L180+N180-O180*VLOOKUP(F180,$X$2:$Y$7,2,FALSE())</f>
        <v>826</v>
      </c>
    </row>
    <row r="181" customFormat="false" ht="15" hidden="false" customHeight="true" outlineLevel="0" collapsed="false">
      <c r="F181" s="52" t="s">
        <v>4</v>
      </c>
      <c r="H181" s="54" t="n">
        <f aca="false">G181*VLOOKUP(F181,$X$2:$Y$7,2,FALSE())</f>
        <v>0</v>
      </c>
      <c r="L181" s="58" t="n">
        <f aca="false">K181*VLOOKUP(F181,$X$2:$Y$7,2,FALSE())</f>
        <v>0</v>
      </c>
      <c r="Q181" s="61" t="n">
        <f aca="false">Q175+G181-K181+M181-O181</f>
        <v>3</v>
      </c>
      <c r="R181" s="62" t="n">
        <f aca="false">R175+H181-L181+N181-O181*VLOOKUP(F181,$X$2:$Y$7,2,FALSE())</f>
        <v>54</v>
      </c>
    </row>
    <row r="182" customFormat="false" ht="15" hidden="false" customHeight="true" outlineLevel="0" collapsed="false">
      <c r="F182" s="52" t="s">
        <v>8</v>
      </c>
      <c r="H182" s="54" t="n">
        <f aca="false">G182*VLOOKUP(F182,$X$2:$Y$7,2,FALSE())</f>
        <v>0</v>
      </c>
      <c r="L182" s="58" t="n">
        <f aca="false">K182*VLOOKUP(F182,$X$2:$Y$7,2,FALSE())</f>
        <v>0</v>
      </c>
      <c r="Q182" s="61" t="n">
        <f aca="false">Q176+G182-K182+M182-O182</f>
        <v>5</v>
      </c>
      <c r="R182" s="62" t="n">
        <f aca="false">R176+H182-L182+N182-O182*VLOOKUP(F182,$X$2:$Y$7,2,FALSE())</f>
        <v>85</v>
      </c>
    </row>
    <row r="183" customFormat="false" ht="15" hidden="false" customHeight="true" outlineLevel="0" collapsed="false">
      <c r="F183" s="52" t="s">
        <v>28</v>
      </c>
      <c r="H183" s="54" t="n">
        <f aca="false">G183*VLOOKUP(F183,$X$2:$Y$7,2,FALSE())</f>
        <v>0</v>
      </c>
      <c r="L183" s="58" t="n">
        <f aca="false">K183*VLOOKUP(F183,$X$2:$Y$7,2,FALSE())</f>
        <v>0</v>
      </c>
      <c r="Q183" s="61" t="n">
        <f aca="false">Q177+G183-K183+M183-O183</f>
        <v>51</v>
      </c>
      <c r="R183" s="62" t="n">
        <f aca="false">R177+H183-L183+N183-O183*VLOOKUP(F183,$X$2:$Y$7,2,FALSE())</f>
        <v>860</v>
      </c>
    </row>
    <row r="184" customFormat="false" ht="15" hidden="false" customHeight="true" outlineLevel="0" collapsed="false">
      <c r="F184" s="52" t="s">
        <v>31</v>
      </c>
      <c r="H184" s="54" t="n">
        <f aca="false">G184*VLOOKUP(F184,$X$2:$Y$7,2,FALSE())</f>
        <v>0</v>
      </c>
      <c r="L184" s="58" t="n">
        <f aca="false">K184*VLOOKUP(F184,$X$2:$Y$7,2,FALSE())</f>
        <v>0</v>
      </c>
      <c r="Q184" s="61" t="n">
        <f aca="false">Q178+G184-K184+M184-O184</f>
        <v>15</v>
      </c>
      <c r="R184" s="62" t="n">
        <f aca="false">R178+H184-L184+N184-O184*VLOOKUP(F184,$X$2:$Y$7,2,FALSE())</f>
        <v>1425</v>
      </c>
    </row>
    <row r="185" customFormat="false" ht="15" hidden="false" customHeight="true" outlineLevel="0" collapsed="false">
      <c r="F185" s="25" t="s">
        <v>32</v>
      </c>
    </row>
    <row r="186" customFormat="false" ht="15" hidden="false" customHeight="true" outlineLevel="0" collapsed="false">
      <c r="F186" s="52" t="s">
        <v>3</v>
      </c>
      <c r="H186" s="54" t="n">
        <f aca="false">G186*VLOOKUP(F186,$X$2:$Y$7,2,FALSE())</f>
        <v>0</v>
      </c>
      <c r="L186" s="58" t="n">
        <f aca="false">K186*VLOOKUP(F186,$X$2:$Y$7,2,FALSE())</f>
        <v>0</v>
      </c>
      <c r="Q186" s="61" t="n">
        <f aca="false">Q180+G186-K186+M186-O186</f>
        <v>56</v>
      </c>
      <c r="R186" s="62" t="n">
        <f aca="false">R180+H186-L186+N186-O186*VLOOKUP(F186,$X$2:$Y$7,2,FALSE())</f>
        <v>826</v>
      </c>
    </row>
    <row r="187" customFormat="false" ht="15" hidden="false" customHeight="true" outlineLevel="0" collapsed="false">
      <c r="F187" s="52" t="s">
        <v>4</v>
      </c>
      <c r="H187" s="54" t="n">
        <f aca="false">G187*VLOOKUP(F187,$X$2:$Y$7,2,FALSE())</f>
        <v>0</v>
      </c>
      <c r="L187" s="58" t="n">
        <f aca="false">K187*VLOOKUP(F187,$X$2:$Y$7,2,FALSE())</f>
        <v>0</v>
      </c>
      <c r="Q187" s="61" t="n">
        <f aca="false">Q181+G187-K187+M187-O187</f>
        <v>3</v>
      </c>
      <c r="R187" s="62" t="n">
        <f aca="false">R181+H187-L187+N187-O187*VLOOKUP(F187,$X$2:$Y$7,2,FALSE())</f>
        <v>54</v>
      </c>
    </row>
    <row r="188" customFormat="false" ht="15" hidden="false" customHeight="true" outlineLevel="0" collapsed="false">
      <c r="F188" s="52" t="s">
        <v>8</v>
      </c>
      <c r="H188" s="54" t="n">
        <f aca="false">G188*VLOOKUP(F188,$X$2:$Y$7,2,FALSE())</f>
        <v>0</v>
      </c>
      <c r="L188" s="58" t="n">
        <f aca="false">K188*VLOOKUP(F188,$X$2:$Y$7,2,FALSE())</f>
        <v>0</v>
      </c>
      <c r="Q188" s="61" t="n">
        <f aca="false">Q182+G188-K188+M188-O188</f>
        <v>5</v>
      </c>
      <c r="R188" s="62" t="n">
        <f aca="false">R182+H188-L188+N188-O188*VLOOKUP(F188,$X$2:$Y$7,2,FALSE())</f>
        <v>85</v>
      </c>
    </row>
    <row r="189" customFormat="false" ht="15" hidden="false" customHeight="true" outlineLevel="0" collapsed="false">
      <c r="F189" s="52" t="s">
        <v>28</v>
      </c>
      <c r="H189" s="54" t="n">
        <f aca="false">G189*VLOOKUP(F189,$X$2:$Y$7,2,FALSE())</f>
        <v>0</v>
      </c>
      <c r="L189" s="58" t="n">
        <f aca="false">K189*VLOOKUP(F189,$X$2:$Y$7,2,FALSE())</f>
        <v>0</v>
      </c>
      <c r="Q189" s="61" t="n">
        <f aca="false">Q183+G189-K189+M189-O189</f>
        <v>51</v>
      </c>
      <c r="R189" s="62" t="n">
        <f aca="false">R183+H189-L189+N189-O189*VLOOKUP(F189,$X$2:$Y$7,2,FALSE())</f>
        <v>860</v>
      </c>
    </row>
    <row r="190" customFormat="false" ht="15" hidden="false" customHeight="true" outlineLevel="0" collapsed="false">
      <c r="F190" s="52" t="s">
        <v>31</v>
      </c>
      <c r="H190" s="54" t="n">
        <f aca="false">G190*VLOOKUP(F190,$X$2:$Y$7,2,FALSE())</f>
        <v>0</v>
      </c>
      <c r="L190" s="58" t="n">
        <f aca="false">K190*VLOOKUP(F190,$X$2:$Y$7,2,FALSE())</f>
        <v>0</v>
      </c>
      <c r="Q190" s="61" t="n">
        <f aca="false">Q184+G190-K190+M190-O190</f>
        <v>15</v>
      </c>
      <c r="R190" s="62" t="n">
        <f aca="false">R184+H190-L190+N190-O190*VLOOKUP(F190,$X$2:$Y$7,2,FALSE())</f>
        <v>1425</v>
      </c>
    </row>
    <row r="191" customFormat="false" ht="15" hidden="false" customHeight="true" outlineLevel="0" collapsed="false">
      <c r="F191" s="25" t="s">
        <v>32</v>
      </c>
    </row>
    <row r="192" customFormat="false" ht="15" hidden="false" customHeight="true" outlineLevel="0" collapsed="false">
      <c r="F192" s="52" t="s">
        <v>3</v>
      </c>
      <c r="H192" s="54" t="n">
        <f aca="false">G192*VLOOKUP(F192,$X$2:$Y$7,2,FALSE())</f>
        <v>0</v>
      </c>
      <c r="L192" s="58" t="n">
        <f aca="false">K192*VLOOKUP(F192,$X$2:$Y$7,2,FALSE())</f>
        <v>0</v>
      </c>
      <c r="Q192" s="61" t="n">
        <f aca="false">Q186+G192-K192+M192-O192</f>
        <v>56</v>
      </c>
      <c r="R192" s="62" t="n">
        <f aca="false">R186+H192-L192+N192-O192*VLOOKUP(F192,$X$2:$Y$7,2,FALSE())</f>
        <v>826</v>
      </c>
    </row>
    <row r="193" customFormat="false" ht="15" hidden="false" customHeight="true" outlineLevel="0" collapsed="false">
      <c r="F193" s="52" t="s">
        <v>4</v>
      </c>
      <c r="H193" s="54" t="n">
        <f aca="false">G193*VLOOKUP(F193,$X$2:$Y$7,2,FALSE())</f>
        <v>0</v>
      </c>
      <c r="L193" s="58" t="n">
        <f aca="false">K193*VLOOKUP(F193,$X$2:$Y$7,2,FALSE())</f>
        <v>0</v>
      </c>
      <c r="Q193" s="61" t="n">
        <f aca="false">Q187+G193-K193+M193-O193</f>
        <v>3</v>
      </c>
      <c r="R193" s="62" t="n">
        <f aca="false">R187+H193-L193+N193-O193*VLOOKUP(F193,$X$2:$Y$7,2,FALSE())</f>
        <v>54</v>
      </c>
    </row>
    <row r="194" customFormat="false" ht="15" hidden="false" customHeight="true" outlineLevel="0" collapsed="false">
      <c r="F194" s="52" t="s">
        <v>8</v>
      </c>
      <c r="H194" s="54" t="n">
        <f aca="false">G194*VLOOKUP(F194,$X$2:$Y$7,2,FALSE())</f>
        <v>0</v>
      </c>
      <c r="L194" s="58" t="n">
        <f aca="false">K194*VLOOKUP(F194,$X$2:$Y$7,2,FALSE())</f>
        <v>0</v>
      </c>
      <c r="Q194" s="61" t="n">
        <f aca="false">Q188+G194-K194+M194-O194</f>
        <v>5</v>
      </c>
      <c r="R194" s="62" t="n">
        <f aca="false">R188+H194-L194+N194-O194*VLOOKUP(F194,$X$2:$Y$7,2,FALSE())</f>
        <v>85</v>
      </c>
    </row>
    <row r="195" customFormat="false" ht="15" hidden="false" customHeight="true" outlineLevel="0" collapsed="false">
      <c r="F195" s="52" t="s">
        <v>28</v>
      </c>
      <c r="H195" s="54" t="n">
        <f aca="false">G195*VLOOKUP(F195,$X$2:$Y$7,2,FALSE())</f>
        <v>0</v>
      </c>
      <c r="L195" s="58" t="n">
        <f aca="false">K195*VLOOKUP(F195,$X$2:$Y$7,2,FALSE())</f>
        <v>0</v>
      </c>
      <c r="Q195" s="61" t="n">
        <f aca="false">Q189+G195-K195+M195-O195</f>
        <v>51</v>
      </c>
      <c r="R195" s="62" t="n">
        <f aca="false">R189+H195-L195+N195-O195*VLOOKUP(F195,$X$2:$Y$7,2,FALSE())</f>
        <v>860</v>
      </c>
    </row>
    <row r="196" customFormat="false" ht="15" hidden="false" customHeight="true" outlineLevel="0" collapsed="false">
      <c r="F196" s="52" t="s">
        <v>31</v>
      </c>
      <c r="H196" s="54" t="n">
        <f aca="false">G196*VLOOKUP(F196,$X$2:$Y$7,2,FALSE())</f>
        <v>0</v>
      </c>
      <c r="L196" s="58" t="n">
        <f aca="false">K196*VLOOKUP(F196,$X$2:$Y$7,2,FALSE())</f>
        <v>0</v>
      </c>
      <c r="Q196" s="61" t="n">
        <f aca="false">Q190+G196-K196+M196-O196</f>
        <v>15</v>
      </c>
      <c r="R196" s="62" t="n">
        <f aca="false">R190+H196-L196+N196-O196*VLOOKUP(F196,$X$2:$Y$7,2,FALSE())</f>
        <v>1425</v>
      </c>
    </row>
    <row r="197" customFormat="false" ht="15" hidden="false" customHeight="true" outlineLevel="0" collapsed="false">
      <c r="F197" s="25" t="s">
        <v>32</v>
      </c>
    </row>
    <row r="198" customFormat="false" ht="15" hidden="false" customHeight="true" outlineLevel="0" collapsed="false">
      <c r="F198" s="52" t="s">
        <v>3</v>
      </c>
      <c r="H198" s="54" t="n">
        <f aca="false">G198*VLOOKUP(F198,$X$2:$Y$7,2,FALSE())</f>
        <v>0</v>
      </c>
      <c r="L198" s="58" t="n">
        <f aca="false">K198*VLOOKUP(F198,$X$2:$Y$7,2,FALSE())</f>
        <v>0</v>
      </c>
      <c r="Q198" s="61" t="n">
        <f aca="false">Q192+G198-K198+M198-O198</f>
        <v>56</v>
      </c>
      <c r="R198" s="62" t="n">
        <f aca="false">R192+H198-L198+N198-O198*VLOOKUP(F198,$X$2:$Y$7,2,FALSE())</f>
        <v>826</v>
      </c>
    </row>
    <row r="199" customFormat="false" ht="15" hidden="false" customHeight="true" outlineLevel="0" collapsed="false">
      <c r="F199" s="52" t="s">
        <v>4</v>
      </c>
      <c r="H199" s="54" t="n">
        <f aca="false">G199*VLOOKUP(F199,$X$2:$Y$7,2,FALSE())</f>
        <v>0</v>
      </c>
      <c r="L199" s="58" t="n">
        <f aca="false">K199*VLOOKUP(F199,$X$2:$Y$7,2,FALSE())</f>
        <v>0</v>
      </c>
      <c r="Q199" s="61" t="n">
        <f aca="false">Q193+G199-K199+M199-O199</f>
        <v>3</v>
      </c>
      <c r="R199" s="62" t="n">
        <f aca="false">R193+H199-L199+N199-O199*VLOOKUP(F199,$X$2:$Y$7,2,FALSE())</f>
        <v>54</v>
      </c>
    </row>
    <row r="200" customFormat="false" ht="15" hidden="false" customHeight="true" outlineLevel="0" collapsed="false">
      <c r="F200" s="52" t="s">
        <v>8</v>
      </c>
      <c r="H200" s="54" t="n">
        <f aca="false">G200*VLOOKUP(F200,$X$2:$Y$7,2,FALSE())</f>
        <v>0</v>
      </c>
      <c r="L200" s="58" t="n">
        <f aca="false">K200*VLOOKUP(F200,$X$2:$Y$7,2,FALSE())</f>
        <v>0</v>
      </c>
      <c r="Q200" s="61" t="n">
        <f aca="false">Q194+G200-K200+M200-O200</f>
        <v>5</v>
      </c>
      <c r="R200" s="62" t="n">
        <f aca="false">R194+H200-L200+N200-O200*VLOOKUP(F200,$X$2:$Y$7,2,FALSE())</f>
        <v>85</v>
      </c>
    </row>
    <row r="201" customFormat="false" ht="15" hidden="false" customHeight="true" outlineLevel="0" collapsed="false">
      <c r="F201" s="52" t="s">
        <v>28</v>
      </c>
      <c r="H201" s="54" t="n">
        <f aca="false">G201*VLOOKUP(F201,$X$2:$Y$7,2,FALSE())</f>
        <v>0</v>
      </c>
      <c r="L201" s="58" t="n">
        <f aca="false">K201*VLOOKUP(F201,$X$2:$Y$7,2,FALSE())</f>
        <v>0</v>
      </c>
      <c r="Q201" s="61" t="n">
        <f aca="false">Q195+G201-K201+M201-O201</f>
        <v>51</v>
      </c>
      <c r="R201" s="62" t="n">
        <f aca="false">R195+H201-L201+N201-O201*VLOOKUP(F201,$X$2:$Y$7,2,FALSE())</f>
        <v>860</v>
      </c>
    </row>
    <row r="202" customFormat="false" ht="15" hidden="false" customHeight="true" outlineLevel="0" collapsed="false">
      <c r="F202" s="52" t="s">
        <v>31</v>
      </c>
      <c r="H202" s="54" t="n">
        <f aca="false">G202*VLOOKUP(F202,$X$2:$Y$7,2,FALSE())</f>
        <v>0</v>
      </c>
      <c r="L202" s="58" t="n">
        <f aca="false">K202*VLOOKUP(F202,$X$2:$Y$7,2,FALSE())</f>
        <v>0</v>
      </c>
      <c r="Q202" s="61" t="n">
        <f aca="false">Q196+G202-K202+M202-O202</f>
        <v>15</v>
      </c>
      <c r="R202" s="62" t="n">
        <f aca="false">R196+H202-L202+N202-O202*VLOOKUP(F202,$X$2:$Y$7,2,FALSE())</f>
        <v>1425</v>
      </c>
    </row>
    <row r="203" customFormat="false" ht="15" hidden="false" customHeight="true" outlineLevel="0" collapsed="false">
      <c r="F203" s="25" t="s">
        <v>32</v>
      </c>
    </row>
    <row r="204" customFormat="false" ht="15" hidden="false" customHeight="true" outlineLevel="0" collapsed="false">
      <c r="F204" s="52" t="s">
        <v>3</v>
      </c>
      <c r="H204" s="54" t="n">
        <f aca="false">G204*VLOOKUP(F204,$X$2:$Y$7,2,FALSE())</f>
        <v>0</v>
      </c>
      <c r="L204" s="58" t="n">
        <f aca="false">K204*VLOOKUP(F204,$X$2:$Y$7,2,FALSE())</f>
        <v>0</v>
      </c>
      <c r="Q204" s="61" t="n">
        <f aca="false">Q198+G204-K204+M204-O204</f>
        <v>56</v>
      </c>
      <c r="R204" s="62" t="n">
        <f aca="false">R198+H204-L204+N204-O204*VLOOKUP(F204,$X$2:$Y$7,2,FALSE())</f>
        <v>826</v>
      </c>
    </row>
    <row r="205" customFormat="false" ht="15" hidden="false" customHeight="true" outlineLevel="0" collapsed="false">
      <c r="F205" s="52" t="s">
        <v>4</v>
      </c>
      <c r="H205" s="54" t="n">
        <f aca="false">G205*VLOOKUP(F205,$X$2:$Y$7,2,FALSE())</f>
        <v>0</v>
      </c>
      <c r="L205" s="58" t="n">
        <f aca="false">K205*VLOOKUP(F205,$X$2:$Y$7,2,FALSE())</f>
        <v>0</v>
      </c>
      <c r="Q205" s="61" t="n">
        <f aca="false">Q199+G205-K205+M205-O205</f>
        <v>3</v>
      </c>
      <c r="R205" s="62" t="n">
        <f aca="false">R199+H205-L205+N205-O205*VLOOKUP(F205,$X$2:$Y$7,2,FALSE())</f>
        <v>54</v>
      </c>
    </row>
    <row r="206" customFormat="false" ht="15" hidden="false" customHeight="true" outlineLevel="0" collapsed="false">
      <c r="F206" s="52" t="s">
        <v>8</v>
      </c>
      <c r="H206" s="54" t="n">
        <f aca="false">G206*VLOOKUP(F206,$X$2:$Y$7,2,FALSE())</f>
        <v>0</v>
      </c>
      <c r="L206" s="58" t="n">
        <f aca="false">K206*VLOOKUP(F206,$X$2:$Y$7,2,FALSE())</f>
        <v>0</v>
      </c>
      <c r="Q206" s="61" t="n">
        <f aca="false">Q200+G206-K206+M206-O206</f>
        <v>5</v>
      </c>
      <c r="R206" s="62" t="n">
        <f aca="false">R200+H206-L206+N206-O206*VLOOKUP(F206,$X$2:$Y$7,2,FALSE())</f>
        <v>85</v>
      </c>
    </row>
    <row r="207" customFormat="false" ht="15" hidden="false" customHeight="true" outlineLevel="0" collapsed="false">
      <c r="F207" s="52" t="s">
        <v>28</v>
      </c>
      <c r="H207" s="54" t="n">
        <f aca="false">G207*VLOOKUP(F207,$X$2:$Y$7,2,FALSE())</f>
        <v>0</v>
      </c>
      <c r="L207" s="58" t="n">
        <f aca="false">K207*VLOOKUP(F207,$X$2:$Y$7,2,FALSE())</f>
        <v>0</v>
      </c>
      <c r="Q207" s="61" t="n">
        <f aca="false">Q201+G207-K207+M207-O207</f>
        <v>51</v>
      </c>
      <c r="R207" s="62" t="n">
        <f aca="false">R201+H207-L207+N207-O207*VLOOKUP(F207,$X$2:$Y$7,2,FALSE())</f>
        <v>860</v>
      </c>
    </row>
    <row r="208" customFormat="false" ht="15" hidden="false" customHeight="true" outlineLevel="0" collapsed="false">
      <c r="F208" s="52" t="s">
        <v>31</v>
      </c>
      <c r="H208" s="54" t="n">
        <f aca="false">G208*VLOOKUP(F208,$X$2:$Y$7,2,FALSE())</f>
        <v>0</v>
      </c>
      <c r="L208" s="58" t="n">
        <f aca="false">K208*VLOOKUP(F208,$X$2:$Y$7,2,FALSE())</f>
        <v>0</v>
      </c>
      <c r="Q208" s="61" t="n">
        <f aca="false">Q202+G208-K208+M208-O208</f>
        <v>15</v>
      </c>
      <c r="R208" s="62" t="n">
        <f aca="false">R202+H208-L208+N208-O208*VLOOKUP(F208,$X$2:$Y$7,2,FALSE())</f>
        <v>1425</v>
      </c>
    </row>
    <row r="209" customFormat="false" ht="15" hidden="false" customHeight="true" outlineLevel="0" collapsed="false">
      <c r="F209" s="25" t="s">
        <v>32</v>
      </c>
    </row>
    <row r="210" customFormat="false" ht="15" hidden="false" customHeight="true" outlineLevel="0" collapsed="false">
      <c r="F210" s="52" t="s">
        <v>3</v>
      </c>
      <c r="H210" s="54" t="n">
        <f aca="false">G210*VLOOKUP(F210,$X$2:$Y$7,2,FALSE())</f>
        <v>0</v>
      </c>
      <c r="L210" s="58" t="n">
        <f aca="false">K210*VLOOKUP(F210,$X$2:$Y$7,2,FALSE())</f>
        <v>0</v>
      </c>
      <c r="Q210" s="61" t="n">
        <f aca="false">Q204+G210-K210+M210-O210</f>
        <v>56</v>
      </c>
      <c r="R210" s="62" t="n">
        <f aca="false">R204+H210-L210+N210-O210*VLOOKUP(F210,$X$2:$Y$7,2,FALSE())</f>
        <v>826</v>
      </c>
    </row>
    <row r="211" customFormat="false" ht="15" hidden="false" customHeight="true" outlineLevel="0" collapsed="false">
      <c r="F211" s="52" t="s">
        <v>4</v>
      </c>
      <c r="H211" s="54" t="n">
        <f aca="false">G211*VLOOKUP(F211,$X$2:$Y$7,2,FALSE())</f>
        <v>0</v>
      </c>
      <c r="L211" s="58" t="n">
        <f aca="false">K211*VLOOKUP(F211,$X$2:$Y$7,2,FALSE())</f>
        <v>0</v>
      </c>
      <c r="Q211" s="61" t="n">
        <f aca="false">Q205+G211-K211+M211-O211</f>
        <v>3</v>
      </c>
      <c r="R211" s="62" t="n">
        <f aca="false">R205+H211-L211+N211-O211*VLOOKUP(F211,$X$2:$Y$7,2,FALSE())</f>
        <v>54</v>
      </c>
    </row>
    <row r="212" customFormat="false" ht="15" hidden="false" customHeight="true" outlineLevel="0" collapsed="false">
      <c r="F212" s="52" t="s">
        <v>8</v>
      </c>
      <c r="H212" s="54" t="n">
        <f aca="false">G212*VLOOKUP(F212,$X$2:$Y$7,2,FALSE())</f>
        <v>0</v>
      </c>
      <c r="L212" s="58" t="n">
        <f aca="false">K212*VLOOKUP(F212,$X$2:$Y$7,2,FALSE())</f>
        <v>0</v>
      </c>
      <c r="Q212" s="61" t="n">
        <f aca="false">Q206+G212-K212+M212-O212</f>
        <v>5</v>
      </c>
      <c r="R212" s="62" t="n">
        <f aca="false">R206+H212-L212+N212-O212*VLOOKUP(F212,$X$2:$Y$7,2,FALSE())</f>
        <v>85</v>
      </c>
    </row>
    <row r="213" customFormat="false" ht="15" hidden="false" customHeight="true" outlineLevel="0" collapsed="false">
      <c r="F213" s="52" t="s">
        <v>28</v>
      </c>
      <c r="H213" s="54" t="n">
        <f aca="false">G213*VLOOKUP(F213,$X$2:$Y$7,2,FALSE())</f>
        <v>0</v>
      </c>
      <c r="L213" s="58" t="n">
        <f aca="false">K213*VLOOKUP(F213,$X$2:$Y$7,2,FALSE())</f>
        <v>0</v>
      </c>
      <c r="Q213" s="61" t="n">
        <f aca="false">Q207+G213-K213+M213-O213</f>
        <v>51</v>
      </c>
      <c r="R213" s="62" t="n">
        <f aca="false">R207+H213-L213+N213-O213*VLOOKUP(F213,$X$2:$Y$7,2,FALSE())</f>
        <v>860</v>
      </c>
    </row>
    <row r="214" customFormat="false" ht="15" hidden="false" customHeight="true" outlineLevel="0" collapsed="false">
      <c r="F214" s="52" t="s">
        <v>31</v>
      </c>
      <c r="H214" s="54" t="n">
        <f aca="false">G214*VLOOKUP(F214,$X$2:$Y$7,2,FALSE())</f>
        <v>0</v>
      </c>
      <c r="L214" s="58" t="n">
        <f aca="false">K214*VLOOKUP(F214,$X$2:$Y$7,2,FALSE())</f>
        <v>0</v>
      </c>
      <c r="Q214" s="61" t="n">
        <f aca="false">Q208+G214-K214+M214-O214</f>
        <v>15</v>
      </c>
      <c r="R214" s="62" t="n">
        <f aca="false">R208+H214-L214+N214-O214*VLOOKUP(F214,$X$2:$Y$7,2,FALSE())</f>
        <v>1425</v>
      </c>
    </row>
    <row r="215" customFormat="false" ht="15" hidden="false" customHeight="true" outlineLevel="0" collapsed="false">
      <c r="F215" s="25" t="s">
        <v>32</v>
      </c>
    </row>
    <row r="216" customFormat="false" ht="15" hidden="false" customHeight="true" outlineLevel="0" collapsed="false">
      <c r="F216" s="52" t="s">
        <v>3</v>
      </c>
      <c r="H216" s="54" t="n">
        <f aca="false">G216*VLOOKUP(F216,$X$2:$Y$7,2,FALSE())</f>
        <v>0</v>
      </c>
      <c r="L216" s="58" t="n">
        <f aca="false">K216*VLOOKUP(F216,$X$2:$Y$7,2,FALSE())</f>
        <v>0</v>
      </c>
      <c r="Q216" s="61" t="n">
        <f aca="false">Q210+G216-K216+M216-O216</f>
        <v>56</v>
      </c>
      <c r="R216" s="62" t="n">
        <f aca="false">R210+H216-L216+N216-O216*VLOOKUP(F216,$X$2:$Y$7,2,FALSE())</f>
        <v>826</v>
      </c>
    </row>
    <row r="217" customFormat="false" ht="15" hidden="false" customHeight="true" outlineLevel="0" collapsed="false">
      <c r="F217" s="52" t="s">
        <v>4</v>
      </c>
      <c r="H217" s="54" t="n">
        <f aca="false">G217*VLOOKUP(F217,$X$2:$Y$7,2,FALSE())</f>
        <v>0</v>
      </c>
      <c r="L217" s="58" t="n">
        <f aca="false">K217*VLOOKUP(F217,$X$2:$Y$7,2,FALSE())</f>
        <v>0</v>
      </c>
      <c r="Q217" s="61" t="n">
        <f aca="false">Q211+G217-K217+M217-O217</f>
        <v>3</v>
      </c>
      <c r="R217" s="62" t="n">
        <f aca="false">R211+H217-L217+N217-O217*VLOOKUP(F217,$X$2:$Y$7,2,FALSE())</f>
        <v>54</v>
      </c>
    </row>
    <row r="218" customFormat="false" ht="15" hidden="false" customHeight="true" outlineLevel="0" collapsed="false">
      <c r="F218" s="52" t="s">
        <v>8</v>
      </c>
      <c r="H218" s="54" t="n">
        <f aca="false">G218*VLOOKUP(F218,$X$2:$Y$7,2,FALSE())</f>
        <v>0</v>
      </c>
      <c r="L218" s="58" t="n">
        <f aca="false">K218*VLOOKUP(F218,$X$2:$Y$7,2,FALSE())</f>
        <v>0</v>
      </c>
      <c r="Q218" s="61" t="n">
        <f aca="false">Q212+G218-K218+M218-O218</f>
        <v>5</v>
      </c>
      <c r="R218" s="62" t="n">
        <f aca="false">R212+H218-L218+N218-O218*VLOOKUP(F218,$X$2:$Y$7,2,FALSE())</f>
        <v>85</v>
      </c>
    </row>
    <row r="219" customFormat="false" ht="15" hidden="false" customHeight="true" outlineLevel="0" collapsed="false">
      <c r="F219" s="52" t="s">
        <v>28</v>
      </c>
      <c r="H219" s="54" t="n">
        <f aca="false">G219*VLOOKUP(F219,$X$2:$Y$7,2,FALSE())</f>
        <v>0</v>
      </c>
      <c r="L219" s="58" t="n">
        <f aca="false">K219*VLOOKUP(F219,$X$2:$Y$7,2,FALSE())</f>
        <v>0</v>
      </c>
      <c r="Q219" s="61" t="n">
        <f aca="false">Q213+G219-K219+M219-O219</f>
        <v>51</v>
      </c>
      <c r="R219" s="62" t="n">
        <f aca="false">R213+H219-L219+N219-O219*VLOOKUP(F219,$X$2:$Y$7,2,FALSE())</f>
        <v>860</v>
      </c>
    </row>
    <row r="220" customFormat="false" ht="15" hidden="false" customHeight="true" outlineLevel="0" collapsed="false">
      <c r="F220" s="52" t="s">
        <v>31</v>
      </c>
      <c r="H220" s="54" t="n">
        <f aca="false">G220*VLOOKUP(F220,$X$2:$Y$7,2,FALSE())</f>
        <v>0</v>
      </c>
      <c r="L220" s="58" t="n">
        <f aca="false">K220*VLOOKUP(F220,$X$2:$Y$7,2,FALSE())</f>
        <v>0</v>
      </c>
      <c r="Q220" s="61" t="n">
        <f aca="false">Q214+G220-K220+M220-O220</f>
        <v>15</v>
      </c>
      <c r="R220" s="62" t="n">
        <f aca="false">R214+H220-L220+N220-O220*VLOOKUP(F220,$X$2:$Y$7,2,FALSE())</f>
        <v>1425</v>
      </c>
    </row>
    <row r="221" customFormat="false" ht="15" hidden="false" customHeight="true" outlineLevel="0" collapsed="false">
      <c r="F221" s="25" t="s">
        <v>32</v>
      </c>
    </row>
    <row r="222" customFormat="false" ht="15" hidden="false" customHeight="true" outlineLevel="0" collapsed="false">
      <c r="F222" s="52" t="s">
        <v>3</v>
      </c>
      <c r="H222" s="54" t="n">
        <f aca="false">G222*VLOOKUP(F222,$X$2:$Y$7,2,FALSE())</f>
        <v>0</v>
      </c>
      <c r="L222" s="58" t="n">
        <f aca="false">K222*VLOOKUP(F222,$X$2:$Y$7,2,FALSE())</f>
        <v>0</v>
      </c>
      <c r="Q222" s="61" t="n">
        <f aca="false">Q216+G222-K222+M222-O222</f>
        <v>56</v>
      </c>
      <c r="R222" s="62" t="n">
        <f aca="false">R216+H222-L222+N222-O222*VLOOKUP(F222,$X$2:$Y$7,2,FALSE())</f>
        <v>826</v>
      </c>
    </row>
    <row r="223" customFormat="false" ht="15" hidden="false" customHeight="true" outlineLevel="0" collapsed="false">
      <c r="F223" s="52" t="s">
        <v>4</v>
      </c>
      <c r="H223" s="54" t="n">
        <f aca="false">G223*VLOOKUP(F223,$X$2:$Y$7,2,FALSE())</f>
        <v>0</v>
      </c>
      <c r="L223" s="58" t="n">
        <f aca="false">K223*VLOOKUP(F223,$X$2:$Y$7,2,FALSE())</f>
        <v>0</v>
      </c>
      <c r="Q223" s="61" t="n">
        <f aca="false">Q217+G223-K223+M223-O223</f>
        <v>3</v>
      </c>
      <c r="R223" s="62" t="n">
        <f aca="false">R217+H223-L223+N223-O223*VLOOKUP(F223,$X$2:$Y$7,2,FALSE())</f>
        <v>54</v>
      </c>
    </row>
    <row r="224" customFormat="false" ht="15" hidden="false" customHeight="true" outlineLevel="0" collapsed="false">
      <c r="F224" s="52" t="s">
        <v>8</v>
      </c>
      <c r="H224" s="54" t="n">
        <f aca="false">G224*VLOOKUP(F224,$X$2:$Y$7,2,FALSE())</f>
        <v>0</v>
      </c>
      <c r="L224" s="58" t="n">
        <f aca="false">K224*VLOOKUP(F224,$X$2:$Y$7,2,FALSE())</f>
        <v>0</v>
      </c>
      <c r="Q224" s="61" t="n">
        <f aca="false">Q218+G224-K224+M224-O224</f>
        <v>5</v>
      </c>
      <c r="R224" s="62" t="n">
        <f aca="false">R218+H224-L224+N224-O224*VLOOKUP(F224,$X$2:$Y$7,2,FALSE())</f>
        <v>85</v>
      </c>
    </row>
    <row r="225" customFormat="false" ht="15" hidden="false" customHeight="true" outlineLevel="0" collapsed="false">
      <c r="F225" s="52" t="s">
        <v>28</v>
      </c>
      <c r="H225" s="54" t="n">
        <f aca="false">G225*VLOOKUP(F225,$X$2:$Y$7,2,FALSE())</f>
        <v>0</v>
      </c>
      <c r="L225" s="58" t="n">
        <f aca="false">K225*VLOOKUP(F225,$X$2:$Y$7,2,FALSE())</f>
        <v>0</v>
      </c>
      <c r="Q225" s="61" t="n">
        <f aca="false">Q219+G225-K225+M225-O225</f>
        <v>51</v>
      </c>
      <c r="R225" s="62" t="n">
        <f aca="false">R219+H225-L225+N225-O225*VLOOKUP(F225,$X$2:$Y$7,2,FALSE())</f>
        <v>860</v>
      </c>
    </row>
    <row r="226" customFormat="false" ht="15" hidden="false" customHeight="true" outlineLevel="0" collapsed="false">
      <c r="F226" s="52" t="s">
        <v>31</v>
      </c>
      <c r="H226" s="54" t="n">
        <f aca="false">G226*VLOOKUP(F226,$X$2:$Y$7,2,FALSE())</f>
        <v>0</v>
      </c>
      <c r="L226" s="58" t="n">
        <f aca="false">K226*VLOOKUP(F226,$X$2:$Y$7,2,FALSE())</f>
        <v>0</v>
      </c>
      <c r="Q226" s="61" t="n">
        <f aca="false">Q220+G226-K226+M226-O226</f>
        <v>15</v>
      </c>
      <c r="R226" s="62" t="n">
        <f aca="false">R220+H226-L226+N226-O226*VLOOKUP(F226,$X$2:$Y$7,2,FALSE())</f>
        <v>1425</v>
      </c>
    </row>
    <row r="227" customFormat="false" ht="15" hidden="false" customHeight="true" outlineLevel="0" collapsed="false">
      <c r="F227" s="25" t="s">
        <v>32</v>
      </c>
    </row>
    <row r="228" customFormat="false" ht="15" hidden="false" customHeight="true" outlineLevel="0" collapsed="false">
      <c r="F228" s="52" t="s">
        <v>3</v>
      </c>
      <c r="H228" s="54" t="n">
        <f aca="false">G228*VLOOKUP(F228,$X$2:$Y$7,2,FALSE())</f>
        <v>0</v>
      </c>
      <c r="L228" s="58" t="n">
        <f aca="false">K228*VLOOKUP(F228,$X$2:$Y$7,2,FALSE())</f>
        <v>0</v>
      </c>
      <c r="Q228" s="61" t="n">
        <f aca="false">Q222+G228-K228+M228-O228</f>
        <v>56</v>
      </c>
      <c r="R228" s="62" t="n">
        <f aca="false">R222+H228-L228+N228-O228*VLOOKUP(F228,$X$2:$Y$7,2,FALSE())</f>
        <v>826</v>
      </c>
    </row>
    <row r="229" customFormat="false" ht="15" hidden="false" customHeight="true" outlineLevel="0" collapsed="false">
      <c r="F229" s="52" t="s">
        <v>4</v>
      </c>
      <c r="H229" s="54" t="n">
        <f aca="false">G229*VLOOKUP(F229,$X$2:$Y$7,2,FALSE())</f>
        <v>0</v>
      </c>
      <c r="L229" s="58" t="n">
        <f aca="false">K229*VLOOKUP(F229,$X$2:$Y$7,2,FALSE())</f>
        <v>0</v>
      </c>
      <c r="Q229" s="61" t="n">
        <f aca="false">Q223+G229-K229+M229-O229</f>
        <v>3</v>
      </c>
      <c r="R229" s="62" t="n">
        <f aca="false">R223+H229-L229+N229-O229*VLOOKUP(F229,$X$2:$Y$7,2,FALSE())</f>
        <v>54</v>
      </c>
    </row>
    <row r="230" customFormat="false" ht="15" hidden="false" customHeight="true" outlineLevel="0" collapsed="false">
      <c r="F230" s="52" t="s">
        <v>8</v>
      </c>
      <c r="H230" s="54" t="n">
        <f aca="false">G230*VLOOKUP(F230,$X$2:$Y$7,2,FALSE())</f>
        <v>0</v>
      </c>
      <c r="L230" s="58" t="n">
        <f aca="false">K230*VLOOKUP(F230,$X$2:$Y$7,2,FALSE())</f>
        <v>0</v>
      </c>
      <c r="Q230" s="61" t="n">
        <f aca="false">Q224+G230-K230+M230-O230</f>
        <v>5</v>
      </c>
      <c r="R230" s="62" t="n">
        <f aca="false">R224+H230-L230+N230-O230*VLOOKUP(F230,$X$2:$Y$7,2,FALSE())</f>
        <v>85</v>
      </c>
    </row>
    <row r="231" customFormat="false" ht="15" hidden="false" customHeight="true" outlineLevel="0" collapsed="false">
      <c r="F231" s="52" t="s">
        <v>28</v>
      </c>
      <c r="H231" s="54" t="n">
        <f aca="false">G231*VLOOKUP(F231,$X$2:$Y$7,2,FALSE())</f>
        <v>0</v>
      </c>
      <c r="L231" s="58" t="n">
        <f aca="false">K231*VLOOKUP(F231,$X$2:$Y$7,2,FALSE())</f>
        <v>0</v>
      </c>
      <c r="Q231" s="61" t="n">
        <f aca="false">Q225+G231-K231+M231-O231</f>
        <v>51</v>
      </c>
      <c r="R231" s="62" t="n">
        <f aca="false">R225+H231-L231+N231-O231*VLOOKUP(F231,$X$2:$Y$7,2,FALSE())</f>
        <v>860</v>
      </c>
    </row>
    <row r="232" customFormat="false" ht="15" hidden="false" customHeight="true" outlineLevel="0" collapsed="false">
      <c r="F232" s="52" t="s">
        <v>31</v>
      </c>
      <c r="H232" s="54" t="n">
        <f aca="false">G232*VLOOKUP(F232,$X$2:$Y$7,2,FALSE())</f>
        <v>0</v>
      </c>
      <c r="L232" s="58" t="n">
        <f aca="false">K232*VLOOKUP(F232,$X$2:$Y$7,2,FALSE())</f>
        <v>0</v>
      </c>
      <c r="Q232" s="61" t="n">
        <f aca="false">Q226+G232-K232+M232-O232</f>
        <v>15</v>
      </c>
      <c r="R232" s="62" t="n">
        <f aca="false">R226+H232-L232+N232-O232*VLOOKUP(F232,$X$2:$Y$7,2,FALSE())</f>
        <v>1425</v>
      </c>
    </row>
    <row r="233" customFormat="false" ht="15" hidden="false" customHeight="true" outlineLevel="0" collapsed="false">
      <c r="F233" s="25" t="s">
        <v>32</v>
      </c>
    </row>
    <row r="234" customFormat="false" ht="15" hidden="false" customHeight="true" outlineLevel="0" collapsed="false">
      <c r="F234" s="52" t="s">
        <v>3</v>
      </c>
      <c r="H234" s="54" t="n">
        <f aca="false">G234*VLOOKUP(F234,$X$2:$Y$7,2,FALSE())</f>
        <v>0</v>
      </c>
      <c r="L234" s="58" t="n">
        <f aca="false">K234*VLOOKUP(F234,$X$2:$Y$7,2,FALSE())</f>
        <v>0</v>
      </c>
      <c r="Q234" s="61" t="n">
        <f aca="false">Q228+G234-K234+M234-O234</f>
        <v>56</v>
      </c>
      <c r="R234" s="62" t="n">
        <f aca="false">R228+H234-L234+N234-O234*VLOOKUP(F234,$X$2:$Y$7,2,FALSE())</f>
        <v>826</v>
      </c>
    </row>
    <row r="235" customFormat="false" ht="15" hidden="false" customHeight="true" outlineLevel="0" collapsed="false">
      <c r="F235" s="52" t="s">
        <v>4</v>
      </c>
      <c r="H235" s="54" t="n">
        <f aca="false">G235*VLOOKUP(F235,$X$2:$Y$7,2,FALSE())</f>
        <v>0</v>
      </c>
      <c r="L235" s="58" t="n">
        <f aca="false">K235*VLOOKUP(F235,$X$2:$Y$7,2,FALSE())</f>
        <v>0</v>
      </c>
      <c r="Q235" s="61" t="n">
        <f aca="false">Q229+G235-K235+M235-O235</f>
        <v>3</v>
      </c>
      <c r="R235" s="62" t="n">
        <f aca="false">R229+H235-L235+N235-O235*VLOOKUP(F235,$X$2:$Y$7,2,FALSE())</f>
        <v>54</v>
      </c>
    </row>
    <row r="236" customFormat="false" ht="15" hidden="false" customHeight="true" outlineLevel="0" collapsed="false">
      <c r="F236" s="52" t="s">
        <v>8</v>
      </c>
      <c r="H236" s="54" t="n">
        <f aca="false">G236*VLOOKUP(F236,$X$2:$Y$7,2,FALSE())</f>
        <v>0</v>
      </c>
      <c r="L236" s="58" t="n">
        <f aca="false">K236*VLOOKUP(F236,$X$2:$Y$7,2,FALSE())</f>
        <v>0</v>
      </c>
      <c r="Q236" s="61" t="n">
        <f aca="false">Q230+G236-K236+M236-O236</f>
        <v>5</v>
      </c>
      <c r="R236" s="62" t="n">
        <f aca="false">R230+H236-L236+N236-O236*VLOOKUP(F236,$X$2:$Y$7,2,FALSE())</f>
        <v>85</v>
      </c>
    </row>
    <row r="237" customFormat="false" ht="15" hidden="false" customHeight="true" outlineLevel="0" collapsed="false">
      <c r="F237" s="52" t="s">
        <v>28</v>
      </c>
      <c r="H237" s="54" t="n">
        <f aca="false">G237*VLOOKUP(F237,$X$2:$Y$7,2,FALSE())</f>
        <v>0</v>
      </c>
      <c r="L237" s="58" t="n">
        <f aca="false">K237*VLOOKUP(F237,$X$2:$Y$7,2,FALSE())</f>
        <v>0</v>
      </c>
      <c r="Q237" s="61" t="n">
        <f aca="false">Q231+G237-K237+M237-O237</f>
        <v>51</v>
      </c>
      <c r="R237" s="62" t="n">
        <f aca="false">R231+H237-L237+N237-O237*VLOOKUP(F237,$X$2:$Y$7,2,FALSE())</f>
        <v>860</v>
      </c>
    </row>
    <row r="238" customFormat="false" ht="15" hidden="false" customHeight="true" outlineLevel="0" collapsed="false">
      <c r="F238" s="52" t="s">
        <v>31</v>
      </c>
      <c r="H238" s="54" t="n">
        <f aca="false">G238*VLOOKUP(F238,$X$2:$Y$7,2,FALSE())</f>
        <v>0</v>
      </c>
      <c r="L238" s="58" t="n">
        <f aca="false">K238*VLOOKUP(F238,$X$2:$Y$7,2,FALSE())</f>
        <v>0</v>
      </c>
      <c r="Q238" s="61" t="n">
        <f aca="false">Q232+G238-K238+M238-O238</f>
        <v>15</v>
      </c>
      <c r="R238" s="62" t="n">
        <f aca="false">R232+H238-L238+N238-O238*VLOOKUP(F238,$X$2:$Y$7,2,FALSE())</f>
        <v>1425</v>
      </c>
    </row>
    <row r="239" customFormat="false" ht="15" hidden="false" customHeight="true" outlineLevel="0" collapsed="false">
      <c r="F239" s="25" t="s">
        <v>32</v>
      </c>
    </row>
    <row r="240" customFormat="false" ht="15" hidden="false" customHeight="true" outlineLevel="0" collapsed="false">
      <c r="F240" s="52" t="s">
        <v>3</v>
      </c>
      <c r="H240" s="54" t="n">
        <f aca="false">G240*VLOOKUP(F240,$X$2:$Y$7,2,FALSE())</f>
        <v>0</v>
      </c>
      <c r="L240" s="58" t="n">
        <f aca="false">K240*VLOOKUP(F240,$X$2:$Y$7,2,FALSE())</f>
        <v>0</v>
      </c>
      <c r="Q240" s="61" t="n">
        <f aca="false">Q234+G240-K240+M240-O240</f>
        <v>56</v>
      </c>
      <c r="R240" s="62" t="n">
        <f aca="false">R234+H240-L240+N240-O240*VLOOKUP(F240,$X$2:$Y$7,2,FALSE())</f>
        <v>826</v>
      </c>
    </row>
    <row r="241" customFormat="false" ht="15" hidden="false" customHeight="true" outlineLevel="0" collapsed="false">
      <c r="F241" s="52" t="s">
        <v>4</v>
      </c>
      <c r="H241" s="54" t="n">
        <f aca="false">G241*VLOOKUP(F241,$X$2:$Y$7,2,FALSE())</f>
        <v>0</v>
      </c>
      <c r="L241" s="58" t="n">
        <f aca="false">K241*VLOOKUP(F241,$X$2:$Y$7,2,FALSE())</f>
        <v>0</v>
      </c>
      <c r="Q241" s="61" t="n">
        <f aca="false">Q235+G241-K241+M241-O241</f>
        <v>3</v>
      </c>
      <c r="R241" s="62" t="n">
        <f aca="false">R235+H241-L241+N241-O241*VLOOKUP(F241,$X$2:$Y$7,2,FALSE())</f>
        <v>54</v>
      </c>
    </row>
    <row r="242" customFormat="false" ht="15" hidden="false" customHeight="true" outlineLevel="0" collapsed="false">
      <c r="F242" s="52" t="s">
        <v>8</v>
      </c>
      <c r="H242" s="54" t="n">
        <f aca="false">G242*VLOOKUP(F242,$X$2:$Y$7,2,FALSE())</f>
        <v>0</v>
      </c>
      <c r="L242" s="58" t="n">
        <f aca="false">K242*VLOOKUP(F242,$X$2:$Y$7,2,FALSE())</f>
        <v>0</v>
      </c>
      <c r="Q242" s="61" t="n">
        <f aca="false">Q236+G242-K242+M242-O242</f>
        <v>5</v>
      </c>
      <c r="R242" s="62" t="n">
        <f aca="false">R236+H242-L242+N242-O242*VLOOKUP(F242,$X$2:$Y$7,2,FALSE())</f>
        <v>85</v>
      </c>
    </row>
    <row r="243" customFormat="false" ht="15" hidden="false" customHeight="true" outlineLevel="0" collapsed="false">
      <c r="F243" s="52" t="s">
        <v>28</v>
      </c>
      <c r="H243" s="54" t="n">
        <f aca="false">G243*VLOOKUP(F243,$X$2:$Y$7,2,FALSE())</f>
        <v>0</v>
      </c>
      <c r="L243" s="58" t="n">
        <f aca="false">K243*VLOOKUP(F243,$X$2:$Y$7,2,FALSE())</f>
        <v>0</v>
      </c>
      <c r="Q243" s="61" t="n">
        <f aca="false">Q237+G243-K243+M243-O243</f>
        <v>51</v>
      </c>
      <c r="R243" s="62" t="n">
        <f aca="false">R237+H243-L243+N243-O243*VLOOKUP(F243,$X$2:$Y$7,2,FALSE())</f>
        <v>860</v>
      </c>
    </row>
    <row r="244" customFormat="false" ht="15" hidden="false" customHeight="true" outlineLevel="0" collapsed="false">
      <c r="F244" s="52" t="s">
        <v>31</v>
      </c>
      <c r="H244" s="54" t="n">
        <f aca="false">G244*VLOOKUP(F244,$X$2:$Y$7,2,FALSE())</f>
        <v>0</v>
      </c>
      <c r="L244" s="58" t="n">
        <f aca="false">K244*VLOOKUP(F244,$X$2:$Y$7,2,FALSE())</f>
        <v>0</v>
      </c>
      <c r="Q244" s="61" t="n">
        <f aca="false">Q238+G244-K244+M244-O244</f>
        <v>15</v>
      </c>
      <c r="R244" s="62" t="n">
        <f aca="false">R238+H244-L244+N244-O244*VLOOKUP(F244,$X$2:$Y$7,2,FALSE())</f>
        <v>1425</v>
      </c>
    </row>
    <row r="245" customFormat="false" ht="15" hidden="false" customHeight="true" outlineLevel="0" collapsed="false">
      <c r="F245" s="25" t="s">
        <v>32</v>
      </c>
    </row>
    <row r="246" customFormat="false" ht="15" hidden="false" customHeight="true" outlineLevel="0" collapsed="false">
      <c r="A246" s="124" t="s">
        <v>54</v>
      </c>
      <c r="B246" s="125" t="n">
        <f aca="false">SUM(B6:B245)</f>
        <v>555</v>
      </c>
      <c r="D246" s="125" t="n">
        <f aca="false">SUM(D6:D245)</f>
        <v>52725</v>
      </c>
      <c r="G246" s="125" t="n">
        <f aca="false">SUM(G6:G245)</f>
        <v>2621.5</v>
      </c>
      <c r="H246" s="125" t="n">
        <f aca="false">SUM(H6:H245)</f>
        <v>49358.5</v>
      </c>
      <c r="K246" s="125" t="n">
        <f aca="false">SUM(K6:K245)</f>
        <v>2532.5</v>
      </c>
      <c r="L246" s="125" t="n">
        <f aca="false">SUM(L6:L245)</f>
        <v>48279.5</v>
      </c>
      <c r="M246" s="125" t="n">
        <f aca="false">SUM(M6:M245)</f>
        <v>12</v>
      </c>
      <c r="N246" s="125" t="n">
        <f aca="false">SUM(N6:N245)</f>
        <v>179</v>
      </c>
      <c r="O246" s="128" t="n">
        <f aca="false">SUM(O6:O245)</f>
        <v>6</v>
      </c>
    </row>
  </sheetData>
  <mergeCells count="3">
    <mergeCell ref="X1:Y1"/>
    <mergeCell ref="E4:H4"/>
    <mergeCell ref="I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50" activeCellId="0" sqref="B50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3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true" outlineLevel="0" max="16" min="10" style="0" width="13"/>
  </cols>
  <sheetData>
    <row r="1" customFormat="false" ht="21.75" hidden="false" customHeight="true" outlineLevel="0" collapsed="false">
      <c r="A1" s="129" t="s">
        <v>55</v>
      </c>
      <c r="B1" s="129"/>
      <c r="C1" s="129"/>
      <c r="D1" s="129"/>
      <c r="E1" s="129"/>
      <c r="F1" s="129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2" customFormat="false" ht="15" hidden="false" customHeight="false" outlineLevel="0" collapsed="false">
      <c r="A2" s="131" t="s">
        <v>56</v>
      </c>
      <c r="B2" s="131"/>
      <c r="C2" s="131"/>
      <c r="D2" s="131"/>
      <c r="E2" s="131"/>
      <c r="F2" s="131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</row>
    <row r="3" customFormat="false" ht="15" hidden="false" customHeight="false" outlineLevel="0" collapsed="false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</row>
    <row r="4" customFormat="false" ht="30" hidden="false" customHeight="true" outlineLevel="0" collapsed="false">
      <c r="A4" s="130"/>
      <c r="B4" s="130"/>
      <c r="C4" s="132" t="s">
        <v>57</v>
      </c>
      <c r="D4" s="133" t="s">
        <v>58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</row>
    <row r="5" customFormat="false" ht="15" hidden="false" customHeight="false" outlineLevel="0" collapsed="false">
      <c r="A5" s="134" t="s">
        <v>59</v>
      </c>
      <c r="B5" s="134" t="s">
        <v>60</v>
      </c>
      <c r="C5" s="134" t="s">
        <v>61</v>
      </c>
      <c r="D5" s="134" t="s">
        <v>62</v>
      </c>
      <c r="E5" s="134" t="s">
        <v>63</v>
      </c>
      <c r="F5" s="134" t="s">
        <v>64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</row>
    <row r="6" customFormat="false" ht="15" hidden="false" customHeight="false" outlineLevel="0" collapsed="false">
      <c r="A6" s="135" t="str">
        <f aca="false">IFERROR(INDEX(K$6:K$201,MATCH(ROW()-5,J$6:J$201,0)),"")</f>
        <v>SAB 11-07</v>
      </c>
      <c r="B6" s="135" t="str">
        <f aca="false">IFERROR(INDEX(L$6:L$201,MATCH(ROW()-5,J$6:J$201,0)),"")</f>
        <v>APERTURA (saldo semana anterior)</v>
      </c>
      <c r="C6" s="136" t="str">
        <f aca="false">IFERROR(INDEX(M$6:M$201,MATCH(ROW()-5,J$6:J$201,0)),"")</f>
        <v/>
      </c>
      <c r="D6" s="136" t="str">
        <f aca="false">IFERROR(INDEX(N$6:N$201,MATCH(ROW()-5,J$6:J$201,0)),"")</f>
        <v/>
      </c>
      <c r="E6" s="135" t="str">
        <f aca="false">IFERROR(INDEX(O$6:O$201,MATCH(ROW()-5,J$6:J$201,0)),"")</f>
        <v>Solo camote A/P/C/M, sin sacos de chancho</v>
      </c>
      <c r="F6" s="136" t="n">
        <f aca="false">IFERROR(INDEX(P$6:P$201,MATCH(ROW()-5,J$6:J$201,0)),"")</f>
        <v>239</v>
      </c>
      <c r="G6" s="130"/>
      <c r="H6" s="130"/>
      <c r="I6" s="130"/>
      <c r="J6" s="130" t="n">
        <v>1</v>
      </c>
      <c r="K6" s="130" t="str">
        <f aca="false">PROCESO!A6</f>
        <v>SAB 11-07</v>
      </c>
      <c r="L6" s="130" t="s">
        <v>65</v>
      </c>
      <c r="M6" s="130" t="str">
        <f aca="false">""</f>
        <v/>
      </c>
      <c r="N6" s="130" t="str">
        <f aca="false">""</f>
        <v/>
      </c>
      <c r="O6" s="130" t="s">
        <v>66</v>
      </c>
      <c r="P6" s="130" t="n">
        <f aca="false">SUM(PROCESO!R6:R9)</f>
        <v>239</v>
      </c>
      <c r="Q6" s="130"/>
      <c r="R6" s="130"/>
      <c r="S6" s="130"/>
      <c r="T6" s="130"/>
    </row>
    <row r="7" customFormat="false" ht="15" hidden="false" customHeight="false" outlineLevel="0" collapsed="false">
      <c r="A7" s="135" t="str">
        <f aca="false">IFERROR(INDEX(K$6:K$201,MATCH(ROW()-5,J$6:J$201,0)),"")</f>
        <v>DOM 12-07</v>
      </c>
      <c r="B7" s="135" t="str">
        <f aca="false">IFERROR(INDEX(L$6:L$201,MATCH(ROW()-5,J$6:J$201,0)),"")</f>
        <v>INGRESO (compra)</v>
      </c>
      <c r="C7" s="136" t="n">
        <f aca="false">IFERROR(INDEX(M$6:M$201,MATCH(ROW()-5,J$6:J$201,0)),"")</f>
        <v>2850</v>
      </c>
      <c r="D7" s="136" t="str">
        <f aca="false">IFERROR(INDEX(N$6:N$201,MATCH(ROW()-5,J$6:J$201,0)),"")</f>
        <v/>
      </c>
      <c r="E7" s="135" t="str">
        <f aca="false">IFERROR(INDEX(O$6:O$201,MATCH(ROW()-5,J$6:J$201,0)),"")</f>
        <v>30 sacos x 95 kg</v>
      </c>
      <c r="F7" s="136" t="n">
        <f aca="false">IFERROR(INDEX(P$6:P$201,MATCH(ROW()-5,J$6:J$201,0)),"")</f>
        <v>3089</v>
      </c>
      <c r="G7" s="130"/>
      <c r="H7" s="130"/>
      <c r="I7" s="130"/>
      <c r="J7" s="130" t="n">
        <f aca="false">IF(PROCESO!D12&gt;0,COUNT(J$6:J6)+1,"")</f>
        <v>2</v>
      </c>
      <c r="K7" s="130" t="str">
        <f aca="false">IF(PROCESO!D12&gt;0,PROCESO!A12&amp;IF(COUNTIF(PROCESO!$A$6:A11,PROCESO!A12)&gt;0," (Ped."&amp;(COUNTIF(PROCESO!$A$6:A11,PROCESO!A12)+1)&amp;")",""),"")</f>
        <v>DOM 12-07</v>
      </c>
      <c r="L7" s="130" t="str">
        <f aca="false">IF(PROCESO!D12&gt;0,"INGRESO (compra)","")</f>
        <v>INGRESO (compra)</v>
      </c>
      <c r="M7" s="137" t="n">
        <f aca="false">IF(PROCESO!D12&gt;0,PROCESO!D12,"")</f>
        <v>2850</v>
      </c>
      <c r="N7" s="130" t="str">
        <f aca="false">""</f>
        <v/>
      </c>
      <c r="O7" s="130" t="str">
        <f aca="false">IF(PROCESO!D12&gt;0,PROCESO!B12&amp;" sacos x "&amp;PROCESO!C12&amp;" kg","")</f>
        <v>30 sacos x 95 kg</v>
      </c>
      <c r="P7" s="130" t="n">
        <f aca="false">P6+N(M7)-N(N7)</f>
        <v>3089</v>
      </c>
      <c r="Q7" s="130"/>
      <c r="R7" s="130"/>
      <c r="S7" s="130"/>
      <c r="T7" s="130"/>
    </row>
    <row r="8" customFormat="false" ht="15" hidden="false" customHeight="false" outlineLevel="0" collapsed="false">
      <c r="A8" s="135" t="str">
        <f aca="false">IFERROR(INDEX(K$6:K$201,MATCH(ROW()-5,J$6:J$201,0)),"")</f>
        <v>DOM 12-07</v>
      </c>
      <c r="B8" s="135" t="str">
        <f aca="false">IFERROR(INDEX(L$6:L$201,MATCH(ROW()-5,J$6:J$201,0)),"")</f>
        <v>CHANCHO (proceso)</v>
      </c>
      <c r="C8" s="136" t="str">
        <f aca="false">IFERROR(INDEX(M$6:M$201,MATCH(ROW()-5,J$6:J$201,0)),"")</f>
        <v/>
      </c>
      <c r="D8" s="136" t="n">
        <f aca="false">IFERROR(INDEX(N$6:N$201,MATCH(ROW()-5,J$6:J$201,0)),"")</f>
        <v>570</v>
      </c>
      <c r="E8" s="135" t="str">
        <f aca="false">IFERROR(INDEX(O$6:O$201,MATCH(ROW()-5,J$6:J$201,0)),"")</f>
        <v>6 sacos x 95 kg</v>
      </c>
      <c r="F8" s="136" t="n">
        <f aca="false">IFERROR(INDEX(P$6:P$201,MATCH(ROW()-5,J$6:J$201,0)),"")</f>
        <v>2519</v>
      </c>
      <c r="G8" s="130"/>
      <c r="H8" s="130"/>
      <c r="I8" s="130"/>
      <c r="J8" s="130" t="n">
        <f aca="false">IF(N(PROCESO!H16)&gt;0,COUNT(J$6:J7)+1,"")</f>
        <v>3</v>
      </c>
      <c r="K8" s="130" t="str">
        <f aca="false">IF(N(PROCESO!H16)&gt;0,PROCESO!A12&amp;IF(COUNTIF(PROCESO!$A$6:A11,PROCESO!A12)&gt;0," (Ped."&amp;(COUNTIF(PROCESO!$A$6:A11,PROCESO!A12)+1)&amp;")",""),"")</f>
        <v>DOM 12-07</v>
      </c>
      <c r="L8" s="130" t="str">
        <f aca="false">IF(N(PROCESO!H16)&gt;0,"CHANCHO (proceso)","")</f>
        <v>CHANCHO (proceso)</v>
      </c>
      <c r="M8" s="130" t="str">
        <f aca="false">""</f>
        <v/>
      </c>
      <c r="N8" s="130" t="n">
        <f aca="false">IF(N(PROCESO!H16)&gt;0,N(PROCESO!H16),"")</f>
        <v>570</v>
      </c>
      <c r="O8" s="130" t="str">
        <f aca="false">IF(N(PROCESO!H16)&gt;0,PROCESO!G16&amp;" sacos x 95 kg","")</f>
        <v>6 sacos x 95 kg</v>
      </c>
      <c r="P8" s="130" t="n">
        <f aca="false">P7+N(M8)-N(N8)</f>
        <v>2519</v>
      </c>
      <c r="Q8" s="130"/>
      <c r="R8" s="130"/>
      <c r="S8" s="130"/>
      <c r="T8" s="130"/>
    </row>
    <row r="9" customFormat="false" ht="15" hidden="false" customHeight="false" outlineLevel="0" collapsed="false">
      <c r="A9" s="135" t="str">
        <f aca="false">IFERROR(INDEX(K$6:K$201,MATCH(ROW()-5,J$6:J$201,0)),"")</f>
        <v>DOM 12-07</v>
      </c>
      <c r="B9" s="135" t="str">
        <f aca="false">IFERROR(INDEX(L$6:L$201,MATCH(ROW()-5,J$6:J$201,0)),"")</f>
        <v>ENVÍO Guía 2977</v>
      </c>
      <c r="C9" s="136" t="str">
        <f aca="false">IFERROR(INDEX(M$6:M$201,MATCH(ROW()-5,J$6:J$201,0)),"")</f>
        <v/>
      </c>
      <c r="D9" s="136" t="n">
        <f aca="false">IFERROR(INDEX(N$6:N$201,MATCH(ROW()-5,J$6:J$201,0)),"")</f>
        <v>2121</v>
      </c>
      <c r="E9" s="135" t="str">
        <f aca="false">IFERROR(INDEX(O$6:O$201,MATCH(ROW()-5,J$6:J$201,0)),"")</f>
        <v>G-2977</v>
      </c>
      <c r="F9" s="136" t="n">
        <f aca="false">IFERROR(INDEX(P$6:P$201,MATCH(ROW()-5,J$6:J$201,0)),"")</f>
        <v>398</v>
      </c>
      <c r="G9" s="130"/>
      <c r="H9" s="130"/>
      <c r="I9" s="130"/>
      <c r="J9" s="130" t="str">
        <f aca="false">IF(N(PROCESO!H17)&gt;0,COUNT(J$6:J8)+1,"")</f>
        <v/>
      </c>
      <c r="K9" s="130" t="str">
        <f aca="false">IF(N(PROCESO!H17)&gt;0,PROCESO!A12&amp;IF(COUNTIF(PROCESO!$A$6:A11,PROCESO!A12)&gt;0," (Ped."&amp;(COUNTIF(PROCESO!$A$6:A11,PROCESO!A12)+1)&amp;")",""),"")</f>
        <v/>
      </c>
      <c r="L9" s="130" t="str">
        <f aca="false">IF(N(PROCESO!H17)&gt;0,"MALOGRADO","")</f>
        <v/>
      </c>
      <c r="M9" s="130" t="str">
        <f aca="false">""</f>
        <v/>
      </c>
      <c r="N9" s="130" t="str">
        <f aca="false">IF(N(PROCESO!H17)&gt;0,N(PROCESO!H17),"")</f>
        <v/>
      </c>
      <c r="O9" s="130" t="str">
        <f aca="false">""</f>
        <v/>
      </c>
      <c r="P9" s="130" t="n">
        <f aca="false">P8+N(M9)-N(N9)</f>
        <v>2519</v>
      </c>
      <c r="Q9" s="130"/>
      <c r="R9" s="130"/>
      <c r="S9" s="130"/>
      <c r="T9" s="130"/>
    </row>
    <row r="10" customFormat="false" ht="15" hidden="false" customHeight="false" outlineLevel="0" collapsed="false">
      <c r="A10" s="135" t="str">
        <f aca="false">IFERROR(INDEX(K$6:K$201,MATCH(ROW()-5,J$6:J$201,0)),"")</f>
        <v>LUN 13-07</v>
      </c>
      <c r="B10" s="135" t="str">
        <f aca="false">IFERROR(INDEX(L$6:L$201,MATCH(ROW()-5,J$6:J$201,0)),"")</f>
        <v>INGRESO (compra)</v>
      </c>
      <c r="C10" s="136" t="n">
        <f aca="false">IFERROR(INDEX(M$6:M$201,MATCH(ROW()-5,J$6:J$201,0)),"")</f>
        <v>3800</v>
      </c>
      <c r="D10" s="136" t="str">
        <f aca="false">IFERROR(INDEX(N$6:N$201,MATCH(ROW()-5,J$6:J$201,0)),"")</f>
        <v/>
      </c>
      <c r="E10" s="135" t="str">
        <f aca="false">IFERROR(INDEX(O$6:O$201,MATCH(ROW()-5,J$6:J$201,0)),"")</f>
        <v>40 sacos x 95 kg</v>
      </c>
      <c r="F10" s="136" t="n">
        <f aca="false">IFERROR(INDEX(P$6:P$201,MATCH(ROW()-5,J$6:J$201,0)),"")</f>
        <v>4198</v>
      </c>
      <c r="G10" s="130"/>
      <c r="H10" s="130"/>
      <c r="I10" s="130"/>
      <c r="J10" s="130" t="n">
        <f aca="false">IF(IF(PROCESO!J12&lt;&gt;"",PROCESO!J12,IF(PROCESO!J13&lt;&gt;"",PROCESO!J13,IF(PROCESO!J14&lt;&gt;"",PROCESO!J14,IF(PROCESO!J15&lt;&gt;"",PROCESO!J15,""))))&lt;&gt;"",COUNT(J$6:J9)+1,"")</f>
        <v>4</v>
      </c>
      <c r="K10" s="130" t="str">
        <f aca="false">IF(IF(PROCESO!J12&lt;&gt;"",PROCESO!J12,IF(PROCESO!J13&lt;&gt;"",PROCESO!J13,IF(PROCESO!J14&lt;&gt;"",PROCESO!J14,IF(PROCESO!J15&lt;&gt;"",PROCESO!J15,""))))&lt;&gt;"",PROCESO!A12&amp;IF(COUNTIF(PROCESO!$A$6:A11,PROCESO!A12)&gt;0," (Ped."&amp;(COUNTIF(PROCESO!$A$6:A11,PROCESO!A12)+1)&amp;")",""),"")</f>
        <v>DOM 12-07</v>
      </c>
      <c r="L10" s="130" t="str">
        <f aca="false">IF(IF(PROCESO!J12&lt;&gt;"",PROCESO!J12,IF(PROCESO!J13&lt;&gt;"",PROCESO!J13,IF(PROCESO!J14&lt;&gt;"",PROCESO!J14,IF(PROCESO!J15&lt;&gt;"",PROCESO!J15,""))))&lt;&gt;"","ENVÍO Guía "&amp;IF(LEFT(IF(PROCESO!J12&lt;&gt;"",PROCESO!J12,IF(PROCESO!J13&lt;&gt;"",PROCESO!J13,IF(PROCESO!J14&lt;&gt;"",PROCESO!J14,IF(PROCESO!J15&lt;&gt;"",PROCESO!J15,"")))),2)="G-",MID(IF(PROCESO!J12&lt;&gt;"",PROCESO!J12,IF(PROCESO!J13&lt;&gt;"",PROCESO!J13,IF(PROCESO!J14&lt;&gt;"",PROCESO!J14,IF(PROCESO!J15&lt;&gt;"",PROCESO!J15,"")))),3,99),IF(PROCESO!J12&lt;&gt;"",PROCESO!J12,IF(PROCESO!J13&lt;&gt;"",PROCESO!J13,IF(PROCESO!J14&lt;&gt;"",PROCESO!J14,IF(PROCESO!J15&lt;&gt;"",PROCESO!J15,""))))),"")</f>
        <v>ENVÍO Guía 2977</v>
      </c>
      <c r="M10" s="130" t="str">
        <f aca="false">""</f>
        <v/>
      </c>
      <c r="N10" s="130" t="n">
        <f aca="false">IF(IF(PROCESO!J12&lt;&gt;"",PROCESO!J12,IF(PROCESO!J13&lt;&gt;"",PROCESO!J13,IF(PROCESO!J14&lt;&gt;"",PROCESO!J14,IF(PROCESO!J15&lt;&gt;"",PROCESO!J15,""))))&lt;&gt;"",SUMIF(PROCESO!J12:J15,IF(PROCESO!J12&lt;&gt;"",PROCESO!J12,IF(PROCESO!J13&lt;&gt;"",PROCESO!J13,IF(PROCESO!J14&lt;&gt;"",PROCESO!J14,IF(PROCESO!J15&lt;&gt;"",PROCESO!J15,"")))),PROCESO!L12:L15),"")</f>
        <v>2121</v>
      </c>
      <c r="O10" s="130" t="str">
        <f aca="false">IF(IF(PROCESO!J12&lt;&gt;"",PROCESO!J12,IF(PROCESO!J13&lt;&gt;"",PROCESO!J13,IF(PROCESO!J14&lt;&gt;"",PROCESO!J14,IF(PROCESO!J15&lt;&gt;"",PROCESO!J15,""))))&lt;&gt;"","G-"&amp;IF(LEFT(IF(PROCESO!J12&lt;&gt;"",PROCESO!J12,IF(PROCESO!J13&lt;&gt;"",PROCESO!J13,IF(PROCESO!J14&lt;&gt;"",PROCESO!J14,IF(PROCESO!J15&lt;&gt;"",PROCESO!J15,"")))),2)="G-",MID(IF(PROCESO!J12&lt;&gt;"",PROCESO!J12,IF(PROCESO!J13&lt;&gt;"",PROCESO!J13,IF(PROCESO!J14&lt;&gt;"",PROCESO!J14,IF(PROCESO!J15&lt;&gt;"",PROCESO!J15,"")))),3,99),IF(PROCESO!J12&lt;&gt;"",PROCESO!J12,IF(PROCESO!J13&lt;&gt;"",PROCESO!J13,IF(PROCESO!J14&lt;&gt;"",PROCESO!J14,IF(PROCESO!J15&lt;&gt;"",PROCESO!J15,""))))),"")</f>
        <v>G-2977</v>
      </c>
      <c r="P10" s="130" t="n">
        <f aca="false">P9+N(M10)-N(N10)</f>
        <v>398</v>
      </c>
      <c r="Q10" s="130"/>
      <c r="R10" s="130"/>
      <c r="S10" s="130"/>
      <c r="T10" s="130"/>
    </row>
    <row r="11" customFormat="false" ht="15" hidden="false" customHeight="false" outlineLevel="0" collapsed="false">
      <c r="A11" s="135" t="str">
        <f aca="false">IFERROR(INDEX(K$6:K$201,MATCH(ROW()-5,J$6:J$201,0)),"")</f>
        <v>LUN 13-07</v>
      </c>
      <c r="B11" s="135" t="str">
        <f aca="false">IFERROR(INDEX(L$6:L$201,MATCH(ROW()-5,J$6:J$201,0)),"")</f>
        <v>CHANCHO (proceso)</v>
      </c>
      <c r="C11" s="136" t="str">
        <f aca="false">IFERROR(INDEX(M$6:M$201,MATCH(ROW()-5,J$6:J$201,0)),"")</f>
        <v/>
      </c>
      <c r="D11" s="136" t="n">
        <f aca="false">IFERROR(INDEX(N$6:N$201,MATCH(ROW()-5,J$6:J$201,0)),"")</f>
        <v>190</v>
      </c>
      <c r="E11" s="135" t="str">
        <f aca="false">IFERROR(INDEX(O$6:O$201,MATCH(ROW()-5,J$6:J$201,0)),"")</f>
        <v>2 sacos x 95 kg</v>
      </c>
      <c r="F11" s="136" t="n">
        <f aca="false">IFERROR(INDEX(P$6:P$201,MATCH(ROW()-5,J$6:J$201,0)),"")</f>
        <v>4008</v>
      </c>
      <c r="G11" s="130"/>
      <c r="H11" s="130"/>
      <c r="I11" s="130"/>
      <c r="J11" s="130" t="str">
        <f aca="false">IF(OR(SUM(PROCESO!M12:M15)&gt;0,SUM(PROCESO!N12:N15)&gt;0),COUNT(J$6:J10)+1,"")</f>
        <v/>
      </c>
      <c r="K11" s="130" t="str">
        <f aca="false">IF(OR(SUM(PROCESO!M12:M15)&gt;0,SUM(PROCESO!N12:N15)&gt;0),PROCESO!A12&amp;IF(COUNTIF(PROCESO!$A$6:A11,PROCESO!A12)&gt;0," (Ped."&amp;(COUNTIF(PROCESO!$A$6:A11,PROCESO!A12)+1)&amp;")",""),"")</f>
        <v/>
      </c>
      <c r="L11" s="130" t="str">
        <f aca="false">IF(OR(SUM(PROCESO!M12:M15)&gt;0,SUM(PROCESO!N12:N15)&gt;0),"REPROCESO (devolución)","")</f>
        <v/>
      </c>
      <c r="M11" s="130" t="str">
        <f aca="false">IF(OR(SUM(PROCESO!M12:M15)&gt;0,SUM(PROCESO!N12:N15)&gt;0),SUM(PROCESO!N12:N15),"")</f>
        <v/>
      </c>
      <c r="N11" s="130" t="str">
        <f aca="false">""</f>
        <v/>
      </c>
      <c r="O11" s="130" t="str">
        <f aca="false">IF(OR(SUM(PROCESO!M12:M15)&gt;0,SUM(PROCESO!N12:N15)&gt;0),IF(SUM(PROCESO!M12:M15)&gt;0,SUM(PROCESO!M12:M15)&amp;" jabas devueltas · merma "&amp;TEXT((PROCESO!M12*15+PROCESO!M13*18+PROCESO!M14*17+PROCESO!M15*17)-SUM(PROCESO!N12:N15),"+#,##0;-#,##0;0")&amp;" kg",""),"")</f>
        <v/>
      </c>
      <c r="P11" s="130" t="n">
        <f aca="false">P10+N(M11)-N(N11)</f>
        <v>398</v>
      </c>
      <c r="Q11" s="130"/>
      <c r="R11" s="130"/>
      <c r="S11" s="130"/>
      <c r="T11" s="130"/>
    </row>
    <row r="12" customFormat="false" ht="15" hidden="false" customHeight="false" outlineLevel="0" collapsed="false">
      <c r="A12" s="135" t="str">
        <f aca="false">IFERROR(INDEX(K$6:K$201,MATCH(ROW()-5,J$6:J$201,0)),"")</f>
        <v>LUN 13-07</v>
      </c>
      <c r="B12" s="135" t="str">
        <f aca="false">IFERROR(INDEX(L$6:L$201,MATCH(ROW()-5,J$6:J$201,0)),"")</f>
        <v>ENVÍO Guía 2980</v>
      </c>
      <c r="C12" s="136" t="str">
        <f aca="false">IFERROR(INDEX(M$6:M$201,MATCH(ROW()-5,J$6:J$201,0)),"")</f>
        <v/>
      </c>
      <c r="D12" s="136" t="n">
        <f aca="false">IFERROR(INDEX(N$6:N$201,MATCH(ROW()-5,J$6:J$201,0)),"")</f>
        <v>3056</v>
      </c>
      <c r="E12" s="135" t="str">
        <f aca="false">IFERROR(INDEX(O$6:O$201,MATCH(ROW()-5,J$6:J$201,0)),"")</f>
        <v>G-2980</v>
      </c>
      <c r="F12" s="136" t="n">
        <f aca="false">IFERROR(INDEX(P$6:P$201,MATCH(ROW()-5,J$6:J$201,0)),"")</f>
        <v>952</v>
      </c>
      <c r="G12" s="130"/>
      <c r="H12" s="130"/>
      <c r="I12" s="130"/>
      <c r="J12" s="130" t="n">
        <f aca="false">IF(PROCESO!D18&gt;0,COUNT(J$6:J11)+1,"")</f>
        <v>5</v>
      </c>
      <c r="K12" s="130" t="str">
        <f aca="false">IF(PROCESO!D18&gt;0,PROCESO!A18&amp;IF(COUNTIF(PROCESO!$A$6:A17,PROCESO!A18)&gt;0," (Ped."&amp;(COUNTIF(PROCESO!$A$6:A17,PROCESO!A18)+1)&amp;")",""),"")</f>
        <v>LUN 13-07</v>
      </c>
      <c r="L12" s="130" t="str">
        <f aca="false">IF(PROCESO!D18&gt;0,"INGRESO (compra)","")</f>
        <v>INGRESO (compra)</v>
      </c>
      <c r="M12" s="137" t="n">
        <f aca="false">IF(PROCESO!D18&gt;0,PROCESO!D18,"")</f>
        <v>3800</v>
      </c>
      <c r="N12" s="130" t="str">
        <f aca="false">""</f>
        <v/>
      </c>
      <c r="O12" s="130" t="str">
        <f aca="false">IF(PROCESO!D18&gt;0,PROCESO!B18&amp;" sacos x "&amp;PROCESO!C18&amp;" kg","")</f>
        <v>40 sacos x 95 kg</v>
      </c>
      <c r="P12" s="130" t="n">
        <f aca="false">P11+N(M12)-N(N12)</f>
        <v>4198</v>
      </c>
      <c r="Q12" s="130"/>
      <c r="R12" s="130"/>
      <c r="S12" s="130"/>
      <c r="T12" s="130"/>
    </row>
    <row r="13" customFormat="false" ht="15" hidden="false" customHeight="false" outlineLevel="0" collapsed="false">
      <c r="A13" s="135" t="str">
        <f aca="false">IFERROR(INDEX(K$6:K$201,MATCH(ROW()-5,J$6:J$201,0)),"")</f>
        <v>MAR 14-07</v>
      </c>
      <c r="B13" s="135" t="str">
        <f aca="false">IFERROR(INDEX(L$6:L$201,MATCH(ROW()-5,J$6:J$201,0)),"")</f>
        <v>INGRESO (compra)</v>
      </c>
      <c r="C13" s="136" t="n">
        <f aca="false">IFERROR(INDEX(M$6:M$201,MATCH(ROW()-5,J$6:J$201,0)),"")</f>
        <v>3800</v>
      </c>
      <c r="D13" s="136" t="str">
        <f aca="false">IFERROR(INDEX(N$6:N$201,MATCH(ROW()-5,J$6:J$201,0)),"")</f>
        <v/>
      </c>
      <c r="E13" s="135" t="str">
        <f aca="false">IFERROR(INDEX(O$6:O$201,MATCH(ROW()-5,J$6:J$201,0)),"")</f>
        <v>40 sacos x 95 kg</v>
      </c>
      <c r="F13" s="136" t="n">
        <f aca="false">IFERROR(INDEX(P$6:P$201,MATCH(ROW()-5,J$6:J$201,0)),"")</f>
        <v>4752</v>
      </c>
      <c r="G13" s="130"/>
      <c r="H13" s="130"/>
      <c r="I13" s="130"/>
      <c r="J13" s="130" t="n">
        <f aca="false">IF(N(PROCESO!H22)&gt;0,COUNT(J$6:J12)+1,"")</f>
        <v>6</v>
      </c>
      <c r="K13" s="130" t="str">
        <f aca="false">IF(N(PROCESO!H22)&gt;0,PROCESO!A18&amp;IF(COUNTIF(PROCESO!$A$6:A17,PROCESO!A18)&gt;0," (Ped."&amp;(COUNTIF(PROCESO!$A$6:A17,PROCESO!A18)+1)&amp;")",""),"")</f>
        <v>LUN 13-07</v>
      </c>
      <c r="L13" s="130" t="str">
        <f aca="false">IF(N(PROCESO!H22)&gt;0,"CHANCHO (proceso)","")</f>
        <v>CHANCHO (proceso)</v>
      </c>
      <c r="M13" s="130" t="str">
        <f aca="false">""</f>
        <v/>
      </c>
      <c r="N13" s="130" t="n">
        <f aca="false">IF(N(PROCESO!H22)&gt;0,N(PROCESO!H22),"")</f>
        <v>190</v>
      </c>
      <c r="O13" s="130" t="str">
        <f aca="false">IF(N(PROCESO!H22)&gt;0,PROCESO!G22&amp;" sacos x 95 kg","")</f>
        <v>2 sacos x 95 kg</v>
      </c>
      <c r="P13" s="130" t="n">
        <f aca="false">P12+N(M13)-N(N13)</f>
        <v>4008</v>
      </c>
      <c r="Q13" s="130"/>
      <c r="R13" s="130"/>
      <c r="S13" s="130"/>
      <c r="T13" s="130"/>
    </row>
    <row r="14" customFormat="false" ht="15" hidden="false" customHeight="false" outlineLevel="0" collapsed="false">
      <c r="A14" s="135" t="str">
        <f aca="false">IFERROR(INDEX(K$6:K$201,MATCH(ROW()-5,J$6:J$201,0)),"")</f>
        <v>MAR 14-07</v>
      </c>
      <c r="B14" s="135" t="str">
        <f aca="false">IFERROR(INDEX(L$6:L$201,MATCH(ROW()-5,J$6:J$201,0)),"")</f>
        <v>CHANCHO (proceso)</v>
      </c>
      <c r="C14" s="136" t="str">
        <f aca="false">IFERROR(INDEX(M$6:M$201,MATCH(ROW()-5,J$6:J$201,0)),"")</f>
        <v/>
      </c>
      <c r="D14" s="136" t="n">
        <f aca="false">IFERROR(INDEX(N$6:N$201,MATCH(ROW()-5,J$6:J$201,0)),"")</f>
        <v>665</v>
      </c>
      <c r="E14" s="135" t="str">
        <f aca="false">IFERROR(INDEX(O$6:O$201,MATCH(ROW()-5,J$6:J$201,0)),"")</f>
        <v>7 sacos x 95 kg</v>
      </c>
      <c r="F14" s="136" t="n">
        <f aca="false">IFERROR(INDEX(P$6:P$201,MATCH(ROW()-5,J$6:J$201,0)),"")</f>
        <v>4087</v>
      </c>
      <c r="G14" s="130"/>
      <c r="H14" s="130"/>
      <c r="I14" s="130"/>
      <c r="J14" s="130" t="str">
        <f aca="false">IF(N(PROCESO!H23)&gt;0,COUNT(J$6:J13)+1,"")</f>
        <v/>
      </c>
      <c r="K14" s="130" t="str">
        <f aca="false">IF(N(PROCESO!H23)&gt;0,PROCESO!A18&amp;IF(COUNTIF(PROCESO!$A$6:A17,PROCESO!A18)&gt;0," (Ped."&amp;(COUNTIF(PROCESO!$A$6:A17,PROCESO!A18)+1)&amp;")",""),"")</f>
        <v/>
      </c>
      <c r="L14" s="130" t="str">
        <f aca="false">IF(N(PROCESO!H23)&gt;0,"MALOGRADO","")</f>
        <v/>
      </c>
      <c r="M14" s="130" t="str">
        <f aca="false">""</f>
        <v/>
      </c>
      <c r="N14" s="130" t="str">
        <f aca="false">IF(N(PROCESO!H23)&gt;0,N(PROCESO!H23),"")</f>
        <v/>
      </c>
      <c r="O14" s="130" t="str">
        <f aca="false">""</f>
        <v/>
      </c>
      <c r="P14" s="130" t="n">
        <f aca="false">P13+N(M14)-N(N14)</f>
        <v>4008</v>
      </c>
      <c r="Q14" s="130"/>
      <c r="R14" s="130"/>
      <c r="S14" s="130"/>
      <c r="T14" s="130"/>
    </row>
    <row r="15" customFormat="false" ht="15" hidden="false" customHeight="false" outlineLevel="0" collapsed="false">
      <c r="A15" s="135" t="str">
        <f aca="false">IFERROR(INDEX(K$6:K$201,MATCH(ROW()-5,J$6:J$201,0)),"")</f>
        <v>MAR 14-07</v>
      </c>
      <c r="B15" s="135" t="str">
        <f aca="false">IFERROR(INDEX(L$6:L$201,MATCH(ROW()-5,J$6:J$201,0)),"")</f>
        <v>ENVÍO Guía 2984</v>
      </c>
      <c r="C15" s="136" t="str">
        <f aca="false">IFERROR(INDEX(M$6:M$201,MATCH(ROW()-5,J$6:J$201,0)),"")</f>
        <v/>
      </c>
      <c r="D15" s="136" t="n">
        <f aca="false">IFERROR(INDEX(N$6:N$201,MATCH(ROW()-5,J$6:J$201,0)),"")</f>
        <v>3379</v>
      </c>
      <c r="E15" s="135" t="str">
        <f aca="false">IFERROR(INDEX(O$6:O$201,MATCH(ROW()-5,J$6:J$201,0)),"")</f>
        <v>G-2984</v>
      </c>
      <c r="F15" s="136" t="n">
        <f aca="false">IFERROR(INDEX(P$6:P$201,MATCH(ROW()-5,J$6:J$201,0)),"")</f>
        <v>708</v>
      </c>
      <c r="G15" s="130"/>
      <c r="H15" s="130"/>
      <c r="I15" s="130"/>
      <c r="J15" s="130" t="n">
        <f aca="false">IF(IF(PROCESO!J18&lt;&gt;"",PROCESO!J18,IF(PROCESO!J19&lt;&gt;"",PROCESO!J19,IF(PROCESO!J20&lt;&gt;"",PROCESO!J20,IF(PROCESO!J21&lt;&gt;"",PROCESO!J21,""))))&lt;&gt;"",COUNT(J$6:J14)+1,"")</f>
        <v>7</v>
      </c>
      <c r="K15" s="130" t="str">
        <f aca="false">IF(IF(PROCESO!J18&lt;&gt;"",PROCESO!J18,IF(PROCESO!J19&lt;&gt;"",PROCESO!J19,IF(PROCESO!J20&lt;&gt;"",PROCESO!J20,IF(PROCESO!J21&lt;&gt;"",PROCESO!J21,""))))&lt;&gt;"",PROCESO!A18&amp;IF(COUNTIF(PROCESO!$A$6:A17,PROCESO!A18)&gt;0," (Ped."&amp;(COUNTIF(PROCESO!$A$6:A17,PROCESO!A18)+1)&amp;")",""),"")</f>
        <v>LUN 13-07</v>
      </c>
      <c r="L15" s="130" t="str">
        <f aca="false">IF(IF(PROCESO!J18&lt;&gt;"",PROCESO!J18,IF(PROCESO!J19&lt;&gt;"",PROCESO!J19,IF(PROCESO!J20&lt;&gt;"",PROCESO!J20,IF(PROCESO!J21&lt;&gt;"",PROCESO!J21,""))))&lt;&gt;"","ENVÍO Guía "&amp;IF(LEFT(IF(PROCESO!J18&lt;&gt;"",PROCESO!J18,IF(PROCESO!J19&lt;&gt;"",PROCESO!J19,IF(PROCESO!J20&lt;&gt;"",PROCESO!J20,IF(PROCESO!J21&lt;&gt;"",PROCESO!J21,"")))),2)="G-",MID(IF(PROCESO!J18&lt;&gt;"",PROCESO!J18,IF(PROCESO!J19&lt;&gt;"",PROCESO!J19,IF(PROCESO!J20&lt;&gt;"",PROCESO!J20,IF(PROCESO!J21&lt;&gt;"",PROCESO!J21,"")))),3,99),IF(PROCESO!J18&lt;&gt;"",PROCESO!J18,IF(PROCESO!J19&lt;&gt;"",PROCESO!J19,IF(PROCESO!J20&lt;&gt;"",PROCESO!J20,IF(PROCESO!J21&lt;&gt;"",PROCESO!J21,""))))),"")</f>
        <v>ENVÍO Guía 2980</v>
      </c>
      <c r="M15" s="130" t="str">
        <f aca="false">""</f>
        <v/>
      </c>
      <c r="N15" s="130" t="n">
        <f aca="false">IF(IF(PROCESO!J18&lt;&gt;"",PROCESO!J18,IF(PROCESO!J19&lt;&gt;"",PROCESO!J19,IF(PROCESO!J20&lt;&gt;"",PROCESO!J20,IF(PROCESO!J21&lt;&gt;"",PROCESO!J21,""))))&lt;&gt;"",SUMIF(PROCESO!J18:J21,IF(PROCESO!J18&lt;&gt;"",PROCESO!J18,IF(PROCESO!J19&lt;&gt;"",PROCESO!J19,IF(PROCESO!J20&lt;&gt;"",PROCESO!J20,IF(PROCESO!J21&lt;&gt;"",PROCESO!J21,"")))),PROCESO!L18:L21),"")</f>
        <v>3056</v>
      </c>
      <c r="O15" s="130" t="str">
        <f aca="false">IF(IF(PROCESO!J18&lt;&gt;"",PROCESO!J18,IF(PROCESO!J19&lt;&gt;"",PROCESO!J19,IF(PROCESO!J20&lt;&gt;"",PROCESO!J20,IF(PROCESO!J21&lt;&gt;"",PROCESO!J21,""))))&lt;&gt;"","G-"&amp;IF(LEFT(IF(PROCESO!J18&lt;&gt;"",PROCESO!J18,IF(PROCESO!J19&lt;&gt;"",PROCESO!J19,IF(PROCESO!J20&lt;&gt;"",PROCESO!J20,IF(PROCESO!J21&lt;&gt;"",PROCESO!J21,"")))),2)="G-",MID(IF(PROCESO!J18&lt;&gt;"",PROCESO!J18,IF(PROCESO!J19&lt;&gt;"",PROCESO!J19,IF(PROCESO!J20&lt;&gt;"",PROCESO!J20,IF(PROCESO!J21&lt;&gt;"",PROCESO!J21,"")))),3,99),IF(PROCESO!J18&lt;&gt;"",PROCESO!J18,IF(PROCESO!J19&lt;&gt;"",PROCESO!J19,IF(PROCESO!J20&lt;&gt;"",PROCESO!J20,IF(PROCESO!J21&lt;&gt;"",PROCESO!J21,""))))),"")</f>
        <v>G-2980</v>
      </c>
      <c r="P15" s="130" t="n">
        <f aca="false">P14+N(M15)-N(N15)</f>
        <v>952</v>
      </c>
      <c r="Q15" s="130"/>
      <c r="R15" s="130"/>
      <c r="S15" s="130"/>
      <c r="T15" s="130"/>
    </row>
    <row r="16" customFormat="false" ht="15" hidden="false" customHeight="false" outlineLevel="0" collapsed="false">
      <c r="A16" s="135" t="str">
        <f aca="false">IFERROR(INDEX(K$6:K$201,MATCH(ROW()-5,J$6:J$201,0)),"")</f>
        <v>MIE 15-07</v>
      </c>
      <c r="B16" s="135" t="str">
        <f aca="false">IFERROR(INDEX(L$6:L$201,MATCH(ROW()-5,J$6:J$201,0)),"")</f>
        <v>INGRESO (compra)</v>
      </c>
      <c r="C16" s="136" t="n">
        <f aca="false">IFERROR(INDEX(M$6:M$201,MATCH(ROW()-5,J$6:J$201,0)),"")</f>
        <v>3800</v>
      </c>
      <c r="D16" s="136" t="str">
        <f aca="false">IFERROR(INDEX(N$6:N$201,MATCH(ROW()-5,J$6:J$201,0)),"")</f>
        <v/>
      </c>
      <c r="E16" s="135" t="str">
        <f aca="false">IFERROR(INDEX(O$6:O$201,MATCH(ROW()-5,J$6:J$201,0)),"")</f>
        <v>40 sacos x 95 kg</v>
      </c>
      <c r="F16" s="136" t="n">
        <f aca="false">IFERROR(INDEX(P$6:P$201,MATCH(ROW()-5,J$6:J$201,0)),"")</f>
        <v>4508</v>
      </c>
      <c r="G16" s="130"/>
      <c r="H16" s="130"/>
      <c r="I16" s="130"/>
      <c r="J16" s="130" t="str">
        <f aca="false">IF(OR(SUM(PROCESO!M18:M21)&gt;0,SUM(PROCESO!N18:N21)&gt;0),COUNT(J$6:J15)+1,"")</f>
        <v/>
      </c>
      <c r="K16" s="130" t="str">
        <f aca="false">IF(OR(SUM(PROCESO!M18:M21)&gt;0,SUM(PROCESO!N18:N21)&gt;0),PROCESO!A18&amp;IF(COUNTIF(PROCESO!$A$6:A17,PROCESO!A18)&gt;0," (Ped."&amp;(COUNTIF(PROCESO!$A$6:A17,PROCESO!A18)+1)&amp;")",""),"")</f>
        <v/>
      </c>
      <c r="L16" s="130" t="str">
        <f aca="false">IF(OR(SUM(PROCESO!M18:M21)&gt;0,SUM(PROCESO!N18:N21)&gt;0),"REPROCESO (devolución)","")</f>
        <v/>
      </c>
      <c r="M16" s="130" t="str">
        <f aca="false">IF(OR(SUM(PROCESO!M18:M21)&gt;0,SUM(PROCESO!N18:N21)&gt;0),SUM(PROCESO!N18:N21),"")</f>
        <v/>
      </c>
      <c r="N16" s="130" t="str">
        <f aca="false">""</f>
        <v/>
      </c>
      <c r="O16" s="130" t="str">
        <f aca="false">IF(OR(SUM(PROCESO!M18:M21)&gt;0,SUM(PROCESO!N18:N21)&gt;0),IF(SUM(PROCESO!M18:M21)&gt;0,SUM(PROCESO!M18:M21)&amp;" jabas devueltas · merma "&amp;TEXT((PROCESO!M18*15+PROCESO!M19*18+PROCESO!M20*17+PROCESO!M21*17)-SUM(PROCESO!N18:N21),"+#,##0;-#,##0;0")&amp;" kg",""),"")</f>
        <v/>
      </c>
      <c r="P16" s="130" t="n">
        <f aca="false">P15+N(M16)-N(N16)</f>
        <v>952</v>
      </c>
      <c r="Q16" s="130"/>
      <c r="R16" s="130"/>
      <c r="S16" s="130"/>
      <c r="T16" s="130"/>
    </row>
    <row r="17" customFormat="false" ht="15" hidden="false" customHeight="false" outlineLevel="0" collapsed="false">
      <c r="A17" s="135" t="str">
        <f aca="false">IFERROR(INDEX(K$6:K$201,MATCH(ROW()-5,J$6:J$201,0)),"")</f>
        <v>MIE 15-07</v>
      </c>
      <c r="B17" s="135" t="str">
        <f aca="false">IFERROR(INDEX(L$6:L$201,MATCH(ROW()-5,J$6:J$201,0)),"")</f>
        <v>CHANCHO (proceso)</v>
      </c>
      <c r="C17" s="136" t="str">
        <f aca="false">IFERROR(INDEX(M$6:M$201,MATCH(ROW()-5,J$6:J$201,0)),"")</f>
        <v/>
      </c>
      <c r="D17" s="136" t="n">
        <f aca="false">IFERROR(INDEX(N$6:N$201,MATCH(ROW()-5,J$6:J$201,0)),"")</f>
        <v>475</v>
      </c>
      <c r="E17" s="135" t="str">
        <f aca="false">IFERROR(INDEX(O$6:O$201,MATCH(ROW()-5,J$6:J$201,0)),"")</f>
        <v>5 sacos x 95 kg</v>
      </c>
      <c r="F17" s="136" t="n">
        <f aca="false">IFERROR(INDEX(P$6:P$201,MATCH(ROW()-5,J$6:J$201,0)),"")</f>
        <v>4033</v>
      </c>
      <c r="G17" s="130"/>
      <c r="H17" s="130"/>
      <c r="I17" s="130"/>
      <c r="J17" s="130" t="n">
        <f aca="false">IF(PROCESO!D24&gt;0,COUNT(J$6:J16)+1,"")</f>
        <v>8</v>
      </c>
      <c r="K17" s="130" t="str">
        <f aca="false">IF(PROCESO!D24&gt;0,PROCESO!A24&amp;IF(COUNTIF(PROCESO!$A$6:A23,PROCESO!A24)&gt;0," (Ped."&amp;(COUNTIF(PROCESO!$A$6:A23,PROCESO!A24)+1)&amp;")",""),"")</f>
        <v>MAR 14-07</v>
      </c>
      <c r="L17" s="130" t="str">
        <f aca="false">IF(PROCESO!D24&gt;0,"INGRESO (compra)","")</f>
        <v>INGRESO (compra)</v>
      </c>
      <c r="M17" s="137" t="n">
        <f aca="false">IF(PROCESO!D24&gt;0,PROCESO!D24,"")</f>
        <v>3800</v>
      </c>
      <c r="N17" s="130" t="str">
        <f aca="false">""</f>
        <v/>
      </c>
      <c r="O17" s="130" t="str">
        <f aca="false">IF(PROCESO!D24&gt;0,PROCESO!B24&amp;" sacos x "&amp;PROCESO!C24&amp;" kg","")</f>
        <v>40 sacos x 95 kg</v>
      </c>
      <c r="P17" s="130" t="n">
        <f aca="false">P16+N(M17)-N(N17)</f>
        <v>4752</v>
      </c>
      <c r="Q17" s="130"/>
      <c r="R17" s="130"/>
      <c r="S17" s="130"/>
      <c r="T17" s="130"/>
    </row>
    <row r="18" customFormat="false" ht="15" hidden="false" customHeight="false" outlineLevel="0" collapsed="false">
      <c r="A18" s="135" t="str">
        <f aca="false">IFERROR(INDEX(K$6:K$201,MATCH(ROW()-5,J$6:J$201,0)),"")</f>
        <v>MIE 15-07</v>
      </c>
      <c r="B18" s="135" t="str">
        <f aca="false">IFERROR(INDEX(L$6:L$201,MATCH(ROW()-5,J$6:J$201,0)),"")</f>
        <v>ENVÍO Guía 2986</v>
      </c>
      <c r="C18" s="136" t="str">
        <f aca="false">IFERROR(INDEX(M$6:M$201,MATCH(ROW()-5,J$6:J$201,0)),"")</f>
        <v/>
      </c>
      <c r="D18" s="136" t="n">
        <f aca="false">IFERROR(INDEX(N$6:N$201,MATCH(ROW()-5,J$6:J$201,0)),"")</f>
        <v>2971</v>
      </c>
      <c r="E18" s="135" t="str">
        <f aca="false">IFERROR(INDEX(O$6:O$201,MATCH(ROW()-5,J$6:J$201,0)),"")</f>
        <v>G-2986</v>
      </c>
      <c r="F18" s="136" t="n">
        <f aca="false">IFERROR(INDEX(P$6:P$201,MATCH(ROW()-5,J$6:J$201,0)),"")</f>
        <v>1062</v>
      </c>
      <c r="G18" s="130"/>
      <c r="H18" s="130"/>
      <c r="I18" s="130"/>
      <c r="J18" s="130" t="n">
        <f aca="false">IF(N(PROCESO!H28)&gt;0,COUNT(J$6:J17)+1,"")</f>
        <v>9</v>
      </c>
      <c r="K18" s="130" t="str">
        <f aca="false">IF(N(PROCESO!H28)&gt;0,PROCESO!A24&amp;IF(COUNTIF(PROCESO!$A$6:A23,PROCESO!A24)&gt;0," (Ped."&amp;(COUNTIF(PROCESO!$A$6:A23,PROCESO!A24)+1)&amp;")",""),"")</f>
        <v>MAR 14-07</v>
      </c>
      <c r="L18" s="130" t="str">
        <f aca="false">IF(N(PROCESO!H28)&gt;0,"CHANCHO (proceso)","")</f>
        <v>CHANCHO (proceso)</v>
      </c>
      <c r="M18" s="130" t="str">
        <f aca="false">""</f>
        <v/>
      </c>
      <c r="N18" s="130" t="n">
        <f aca="false">IF(N(PROCESO!H28)&gt;0,N(PROCESO!H28),"")</f>
        <v>665</v>
      </c>
      <c r="O18" s="130" t="str">
        <f aca="false">IF(N(PROCESO!H28)&gt;0,PROCESO!G28&amp;" sacos x 95 kg","")</f>
        <v>7 sacos x 95 kg</v>
      </c>
      <c r="P18" s="130" t="n">
        <f aca="false">P17+N(M18)-N(N18)</f>
        <v>4087</v>
      </c>
      <c r="Q18" s="130"/>
      <c r="R18" s="130"/>
      <c r="S18" s="130"/>
      <c r="T18" s="130"/>
    </row>
    <row r="19" customFormat="false" ht="15" hidden="false" customHeight="false" outlineLevel="0" collapsed="false">
      <c r="A19" s="135" t="str">
        <f aca="false">IFERROR(INDEX(K$6:K$201,MATCH(ROW()-5,J$6:J$201,0)),"")</f>
        <v>JUE 16-07</v>
      </c>
      <c r="B19" s="135" t="str">
        <f aca="false">IFERROR(INDEX(L$6:L$201,MATCH(ROW()-5,J$6:J$201,0)),"")</f>
        <v>INGRESO (compra)</v>
      </c>
      <c r="C19" s="136" t="n">
        <f aca="false">IFERROR(INDEX(M$6:M$201,MATCH(ROW()-5,J$6:J$201,0)),"")</f>
        <v>3800</v>
      </c>
      <c r="D19" s="136" t="str">
        <f aca="false">IFERROR(INDEX(N$6:N$201,MATCH(ROW()-5,J$6:J$201,0)),"")</f>
        <v/>
      </c>
      <c r="E19" s="135" t="str">
        <f aca="false">IFERROR(INDEX(O$6:O$201,MATCH(ROW()-5,J$6:J$201,0)),"")</f>
        <v>40 sacos x 95 kg</v>
      </c>
      <c r="F19" s="136" t="n">
        <f aca="false">IFERROR(INDEX(P$6:P$201,MATCH(ROW()-5,J$6:J$201,0)),"")</f>
        <v>4862</v>
      </c>
      <c r="G19" s="130"/>
      <c r="H19" s="130"/>
      <c r="I19" s="130"/>
      <c r="J19" s="130" t="str">
        <f aca="false">IF(N(PROCESO!H29)&gt;0,COUNT(J$6:J18)+1,"")</f>
        <v/>
      </c>
      <c r="K19" s="130" t="str">
        <f aca="false">IF(N(PROCESO!H29)&gt;0,PROCESO!A24&amp;IF(COUNTIF(PROCESO!$A$6:A23,PROCESO!A24)&gt;0," (Ped."&amp;(COUNTIF(PROCESO!$A$6:A23,PROCESO!A24)+1)&amp;")",""),"")</f>
        <v/>
      </c>
      <c r="L19" s="130" t="str">
        <f aca="false">IF(N(PROCESO!H29)&gt;0,"MALOGRADO","")</f>
        <v/>
      </c>
      <c r="M19" s="130" t="str">
        <f aca="false">""</f>
        <v/>
      </c>
      <c r="N19" s="130" t="str">
        <f aca="false">IF(N(PROCESO!H29)&gt;0,N(PROCESO!H29),"")</f>
        <v/>
      </c>
      <c r="O19" s="130" t="str">
        <f aca="false">""</f>
        <v/>
      </c>
      <c r="P19" s="130" t="n">
        <f aca="false">P18+N(M19)-N(N19)</f>
        <v>4087</v>
      </c>
      <c r="Q19" s="130"/>
      <c r="R19" s="130"/>
      <c r="S19" s="130"/>
      <c r="T19" s="130"/>
    </row>
    <row r="20" customFormat="false" ht="15" hidden="false" customHeight="false" outlineLevel="0" collapsed="false">
      <c r="A20" s="135" t="str">
        <f aca="false">IFERROR(INDEX(K$6:K$201,MATCH(ROW()-5,J$6:J$201,0)),"")</f>
        <v>JUE 16-07</v>
      </c>
      <c r="B20" s="135" t="str">
        <f aca="false">IFERROR(INDEX(L$6:L$201,MATCH(ROW()-5,J$6:J$201,0)),"")</f>
        <v>CHANCHO (proceso)</v>
      </c>
      <c r="C20" s="136" t="str">
        <f aca="false">IFERROR(INDEX(M$6:M$201,MATCH(ROW()-5,J$6:J$201,0)),"")</f>
        <v/>
      </c>
      <c r="D20" s="136" t="n">
        <f aca="false">IFERROR(INDEX(N$6:N$201,MATCH(ROW()-5,J$6:J$201,0)),"")</f>
        <v>380</v>
      </c>
      <c r="E20" s="135" t="str">
        <f aca="false">IFERROR(INDEX(O$6:O$201,MATCH(ROW()-5,J$6:J$201,0)),"")</f>
        <v>4 sacos x 95 kg</v>
      </c>
      <c r="F20" s="136" t="n">
        <f aca="false">IFERROR(INDEX(P$6:P$201,MATCH(ROW()-5,J$6:J$201,0)),"")</f>
        <v>4482</v>
      </c>
      <c r="G20" s="130"/>
      <c r="H20" s="130"/>
      <c r="I20" s="130"/>
      <c r="J20" s="130" t="n">
        <f aca="false">IF(IF(PROCESO!J24&lt;&gt;"",PROCESO!J24,IF(PROCESO!J25&lt;&gt;"",PROCESO!J25,IF(PROCESO!J26&lt;&gt;"",PROCESO!J26,IF(PROCESO!J27&lt;&gt;"",PROCESO!J27,""))))&lt;&gt;"",COUNT(J$6:J19)+1,"")</f>
        <v>10</v>
      </c>
      <c r="K20" s="130" t="str">
        <f aca="false">IF(IF(PROCESO!J24&lt;&gt;"",PROCESO!J24,IF(PROCESO!J25&lt;&gt;"",PROCESO!J25,IF(PROCESO!J26&lt;&gt;"",PROCESO!J26,IF(PROCESO!J27&lt;&gt;"",PROCESO!J27,""))))&lt;&gt;"",PROCESO!A24&amp;IF(COUNTIF(PROCESO!$A$6:A23,PROCESO!A24)&gt;0," (Ped."&amp;(COUNTIF(PROCESO!$A$6:A23,PROCESO!A24)+1)&amp;")",""),"")</f>
        <v>MAR 14-07</v>
      </c>
      <c r="L20" s="130" t="str">
        <f aca="false">IF(IF(PROCESO!J24&lt;&gt;"",PROCESO!J24,IF(PROCESO!J25&lt;&gt;"",PROCESO!J25,IF(PROCESO!J26&lt;&gt;"",PROCESO!J26,IF(PROCESO!J27&lt;&gt;"",PROCESO!J27,""))))&lt;&gt;"","ENVÍO Guía "&amp;IF(LEFT(IF(PROCESO!J24&lt;&gt;"",PROCESO!J24,IF(PROCESO!J25&lt;&gt;"",PROCESO!J25,IF(PROCESO!J26&lt;&gt;"",PROCESO!J26,IF(PROCESO!J27&lt;&gt;"",PROCESO!J27,"")))),2)="G-",MID(IF(PROCESO!J24&lt;&gt;"",PROCESO!J24,IF(PROCESO!J25&lt;&gt;"",PROCESO!J25,IF(PROCESO!J26&lt;&gt;"",PROCESO!J26,IF(PROCESO!J27&lt;&gt;"",PROCESO!J27,"")))),3,99),IF(PROCESO!J24&lt;&gt;"",PROCESO!J24,IF(PROCESO!J25&lt;&gt;"",PROCESO!J25,IF(PROCESO!J26&lt;&gt;"",PROCESO!J26,IF(PROCESO!J27&lt;&gt;"",PROCESO!J27,""))))),"")</f>
        <v>ENVÍO Guía 2984</v>
      </c>
      <c r="M20" s="130" t="str">
        <f aca="false">""</f>
        <v/>
      </c>
      <c r="N20" s="130" t="n">
        <f aca="false">IF(IF(PROCESO!J24&lt;&gt;"",PROCESO!J24,IF(PROCESO!J25&lt;&gt;"",PROCESO!J25,IF(PROCESO!J26&lt;&gt;"",PROCESO!J26,IF(PROCESO!J27&lt;&gt;"",PROCESO!J27,""))))&lt;&gt;"",SUMIF(PROCESO!J24:J27,IF(PROCESO!J24&lt;&gt;"",PROCESO!J24,IF(PROCESO!J25&lt;&gt;"",PROCESO!J25,IF(PROCESO!J26&lt;&gt;"",PROCESO!J26,IF(PROCESO!J27&lt;&gt;"",PROCESO!J27,"")))),PROCESO!L24:L27),"")</f>
        <v>3379</v>
      </c>
      <c r="O20" s="130" t="str">
        <f aca="false">IF(IF(PROCESO!J24&lt;&gt;"",PROCESO!J24,IF(PROCESO!J25&lt;&gt;"",PROCESO!J25,IF(PROCESO!J26&lt;&gt;"",PROCESO!J26,IF(PROCESO!J27&lt;&gt;"",PROCESO!J27,""))))&lt;&gt;"","G-"&amp;IF(LEFT(IF(PROCESO!J24&lt;&gt;"",PROCESO!J24,IF(PROCESO!J25&lt;&gt;"",PROCESO!J25,IF(PROCESO!J26&lt;&gt;"",PROCESO!J26,IF(PROCESO!J27&lt;&gt;"",PROCESO!J27,"")))),2)="G-",MID(IF(PROCESO!J24&lt;&gt;"",PROCESO!J24,IF(PROCESO!J25&lt;&gt;"",PROCESO!J25,IF(PROCESO!J26&lt;&gt;"",PROCESO!J26,IF(PROCESO!J27&lt;&gt;"",PROCESO!J27,"")))),3,99),IF(PROCESO!J24&lt;&gt;"",PROCESO!J24,IF(PROCESO!J25&lt;&gt;"",PROCESO!J25,IF(PROCESO!J26&lt;&gt;"",PROCESO!J26,IF(PROCESO!J27&lt;&gt;"",PROCESO!J27,""))))),"")</f>
        <v>G-2984</v>
      </c>
      <c r="P20" s="130" t="n">
        <f aca="false">P19+N(M20)-N(N20)</f>
        <v>708</v>
      </c>
      <c r="Q20" s="130"/>
      <c r="R20" s="130"/>
      <c r="S20" s="130"/>
      <c r="T20" s="130"/>
    </row>
    <row r="21" customFormat="false" ht="15" hidden="false" customHeight="false" outlineLevel="0" collapsed="false">
      <c r="A21" s="135" t="str">
        <f aca="false">IFERROR(INDEX(K$6:K$201,MATCH(ROW()-5,J$6:J$201,0)),"")</f>
        <v>JUE 16-07</v>
      </c>
      <c r="B21" s="135" t="str">
        <f aca="false">IFERROR(INDEX(L$6:L$201,MATCH(ROW()-5,J$6:J$201,0)),"")</f>
        <v>ENVÍO Guía 2992</v>
      </c>
      <c r="C21" s="136" t="str">
        <f aca="false">IFERROR(INDEX(M$6:M$201,MATCH(ROW()-5,J$6:J$201,0)),"")</f>
        <v/>
      </c>
      <c r="D21" s="136" t="n">
        <f aca="false">IFERROR(INDEX(N$6:N$201,MATCH(ROW()-5,J$6:J$201,0)),"")</f>
        <v>3302</v>
      </c>
      <c r="E21" s="135" t="str">
        <f aca="false">IFERROR(INDEX(O$6:O$201,MATCH(ROW()-5,J$6:J$201,0)),"")</f>
        <v>G-2992</v>
      </c>
      <c r="F21" s="136" t="n">
        <f aca="false">IFERROR(INDEX(P$6:P$201,MATCH(ROW()-5,J$6:J$201,0)),"")</f>
        <v>1180</v>
      </c>
      <c r="G21" s="130"/>
      <c r="H21" s="130"/>
      <c r="I21" s="130"/>
      <c r="J21" s="130" t="str">
        <f aca="false">IF(OR(SUM(PROCESO!M24:M27)&gt;0,SUM(PROCESO!N24:N27)&gt;0),COUNT(J$6:J20)+1,"")</f>
        <v/>
      </c>
      <c r="K21" s="130" t="str">
        <f aca="false">IF(OR(SUM(PROCESO!M24:M27)&gt;0,SUM(PROCESO!N24:N27)&gt;0),PROCESO!A24&amp;IF(COUNTIF(PROCESO!$A$6:A23,PROCESO!A24)&gt;0," (Ped."&amp;(COUNTIF(PROCESO!$A$6:A23,PROCESO!A24)+1)&amp;")",""),"")</f>
        <v/>
      </c>
      <c r="L21" s="130" t="str">
        <f aca="false">IF(OR(SUM(PROCESO!M24:M27)&gt;0,SUM(PROCESO!N24:N27)&gt;0),"REPROCESO (devolución)","")</f>
        <v/>
      </c>
      <c r="M21" s="130" t="str">
        <f aca="false">IF(OR(SUM(PROCESO!M24:M27)&gt;0,SUM(PROCESO!N24:N27)&gt;0),SUM(PROCESO!N24:N27),"")</f>
        <v/>
      </c>
      <c r="N21" s="130" t="str">
        <f aca="false">""</f>
        <v/>
      </c>
      <c r="O21" s="130" t="str">
        <f aca="false">IF(OR(SUM(PROCESO!M24:M27)&gt;0,SUM(PROCESO!N24:N27)&gt;0),IF(SUM(PROCESO!M24:M27)&gt;0,SUM(PROCESO!M24:M27)&amp;" jabas devueltas · merma "&amp;TEXT((PROCESO!M24*15+PROCESO!M25*18+PROCESO!M26*17+PROCESO!M27*17)-SUM(PROCESO!N24:N27),"+#,##0;-#,##0;0")&amp;" kg",""),"")</f>
        <v/>
      </c>
      <c r="P21" s="130" t="n">
        <f aca="false">P20+N(M21)-N(N21)</f>
        <v>708</v>
      </c>
      <c r="Q21" s="130"/>
      <c r="R21" s="130"/>
      <c r="S21" s="130"/>
      <c r="T21" s="130"/>
    </row>
    <row r="22" customFormat="false" ht="15" hidden="false" customHeight="false" outlineLevel="0" collapsed="false">
      <c r="A22" s="135" t="str">
        <f aca="false">IFERROR(INDEX(K$6:K$201,MATCH(ROW()-5,J$6:J$201,0)),"")</f>
        <v>VIE 17-07</v>
      </c>
      <c r="B22" s="135" t="str">
        <f aca="false">IFERROR(INDEX(L$6:L$201,MATCH(ROW()-5,J$6:J$201,0)),"")</f>
        <v>INGRESO (compra)</v>
      </c>
      <c r="C22" s="136" t="n">
        <f aca="false">IFERROR(INDEX(M$6:M$201,MATCH(ROW()-5,J$6:J$201,0)),"")</f>
        <v>5700</v>
      </c>
      <c r="D22" s="136" t="str">
        <f aca="false">IFERROR(INDEX(N$6:N$201,MATCH(ROW()-5,J$6:J$201,0)),"")</f>
        <v/>
      </c>
      <c r="E22" s="135" t="str">
        <f aca="false">IFERROR(INDEX(O$6:O$201,MATCH(ROW()-5,J$6:J$201,0)),"")</f>
        <v>60 sacos x 95 kg</v>
      </c>
      <c r="F22" s="136" t="n">
        <f aca="false">IFERROR(INDEX(P$6:P$201,MATCH(ROW()-5,J$6:J$201,0)),"")</f>
        <v>6880</v>
      </c>
      <c r="G22" s="130"/>
      <c r="H22" s="130"/>
      <c r="I22" s="130"/>
      <c r="J22" s="130" t="n">
        <f aca="false">IF(PROCESO!D30&gt;0,COUNT(J$6:J21)+1,"")</f>
        <v>11</v>
      </c>
      <c r="K22" s="130" t="str">
        <f aca="false">IF(PROCESO!D30&gt;0,PROCESO!A30&amp;IF(COUNTIF(PROCESO!$A$6:A29,PROCESO!A30)&gt;0," (Ped."&amp;(COUNTIF(PROCESO!$A$6:A29,PROCESO!A30)+1)&amp;")",""),"")</f>
        <v>MIE 15-07</v>
      </c>
      <c r="L22" s="130" t="str">
        <f aca="false">IF(PROCESO!D30&gt;0,"INGRESO (compra)","")</f>
        <v>INGRESO (compra)</v>
      </c>
      <c r="M22" s="137" t="n">
        <f aca="false">IF(PROCESO!D30&gt;0,PROCESO!D30,"")</f>
        <v>3800</v>
      </c>
      <c r="N22" s="130" t="str">
        <f aca="false">""</f>
        <v/>
      </c>
      <c r="O22" s="130" t="str">
        <f aca="false">IF(PROCESO!D30&gt;0,PROCESO!B30&amp;" sacos x "&amp;PROCESO!C30&amp;" kg","")</f>
        <v>40 sacos x 95 kg</v>
      </c>
      <c r="P22" s="130" t="n">
        <f aca="false">P21+N(M22)-N(N22)</f>
        <v>4508</v>
      </c>
      <c r="Q22" s="130"/>
      <c r="R22" s="130"/>
      <c r="S22" s="130"/>
      <c r="T22" s="130"/>
    </row>
    <row r="23" customFormat="false" ht="15" hidden="false" customHeight="false" outlineLevel="0" collapsed="false">
      <c r="A23" s="135" t="str">
        <f aca="false">IFERROR(INDEX(K$6:K$201,MATCH(ROW()-5,J$6:J$201,0)),"")</f>
        <v>VIE 17-07</v>
      </c>
      <c r="B23" s="135" t="str">
        <f aca="false">IFERROR(INDEX(L$6:L$201,MATCH(ROW()-5,J$6:J$201,0)),"")</f>
        <v>CHANCHO (proceso)</v>
      </c>
      <c r="C23" s="136" t="str">
        <f aca="false">IFERROR(INDEX(M$6:M$201,MATCH(ROW()-5,J$6:J$201,0)),"")</f>
        <v/>
      </c>
      <c r="D23" s="136" t="n">
        <f aca="false">IFERROR(INDEX(N$6:N$201,MATCH(ROW()-5,J$6:J$201,0)),"")</f>
        <v>950</v>
      </c>
      <c r="E23" s="135" t="str">
        <f aca="false">IFERROR(INDEX(O$6:O$201,MATCH(ROW()-5,J$6:J$201,0)),"")</f>
        <v>10 sacos x 95 kg</v>
      </c>
      <c r="F23" s="136" t="n">
        <f aca="false">IFERROR(INDEX(P$6:P$201,MATCH(ROW()-5,J$6:J$201,0)),"")</f>
        <v>5930</v>
      </c>
      <c r="G23" s="130"/>
      <c r="H23" s="130"/>
      <c r="I23" s="130"/>
      <c r="J23" s="130" t="n">
        <f aca="false">IF(N(PROCESO!H34)&gt;0,COUNT(J$6:J22)+1,"")</f>
        <v>12</v>
      </c>
      <c r="K23" s="130" t="str">
        <f aca="false">IF(N(PROCESO!H34)&gt;0,PROCESO!A30&amp;IF(COUNTIF(PROCESO!$A$6:A29,PROCESO!A30)&gt;0," (Ped."&amp;(COUNTIF(PROCESO!$A$6:A29,PROCESO!A30)+1)&amp;")",""),"")</f>
        <v>MIE 15-07</v>
      </c>
      <c r="L23" s="130" t="str">
        <f aca="false">IF(N(PROCESO!H34)&gt;0,"CHANCHO (proceso)","")</f>
        <v>CHANCHO (proceso)</v>
      </c>
      <c r="M23" s="130" t="str">
        <f aca="false">""</f>
        <v/>
      </c>
      <c r="N23" s="130" t="n">
        <f aca="false">IF(N(PROCESO!H34)&gt;0,N(PROCESO!H34),"")</f>
        <v>475</v>
      </c>
      <c r="O23" s="130" t="str">
        <f aca="false">IF(N(PROCESO!H34)&gt;0,PROCESO!G34&amp;" sacos x 95 kg","")</f>
        <v>5 sacos x 95 kg</v>
      </c>
      <c r="P23" s="130" t="n">
        <f aca="false">P22+N(M23)-N(N23)</f>
        <v>4033</v>
      </c>
      <c r="Q23" s="130"/>
      <c r="R23" s="130"/>
      <c r="S23" s="130"/>
      <c r="T23" s="130"/>
    </row>
    <row r="24" customFormat="false" ht="15" hidden="false" customHeight="false" outlineLevel="0" collapsed="false">
      <c r="A24" s="135" t="str">
        <f aca="false">IFERROR(INDEX(K$6:K$201,MATCH(ROW()-5,J$6:J$201,0)),"")</f>
        <v>VIE 17-07</v>
      </c>
      <c r="B24" s="135" t="str">
        <f aca="false">IFERROR(INDEX(L$6:L$201,MATCH(ROW()-5,J$6:J$201,0)),"")</f>
        <v>ENVÍO Guía 2994</v>
      </c>
      <c r="C24" s="136" t="str">
        <f aca="false">IFERROR(INDEX(M$6:M$201,MATCH(ROW()-5,J$6:J$201,0)),"")</f>
        <v/>
      </c>
      <c r="D24" s="136" t="n">
        <f aca="false">IFERROR(INDEX(N$6:N$201,MATCH(ROW()-5,J$6:J$201,0)),"")</f>
        <v>3413</v>
      </c>
      <c r="E24" s="135" t="str">
        <f aca="false">IFERROR(INDEX(O$6:O$201,MATCH(ROW()-5,J$6:J$201,0)),"")</f>
        <v>G-2994</v>
      </c>
      <c r="F24" s="136" t="n">
        <f aca="false">IFERROR(INDEX(P$6:P$201,MATCH(ROW()-5,J$6:J$201,0)),"")</f>
        <v>2517</v>
      </c>
      <c r="G24" s="130"/>
      <c r="H24" s="130"/>
      <c r="I24" s="130"/>
      <c r="J24" s="130" t="str">
        <f aca="false">IF(N(PROCESO!H35)&gt;0,COUNT(J$6:J23)+1,"")</f>
        <v/>
      </c>
      <c r="K24" s="130" t="str">
        <f aca="false">IF(N(PROCESO!H35)&gt;0,PROCESO!A30&amp;IF(COUNTIF(PROCESO!$A$6:A29,PROCESO!A30)&gt;0," (Ped."&amp;(COUNTIF(PROCESO!$A$6:A29,PROCESO!A30)+1)&amp;")",""),"")</f>
        <v/>
      </c>
      <c r="L24" s="130" t="str">
        <f aca="false">IF(N(PROCESO!H35)&gt;0,"MALOGRADO","")</f>
        <v/>
      </c>
      <c r="M24" s="130" t="str">
        <f aca="false">""</f>
        <v/>
      </c>
      <c r="N24" s="130" t="str">
        <f aca="false">IF(N(PROCESO!H35)&gt;0,N(PROCESO!H35),"")</f>
        <v/>
      </c>
      <c r="O24" s="130" t="str">
        <f aca="false">""</f>
        <v/>
      </c>
      <c r="P24" s="130" t="n">
        <f aca="false">P23+N(M24)-N(N24)</f>
        <v>4033</v>
      </c>
      <c r="Q24" s="130"/>
      <c r="R24" s="130"/>
      <c r="S24" s="130"/>
      <c r="T24" s="130"/>
    </row>
    <row r="25" customFormat="false" ht="15" hidden="false" customHeight="false" outlineLevel="0" collapsed="false">
      <c r="A25" s="135" t="str">
        <f aca="false">IFERROR(INDEX(K$6:K$201,MATCH(ROW()-5,J$6:J$201,0)),"")</f>
        <v>VIE 17-07 (Ped.2)</v>
      </c>
      <c r="B25" s="135" t="str">
        <f aca="false">IFERROR(INDEX(L$6:L$201,MATCH(ROW()-5,J$6:J$201,0)),"")</f>
        <v>INGRESO (compra)</v>
      </c>
      <c r="C25" s="136" t="n">
        <f aca="false">IFERROR(INDEX(M$6:M$201,MATCH(ROW()-5,J$6:J$201,0)),"")</f>
        <v>475</v>
      </c>
      <c r="D25" s="136" t="str">
        <f aca="false">IFERROR(INDEX(N$6:N$201,MATCH(ROW()-5,J$6:J$201,0)),"")</f>
        <v/>
      </c>
      <c r="E25" s="135" t="str">
        <f aca="false">IFERROR(INDEX(O$6:O$201,MATCH(ROW()-5,J$6:J$201,0)),"")</f>
        <v>5 sacos x 95 kg</v>
      </c>
      <c r="F25" s="136" t="n">
        <f aca="false">IFERROR(INDEX(P$6:P$201,MATCH(ROW()-5,J$6:J$201,0)),"")</f>
        <v>2992</v>
      </c>
      <c r="G25" s="130"/>
      <c r="H25" s="130"/>
      <c r="I25" s="130"/>
      <c r="J25" s="130" t="n">
        <f aca="false">IF(IF(PROCESO!J30&lt;&gt;"",PROCESO!J30,IF(PROCESO!J31&lt;&gt;"",PROCESO!J31,IF(PROCESO!J32&lt;&gt;"",PROCESO!J32,IF(PROCESO!J33&lt;&gt;"",PROCESO!J33,""))))&lt;&gt;"",COUNT(J$6:J24)+1,"")</f>
        <v>13</v>
      </c>
      <c r="K25" s="130" t="str">
        <f aca="false">IF(IF(PROCESO!J30&lt;&gt;"",PROCESO!J30,IF(PROCESO!J31&lt;&gt;"",PROCESO!J31,IF(PROCESO!J32&lt;&gt;"",PROCESO!J32,IF(PROCESO!J33&lt;&gt;"",PROCESO!J33,""))))&lt;&gt;"",PROCESO!A30&amp;IF(COUNTIF(PROCESO!$A$6:A29,PROCESO!A30)&gt;0," (Ped."&amp;(COUNTIF(PROCESO!$A$6:A29,PROCESO!A30)+1)&amp;")",""),"")</f>
        <v>MIE 15-07</v>
      </c>
      <c r="L25" s="130" t="str">
        <f aca="false">IF(IF(PROCESO!J30&lt;&gt;"",PROCESO!J30,IF(PROCESO!J31&lt;&gt;"",PROCESO!J31,IF(PROCESO!J32&lt;&gt;"",PROCESO!J32,IF(PROCESO!J33&lt;&gt;"",PROCESO!J33,""))))&lt;&gt;"","ENVÍO Guía "&amp;IF(LEFT(IF(PROCESO!J30&lt;&gt;"",PROCESO!J30,IF(PROCESO!J31&lt;&gt;"",PROCESO!J31,IF(PROCESO!J32&lt;&gt;"",PROCESO!J32,IF(PROCESO!J33&lt;&gt;"",PROCESO!J33,"")))),2)="G-",MID(IF(PROCESO!J30&lt;&gt;"",PROCESO!J30,IF(PROCESO!J31&lt;&gt;"",PROCESO!J31,IF(PROCESO!J32&lt;&gt;"",PROCESO!J32,IF(PROCESO!J33&lt;&gt;"",PROCESO!J33,"")))),3,99),IF(PROCESO!J30&lt;&gt;"",PROCESO!J30,IF(PROCESO!J31&lt;&gt;"",PROCESO!J31,IF(PROCESO!J32&lt;&gt;"",PROCESO!J32,IF(PROCESO!J33&lt;&gt;"",PROCESO!J33,""))))),"")</f>
        <v>ENVÍO Guía 2986</v>
      </c>
      <c r="M25" s="130" t="str">
        <f aca="false">""</f>
        <v/>
      </c>
      <c r="N25" s="130" t="n">
        <f aca="false">IF(IF(PROCESO!J30&lt;&gt;"",PROCESO!J30,IF(PROCESO!J31&lt;&gt;"",PROCESO!J31,IF(PROCESO!J32&lt;&gt;"",PROCESO!J32,IF(PROCESO!J33&lt;&gt;"",PROCESO!J33,""))))&lt;&gt;"",SUMIF(PROCESO!J30:J33,IF(PROCESO!J30&lt;&gt;"",PROCESO!J30,IF(PROCESO!J31&lt;&gt;"",PROCESO!J31,IF(PROCESO!J32&lt;&gt;"",PROCESO!J32,IF(PROCESO!J33&lt;&gt;"",PROCESO!J33,"")))),PROCESO!L30:L33),"")</f>
        <v>2971</v>
      </c>
      <c r="O25" s="130" t="str">
        <f aca="false">IF(IF(PROCESO!J30&lt;&gt;"",PROCESO!J30,IF(PROCESO!J31&lt;&gt;"",PROCESO!J31,IF(PROCESO!J32&lt;&gt;"",PROCESO!J32,IF(PROCESO!J33&lt;&gt;"",PROCESO!J33,""))))&lt;&gt;"","G-"&amp;IF(LEFT(IF(PROCESO!J30&lt;&gt;"",PROCESO!J30,IF(PROCESO!J31&lt;&gt;"",PROCESO!J31,IF(PROCESO!J32&lt;&gt;"",PROCESO!J32,IF(PROCESO!J33&lt;&gt;"",PROCESO!J33,"")))),2)="G-",MID(IF(PROCESO!J30&lt;&gt;"",PROCESO!J30,IF(PROCESO!J31&lt;&gt;"",PROCESO!J31,IF(PROCESO!J32&lt;&gt;"",PROCESO!J32,IF(PROCESO!J33&lt;&gt;"",PROCESO!J33,"")))),3,99),IF(PROCESO!J30&lt;&gt;"",PROCESO!J30,IF(PROCESO!J31&lt;&gt;"",PROCESO!J31,IF(PROCESO!J32&lt;&gt;"",PROCESO!J32,IF(PROCESO!J33&lt;&gt;"",PROCESO!J33,""))))),"")</f>
        <v>G-2986</v>
      </c>
      <c r="P25" s="130" t="n">
        <f aca="false">P24+N(M25)-N(N25)</f>
        <v>1062</v>
      </c>
      <c r="Q25" s="130"/>
      <c r="R25" s="130"/>
      <c r="S25" s="130"/>
      <c r="T25" s="130"/>
    </row>
    <row r="26" customFormat="false" ht="15" hidden="false" customHeight="false" outlineLevel="0" collapsed="false">
      <c r="A26" s="135" t="str">
        <f aca="false">IFERROR(INDEX(K$6:K$201,MATCH(ROW()-5,J$6:J$201,0)),"")</f>
        <v>VIE 17-07 (Ped.2)</v>
      </c>
      <c r="B26" s="135" t="str">
        <f aca="false">IFERROR(INDEX(L$6:L$201,MATCH(ROW()-5,J$6:J$201,0)),"")</f>
        <v>CHANCHO (proceso)</v>
      </c>
      <c r="C26" s="136" t="str">
        <f aca="false">IFERROR(INDEX(M$6:M$201,MATCH(ROW()-5,J$6:J$201,0)),"")</f>
        <v/>
      </c>
      <c r="D26" s="136" t="n">
        <f aca="false">IFERROR(INDEX(N$6:N$201,MATCH(ROW()-5,J$6:J$201,0)),"")</f>
        <v>95</v>
      </c>
      <c r="E26" s="135" t="str">
        <f aca="false">IFERROR(INDEX(O$6:O$201,MATCH(ROW()-5,J$6:J$201,0)),"")</f>
        <v>1 sacos x 95 kg</v>
      </c>
      <c r="F26" s="136" t="n">
        <f aca="false">IFERROR(INDEX(P$6:P$201,MATCH(ROW()-5,J$6:J$201,0)),"")</f>
        <v>2897</v>
      </c>
      <c r="G26" s="130"/>
      <c r="H26" s="130"/>
      <c r="I26" s="130"/>
      <c r="J26" s="130" t="str">
        <f aca="false">IF(OR(SUM(PROCESO!M30:M33)&gt;0,SUM(PROCESO!N30:N33)&gt;0),COUNT(J$6:J25)+1,"")</f>
        <v/>
      </c>
      <c r="K26" s="130" t="str">
        <f aca="false">IF(OR(SUM(PROCESO!M30:M33)&gt;0,SUM(PROCESO!N30:N33)&gt;0),PROCESO!A30&amp;IF(COUNTIF(PROCESO!$A$6:A29,PROCESO!A30)&gt;0," (Ped."&amp;(COUNTIF(PROCESO!$A$6:A29,PROCESO!A30)+1)&amp;")",""),"")</f>
        <v/>
      </c>
      <c r="L26" s="130" t="str">
        <f aca="false">IF(OR(SUM(PROCESO!M30:M33)&gt;0,SUM(PROCESO!N30:N33)&gt;0),"REPROCESO (devolución)","")</f>
        <v/>
      </c>
      <c r="M26" s="130" t="str">
        <f aca="false">IF(OR(SUM(PROCESO!M30:M33)&gt;0,SUM(PROCESO!N30:N33)&gt;0),SUM(PROCESO!N30:N33),"")</f>
        <v/>
      </c>
      <c r="N26" s="130" t="str">
        <f aca="false">""</f>
        <v/>
      </c>
      <c r="O26" s="130" t="str">
        <f aca="false">IF(OR(SUM(PROCESO!M30:M33)&gt;0,SUM(PROCESO!N30:N33)&gt;0),IF(SUM(PROCESO!M30:M33)&gt;0,SUM(PROCESO!M30:M33)&amp;" jabas devueltas · merma "&amp;TEXT((PROCESO!M30*15+PROCESO!M31*18+PROCESO!M32*17+PROCESO!M33*17)-SUM(PROCESO!N30:N33),"+#,##0;-#,##0;0")&amp;" kg",""),"")</f>
        <v/>
      </c>
      <c r="P26" s="130" t="n">
        <f aca="false">P25+N(M26)-N(N26)</f>
        <v>1062</v>
      </c>
      <c r="Q26" s="130"/>
      <c r="R26" s="130"/>
      <c r="S26" s="130"/>
      <c r="T26" s="130"/>
    </row>
    <row r="27" customFormat="false" ht="15" hidden="false" customHeight="false" outlineLevel="0" collapsed="false">
      <c r="A27" s="135" t="str">
        <f aca="false">IFERROR(INDEX(K$6:K$201,MATCH(ROW()-5,J$6:J$201,0)),"")</f>
        <v>SAB 18-07</v>
      </c>
      <c r="B27" s="135" t="str">
        <f aca="false">IFERROR(INDEX(L$6:L$201,MATCH(ROW()-5,J$6:J$201,0)),"")</f>
        <v>ENVÍO Guía 2996</v>
      </c>
      <c r="C27" s="136" t="str">
        <f aca="false">IFERROR(INDEX(M$6:M$201,MATCH(ROW()-5,J$6:J$201,0)),"")</f>
        <v/>
      </c>
      <c r="D27" s="136" t="n">
        <f aca="false">IFERROR(INDEX(N$6:N$201,MATCH(ROW()-5,J$6:J$201,0)),"")</f>
        <v>3168</v>
      </c>
      <c r="E27" s="135" t="str">
        <f aca="false">IFERROR(INDEX(O$6:O$201,MATCH(ROW()-5,J$6:J$201,0)),"")</f>
        <v>G-2996</v>
      </c>
      <c r="F27" s="136" t="n">
        <f aca="false">IFERROR(INDEX(P$6:P$201,MATCH(ROW()-5,J$6:J$201,0)),"")</f>
        <v>-271</v>
      </c>
      <c r="G27" s="130"/>
      <c r="H27" s="130"/>
      <c r="I27" s="130"/>
      <c r="J27" s="130" t="n">
        <f aca="false">IF(PROCESO!D36&gt;0,COUNT(J$6:J26)+1,"")</f>
        <v>14</v>
      </c>
      <c r="K27" s="130" t="str">
        <f aca="false">IF(PROCESO!D36&gt;0,PROCESO!A36&amp;IF(COUNTIF(PROCESO!$A$6:A35,PROCESO!A36)&gt;0," (Ped."&amp;(COUNTIF(PROCESO!$A$6:A35,PROCESO!A36)+1)&amp;")",""),"")</f>
        <v>JUE 16-07</v>
      </c>
      <c r="L27" s="130" t="str">
        <f aca="false">IF(PROCESO!D36&gt;0,"INGRESO (compra)","")</f>
        <v>INGRESO (compra)</v>
      </c>
      <c r="M27" s="137" t="n">
        <f aca="false">IF(PROCESO!D36&gt;0,PROCESO!D36,"")</f>
        <v>3800</v>
      </c>
      <c r="N27" s="130" t="str">
        <f aca="false">""</f>
        <v/>
      </c>
      <c r="O27" s="130" t="str">
        <f aca="false">IF(PROCESO!D36&gt;0,PROCESO!B36&amp;" sacos x "&amp;PROCESO!C36&amp;" kg","")</f>
        <v>40 sacos x 95 kg</v>
      </c>
      <c r="P27" s="130" t="n">
        <f aca="false">P26+N(M27)-N(N27)</f>
        <v>4862</v>
      </c>
      <c r="Q27" s="130"/>
      <c r="R27" s="130"/>
      <c r="S27" s="130"/>
      <c r="T27" s="130"/>
    </row>
    <row r="28" customFormat="false" ht="15" hidden="false" customHeight="false" outlineLevel="0" collapsed="false">
      <c r="A28" s="135" t="str">
        <f aca="false">IFERROR(INDEX(K$6:K$201,MATCH(ROW()-5,J$6:J$201,0)),"")</f>
        <v>DOM 19-07</v>
      </c>
      <c r="B28" s="135" t="str">
        <f aca="false">IFERROR(INDEX(L$6:L$201,MATCH(ROW()-5,J$6:J$201,0)),"")</f>
        <v>INGRESO (compra)</v>
      </c>
      <c r="C28" s="136" t="n">
        <f aca="false">IFERROR(INDEX(M$6:M$201,MATCH(ROW()-5,J$6:J$201,0)),"")</f>
        <v>4750</v>
      </c>
      <c r="D28" s="136" t="str">
        <f aca="false">IFERROR(INDEX(N$6:N$201,MATCH(ROW()-5,J$6:J$201,0)),"")</f>
        <v/>
      </c>
      <c r="E28" s="135" t="str">
        <f aca="false">IFERROR(INDEX(O$6:O$201,MATCH(ROW()-5,J$6:J$201,0)),"")</f>
        <v>50 sacos x 95 kg</v>
      </c>
      <c r="F28" s="136" t="n">
        <f aca="false">IFERROR(INDEX(P$6:P$201,MATCH(ROW()-5,J$6:J$201,0)),"")</f>
        <v>4479</v>
      </c>
      <c r="G28" s="130"/>
      <c r="H28" s="130"/>
      <c r="I28" s="130"/>
      <c r="J28" s="130" t="n">
        <f aca="false">IF(N(PROCESO!H40)&gt;0,COUNT(J$6:J27)+1,"")</f>
        <v>15</v>
      </c>
      <c r="K28" s="130" t="str">
        <f aca="false">IF(N(PROCESO!H40)&gt;0,PROCESO!A36&amp;IF(COUNTIF(PROCESO!$A$6:A35,PROCESO!A36)&gt;0," (Ped."&amp;(COUNTIF(PROCESO!$A$6:A35,PROCESO!A36)+1)&amp;")",""),"")</f>
        <v>JUE 16-07</v>
      </c>
      <c r="L28" s="130" t="str">
        <f aca="false">IF(N(PROCESO!H40)&gt;0,"CHANCHO (proceso)","")</f>
        <v>CHANCHO (proceso)</v>
      </c>
      <c r="M28" s="130" t="str">
        <f aca="false">""</f>
        <v/>
      </c>
      <c r="N28" s="130" t="n">
        <f aca="false">IF(N(PROCESO!H40)&gt;0,N(PROCESO!H40),"")</f>
        <v>380</v>
      </c>
      <c r="O28" s="130" t="str">
        <f aca="false">IF(N(PROCESO!H40)&gt;0,PROCESO!G40&amp;" sacos x 95 kg","")</f>
        <v>4 sacos x 95 kg</v>
      </c>
      <c r="P28" s="130" t="n">
        <f aca="false">P27+N(M28)-N(N28)</f>
        <v>4482</v>
      </c>
      <c r="Q28" s="130"/>
      <c r="R28" s="130"/>
      <c r="S28" s="130"/>
      <c r="T28" s="130"/>
    </row>
    <row r="29" customFormat="false" ht="15" hidden="false" customHeight="false" outlineLevel="0" collapsed="false">
      <c r="A29" s="135" t="str">
        <f aca="false">IFERROR(INDEX(K$6:K$201,MATCH(ROW()-5,J$6:J$201,0)),"")</f>
        <v>DOM 19-07</v>
      </c>
      <c r="B29" s="135" t="str">
        <f aca="false">IFERROR(INDEX(L$6:L$201,MATCH(ROW()-5,J$6:J$201,0)),"")</f>
        <v>CHANCHO (proceso)</v>
      </c>
      <c r="C29" s="136" t="str">
        <f aca="false">IFERROR(INDEX(M$6:M$201,MATCH(ROW()-5,J$6:J$201,0)),"")</f>
        <v/>
      </c>
      <c r="D29" s="136" t="n">
        <f aca="false">IFERROR(INDEX(N$6:N$201,MATCH(ROW()-5,J$6:J$201,0)),"")</f>
        <v>1282.5</v>
      </c>
      <c r="E29" s="135" t="str">
        <f aca="false">IFERROR(INDEX(O$6:O$201,MATCH(ROW()-5,J$6:J$201,0)),"")</f>
        <v>13.5 sacos x 95 kg</v>
      </c>
      <c r="F29" s="136" t="n">
        <f aca="false">IFERROR(INDEX(P$6:P$201,MATCH(ROW()-5,J$6:J$201,0)),"")</f>
        <v>3196.5</v>
      </c>
      <c r="G29" s="130"/>
      <c r="H29" s="130"/>
      <c r="I29" s="130"/>
      <c r="J29" s="130" t="str">
        <f aca="false">IF(N(PROCESO!H41)&gt;0,COUNT(J$6:J28)+1,"")</f>
        <v/>
      </c>
      <c r="K29" s="130" t="str">
        <f aca="false">IF(N(PROCESO!H41)&gt;0,PROCESO!A36&amp;IF(COUNTIF(PROCESO!$A$6:A35,PROCESO!A36)&gt;0," (Ped."&amp;(COUNTIF(PROCESO!$A$6:A35,PROCESO!A36)+1)&amp;")",""),"")</f>
        <v/>
      </c>
      <c r="L29" s="130" t="str">
        <f aca="false">IF(N(PROCESO!H41)&gt;0,"MALOGRADO","")</f>
        <v/>
      </c>
      <c r="M29" s="130" t="str">
        <f aca="false">""</f>
        <v/>
      </c>
      <c r="N29" s="130" t="str">
        <f aca="false">IF(N(PROCESO!H41)&gt;0,N(PROCESO!H41),"")</f>
        <v/>
      </c>
      <c r="O29" s="130" t="str">
        <f aca="false">""</f>
        <v/>
      </c>
      <c r="P29" s="130" t="n">
        <f aca="false">P28+N(M29)-N(N29)</f>
        <v>4482</v>
      </c>
      <c r="Q29" s="130"/>
      <c r="R29" s="130"/>
      <c r="S29" s="130"/>
      <c r="T29" s="130"/>
    </row>
    <row r="30" customFormat="false" ht="15" hidden="false" customHeight="false" outlineLevel="0" collapsed="false">
      <c r="A30" s="135" t="str">
        <f aca="false">IFERROR(INDEX(K$6:K$201,MATCH(ROW()-5,J$6:J$201,0)),"")</f>
        <v>DOM 19-07</v>
      </c>
      <c r="B30" s="135" t="str">
        <f aca="false">IFERROR(INDEX(L$6:L$201,MATCH(ROW()-5,J$6:J$201,0)),"")</f>
        <v>ENVÍO Guía 2998</v>
      </c>
      <c r="C30" s="136" t="str">
        <f aca="false">IFERROR(INDEX(M$6:M$201,MATCH(ROW()-5,J$6:J$201,0)),"")</f>
        <v/>
      </c>
      <c r="D30" s="136" t="n">
        <f aca="false">IFERROR(INDEX(N$6:N$201,MATCH(ROW()-5,J$6:J$201,0)),"")</f>
        <v>1883</v>
      </c>
      <c r="E30" s="135" t="str">
        <f aca="false">IFERROR(INDEX(O$6:O$201,MATCH(ROW()-5,J$6:J$201,0)),"")</f>
        <v>G-2998</v>
      </c>
      <c r="F30" s="136" t="n">
        <f aca="false">IFERROR(INDEX(P$6:P$201,MATCH(ROW()-5,J$6:J$201,0)),"")</f>
        <v>1313.5</v>
      </c>
      <c r="G30" s="130"/>
      <c r="H30" s="130"/>
      <c r="I30" s="130"/>
      <c r="J30" s="130" t="n">
        <f aca="false">IF(IF(PROCESO!J36&lt;&gt;"",PROCESO!J36,IF(PROCESO!J37&lt;&gt;"",PROCESO!J37,IF(PROCESO!J38&lt;&gt;"",PROCESO!J38,IF(PROCESO!J39&lt;&gt;"",PROCESO!J39,""))))&lt;&gt;"",COUNT(J$6:J29)+1,"")</f>
        <v>16</v>
      </c>
      <c r="K30" s="130" t="str">
        <f aca="false">IF(IF(PROCESO!J36&lt;&gt;"",PROCESO!J36,IF(PROCESO!J37&lt;&gt;"",PROCESO!J37,IF(PROCESO!J38&lt;&gt;"",PROCESO!J38,IF(PROCESO!J39&lt;&gt;"",PROCESO!J39,""))))&lt;&gt;"",PROCESO!A36&amp;IF(COUNTIF(PROCESO!$A$6:A35,PROCESO!A36)&gt;0," (Ped."&amp;(COUNTIF(PROCESO!$A$6:A35,PROCESO!A36)+1)&amp;")",""),"")</f>
        <v>JUE 16-07</v>
      </c>
      <c r="L30" s="130" t="str">
        <f aca="false">IF(IF(PROCESO!J36&lt;&gt;"",PROCESO!J36,IF(PROCESO!J37&lt;&gt;"",PROCESO!J37,IF(PROCESO!J38&lt;&gt;"",PROCESO!J38,IF(PROCESO!J39&lt;&gt;"",PROCESO!J39,""))))&lt;&gt;"","ENVÍO Guía "&amp;IF(LEFT(IF(PROCESO!J36&lt;&gt;"",PROCESO!J36,IF(PROCESO!J37&lt;&gt;"",PROCESO!J37,IF(PROCESO!J38&lt;&gt;"",PROCESO!J38,IF(PROCESO!J39&lt;&gt;"",PROCESO!J39,"")))),2)="G-",MID(IF(PROCESO!J36&lt;&gt;"",PROCESO!J36,IF(PROCESO!J37&lt;&gt;"",PROCESO!J37,IF(PROCESO!J38&lt;&gt;"",PROCESO!J38,IF(PROCESO!J39&lt;&gt;"",PROCESO!J39,"")))),3,99),IF(PROCESO!J36&lt;&gt;"",PROCESO!J36,IF(PROCESO!J37&lt;&gt;"",PROCESO!J37,IF(PROCESO!J38&lt;&gt;"",PROCESO!J38,IF(PROCESO!J39&lt;&gt;"",PROCESO!J39,""))))),"")</f>
        <v>ENVÍO Guía 2992</v>
      </c>
      <c r="M30" s="130" t="str">
        <f aca="false">""</f>
        <v/>
      </c>
      <c r="N30" s="130" t="n">
        <f aca="false">IF(IF(PROCESO!J36&lt;&gt;"",PROCESO!J36,IF(PROCESO!J37&lt;&gt;"",PROCESO!J37,IF(PROCESO!J38&lt;&gt;"",PROCESO!J38,IF(PROCESO!J39&lt;&gt;"",PROCESO!J39,""))))&lt;&gt;"",SUMIF(PROCESO!J36:J39,IF(PROCESO!J36&lt;&gt;"",PROCESO!J36,IF(PROCESO!J37&lt;&gt;"",PROCESO!J37,IF(PROCESO!J38&lt;&gt;"",PROCESO!J38,IF(PROCESO!J39&lt;&gt;"",PROCESO!J39,"")))),PROCESO!L36:L39),"")</f>
        <v>3302</v>
      </c>
      <c r="O30" s="130" t="str">
        <f aca="false">IF(IF(PROCESO!J36&lt;&gt;"",PROCESO!J36,IF(PROCESO!J37&lt;&gt;"",PROCESO!J37,IF(PROCESO!J38&lt;&gt;"",PROCESO!J38,IF(PROCESO!J39&lt;&gt;"",PROCESO!J39,""))))&lt;&gt;"","G-"&amp;IF(LEFT(IF(PROCESO!J36&lt;&gt;"",PROCESO!J36,IF(PROCESO!J37&lt;&gt;"",PROCESO!J37,IF(PROCESO!J38&lt;&gt;"",PROCESO!J38,IF(PROCESO!J39&lt;&gt;"",PROCESO!J39,"")))),2)="G-",MID(IF(PROCESO!J36&lt;&gt;"",PROCESO!J36,IF(PROCESO!J37&lt;&gt;"",PROCESO!J37,IF(PROCESO!J38&lt;&gt;"",PROCESO!J38,IF(PROCESO!J39&lt;&gt;"",PROCESO!J39,"")))),3,99),IF(PROCESO!J36&lt;&gt;"",PROCESO!J36,IF(PROCESO!J37&lt;&gt;"",PROCESO!J37,IF(PROCESO!J38&lt;&gt;"",PROCESO!J38,IF(PROCESO!J39&lt;&gt;"",PROCESO!J39,""))))),"")</f>
        <v>G-2992</v>
      </c>
      <c r="P30" s="130" t="n">
        <f aca="false">P29+N(M30)-N(N30)</f>
        <v>1180</v>
      </c>
      <c r="Q30" s="130"/>
      <c r="R30" s="130"/>
      <c r="S30" s="130"/>
      <c r="T30" s="130"/>
    </row>
    <row r="31" customFormat="false" ht="15" hidden="false" customHeight="false" outlineLevel="0" collapsed="false">
      <c r="A31" s="135" t="str">
        <f aca="false">IFERROR(INDEX(K$6:K$201,MATCH(ROW()-5,J$6:J$201,0)),"")</f>
        <v>LUN 20-07</v>
      </c>
      <c r="B31" s="135" t="str">
        <f aca="false">IFERROR(INDEX(L$6:L$201,MATCH(ROW()-5,J$6:J$201,0)),"")</f>
        <v>INGRESO (compra)</v>
      </c>
      <c r="C31" s="136" t="n">
        <f aca="false">IFERROR(INDEX(M$6:M$201,MATCH(ROW()-5,J$6:J$201,0)),"")</f>
        <v>4560</v>
      </c>
      <c r="D31" s="136" t="str">
        <f aca="false">IFERROR(INDEX(N$6:N$201,MATCH(ROW()-5,J$6:J$201,0)),"")</f>
        <v/>
      </c>
      <c r="E31" s="135" t="str">
        <f aca="false">IFERROR(INDEX(O$6:O$201,MATCH(ROW()-5,J$6:J$201,0)),"")</f>
        <v>48 sacos x 95 kg</v>
      </c>
      <c r="F31" s="136" t="n">
        <f aca="false">IFERROR(INDEX(P$6:P$201,MATCH(ROW()-5,J$6:J$201,0)),"")</f>
        <v>5873.5</v>
      </c>
      <c r="G31" s="130"/>
      <c r="H31" s="130"/>
      <c r="I31" s="130"/>
      <c r="J31" s="130" t="str">
        <f aca="false">IF(OR(SUM(PROCESO!M36:M39)&gt;0,SUM(PROCESO!N36:N39)&gt;0),COUNT(J$6:J30)+1,"")</f>
        <v/>
      </c>
      <c r="K31" s="130" t="str">
        <f aca="false">IF(OR(SUM(PROCESO!M36:M39)&gt;0,SUM(PROCESO!N36:N39)&gt;0),PROCESO!A36&amp;IF(COUNTIF(PROCESO!$A$6:A35,PROCESO!A36)&gt;0," (Ped."&amp;(COUNTIF(PROCESO!$A$6:A35,PROCESO!A36)+1)&amp;")",""),"")</f>
        <v/>
      </c>
      <c r="L31" s="130" t="str">
        <f aca="false">IF(OR(SUM(PROCESO!M36:M39)&gt;0,SUM(PROCESO!N36:N39)&gt;0),"REPROCESO (devolución)","")</f>
        <v/>
      </c>
      <c r="M31" s="130" t="str">
        <f aca="false">IF(OR(SUM(PROCESO!M36:M39)&gt;0,SUM(PROCESO!N36:N39)&gt;0),SUM(PROCESO!N36:N39),"")</f>
        <v/>
      </c>
      <c r="N31" s="130" t="str">
        <f aca="false">""</f>
        <v/>
      </c>
      <c r="O31" s="130" t="str">
        <f aca="false">IF(OR(SUM(PROCESO!M36:M39)&gt;0,SUM(PROCESO!N36:N39)&gt;0),IF(SUM(PROCESO!M36:M39)&gt;0,SUM(PROCESO!M36:M39)&amp;" jabas devueltas · merma "&amp;TEXT((PROCESO!M36*15+PROCESO!M37*18+PROCESO!M38*17+PROCESO!M39*17)-SUM(PROCESO!N36:N39),"+#,##0;-#,##0;0")&amp;" kg",""),"")</f>
        <v/>
      </c>
      <c r="P31" s="130" t="n">
        <f aca="false">P30+N(M31)-N(N31)</f>
        <v>1180</v>
      </c>
      <c r="Q31" s="130"/>
      <c r="R31" s="130"/>
      <c r="S31" s="130"/>
      <c r="T31" s="130"/>
    </row>
    <row r="32" customFormat="false" ht="15" hidden="false" customHeight="false" outlineLevel="0" collapsed="false">
      <c r="A32" s="135" t="str">
        <f aca="false">IFERROR(INDEX(K$6:K$201,MATCH(ROW()-5,J$6:J$201,0)),"")</f>
        <v>LUN 20-07</v>
      </c>
      <c r="B32" s="135" t="str">
        <f aca="false">IFERROR(INDEX(L$6:L$201,MATCH(ROW()-5,J$6:J$201,0)),"")</f>
        <v>CHANCHO (proceso)</v>
      </c>
      <c r="C32" s="136" t="str">
        <f aca="false">IFERROR(INDEX(M$6:M$201,MATCH(ROW()-5,J$6:J$201,0)),"")</f>
        <v/>
      </c>
      <c r="D32" s="136" t="n">
        <f aca="false">IFERROR(INDEX(N$6:N$201,MATCH(ROW()-5,J$6:J$201,0)),"")</f>
        <v>617.5</v>
      </c>
      <c r="E32" s="135" t="str">
        <f aca="false">IFERROR(INDEX(O$6:O$201,MATCH(ROW()-5,J$6:J$201,0)),"")</f>
        <v>6.5 sacos x 95 kg</v>
      </c>
      <c r="F32" s="136" t="n">
        <f aca="false">IFERROR(INDEX(P$6:P$201,MATCH(ROW()-5,J$6:J$201,0)),"")</f>
        <v>5256</v>
      </c>
      <c r="G32" s="130"/>
      <c r="H32" s="130"/>
      <c r="I32" s="130"/>
      <c r="J32" s="130" t="n">
        <f aca="false">IF(PROCESO!D42&gt;0,COUNT(J$6:J31)+1,"")</f>
        <v>17</v>
      </c>
      <c r="K32" s="130" t="str">
        <f aca="false">IF(PROCESO!D42&gt;0,PROCESO!A42&amp;IF(COUNTIF(PROCESO!$A$6:A41,PROCESO!A42)&gt;0," (Ped."&amp;(COUNTIF(PROCESO!$A$6:A41,PROCESO!A42)+1)&amp;")",""),"")</f>
        <v>VIE 17-07</v>
      </c>
      <c r="L32" s="130" t="str">
        <f aca="false">IF(PROCESO!D42&gt;0,"INGRESO (compra)","")</f>
        <v>INGRESO (compra)</v>
      </c>
      <c r="M32" s="137" t="n">
        <f aca="false">IF(PROCESO!D42&gt;0,PROCESO!D42,"")</f>
        <v>5700</v>
      </c>
      <c r="N32" s="130" t="str">
        <f aca="false">""</f>
        <v/>
      </c>
      <c r="O32" s="130" t="str">
        <f aca="false">IF(PROCESO!D42&gt;0,PROCESO!B42&amp;" sacos x "&amp;PROCESO!C42&amp;" kg","")</f>
        <v>60 sacos x 95 kg</v>
      </c>
      <c r="P32" s="130" t="n">
        <f aca="false">P31+N(M32)-N(N32)</f>
        <v>6880</v>
      </c>
      <c r="Q32" s="130"/>
      <c r="R32" s="130"/>
      <c r="S32" s="130"/>
      <c r="T32" s="130"/>
    </row>
    <row r="33" customFormat="false" ht="15" hidden="false" customHeight="false" outlineLevel="0" collapsed="false">
      <c r="A33" s="135" t="str">
        <f aca="false">IFERROR(INDEX(K$6:K$201,MATCH(ROW()-5,J$6:J$201,0)),"")</f>
        <v>LUN 20-07</v>
      </c>
      <c r="B33" s="135" t="str">
        <f aca="false">IFERROR(INDEX(L$6:L$201,MATCH(ROW()-5,J$6:J$201,0)),"")</f>
        <v>ENVÍO Guía 3001</v>
      </c>
      <c r="C33" s="136" t="str">
        <f aca="false">IFERROR(INDEX(M$6:M$201,MATCH(ROW()-5,J$6:J$201,0)),"")</f>
        <v/>
      </c>
      <c r="D33" s="136" t="n">
        <f aca="false">IFERROR(INDEX(N$6:N$201,MATCH(ROW()-5,J$6:J$201,0)),"")</f>
        <v>3294</v>
      </c>
      <c r="E33" s="135" t="str">
        <f aca="false">IFERROR(INDEX(O$6:O$201,MATCH(ROW()-5,J$6:J$201,0)),"")</f>
        <v>G-3001</v>
      </c>
      <c r="F33" s="136" t="n">
        <f aca="false">IFERROR(INDEX(P$6:P$201,MATCH(ROW()-5,J$6:J$201,0)),"")</f>
        <v>1962</v>
      </c>
      <c r="G33" s="130"/>
      <c r="H33" s="130"/>
      <c r="I33" s="130"/>
      <c r="J33" s="130" t="n">
        <f aca="false">IF(N(PROCESO!H46)&gt;0,COUNT(J$6:J32)+1,"")</f>
        <v>18</v>
      </c>
      <c r="K33" s="130" t="str">
        <f aca="false">IF(N(PROCESO!H46)&gt;0,PROCESO!A42&amp;IF(COUNTIF(PROCESO!$A$6:A41,PROCESO!A42)&gt;0," (Ped."&amp;(COUNTIF(PROCESO!$A$6:A41,PROCESO!A42)+1)&amp;")",""),"")</f>
        <v>VIE 17-07</v>
      </c>
      <c r="L33" s="130" t="str">
        <f aca="false">IF(N(PROCESO!H46)&gt;0,"CHANCHO (proceso)","")</f>
        <v>CHANCHO (proceso)</v>
      </c>
      <c r="M33" s="130" t="str">
        <f aca="false">""</f>
        <v/>
      </c>
      <c r="N33" s="130" t="n">
        <f aca="false">IF(N(PROCESO!H46)&gt;0,N(PROCESO!H46),"")</f>
        <v>950</v>
      </c>
      <c r="O33" s="130" t="str">
        <f aca="false">IF(N(PROCESO!H46)&gt;0,PROCESO!G46&amp;" sacos x 95 kg","")</f>
        <v>10 sacos x 95 kg</v>
      </c>
      <c r="P33" s="130" t="n">
        <f aca="false">P32+N(M33)-N(N33)</f>
        <v>5930</v>
      </c>
      <c r="Q33" s="130"/>
      <c r="R33" s="130"/>
      <c r="S33" s="130"/>
      <c r="T33" s="130"/>
    </row>
    <row r="34" customFormat="false" ht="15" hidden="false" customHeight="false" outlineLevel="0" collapsed="false">
      <c r="A34" s="135" t="str">
        <f aca="false">IFERROR(INDEX(K$6:K$201,MATCH(ROW()-5,J$6:J$201,0)),"")</f>
        <v>LUN 20-07 (Ped.2)</v>
      </c>
      <c r="B34" s="135" t="str">
        <f aca="false">IFERROR(INDEX(L$6:L$201,MATCH(ROW()-5,J$6:J$201,0)),"")</f>
        <v>INGRESO (compra)</v>
      </c>
      <c r="C34" s="136" t="n">
        <f aca="false">IFERROR(INDEX(M$6:M$201,MATCH(ROW()-5,J$6:J$201,0)),"")</f>
        <v>2090</v>
      </c>
      <c r="D34" s="136" t="str">
        <f aca="false">IFERROR(INDEX(N$6:N$201,MATCH(ROW()-5,J$6:J$201,0)),"")</f>
        <v/>
      </c>
      <c r="E34" s="135" t="str">
        <f aca="false">IFERROR(INDEX(O$6:O$201,MATCH(ROW()-5,J$6:J$201,0)),"")</f>
        <v>22 sacos x 95 kg</v>
      </c>
      <c r="F34" s="136" t="n">
        <f aca="false">IFERROR(INDEX(P$6:P$201,MATCH(ROW()-5,J$6:J$201,0)),"")</f>
        <v>4052</v>
      </c>
      <c r="G34" s="130"/>
      <c r="H34" s="130"/>
      <c r="I34" s="130"/>
      <c r="J34" s="130" t="str">
        <f aca="false">IF(N(PROCESO!H47)&gt;0,COUNT(J$6:J33)+1,"")</f>
        <v/>
      </c>
      <c r="K34" s="130" t="str">
        <f aca="false">IF(N(PROCESO!H47)&gt;0,PROCESO!A42&amp;IF(COUNTIF(PROCESO!$A$6:A41,PROCESO!A42)&gt;0," (Ped."&amp;(COUNTIF(PROCESO!$A$6:A41,PROCESO!A42)+1)&amp;")",""),"")</f>
        <v/>
      </c>
      <c r="L34" s="130" t="str">
        <f aca="false">IF(N(PROCESO!H47)&gt;0,"MALOGRADO","")</f>
        <v/>
      </c>
      <c r="M34" s="130" t="str">
        <f aca="false">""</f>
        <v/>
      </c>
      <c r="N34" s="130" t="str">
        <f aca="false">IF(N(PROCESO!H47)&gt;0,N(PROCESO!H47),"")</f>
        <v/>
      </c>
      <c r="O34" s="130" t="str">
        <f aca="false">""</f>
        <v/>
      </c>
      <c r="P34" s="130" t="n">
        <f aca="false">P33+N(M34)-N(N34)</f>
        <v>5930</v>
      </c>
      <c r="Q34" s="130"/>
      <c r="R34" s="130"/>
      <c r="S34" s="130"/>
      <c r="T34" s="130"/>
    </row>
    <row r="35" customFormat="false" ht="15" hidden="false" customHeight="false" outlineLevel="0" collapsed="false">
      <c r="A35" s="135" t="str">
        <f aca="false">IFERROR(INDEX(K$6:K$201,MATCH(ROW()-5,J$6:J$201,0)),"")</f>
        <v>LUN 20-07 (Ped.2)</v>
      </c>
      <c r="B35" s="135" t="str">
        <f aca="false">IFERROR(INDEX(L$6:L$201,MATCH(ROW()-5,J$6:J$201,0)),"")</f>
        <v>CHANCHO (proceso)</v>
      </c>
      <c r="C35" s="136" t="str">
        <f aca="false">IFERROR(INDEX(M$6:M$201,MATCH(ROW()-5,J$6:J$201,0)),"")</f>
        <v/>
      </c>
      <c r="D35" s="136" t="n">
        <f aca="false">IFERROR(INDEX(N$6:N$201,MATCH(ROW()-5,J$6:J$201,0)),"")</f>
        <v>285</v>
      </c>
      <c r="E35" s="135" t="str">
        <f aca="false">IFERROR(INDEX(O$6:O$201,MATCH(ROW()-5,J$6:J$201,0)),"")</f>
        <v>3 sacos x 95 kg</v>
      </c>
      <c r="F35" s="136" t="n">
        <f aca="false">IFERROR(INDEX(P$6:P$201,MATCH(ROW()-5,J$6:J$201,0)),"")</f>
        <v>3767</v>
      </c>
      <c r="G35" s="130"/>
      <c r="H35" s="130"/>
      <c r="I35" s="130"/>
      <c r="J35" s="130" t="n">
        <f aca="false">IF(IF(PROCESO!J42&lt;&gt;"",PROCESO!J42,IF(PROCESO!J43&lt;&gt;"",PROCESO!J43,IF(PROCESO!J44&lt;&gt;"",PROCESO!J44,IF(PROCESO!J45&lt;&gt;"",PROCESO!J45,""))))&lt;&gt;"",COUNT(J$6:J34)+1,"")</f>
        <v>19</v>
      </c>
      <c r="K35" s="130" t="str">
        <f aca="false">IF(IF(PROCESO!J42&lt;&gt;"",PROCESO!J42,IF(PROCESO!J43&lt;&gt;"",PROCESO!J43,IF(PROCESO!J44&lt;&gt;"",PROCESO!J44,IF(PROCESO!J45&lt;&gt;"",PROCESO!J45,""))))&lt;&gt;"",PROCESO!A42&amp;IF(COUNTIF(PROCESO!$A$6:A41,PROCESO!A42)&gt;0," (Ped."&amp;(COUNTIF(PROCESO!$A$6:A41,PROCESO!A42)+1)&amp;")",""),"")</f>
        <v>VIE 17-07</v>
      </c>
      <c r="L35" s="130" t="str">
        <f aca="false">IF(IF(PROCESO!J42&lt;&gt;"",PROCESO!J42,IF(PROCESO!J43&lt;&gt;"",PROCESO!J43,IF(PROCESO!J44&lt;&gt;"",PROCESO!J44,IF(PROCESO!J45&lt;&gt;"",PROCESO!J45,""))))&lt;&gt;"","ENVÍO Guía "&amp;IF(LEFT(IF(PROCESO!J42&lt;&gt;"",PROCESO!J42,IF(PROCESO!J43&lt;&gt;"",PROCESO!J43,IF(PROCESO!J44&lt;&gt;"",PROCESO!J44,IF(PROCESO!J45&lt;&gt;"",PROCESO!J45,"")))),2)="G-",MID(IF(PROCESO!J42&lt;&gt;"",PROCESO!J42,IF(PROCESO!J43&lt;&gt;"",PROCESO!J43,IF(PROCESO!J44&lt;&gt;"",PROCESO!J44,IF(PROCESO!J45&lt;&gt;"",PROCESO!J45,"")))),3,99),IF(PROCESO!J42&lt;&gt;"",PROCESO!J42,IF(PROCESO!J43&lt;&gt;"",PROCESO!J43,IF(PROCESO!J44&lt;&gt;"",PROCESO!J44,IF(PROCESO!J45&lt;&gt;"",PROCESO!J45,""))))),"")</f>
        <v>ENVÍO Guía 2994</v>
      </c>
      <c r="M35" s="130" t="str">
        <f aca="false">""</f>
        <v/>
      </c>
      <c r="N35" s="130" t="n">
        <f aca="false">IF(IF(PROCESO!J42&lt;&gt;"",PROCESO!J42,IF(PROCESO!J43&lt;&gt;"",PROCESO!J43,IF(PROCESO!J44&lt;&gt;"",PROCESO!J44,IF(PROCESO!J45&lt;&gt;"",PROCESO!J45,""))))&lt;&gt;"",SUMIF(PROCESO!J42:J45,IF(PROCESO!J42&lt;&gt;"",PROCESO!J42,IF(PROCESO!J43&lt;&gt;"",PROCESO!J43,IF(PROCESO!J44&lt;&gt;"",PROCESO!J44,IF(PROCESO!J45&lt;&gt;"",PROCESO!J45,"")))),PROCESO!L42:L45),"")</f>
        <v>3413</v>
      </c>
      <c r="O35" s="130" t="str">
        <f aca="false">IF(IF(PROCESO!J42&lt;&gt;"",PROCESO!J42,IF(PROCESO!J43&lt;&gt;"",PROCESO!J43,IF(PROCESO!J44&lt;&gt;"",PROCESO!J44,IF(PROCESO!J45&lt;&gt;"",PROCESO!J45,""))))&lt;&gt;"","G-"&amp;IF(LEFT(IF(PROCESO!J42&lt;&gt;"",PROCESO!J42,IF(PROCESO!J43&lt;&gt;"",PROCESO!J43,IF(PROCESO!J44&lt;&gt;"",PROCESO!J44,IF(PROCESO!J45&lt;&gt;"",PROCESO!J45,"")))),2)="G-",MID(IF(PROCESO!J42&lt;&gt;"",PROCESO!J42,IF(PROCESO!J43&lt;&gt;"",PROCESO!J43,IF(PROCESO!J44&lt;&gt;"",PROCESO!J44,IF(PROCESO!J45&lt;&gt;"",PROCESO!J45,"")))),3,99),IF(PROCESO!J42&lt;&gt;"",PROCESO!J42,IF(PROCESO!J43&lt;&gt;"",PROCESO!J43,IF(PROCESO!J44&lt;&gt;"",PROCESO!J44,IF(PROCESO!J45&lt;&gt;"",PROCESO!J45,""))))),"")</f>
        <v>G-2994</v>
      </c>
      <c r="P35" s="130" t="n">
        <f aca="false">P34+N(M35)-N(N35)</f>
        <v>2517</v>
      </c>
      <c r="Q35" s="130"/>
      <c r="R35" s="130"/>
      <c r="S35" s="130"/>
      <c r="T35" s="130"/>
    </row>
    <row r="36" customFormat="false" ht="15" hidden="false" customHeight="false" outlineLevel="0" collapsed="false">
      <c r="A36" s="135" t="str">
        <f aca="false">IFERROR(INDEX(K$6:K$201,MATCH(ROW()-5,J$6:J$201,0)),"")</f>
        <v>MAR 21-07</v>
      </c>
      <c r="B36" s="135" t="str">
        <f aca="false">IFERROR(INDEX(L$6:L$201,MATCH(ROW()-5,J$6:J$201,0)),"")</f>
        <v>INGRESO (compra)</v>
      </c>
      <c r="C36" s="136" t="n">
        <f aca="false">IFERROR(INDEX(M$6:M$201,MATCH(ROW()-5,J$6:J$201,0)),"")</f>
        <v>6650</v>
      </c>
      <c r="D36" s="136" t="str">
        <f aca="false">IFERROR(INDEX(N$6:N$201,MATCH(ROW()-5,J$6:J$201,0)),"")</f>
        <v/>
      </c>
      <c r="E36" s="135" t="str">
        <f aca="false">IFERROR(INDEX(O$6:O$201,MATCH(ROW()-5,J$6:J$201,0)),"")</f>
        <v>70 sacos x 95 kg</v>
      </c>
      <c r="F36" s="136" t="n">
        <f aca="false">IFERROR(INDEX(P$6:P$201,MATCH(ROW()-5,J$6:J$201,0)),"")</f>
        <v>10417</v>
      </c>
      <c r="G36" s="130"/>
      <c r="H36" s="130"/>
      <c r="I36" s="130"/>
      <c r="J36" s="130" t="str">
        <f aca="false">IF(OR(SUM(PROCESO!M42:M45)&gt;0,SUM(PROCESO!N42:N45)&gt;0),COUNT(J$6:J35)+1,"")</f>
        <v/>
      </c>
      <c r="K36" s="130" t="str">
        <f aca="false">IF(OR(SUM(PROCESO!M42:M45)&gt;0,SUM(PROCESO!N42:N45)&gt;0),PROCESO!A42&amp;IF(COUNTIF(PROCESO!$A$6:A41,PROCESO!A42)&gt;0," (Ped."&amp;(COUNTIF(PROCESO!$A$6:A41,PROCESO!A42)+1)&amp;")",""),"")</f>
        <v/>
      </c>
      <c r="L36" s="130" t="str">
        <f aca="false">IF(OR(SUM(PROCESO!M42:M45)&gt;0,SUM(PROCESO!N42:N45)&gt;0),"REPROCESO (devolución)","")</f>
        <v/>
      </c>
      <c r="M36" s="130" t="str">
        <f aca="false">IF(OR(SUM(PROCESO!M42:M45)&gt;0,SUM(PROCESO!N42:N45)&gt;0),SUM(PROCESO!N42:N45),"")</f>
        <v/>
      </c>
      <c r="N36" s="130" t="str">
        <f aca="false">""</f>
        <v/>
      </c>
      <c r="O36" s="130" t="str">
        <f aca="false">IF(OR(SUM(PROCESO!M42:M45)&gt;0,SUM(PROCESO!N42:N45)&gt;0),IF(SUM(PROCESO!M42:M45)&gt;0,SUM(PROCESO!M42:M45)&amp;" jabas devueltas · merma "&amp;TEXT((PROCESO!M42*15+PROCESO!M43*18+PROCESO!M44*17+PROCESO!M45*17)-SUM(PROCESO!N42:N45),"+#,##0;-#,##0;0")&amp;" kg",""),"")</f>
        <v/>
      </c>
      <c r="P36" s="130" t="n">
        <f aca="false">P35+N(M36)-N(N36)</f>
        <v>2517</v>
      </c>
      <c r="Q36" s="130"/>
      <c r="R36" s="130"/>
      <c r="S36" s="130"/>
      <c r="T36" s="130"/>
    </row>
    <row r="37" customFormat="false" ht="15" hidden="false" customHeight="false" outlineLevel="0" collapsed="false">
      <c r="A37" s="135" t="str">
        <f aca="false">IFERROR(INDEX(K$6:K$201,MATCH(ROW()-5,J$6:J$201,0)),"")</f>
        <v>MAR 21-07</v>
      </c>
      <c r="B37" s="135" t="str">
        <f aca="false">IFERROR(INDEX(L$6:L$201,MATCH(ROW()-5,J$6:J$201,0)),"")</f>
        <v>CHANCHO (proceso)</v>
      </c>
      <c r="C37" s="136" t="str">
        <f aca="false">IFERROR(INDEX(M$6:M$201,MATCH(ROW()-5,J$6:J$201,0)),"")</f>
        <v/>
      </c>
      <c r="D37" s="136" t="n">
        <f aca="false">IFERROR(INDEX(N$6:N$201,MATCH(ROW()-5,J$6:J$201,0)),"")</f>
        <v>380</v>
      </c>
      <c r="E37" s="135" t="str">
        <f aca="false">IFERROR(INDEX(O$6:O$201,MATCH(ROW()-5,J$6:J$201,0)),"")</f>
        <v>4 sacos x 95 kg</v>
      </c>
      <c r="F37" s="136" t="n">
        <f aca="false">IFERROR(INDEX(P$6:P$201,MATCH(ROW()-5,J$6:J$201,0)),"")</f>
        <v>10037</v>
      </c>
      <c r="G37" s="130"/>
      <c r="H37" s="130"/>
      <c r="I37" s="130"/>
      <c r="J37" s="130" t="n">
        <f aca="false">IF(PROCESO!D48&gt;0,COUNT(J$6:J36)+1,"")</f>
        <v>20</v>
      </c>
      <c r="K37" s="130" t="str">
        <f aca="false">IF(PROCESO!D48&gt;0,PROCESO!A48&amp;IF(COUNTIF(PROCESO!$A$6:A47,PROCESO!A48)&gt;0," (Ped."&amp;(COUNTIF(PROCESO!$A$6:A47,PROCESO!A48)+1)&amp;")",""),"")</f>
        <v>VIE 17-07 (Ped.2)</v>
      </c>
      <c r="L37" s="130" t="str">
        <f aca="false">IF(PROCESO!D48&gt;0,"INGRESO (compra)","")</f>
        <v>INGRESO (compra)</v>
      </c>
      <c r="M37" s="137" t="n">
        <f aca="false">IF(PROCESO!D48&gt;0,PROCESO!D48,"")</f>
        <v>475</v>
      </c>
      <c r="N37" s="130" t="str">
        <f aca="false">""</f>
        <v/>
      </c>
      <c r="O37" s="130" t="str">
        <f aca="false">IF(PROCESO!D48&gt;0,PROCESO!B48&amp;" sacos x "&amp;PROCESO!C48&amp;" kg","")</f>
        <v>5 sacos x 95 kg</v>
      </c>
      <c r="P37" s="130" t="n">
        <f aca="false">P36+N(M37)-N(N37)</f>
        <v>2992</v>
      </c>
      <c r="Q37" s="130"/>
      <c r="R37" s="130"/>
      <c r="S37" s="130"/>
      <c r="T37" s="130"/>
    </row>
    <row r="38" customFormat="false" ht="15" hidden="false" customHeight="false" outlineLevel="0" collapsed="false">
      <c r="A38" s="135" t="str">
        <f aca="false">IFERROR(INDEX(K$6:K$201,MATCH(ROW()-5,J$6:J$201,0)),"")</f>
        <v>MAR 21-07</v>
      </c>
      <c r="B38" s="135" t="str">
        <f aca="false">IFERROR(INDEX(L$6:L$201,MATCH(ROW()-5,J$6:J$201,0)),"")</f>
        <v>ENVÍO Guía 3004</v>
      </c>
      <c r="C38" s="136" t="str">
        <f aca="false">IFERROR(INDEX(M$6:M$201,MATCH(ROW()-5,J$6:J$201,0)),"")</f>
        <v/>
      </c>
      <c r="D38" s="136" t="n">
        <f aca="false">IFERROR(INDEX(N$6:N$201,MATCH(ROW()-5,J$6:J$201,0)),"")</f>
        <v>3260</v>
      </c>
      <c r="E38" s="135" t="str">
        <f aca="false">IFERROR(INDEX(O$6:O$201,MATCH(ROW()-5,J$6:J$201,0)),"")</f>
        <v>G-3004</v>
      </c>
      <c r="F38" s="136" t="n">
        <f aca="false">IFERROR(INDEX(P$6:P$201,MATCH(ROW()-5,J$6:J$201,0)),"")</f>
        <v>6777</v>
      </c>
      <c r="G38" s="130"/>
      <c r="H38" s="130"/>
      <c r="I38" s="130"/>
      <c r="J38" s="130" t="n">
        <f aca="false">IF(N(PROCESO!H52)&gt;0,COUNT(J$6:J37)+1,"")</f>
        <v>21</v>
      </c>
      <c r="K38" s="130" t="str">
        <f aca="false">IF(N(PROCESO!H52)&gt;0,PROCESO!A48&amp;IF(COUNTIF(PROCESO!$A$6:A47,PROCESO!A48)&gt;0," (Ped."&amp;(COUNTIF(PROCESO!$A$6:A47,PROCESO!A48)+1)&amp;")",""),"")</f>
        <v>VIE 17-07 (Ped.2)</v>
      </c>
      <c r="L38" s="130" t="str">
        <f aca="false">IF(N(PROCESO!H52)&gt;0,"CHANCHO (proceso)","")</f>
        <v>CHANCHO (proceso)</v>
      </c>
      <c r="M38" s="130" t="str">
        <f aca="false">""</f>
        <v/>
      </c>
      <c r="N38" s="130" t="n">
        <f aca="false">IF(N(PROCESO!H52)&gt;0,N(PROCESO!H52),"")</f>
        <v>95</v>
      </c>
      <c r="O38" s="130" t="str">
        <f aca="false">IF(N(PROCESO!H52)&gt;0,PROCESO!G52&amp;" sacos x 95 kg","")</f>
        <v>1 sacos x 95 kg</v>
      </c>
      <c r="P38" s="130" t="n">
        <f aca="false">P37+N(M38)-N(N38)</f>
        <v>2897</v>
      </c>
      <c r="Q38" s="130"/>
      <c r="R38" s="130"/>
      <c r="S38" s="130"/>
      <c r="T38" s="130"/>
    </row>
    <row r="39" customFormat="false" ht="15" hidden="false" customHeight="false" outlineLevel="0" collapsed="false">
      <c r="A39" s="135" t="str">
        <f aca="false">IFERROR(INDEX(K$6:K$201,MATCH(ROW()-5,J$6:J$201,0)),"")</f>
        <v>MAR 21-07</v>
      </c>
      <c r="B39" s="135" t="str">
        <f aca="false">IFERROR(INDEX(L$6:L$201,MATCH(ROW()-5,J$6:J$201,0)),"")</f>
        <v>REPROCESO (devolución)</v>
      </c>
      <c r="C39" s="136" t="n">
        <f aca="false">IFERROR(INDEX(M$6:M$201,MATCH(ROW()-5,J$6:J$201,0)),"")</f>
        <v>17</v>
      </c>
      <c r="D39" s="136" t="str">
        <f aca="false">IFERROR(INDEX(N$6:N$201,MATCH(ROW()-5,J$6:J$201,0)),"")</f>
        <v/>
      </c>
      <c r="E39" s="135" t="str">
        <f aca="false">IFERROR(INDEX(O$6:O$201,MATCH(ROW()-5,J$6:J$201,0)),"")</f>
        <v>2 jabas devueltas · merma +15 kg</v>
      </c>
      <c r="F39" s="136" t="n">
        <f aca="false">IFERROR(INDEX(P$6:P$201,MATCH(ROW()-5,J$6:J$201,0)),"")</f>
        <v>6794</v>
      </c>
      <c r="G39" s="130"/>
      <c r="H39" s="130"/>
      <c r="I39" s="130"/>
      <c r="J39" s="130" t="str">
        <f aca="false">IF(N(PROCESO!H53)&gt;0,COUNT(J$6:J38)+1,"")</f>
        <v/>
      </c>
      <c r="K39" s="130" t="str">
        <f aca="false">IF(N(PROCESO!H53)&gt;0,PROCESO!A48&amp;IF(COUNTIF(PROCESO!$A$6:A47,PROCESO!A48)&gt;0," (Ped."&amp;(COUNTIF(PROCESO!$A$6:A47,PROCESO!A48)+1)&amp;")",""),"")</f>
        <v/>
      </c>
      <c r="L39" s="130" t="str">
        <f aca="false">IF(N(PROCESO!H53)&gt;0,"MALOGRADO","")</f>
        <v/>
      </c>
      <c r="M39" s="130" t="str">
        <f aca="false">""</f>
        <v/>
      </c>
      <c r="N39" s="130" t="str">
        <f aca="false">IF(N(PROCESO!H53)&gt;0,N(PROCESO!H53),"")</f>
        <v/>
      </c>
      <c r="O39" s="130" t="str">
        <f aca="false">""</f>
        <v/>
      </c>
      <c r="P39" s="130" t="n">
        <f aca="false">P38+N(M39)-N(N39)</f>
        <v>2897</v>
      </c>
      <c r="Q39" s="130"/>
      <c r="R39" s="130"/>
      <c r="S39" s="130"/>
      <c r="T39" s="130"/>
    </row>
    <row r="40" customFormat="false" ht="15" hidden="false" customHeight="false" outlineLevel="0" collapsed="false">
      <c r="A40" s="135" t="str">
        <f aca="false">IFERROR(INDEX(K$6:K$201,MATCH(ROW()-5,J$6:J$201,0)),"")</f>
        <v>MIE 22-07</v>
      </c>
      <c r="B40" s="135" t="str">
        <f aca="false">IFERROR(INDEX(L$6:L$201,MATCH(ROW()-5,J$6:J$201,0)),"")</f>
        <v>CHANCHO (proceso)</v>
      </c>
      <c r="C40" s="136" t="str">
        <f aca="false">IFERROR(INDEX(M$6:M$201,MATCH(ROW()-5,J$6:J$201,0)),"")</f>
        <v/>
      </c>
      <c r="D40" s="136" t="n">
        <f aca="false">IFERROR(INDEX(N$6:N$201,MATCH(ROW()-5,J$6:J$201,0)),"")</f>
        <v>760</v>
      </c>
      <c r="E40" s="135" t="str">
        <f aca="false">IFERROR(INDEX(O$6:O$201,MATCH(ROW()-5,J$6:J$201,0)),"")</f>
        <v>8 sacos x 95 kg</v>
      </c>
      <c r="F40" s="136" t="n">
        <f aca="false">IFERROR(INDEX(P$6:P$201,MATCH(ROW()-5,J$6:J$201,0)),"")</f>
        <v>6034</v>
      </c>
      <c r="G40" s="130"/>
      <c r="H40" s="130"/>
      <c r="I40" s="130"/>
      <c r="J40" s="130" t="str">
        <f aca="false">IF(IF(PROCESO!J48&lt;&gt;"",PROCESO!J48,IF(PROCESO!J49&lt;&gt;"",PROCESO!J49,IF(PROCESO!J50&lt;&gt;"",PROCESO!J50,IF(PROCESO!J51&lt;&gt;"",PROCESO!J51,""))))&lt;&gt;"",COUNT(J$6:J39)+1,"")</f>
        <v/>
      </c>
      <c r="K40" s="130" t="str">
        <f aca="false">IF(IF(PROCESO!J48&lt;&gt;"",PROCESO!J48,IF(PROCESO!J49&lt;&gt;"",PROCESO!J49,IF(PROCESO!J50&lt;&gt;"",PROCESO!J50,IF(PROCESO!J51&lt;&gt;"",PROCESO!J51,""))))&lt;&gt;"",PROCESO!A48&amp;IF(COUNTIF(PROCESO!$A$6:A47,PROCESO!A48)&gt;0," (Ped."&amp;(COUNTIF(PROCESO!$A$6:A47,PROCESO!A48)+1)&amp;")",""),"")</f>
        <v/>
      </c>
      <c r="L40" s="130" t="str">
        <f aca="false">IF(IF(PROCESO!J48&lt;&gt;"",PROCESO!J48,IF(PROCESO!J49&lt;&gt;"",PROCESO!J49,IF(PROCESO!J50&lt;&gt;"",PROCESO!J50,IF(PROCESO!J51&lt;&gt;"",PROCESO!J51,""))))&lt;&gt;"","ENVÍO Guía "&amp;IF(LEFT(IF(PROCESO!J48&lt;&gt;"",PROCESO!J48,IF(PROCESO!J49&lt;&gt;"",PROCESO!J49,IF(PROCESO!J50&lt;&gt;"",PROCESO!J50,IF(PROCESO!J51&lt;&gt;"",PROCESO!J51,"")))),2)="G-",MID(IF(PROCESO!J48&lt;&gt;"",PROCESO!J48,IF(PROCESO!J49&lt;&gt;"",PROCESO!J49,IF(PROCESO!J50&lt;&gt;"",PROCESO!J50,IF(PROCESO!J51&lt;&gt;"",PROCESO!J51,"")))),3,99),IF(PROCESO!J48&lt;&gt;"",PROCESO!J48,IF(PROCESO!J49&lt;&gt;"",PROCESO!J49,IF(PROCESO!J50&lt;&gt;"",PROCESO!J50,IF(PROCESO!J51&lt;&gt;"",PROCESO!J51,""))))),"")</f>
        <v/>
      </c>
      <c r="M40" s="130" t="str">
        <f aca="false">""</f>
        <v/>
      </c>
      <c r="N40" s="130" t="str">
        <f aca="false">IF(IF(PROCESO!J48&lt;&gt;"",PROCESO!J48,IF(PROCESO!J49&lt;&gt;"",PROCESO!J49,IF(PROCESO!J50&lt;&gt;"",PROCESO!J50,IF(PROCESO!J51&lt;&gt;"",PROCESO!J51,""))))&lt;&gt;"",SUMIF(PROCESO!J48:J51,IF(PROCESO!J48&lt;&gt;"",PROCESO!J48,IF(PROCESO!J49&lt;&gt;"",PROCESO!J49,IF(PROCESO!J50&lt;&gt;"",PROCESO!J50,IF(PROCESO!J51&lt;&gt;"",PROCESO!J51,"")))),PROCESO!L48:L51),"")</f>
        <v/>
      </c>
      <c r="O40" s="130" t="str">
        <f aca="false">IF(IF(PROCESO!J48&lt;&gt;"",PROCESO!J48,IF(PROCESO!J49&lt;&gt;"",PROCESO!J49,IF(PROCESO!J50&lt;&gt;"",PROCESO!J50,IF(PROCESO!J51&lt;&gt;"",PROCESO!J51,""))))&lt;&gt;"","G-"&amp;IF(LEFT(IF(PROCESO!J48&lt;&gt;"",PROCESO!J48,IF(PROCESO!J49&lt;&gt;"",PROCESO!J49,IF(PROCESO!J50&lt;&gt;"",PROCESO!J50,IF(PROCESO!J51&lt;&gt;"",PROCESO!J51,"")))),2)="G-",MID(IF(PROCESO!J48&lt;&gt;"",PROCESO!J48,IF(PROCESO!J49&lt;&gt;"",PROCESO!J49,IF(PROCESO!J50&lt;&gt;"",PROCESO!J50,IF(PROCESO!J51&lt;&gt;"",PROCESO!J51,"")))),3,99),IF(PROCESO!J48&lt;&gt;"",PROCESO!J48,IF(PROCESO!J49&lt;&gt;"",PROCESO!J49,IF(PROCESO!J50&lt;&gt;"",PROCESO!J50,IF(PROCESO!J51&lt;&gt;"",PROCESO!J51,""))))),"")</f>
        <v/>
      </c>
      <c r="P40" s="130" t="n">
        <f aca="false">P39+N(M40)-N(N40)</f>
        <v>2897</v>
      </c>
      <c r="Q40" s="130"/>
      <c r="R40" s="130"/>
      <c r="S40" s="130"/>
      <c r="T40" s="130"/>
    </row>
    <row r="41" customFormat="false" ht="15" hidden="false" customHeight="false" outlineLevel="0" collapsed="false">
      <c r="A41" s="135" t="str">
        <f aca="false">IFERROR(INDEX(K$6:K$201,MATCH(ROW()-5,J$6:J$201,0)),"")</f>
        <v>MIE 22-07</v>
      </c>
      <c r="B41" s="135" t="str">
        <f aca="false">IFERROR(INDEX(L$6:L$201,MATCH(ROW()-5,J$6:J$201,0)),"")</f>
        <v>MALOGRADO</v>
      </c>
      <c r="C41" s="136" t="str">
        <f aca="false">IFERROR(INDEX(M$6:M$201,MATCH(ROW()-5,J$6:J$201,0)),"")</f>
        <v/>
      </c>
      <c r="D41" s="136" t="n">
        <f aca="false">IFERROR(INDEX(N$6:N$201,MATCH(ROW()-5,J$6:J$201,0)),"")</f>
        <v>50</v>
      </c>
      <c r="E41" s="135" t="str">
        <f aca="false">IFERROR(INDEX(O$6:O$201,MATCH(ROW()-5,J$6:J$201,0)),"")</f>
        <v/>
      </c>
      <c r="F41" s="136" t="n">
        <f aca="false">IFERROR(INDEX(P$6:P$201,MATCH(ROW()-5,J$6:J$201,0)),"")</f>
        <v>5984</v>
      </c>
      <c r="G41" s="130"/>
      <c r="H41" s="130"/>
      <c r="I41" s="130"/>
      <c r="J41" s="130" t="str">
        <f aca="false">IF(OR(SUM(PROCESO!M48:M51)&gt;0,SUM(PROCESO!N48:N51)&gt;0),COUNT(J$6:J40)+1,"")</f>
        <v/>
      </c>
      <c r="K41" s="130" t="str">
        <f aca="false">IF(OR(SUM(PROCESO!M48:M51)&gt;0,SUM(PROCESO!N48:N51)&gt;0),PROCESO!A48&amp;IF(COUNTIF(PROCESO!$A$6:A47,PROCESO!A48)&gt;0," (Ped."&amp;(COUNTIF(PROCESO!$A$6:A47,PROCESO!A48)+1)&amp;")",""),"")</f>
        <v/>
      </c>
      <c r="L41" s="130" t="str">
        <f aca="false">IF(OR(SUM(PROCESO!M48:M51)&gt;0,SUM(PROCESO!N48:N51)&gt;0),"REPROCESO (devolución)","")</f>
        <v/>
      </c>
      <c r="M41" s="130" t="str">
        <f aca="false">IF(OR(SUM(PROCESO!M48:M51)&gt;0,SUM(PROCESO!N48:N51)&gt;0),SUM(PROCESO!N48:N51),"")</f>
        <v/>
      </c>
      <c r="N41" s="130" t="str">
        <f aca="false">""</f>
        <v/>
      </c>
      <c r="O41" s="130" t="str">
        <f aca="false">IF(OR(SUM(PROCESO!M48:M51)&gt;0,SUM(PROCESO!N48:N51)&gt;0),IF(SUM(PROCESO!M48:M51)&gt;0,SUM(PROCESO!M48:M51)&amp;" jabas devueltas · merma "&amp;TEXT((PROCESO!M48*15+PROCESO!M49*18+PROCESO!M50*17+PROCESO!M51*17)-SUM(PROCESO!N48:N51),"+#,##0;-#,##0;0")&amp;" kg",""),"")</f>
        <v/>
      </c>
      <c r="P41" s="130" t="n">
        <f aca="false">P40+N(M41)-N(N41)</f>
        <v>2897</v>
      </c>
      <c r="Q41" s="130"/>
      <c r="R41" s="130"/>
      <c r="S41" s="130"/>
      <c r="T41" s="130"/>
    </row>
    <row r="42" customFormat="false" ht="15" hidden="false" customHeight="false" outlineLevel="0" collapsed="false">
      <c r="A42" s="135" t="str">
        <f aca="false">IFERROR(INDEX(K$6:K$201,MATCH(ROW()-5,J$6:J$201,0)),"")</f>
        <v>MIE 22-07</v>
      </c>
      <c r="B42" s="135" t="str">
        <f aca="false">IFERROR(INDEX(L$6:L$201,MATCH(ROW()-5,J$6:J$201,0)),"")</f>
        <v>ENVÍO Guía 3006</v>
      </c>
      <c r="C42" s="136" t="str">
        <f aca="false">IFERROR(INDEX(M$6:M$201,MATCH(ROW()-5,J$6:J$201,0)),"")</f>
        <v/>
      </c>
      <c r="D42" s="136" t="n">
        <f aca="false">IFERROR(INDEX(N$6:N$201,MATCH(ROW()-5,J$6:J$201,0)),"")</f>
        <v>3294</v>
      </c>
      <c r="E42" s="135" t="str">
        <f aca="false">IFERROR(INDEX(O$6:O$201,MATCH(ROW()-5,J$6:J$201,0)),"")</f>
        <v>G-3006</v>
      </c>
      <c r="F42" s="136" t="n">
        <f aca="false">IFERROR(INDEX(P$6:P$201,MATCH(ROW()-5,J$6:J$201,0)),"")</f>
        <v>2690</v>
      </c>
      <c r="G42" s="130"/>
      <c r="H42" s="130"/>
      <c r="I42" s="130"/>
      <c r="J42" s="130" t="str">
        <f aca="false">IF(PROCESO!D54&gt;0,COUNT(J$6:J41)+1,"")</f>
        <v/>
      </c>
      <c r="K42" s="130" t="str">
        <f aca="false">IF(PROCESO!D54&gt;0,PROCESO!A54&amp;IF(COUNTIF(PROCESO!$A$6:A53,PROCESO!A54)&gt;0," (Ped."&amp;(COUNTIF(PROCESO!$A$6:A53,PROCESO!A54)+1)&amp;")",""),"")</f>
        <v/>
      </c>
      <c r="L42" s="130" t="str">
        <f aca="false">IF(PROCESO!D54&gt;0,"INGRESO (compra)","")</f>
        <v/>
      </c>
      <c r="M42" s="130" t="str">
        <f aca="false">IF(PROCESO!D54&gt;0,PROCESO!D54,"")</f>
        <v/>
      </c>
      <c r="N42" s="130" t="str">
        <f aca="false">""</f>
        <v/>
      </c>
      <c r="O42" s="130" t="str">
        <f aca="false">IF(PROCESO!D54&gt;0,PROCESO!B54&amp;" sacos x "&amp;PROCESO!C54&amp;" kg","")</f>
        <v/>
      </c>
      <c r="P42" s="130" t="n">
        <f aca="false">P41+N(M42)-N(N42)</f>
        <v>2897</v>
      </c>
      <c r="Q42" s="130"/>
      <c r="R42" s="130"/>
      <c r="S42" s="130"/>
      <c r="T42" s="130"/>
    </row>
    <row r="43" customFormat="false" ht="15" hidden="false" customHeight="false" outlineLevel="0" collapsed="false">
      <c r="A43" s="135" t="str">
        <f aca="false">IFERROR(INDEX(K$6:K$201,MATCH(ROW()-5,J$6:J$201,0)),"")</f>
        <v>MIE 22-07</v>
      </c>
      <c r="B43" s="135" t="str">
        <f aca="false">IFERROR(INDEX(L$6:L$201,MATCH(ROW()-5,J$6:J$201,0)),"")</f>
        <v>REPROCESO (devolución)</v>
      </c>
      <c r="C43" s="136" t="n">
        <f aca="false">IFERROR(INDEX(M$6:M$201,MATCH(ROW()-5,J$6:J$201,0)),"")</f>
        <v>162</v>
      </c>
      <c r="D43" s="136" t="str">
        <f aca="false">IFERROR(INDEX(N$6:N$201,MATCH(ROW()-5,J$6:J$201,0)),"")</f>
        <v/>
      </c>
      <c r="E43" s="135" t="str">
        <f aca="false">IFERROR(INDEX(O$6:O$201,MATCH(ROW()-5,J$6:J$201,0)),"")</f>
        <v>10 jabas devueltas · merma +6 kg</v>
      </c>
      <c r="F43" s="136" t="n">
        <f aca="false">IFERROR(INDEX(P$6:P$201,MATCH(ROW()-5,J$6:J$201,0)),"")</f>
        <v>2852</v>
      </c>
      <c r="G43" s="130"/>
      <c r="H43" s="130"/>
      <c r="I43" s="130"/>
      <c r="J43" s="130" t="str">
        <f aca="false">IF(N(PROCESO!H58)&gt;0,COUNT(J$6:J42)+1,"")</f>
        <v/>
      </c>
      <c r="K43" s="130" t="str">
        <f aca="false">IF(N(PROCESO!H58)&gt;0,PROCESO!A54&amp;IF(COUNTIF(PROCESO!$A$6:A53,PROCESO!A54)&gt;0," (Ped."&amp;(COUNTIF(PROCESO!$A$6:A53,PROCESO!A54)+1)&amp;")",""),"")</f>
        <v/>
      </c>
      <c r="L43" s="130" t="str">
        <f aca="false">IF(N(PROCESO!H58)&gt;0,"CHANCHO (proceso)","")</f>
        <v/>
      </c>
      <c r="M43" s="130" t="str">
        <f aca="false">""</f>
        <v/>
      </c>
      <c r="N43" s="130" t="str">
        <f aca="false">IF(N(PROCESO!H58)&gt;0,N(PROCESO!H58),"")</f>
        <v/>
      </c>
      <c r="O43" s="130" t="str">
        <f aca="false">IF(N(PROCESO!H58)&gt;0,PROCESO!G58&amp;" sacos x 95 kg","")</f>
        <v/>
      </c>
      <c r="P43" s="130" t="n">
        <f aca="false">P42+N(M43)-N(N43)</f>
        <v>2897</v>
      </c>
      <c r="Q43" s="130"/>
      <c r="R43" s="130"/>
      <c r="S43" s="130"/>
      <c r="T43" s="130"/>
    </row>
    <row r="44" customFormat="false" ht="15" hidden="false" customHeight="false" outlineLevel="0" collapsed="false">
      <c r="A44" s="135" t="str">
        <f aca="false">IFERROR(INDEX(K$6:K$201,MATCH(ROW()-5,J$6:J$201,0)),"")</f>
        <v>MIE 22-07 (Ped.2)</v>
      </c>
      <c r="B44" s="135" t="str">
        <f aca="false">IFERROR(INDEX(L$6:L$201,MATCH(ROW()-5,J$6:J$201,0)),"")</f>
        <v>INGRESO (compra)</v>
      </c>
      <c r="C44" s="136" t="n">
        <f aca="false">IFERROR(INDEX(M$6:M$201,MATCH(ROW()-5,J$6:J$201,0)),"")</f>
        <v>3800</v>
      </c>
      <c r="D44" s="136" t="str">
        <f aca="false">IFERROR(INDEX(N$6:N$201,MATCH(ROW()-5,J$6:J$201,0)),"")</f>
        <v/>
      </c>
      <c r="E44" s="135" t="str">
        <f aca="false">IFERROR(INDEX(O$6:O$201,MATCH(ROW()-5,J$6:J$201,0)),"")</f>
        <v>40 sacos x 95 kg</v>
      </c>
      <c r="F44" s="136" t="n">
        <f aca="false">IFERROR(INDEX(P$6:P$201,MATCH(ROW()-5,J$6:J$201,0)),"")</f>
        <v>6652</v>
      </c>
      <c r="G44" s="130"/>
      <c r="H44" s="130"/>
      <c r="I44" s="130"/>
      <c r="J44" s="130" t="str">
        <f aca="false">IF(N(PROCESO!H59)&gt;0,COUNT(J$6:J43)+1,"")</f>
        <v/>
      </c>
      <c r="K44" s="130" t="str">
        <f aca="false">IF(N(PROCESO!H59)&gt;0,PROCESO!A54&amp;IF(COUNTIF(PROCESO!$A$6:A53,PROCESO!A54)&gt;0," (Ped."&amp;(COUNTIF(PROCESO!$A$6:A53,PROCESO!A54)+1)&amp;")",""),"")</f>
        <v/>
      </c>
      <c r="L44" s="130" t="str">
        <f aca="false">IF(N(PROCESO!H59)&gt;0,"MALOGRADO","")</f>
        <v/>
      </c>
      <c r="M44" s="130" t="str">
        <f aca="false">""</f>
        <v/>
      </c>
      <c r="N44" s="130" t="str">
        <f aca="false">IF(N(PROCESO!H59)&gt;0,N(PROCESO!H59),"")</f>
        <v/>
      </c>
      <c r="O44" s="130" t="str">
        <f aca="false">""</f>
        <v/>
      </c>
      <c r="P44" s="130" t="n">
        <f aca="false">P43+N(M44)-N(N44)</f>
        <v>2897</v>
      </c>
      <c r="Q44" s="130"/>
      <c r="R44" s="130"/>
      <c r="S44" s="130"/>
      <c r="T44" s="130"/>
    </row>
    <row r="45" customFormat="false" ht="15" hidden="false" customHeight="false" outlineLevel="0" collapsed="false">
      <c r="A45" s="135" t="str">
        <f aca="false">IFERROR(INDEX(K$6:K$201,MATCH(ROW()-5,J$6:J$201,0)),"")</f>
        <v>MIE 22-07 (Ped.2)</v>
      </c>
      <c r="B45" s="135" t="str">
        <f aca="false">IFERROR(INDEX(L$6:L$201,MATCH(ROW()-5,J$6:J$201,0)),"")</f>
        <v>CHANCHO (proceso)</v>
      </c>
      <c r="C45" s="136" t="str">
        <f aca="false">IFERROR(INDEX(M$6:M$201,MATCH(ROW()-5,J$6:J$201,0)),"")</f>
        <v/>
      </c>
      <c r="D45" s="136" t="n">
        <f aca="false">IFERROR(INDEX(N$6:N$201,MATCH(ROW()-5,J$6:J$201,0)),"")</f>
        <v>617.5</v>
      </c>
      <c r="E45" s="135" t="str">
        <f aca="false">IFERROR(INDEX(O$6:O$201,MATCH(ROW()-5,J$6:J$201,0)),"")</f>
        <v>6.5 sacos x 95 kg</v>
      </c>
      <c r="F45" s="136" t="n">
        <f aca="false">IFERROR(INDEX(P$6:P$201,MATCH(ROW()-5,J$6:J$201,0)),"")</f>
        <v>6034.5</v>
      </c>
      <c r="G45" s="130"/>
      <c r="H45" s="130"/>
      <c r="I45" s="130"/>
      <c r="J45" s="130" t="n">
        <f aca="false">IF(IF(PROCESO!J54&lt;&gt;"",PROCESO!J54,IF(PROCESO!J55&lt;&gt;"",PROCESO!J55,IF(PROCESO!J56&lt;&gt;"",PROCESO!J56,IF(PROCESO!J57&lt;&gt;"",PROCESO!J57,""))))&lt;&gt;"",COUNT(J$6:J44)+1,"")</f>
        <v>22</v>
      </c>
      <c r="K45" s="130" t="str">
        <f aca="false">IF(IF(PROCESO!J54&lt;&gt;"",PROCESO!J54,IF(PROCESO!J55&lt;&gt;"",PROCESO!J55,IF(PROCESO!J56&lt;&gt;"",PROCESO!J56,IF(PROCESO!J57&lt;&gt;"",PROCESO!J57,""))))&lt;&gt;"",PROCESO!A54&amp;IF(COUNTIF(PROCESO!$A$6:A53,PROCESO!A54)&gt;0," (Ped."&amp;(COUNTIF(PROCESO!$A$6:A53,PROCESO!A54)+1)&amp;")",""),"")</f>
        <v>SAB 18-07</v>
      </c>
      <c r="L45" s="130" t="str">
        <f aca="false">IF(IF(PROCESO!J54&lt;&gt;"",PROCESO!J54,IF(PROCESO!J55&lt;&gt;"",PROCESO!J55,IF(PROCESO!J56&lt;&gt;"",PROCESO!J56,IF(PROCESO!J57&lt;&gt;"",PROCESO!J57,""))))&lt;&gt;"","ENVÍO Guía "&amp;IF(LEFT(IF(PROCESO!J54&lt;&gt;"",PROCESO!J54,IF(PROCESO!J55&lt;&gt;"",PROCESO!J55,IF(PROCESO!J56&lt;&gt;"",PROCESO!J56,IF(PROCESO!J57&lt;&gt;"",PROCESO!J57,"")))),2)="G-",MID(IF(PROCESO!J54&lt;&gt;"",PROCESO!J54,IF(PROCESO!J55&lt;&gt;"",PROCESO!J55,IF(PROCESO!J56&lt;&gt;"",PROCESO!J56,IF(PROCESO!J57&lt;&gt;"",PROCESO!J57,"")))),3,99),IF(PROCESO!J54&lt;&gt;"",PROCESO!J54,IF(PROCESO!J55&lt;&gt;"",PROCESO!J55,IF(PROCESO!J56&lt;&gt;"",PROCESO!J56,IF(PROCESO!J57&lt;&gt;"",PROCESO!J57,""))))),"")</f>
        <v>ENVÍO Guía 2996</v>
      </c>
      <c r="M45" s="130" t="str">
        <f aca="false">""</f>
        <v/>
      </c>
      <c r="N45" s="130" t="n">
        <f aca="false">IF(IF(PROCESO!J54&lt;&gt;"",PROCESO!J54,IF(PROCESO!J55&lt;&gt;"",PROCESO!J55,IF(PROCESO!J56&lt;&gt;"",PROCESO!J56,IF(PROCESO!J57&lt;&gt;"",PROCESO!J57,""))))&lt;&gt;"",SUMIF(PROCESO!J54:J57,IF(PROCESO!J54&lt;&gt;"",PROCESO!J54,IF(PROCESO!J55&lt;&gt;"",PROCESO!J55,IF(PROCESO!J56&lt;&gt;"",PROCESO!J56,IF(PROCESO!J57&lt;&gt;"",PROCESO!J57,"")))),PROCESO!L54:L57),"")</f>
        <v>3168</v>
      </c>
      <c r="O45" s="130" t="str">
        <f aca="false">IF(IF(PROCESO!J54&lt;&gt;"",PROCESO!J54,IF(PROCESO!J55&lt;&gt;"",PROCESO!J55,IF(PROCESO!J56&lt;&gt;"",PROCESO!J56,IF(PROCESO!J57&lt;&gt;"",PROCESO!J57,""))))&lt;&gt;"","G-"&amp;IF(LEFT(IF(PROCESO!J54&lt;&gt;"",PROCESO!J54,IF(PROCESO!J55&lt;&gt;"",PROCESO!J55,IF(PROCESO!J56&lt;&gt;"",PROCESO!J56,IF(PROCESO!J57&lt;&gt;"",PROCESO!J57,"")))),2)="G-",MID(IF(PROCESO!J54&lt;&gt;"",PROCESO!J54,IF(PROCESO!J55&lt;&gt;"",PROCESO!J55,IF(PROCESO!J56&lt;&gt;"",PROCESO!J56,IF(PROCESO!J57&lt;&gt;"",PROCESO!J57,"")))),3,99),IF(PROCESO!J54&lt;&gt;"",PROCESO!J54,IF(PROCESO!J55&lt;&gt;"",PROCESO!J55,IF(PROCESO!J56&lt;&gt;"",PROCESO!J56,IF(PROCESO!J57&lt;&gt;"",PROCESO!J57,""))))),"")</f>
        <v>G-2996</v>
      </c>
      <c r="P45" s="130" t="n">
        <f aca="false">P44+N(M45)-N(N45)</f>
        <v>-271</v>
      </c>
      <c r="Q45" s="130"/>
      <c r="R45" s="130"/>
      <c r="S45" s="130"/>
      <c r="T45" s="130"/>
    </row>
    <row r="46" customFormat="false" ht="15" hidden="false" customHeight="false" outlineLevel="0" collapsed="false">
      <c r="A46" s="135" t="str">
        <f aca="false">IFERROR(INDEX(K$6:K$201,MATCH(ROW()-5,J$6:J$201,0)),"")</f>
        <v>MIE 22-07 (Ped.2)</v>
      </c>
      <c r="B46" s="135" t="str">
        <f aca="false">IFERROR(INDEX(L$6:L$201,MATCH(ROW()-5,J$6:J$201,0)),"")</f>
        <v>ENVÍO Guía 3008</v>
      </c>
      <c r="C46" s="136" t="str">
        <f aca="false">IFERROR(INDEX(M$6:M$201,MATCH(ROW()-5,J$6:J$201,0)),"")</f>
        <v/>
      </c>
      <c r="D46" s="136" t="n">
        <f aca="false">IFERROR(INDEX(N$6:N$201,MATCH(ROW()-5,J$6:J$201,0)),"")</f>
        <v>3413</v>
      </c>
      <c r="E46" s="135" t="str">
        <f aca="false">IFERROR(INDEX(O$6:O$201,MATCH(ROW()-5,J$6:J$201,0)),"")</f>
        <v>G-3008</v>
      </c>
      <c r="F46" s="136" t="n">
        <f aca="false">IFERROR(INDEX(P$6:P$201,MATCH(ROW()-5,J$6:J$201,0)),"")</f>
        <v>2621.5</v>
      </c>
      <c r="G46" s="130"/>
      <c r="H46" s="130"/>
      <c r="I46" s="130"/>
      <c r="J46" s="130" t="str">
        <f aca="false">IF(OR(SUM(PROCESO!M54:M57)&gt;0,SUM(PROCESO!N54:N57)&gt;0),COUNT(J$6:J45)+1,"")</f>
        <v/>
      </c>
      <c r="K46" s="130" t="str">
        <f aca="false">IF(OR(SUM(PROCESO!M54:M57)&gt;0,SUM(PROCESO!N54:N57)&gt;0),PROCESO!A54&amp;IF(COUNTIF(PROCESO!$A$6:A53,PROCESO!A54)&gt;0," (Ped."&amp;(COUNTIF(PROCESO!$A$6:A53,PROCESO!A54)+1)&amp;")",""),"")</f>
        <v/>
      </c>
      <c r="L46" s="130" t="str">
        <f aca="false">IF(OR(SUM(PROCESO!M54:M57)&gt;0,SUM(PROCESO!N54:N57)&gt;0),"REPROCESO (devolución)","")</f>
        <v/>
      </c>
      <c r="M46" s="130" t="str">
        <f aca="false">IF(OR(SUM(PROCESO!M54:M57)&gt;0,SUM(PROCESO!N54:N57)&gt;0),SUM(PROCESO!N54:N57),"")</f>
        <v/>
      </c>
      <c r="N46" s="130" t="str">
        <f aca="false">""</f>
        <v/>
      </c>
      <c r="O46" s="130" t="str">
        <f aca="false">IF(OR(SUM(PROCESO!M54:M57)&gt;0,SUM(PROCESO!N54:N57)&gt;0),IF(SUM(PROCESO!M54:M57)&gt;0,SUM(PROCESO!M54:M57)&amp;" jabas devueltas · merma "&amp;TEXT((PROCESO!M54*15+PROCESO!M55*18+PROCESO!M56*17+PROCESO!M57*17)-SUM(PROCESO!N54:N57),"+#,##0;-#,##0;0")&amp;" kg",""),"")</f>
        <v/>
      </c>
      <c r="P46" s="130" t="n">
        <f aca="false">P45+N(M46)-N(N46)</f>
        <v>-271</v>
      </c>
      <c r="Q46" s="130"/>
      <c r="R46" s="130"/>
      <c r="S46" s="130"/>
      <c r="T46" s="130"/>
    </row>
    <row r="47" customFormat="false" ht="15" hidden="false" customHeight="false" outlineLevel="0" collapsed="false">
      <c r="A47" s="135" t="str">
        <f aca="false">IFERROR(INDEX(K$6:K$201,MATCH(ROW()-5,J$6:J$201,0)),"")</f>
        <v>JUE 24-7</v>
      </c>
      <c r="B47" s="135" t="str">
        <f aca="false">IFERROR(INDEX(L$6:L$201,MATCH(ROW()-5,J$6:J$201,0)),"")</f>
        <v>INGRESO (compra)</v>
      </c>
      <c r="C47" s="136" t="n">
        <f aca="false">IFERROR(INDEX(M$6:M$201,MATCH(ROW()-5,J$6:J$201,0)),"")</f>
        <v>6650</v>
      </c>
      <c r="D47" s="136" t="str">
        <f aca="false">IFERROR(INDEX(N$6:N$201,MATCH(ROW()-5,J$6:J$201,0)),"")</f>
        <v/>
      </c>
      <c r="E47" s="135" t="str">
        <f aca="false">IFERROR(INDEX(O$6:O$201,MATCH(ROW()-5,J$6:J$201,0)),"")</f>
        <v>70 sacos x 95 kg</v>
      </c>
      <c r="F47" s="136" t="n">
        <f aca="false">IFERROR(INDEX(P$6:P$201,MATCH(ROW()-5,J$6:J$201,0)),"")</f>
        <v>9271.5</v>
      </c>
      <c r="G47" s="130"/>
      <c r="H47" s="130"/>
      <c r="I47" s="130"/>
      <c r="J47" s="130" t="n">
        <f aca="false">IF(PROCESO!D60&gt;0,COUNT(J$6:J46)+1,"")</f>
        <v>23</v>
      </c>
      <c r="K47" s="130" t="str">
        <f aca="false">IF(PROCESO!D60&gt;0,PROCESO!A60&amp;IF(COUNTIF(PROCESO!$A$6:A59,PROCESO!A60)&gt;0," (Ped."&amp;(COUNTIF(PROCESO!$A$6:A59,PROCESO!A60)+1)&amp;")",""),"")</f>
        <v>DOM 19-07</v>
      </c>
      <c r="L47" s="130" t="str">
        <f aca="false">IF(PROCESO!D60&gt;0,"INGRESO (compra)","")</f>
        <v>INGRESO (compra)</v>
      </c>
      <c r="M47" s="137" t="n">
        <f aca="false">IF(PROCESO!D60&gt;0,PROCESO!D60,"")</f>
        <v>4750</v>
      </c>
      <c r="N47" s="130" t="str">
        <f aca="false">""</f>
        <v/>
      </c>
      <c r="O47" s="130" t="str">
        <f aca="false">IF(PROCESO!D60&gt;0,PROCESO!B60&amp;" sacos x "&amp;PROCESO!C60&amp;" kg","")</f>
        <v>50 sacos x 95 kg</v>
      </c>
      <c r="P47" s="130" t="n">
        <f aca="false">P46+N(M47)-N(N47)</f>
        <v>4479</v>
      </c>
      <c r="Q47" s="130"/>
      <c r="R47" s="130"/>
      <c r="S47" s="130"/>
      <c r="T47" s="130"/>
    </row>
    <row r="48" customFormat="false" ht="15" hidden="false" customHeight="false" outlineLevel="0" collapsed="false">
      <c r="A48" s="135" t="str">
        <f aca="false">IFERROR(INDEX(K$6:K$201,MATCH(ROW()-5,J$6:J$201,0)),"")</f>
        <v>JUE 24-7</v>
      </c>
      <c r="B48" s="135" t="str">
        <f aca="false">IFERROR(INDEX(L$6:L$201,MATCH(ROW()-5,J$6:J$201,0)),"")</f>
        <v>CHANCHO (proceso)</v>
      </c>
      <c r="C48" s="136" t="str">
        <f aca="false">IFERROR(INDEX(M$6:M$201,MATCH(ROW()-5,J$6:J$201,0)),"")</f>
        <v/>
      </c>
      <c r="D48" s="136" t="n">
        <f aca="false">IFERROR(INDEX(N$6:N$201,MATCH(ROW()-5,J$6:J$201,0)),"")</f>
        <v>570</v>
      </c>
      <c r="E48" s="135" t="str">
        <f aca="false">IFERROR(INDEX(O$6:O$201,MATCH(ROW()-5,J$6:J$201,0)),"")</f>
        <v>6 sacos x 95 kg</v>
      </c>
      <c r="F48" s="136" t="n">
        <f aca="false">IFERROR(INDEX(P$6:P$201,MATCH(ROW()-5,J$6:J$201,0)),"")</f>
        <v>8701.5</v>
      </c>
      <c r="G48" s="130"/>
      <c r="H48" s="130"/>
      <c r="I48" s="130"/>
      <c r="J48" s="130" t="n">
        <f aca="false">IF(N(PROCESO!H64)&gt;0,COUNT(J$6:J47)+1,"")</f>
        <v>24</v>
      </c>
      <c r="K48" s="130" t="str">
        <f aca="false">IF(N(PROCESO!H64)&gt;0,PROCESO!A60&amp;IF(COUNTIF(PROCESO!$A$6:A59,PROCESO!A60)&gt;0," (Ped."&amp;(COUNTIF(PROCESO!$A$6:A59,PROCESO!A60)+1)&amp;")",""),"")</f>
        <v>DOM 19-07</v>
      </c>
      <c r="L48" s="130" t="str">
        <f aca="false">IF(N(PROCESO!H64)&gt;0,"CHANCHO (proceso)","")</f>
        <v>CHANCHO (proceso)</v>
      </c>
      <c r="M48" s="130" t="str">
        <f aca="false">""</f>
        <v/>
      </c>
      <c r="N48" s="130" t="n">
        <f aca="false">IF(N(PROCESO!H64)&gt;0,N(PROCESO!H64),"")</f>
        <v>1282.5</v>
      </c>
      <c r="O48" s="130" t="str">
        <f aca="false">IF(N(PROCESO!H64)&gt;0,PROCESO!G64&amp;" sacos x 95 kg","")</f>
        <v>13.5 sacos x 95 kg</v>
      </c>
      <c r="P48" s="130" t="n">
        <f aca="false">P47+N(M48)-N(N48)</f>
        <v>3196.5</v>
      </c>
      <c r="Q48" s="130"/>
      <c r="R48" s="130"/>
      <c r="S48" s="130"/>
      <c r="T48" s="130"/>
    </row>
    <row r="49" customFormat="false" ht="15" hidden="false" customHeight="false" outlineLevel="0" collapsed="false">
      <c r="A49" s="135" t="str">
        <f aca="false">IFERROR(INDEX(K$6:K$201,MATCH(ROW()-5,J$6:J$201,0)),"")</f>
        <v>JUE 24-7</v>
      </c>
      <c r="B49" s="135" t="str">
        <f aca="false">IFERROR(INDEX(L$6:L$201,MATCH(ROW()-5,J$6:J$201,0)),"")</f>
        <v>ENVÍO Guía 3011</v>
      </c>
      <c r="C49" s="136" t="str">
        <f aca="false">IFERROR(INDEX(M$6:M$201,MATCH(ROW()-5,J$6:J$201,0)),"")</f>
        <v/>
      </c>
      <c r="D49" s="136" t="n">
        <f aca="false">IFERROR(INDEX(N$6:N$201,MATCH(ROW()-5,J$6:J$201,0)),"")</f>
        <v>3413</v>
      </c>
      <c r="E49" s="135" t="str">
        <f aca="false">IFERROR(INDEX(O$6:O$201,MATCH(ROW()-5,J$6:J$201,0)),"")</f>
        <v>G-3011</v>
      </c>
      <c r="F49" s="136" t="n">
        <f aca="false">IFERROR(INDEX(P$6:P$201,MATCH(ROW()-5,J$6:J$201,0)),"")</f>
        <v>5288.5</v>
      </c>
      <c r="G49" s="130"/>
      <c r="H49" s="130"/>
      <c r="I49" s="130"/>
      <c r="J49" s="130" t="str">
        <f aca="false">IF(N(PROCESO!H65)&gt;0,COUNT(J$6:J48)+1,"")</f>
        <v/>
      </c>
      <c r="K49" s="130" t="str">
        <f aca="false">IF(N(PROCESO!H65)&gt;0,PROCESO!A60&amp;IF(COUNTIF(PROCESO!$A$6:A59,PROCESO!A60)&gt;0," (Ped."&amp;(COUNTIF(PROCESO!$A$6:A59,PROCESO!A60)+1)&amp;")",""),"")</f>
        <v/>
      </c>
      <c r="L49" s="130" t="str">
        <f aca="false">IF(N(PROCESO!H65)&gt;0,"MALOGRADO","")</f>
        <v/>
      </c>
      <c r="M49" s="130" t="str">
        <f aca="false">""</f>
        <v/>
      </c>
      <c r="N49" s="130" t="str">
        <f aca="false">IF(N(PROCESO!H65)&gt;0,N(PROCESO!H65),"")</f>
        <v/>
      </c>
      <c r="O49" s="130" t="str">
        <f aca="false">""</f>
        <v/>
      </c>
      <c r="P49" s="130" t="n">
        <f aca="false">P48+N(M49)-N(N49)</f>
        <v>3196.5</v>
      </c>
      <c r="Q49" s="130"/>
      <c r="R49" s="130"/>
      <c r="S49" s="130"/>
      <c r="T49" s="130"/>
    </row>
    <row r="50" customFormat="false" ht="15" hidden="false" customHeight="false" outlineLevel="0" collapsed="false">
      <c r="A50" s="135" t="str">
        <f aca="false">IFERROR(INDEX(K$6:K$201,MATCH(ROW()-5,J$6:J$201,0)),"")</f>
        <v/>
      </c>
      <c r="B50" s="135" t="str">
        <f aca="false">IFERROR(INDEX(L$6:L$201,MATCH(ROW()-5,J$6:J$201,0)),"")</f>
        <v/>
      </c>
      <c r="C50" s="136" t="str">
        <f aca="false">IFERROR(INDEX(M$6:M$201,MATCH(ROW()-5,J$6:J$201,0)),"")</f>
        <v/>
      </c>
      <c r="D50" s="136" t="str">
        <f aca="false">IFERROR(INDEX(N$6:N$201,MATCH(ROW()-5,J$6:J$201,0)),"")</f>
        <v/>
      </c>
      <c r="E50" s="135" t="str">
        <f aca="false">IFERROR(INDEX(O$6:O$201,MATCH(ROW()-5,J$6:J$201,0)),"")</f>
        <v/>
      </c>
      <c r="F50" s="136" t="str">
        <f aca="false">IFERROR(INDEX(P$6:P$201,MATCH(ROW()-5,J$6:J$201,0)),"")</f>
        <v/>
      </c>
      <c r="G50" s="130"/>
      <c r="H50" s="130"/>
      <c r="I50" s="130"/>
      <c r="J50" s="130" t="n">
        <f aca="false">IF(IF(PROCESO!J60&lt;&gt;"",PROCESO!J60,IF(PROCESO!J61&lt;&gt;"",PROCESO!J61,IF(PROCESO!J62&lt;&gt;"",PROCESO!J62,IF(PROCESO!J63&lt;&gt;"",PROCESO!J63,""))))&lt;&gt;"",COUNT(J$6:J49)+1,"")</f>
        <v>25</v>
      </c>
      <c r="K50" s="130" t="str">
        <f aca="false">IF(IF(PROCESO!J60&lt;&gt;"",PROCESO!J60,IF(PROCESO!J61&lt;&gt;"",PROCESO!J61,IF(PROCESO!J62&lt;&gt;"",PROCESO!J62,IF(PROCESO!J63&lt;&gt;"",PROCESO!J63,""))))&lt;&gt;"",PROCESO!A60&amp;IF(COUNTIF(PROCESO!$A$6:A59,PROCESO!A60)&gt;0," (Ped."&amp;(COUNTIF(PROCESO!$A$6:A59,PROCESO!A60)+1)&amp;")",""),"")</f>
        <v>DOM 19-07</v>
      </c>
      <c r="L50" s="130" t="str">
        <f aca="false">IF(IF(PROCESO!J60&lt;&gt;"",PROCESO!J60,IF(PROCESO!J61&lt;&gt;"",PROCESO!J61,IF(PROCESO!J62&lt;&gt;"",PROCESO!J62,IF(PROCESO!J63&lt;&gt;"",PROCESO!J63,""))))&lt;&gt;"","ENVÍO Guía "&amp;IF(LEFT(IF(PROCESO!J60&lt;&gt;"",PROCESO!J60,IF(PROCESO!J61&lt;&gt;"",PROCESO!J61,IF(PROCESO!J62&lt;&gt;"",PROCESO!J62,IF(PROCESO!J63&lt;&gt;"",PROCESO!J63,"")))),2)="G-",MID(IF(PROCESO!J60&lt;&gt;"",PROCESO!J60,IF(PROCESO!J61&lt;&gt;"",PROCESO!J61,IF(PROCESO!J62&lt;&gt;"",PROCESO!J62,IF(PROCESO!J63&lt;&gt;"",PROCESO!J63,"")))),3,99),IF(PROCESO!J60&lt;&gt;"",PROCESO!J60,IF(PROCESO!J61&lt;&gt;"",PROCESO!J61,IF(PROCESO!J62&lt;&gt;"",PROCESO!J62,IF(PROCESO!J63&lt;&gt;"",PROCESO!J63,""))))),"")</f>
        <v>ENVÍO Guía 2998</v>
      </c>
      <c r="M50" s="130" t="str">
        <f aca="false">""</f>
        <v/>
      </c>
      <c r="N50" s="130" t="n">
        <f aca="false">IF(IF(PROCESO!J60&lt;&gt;"",PROCESO!J60,IF(PROCESO!J61&lt;&gt;"",PROCESO!J61,IF(PROCESO!J62&lt;&gt;"",PROCESO!J62,IF(PROCESO!J63&lt;&gt;"",PROCESO!J63,""))))&lt;&gt;"",SUMIF(PROCESO!J60:J63,IF(PROCESO!J60&lt;&gt;"",PROCESO!J60,IF(PROCESO!J61&lt;&gt;"",PROCESO!J61,IF(PROCESO!J62&lt;&gt;"",PROCESO!J62,IF(PROCESO!J63&lt;&gt;"",PROCESO!J63,"")))),PROCESO!L60:L63),"")</f>
        <v>1883</v>
      </c>
      <c r="O50" s="130" t="str">
        <f aca="false">IF(IF(PROCESO!J60&lt;&gt;"",PROCESO!J60,IF(PROCESO!J61&lt;&gt;"",PROCESO!J61,IF(PROCESO!J62&lt;&gt;"",PROCESO!J62,IF(PROCESO!J63&lt;&gt;"",PROCESO!J63,""))))&lt;&gt;"","G-"&amp;IF(LEFT(IF(PROCESO!J60&lt;&gt;"",PROCESO!J60,IF(PROCESO!J61&lt;&gt;"",PROCESO!J61,IF(PROCESO!J62&lt;&gt;"",PROCESO!J62,IF(PROCESO!J63&lt;&gt;"",PROCESO!J63,"")))),2)="G-",MID(IF(PROCESO!J60&lt;&gt;"",PROCESO!J60,IF(PROCESO!J61&lt;&gt;"",PROCESO!J61,IF(PROCESO!J62&lt;&gt;"",PROCESO!J62,IF(PROCESO!J63&lt;&gt;"",PROCESO!J63,"")))),3,99),IF(PROCESO!J60&lt;&gt;"",PROCESO!J60,IF(PROCESO!J61&lt;&gt;"",PROCESO!J61,IF(PROCESO!J62&lt;&gt;"",PROCESO!J62,IF(PROCESO!J63&lt;&gt;"",PROCESO!J63,""))))),"")</f>
        <v>G-2998</v>
      </c>
      <c r="P50" s="130" t="n">
        <f aca="false">P49+N(M50)-N(N50)</f>
        <v>1313.5</v>
      </c>
      <c r="Q50" s="130"/>
      <c r="R50" s="130"/>
      <c r="S50" s="130"/>
      <c r="T50" s="130"/>
    </row>
    <row r="51" customFormat="false" ht="15" hidden="false" customHeight="false" outlineLevel="0" collapsed="false">
      <c r="A51" s="135" t="str">
        <f aca="false">IFERROR(INDEX(K$6:K$201,MATCH(ROW()-5,J$6:J$201,0)),"")</f>
        <v/>
      </c>
      <c r="B51" s="135" t="str">
        <f aca="false">IFERROR(INDEX(L$6:L$201,MATCH(ROW()-5,J$6:J$201,0)),"")</f>
        <v/>
      </c>
      <c r="C51" s="136" t="str">
        <f aca="false">IFERROR(INDEX(M$6:M$201,MATCH(ROW()-5,J$6:J$201,0)),"")</f>
        <v/>
      </c>
      <c r="D51" s="136" t="str">
        <f aca="false">IFERROR(INDEX(N$6:N$201,MATCH(ROW()-5,J$6:J$201,0)),"")</f>
        <v/>
      </c>
      <c r="E51" s="135" t="str">
        <f aca="false">IFERROR(INDEX(O$6:O$201,MATCH(ROW()-5,J$6:J$201,0)),"")</f>
        <v/>
      </c>
      <c r="F51" s="136" t="str">
        <f aca="false">IFERROR(INDEX(P$6:P$201,MATCH(ROW()-5,J$6:J$201,0)),"")</f>
        <v/>
      </c>
      <c r="G51" s="130"/>
      <c r="H51" s="130"/>
      <c r="I51" s="130"/>
      <c r="J51" s="130" t="str">
        <f aca="false">IF(OR(SUM(PROCESO!M60:M63)&gt;0,SUM(PROCESO!N60:N63)&gt;0),COUNT(J$6:J50)+1,"")</f>
        <v/>
      </c>
      <c r="K51" s="130" t="str">
        <f aca="false">IF(OR(SUM(PROCESO!M60:M63)&gt;0,SUM(PROCESO!N60:N63)&gt;0),PROCESO!A60&amp;IF(COUNTIF(PROCESO!$A$6:A59,PROCESO!A60)&gt;0," (Ped."&amp;(COUNTIF(PROCESO!$A$6:A59,PROCESO!A60)+1)&amp;")",""),"")</f>
        <v/>
      </c>
      <c r="L51" s="130" t="str">
        <f aca="false">IF(OR(SUM(PROCESO!M60:M63)&gt;0,SUM(PROCESO!N60:N63)&gt;0),"REPROCESO (devolución)","")</f>
        <v/>
      </c>
      <c r="M51" s="130" t="str">
        <f aca="false">IF(OR(SUM(PROCESO!M60:M63)&gt;0,SUM(PROCESO!N60:N63)&gt;0),SUM(PROCESO!N60:N63),"")</f>
        <v/>
      </c>
      <c r="N51" s="130" t="str">
        <f aca="false">""</f>
        <v/>
      </c>
      <c r="O51" s="130" t="str">
        <f aca="false">IF(OR(SUM(PROCESO!M60:M63)&gt;0,SUM(PROCESO!N60:N63)&gt;0),IF(SUM(PROCESO!M60:M63)&gt;0,SUM(PROCESO!M60:M63)&amp;" jabas devueltas · merma "&amp;TEXT((PROCESO!M60*15+PROCESO!M61*18+PROCESO!M62*17+PROCESO!M63*17)-SUM(PROCESO!N60:N63),"+#,##0;-#,##0;0")&amp;" kg",""),"")</f>
        <v/>
      </c>
      <c r="P51" s="130" t="n">
        <f aca="false">P50+N(M51)-N(N51)</f>
        <v>1313.5</v>
      </c>
      <c r="Q51" s="130"/>
      <c r="R51" s="130"/>
      <c r="S51" s="130"/>
      <c r="T51" s="130"/>
    </row>
    <row r="52" customFormat="false" ht="15" hidden="false" customHeight="false" outlineLevel="0" collapsed="false">
      <c r="A52" s="135" t="str">
        <f aca="false">IFERROR(INDEX(K$6:K$201,MATCH(ROW()-5,J$6:J$201,0)),"")</f>
        <v/>
      </c>
      <c r="B52" s="135" t="str">
        <f aca="false">IFERROR(INDEX(L$6:L$201,MATCH(ROW()-5,J$6:J$201,0)),"")</f>
        <v/>
      </c>
      <c r="C52" s="136" t="str">
        <f aca="false">IFERROR(INDEX(M$6:M$201,MATCH(ROW()-5,J$6:J$201,0)),"")</f>
        <v/>
      </c>
      <c r="D52" s="136" t="str">
        <f aca="false">IFERROR(INDEX(N$6:N$201,MATCH(ROW()-5,J$6:J$201,0)),"")</f>
        <v/>
      </c>
      <c r="E52" s="135" t="str">
        <f aca="false">IFERROR(INDEX(O$6:O$201,MATCH(ROW()-5,J$6:J$201,0)),"")</f>
        <v/>
      </c>
      <c r="F52" s="136" t="str">
        <f aca="false">IFERROR(INDEX(P$6:P$201,MATCH(ROW()-5,J$6:J$201,0)),"")</f>
        <v/>
      </c>
      <c r="G52" s="130"/>
      <c r="H52" s="130"/>
      <c r="I52" s="130"/>
      <c r="J52" s="130" t="n">
        <f aca="false">IF(PROCESO!D66&gt;0,COUNT(J$6:J51)+1,"")</f>
        <v>26</v>
      </c>
      <c r="K52" s="130" t="str">
        <f aca="false">IF(PROCESO!D66&gt;0,PROCESO!A66&amp;IF(COUNTIF(PROCESO!$A$6:A65,PROCESO!A66)&gt;0," (Ped."&amp;(COUNTIF(PROCESO!$A$6:A65,PROCESO!A66)+1)&amp;")",""),"")</f>
        <v>LUN 20-07</v>
      </c>
      <c r="L52" s="130" t="str">
        <f aca="false">IF(PROCESO!D66&gt;0,"INGRESO (compra)","")</f>
        <v>INGRESO (compra)</v>
      </c>
      <c r="M52" s="137" t="n">
        <f aca="false">IF(PROCESO!D66&gt;0,PROCESO!D66,"")</f>
        <v>4560</v>
      </c>
      <c r="N52" s="130" t="str">
        <f aca="false">""</f>
        <v/>
      </c>
      <c r="O52" s="130" t="str">
        <f aca="false">IF(PROCESO!D66&gt;0,PROCESO!B66&amp;" sacos x "&amp;PROCESO!C66&amp;" kg","")</f>
        <v>48 sacos x 95 kg</v>
      </c>
      <c r="P52" s="130" t="n">
        <f aca="false">P51+N(M52)-N(N52)</f>
        <v>5873.5</v>
      </c>
      <c r="Q52" s="130"/>
      <c r="R52" s="130"/>
      <c r="S52" s="130"/>
      <c r="T52" s="130"/>
    </row>
    <row r="53" customFormat="false" ht="15" hidden="false" customHeight="false" outlineLevel="0" collapsed="false">
      <c r="A53" s="135" t="str">
        <f aca="false">IFERROR(INDEX(K$6:K$201,MATCH(ROW()-5,J$6:J$201,0)),"")</f>
        <v/>
      </c>
      <c r="B53" s="135" t="str">
        <f aca="false">IFERROR(INDEX(L$6:L$201,MATCH(ROW()-5,J$6:J$201,0)),"")</f>
        <v/>
      </c>
      <c r="C53" s="136" t="str">
        <f aca="false">IFERROR(INDEX(M$6:M$201,MATCH(ROW()-5,J$6:J$201,0)),"")</f>
        <v/>
      </c>
      <c r="D53" s="136" t="str">
        <f aca="false">IFERROR(INDEX(N$6:N$201,MATCH(ROW()-5,J$6:J$201,0)),"")</f>
        <v/>
      </c>
      <c r="E53" s="135" t="str">
        <f aca="false">IFERROR(INDEX(O$6:O$201,MATCH(ROW()-5,J$6:J$201,0)),"")</f>
        <v/>
      </c>
      <c r="F53" s="136" t="str">
        <f aca="false">IFERROR(INDEX(P$6:P$201,MATCH(ROW()-5,J$6:J$201,0)),"")</f>
        <v/>
      </c>
      <c r="G53" s="130"/>
      <c r="H53" s="130"/>
      <c r="I53" s="130"/>
      <c r="J53" s="130" t="n">
        <f aca="false">IF(N(PROCESO!H70)&gt;0,COUNT(J$6:J52)+1,"")</f>
        <v>27</v>
      </c>
      <c r="K53" s="130" t="str">
        <f aca="false">IF(N(PROCESO!H70)&gt;0,PROCESO!A66&amp;IF(COUNTIF(PROCESO!$A$6:A65,PROCESO!A66)&gt;0," (Ped."&amp;(COUNTIF(PROCESO!$A$6:A65,PROCESO!A66)+1)&amp;")",""),"")</f>
        <v>LUN 20-07</v>
      </c>
      <c r="L53" s="130" t="str">
        <f aca="false">IF(N(PROCESO!H70)&gt;0,"CHANCHO (proceso)","")</f>
        <v>CHANCHO (proceso)</v>
      </c>
      <c r="M53" s="130" t="str">
        <f aca="false">""</f>
        <v/>
      </c>
      <c r="N53" s="130" t="n">
        <f aca="false">IF(N(PROCESO!H70)&gt;0,N(PROCESO!H70),"")</f>
        <v>617.5</v>
      </c>
      <c r="O53" s="130" t="str">
        <f aca="false">IF(N(PROCESO!H70)&gt;0,PROCESO!G70&amp;" sacos x 95 kg","")</f>
        <v>6.5 sacos x 95 kg</v>
      </c>
      <c r="P53" s="130" t="n">
        <f aca="false">P52+N(M53)-N(N53)</f>
        <v>5256</v>
      </c>
      <c r="Q53" s="130"/>
      <c r="R53" s="130"/>
      <c r="S53" s="130"/>
      <c r="T53" s="130"/>
    </row>
    <row r="54" customFormat="false" ht="15" hidden="false" customHeight="false" outlineLevel="0" collapsed="false">
      <c r="A54" s="135" t="str">
        <f aca="false">IFERROR(INDEX(K$6:K$201,MATCH(ROW()-5,J$6:J$201,0)),"")</f>
        <v/>
      </c>
      <c r="B54" s="135" t="str">
        <f aca="false">IFERROR(INDEX(L$6:L$201,MATCH(ROW()-5,J$6:J$201,0)),"")</f>
        <v/>
      </c>
      <c r="C54" s="136" t="str">
        <f aca="false">IFERROR(INDEX(M$6:M$201,MATCH(ROW()-5,J$6:J$201,0)),"")</f>
        <v/>
      </c>
      <c r="D54" s="136" t="str">
        <f aca="false">IFERROR(INDEX(N$6:N$201,MATCH(ROW()-5,J$6:J$201,0)),"")</f>
        <v/>
      </c>
      <c r="E54" s="135" t="str">
        <f aca="false">IFERROR(INDEX(O$6:O$201,MATCH(ROW()-5,J$6:J$201,0)),"")</f>
        <v/>
      </c>
      <c r="F54" s="136" t="str">
        <f aca="false">IFERROR(INDEX(P$6:P$201,MATCH(ROW()-5,J$6:J$201,0)),"")</f>
        <v/>
      </c>
      <c r="G54" s="130"/>
      <c r="H54" s="130"/>
      <c r="I54" s="130"/>
      <c r="J54" s="130" t="str">
        <f aca="false">IF(N(PROCESO!H71)&gt;0,COUNT(J$6:J53)+1,"")</f>
        <v/>
      </c>
      <c r="K54" s="130" t="str">
        <f aca="false">IF(N(PROCESO!H71)&gt;0,PROCESO!A66&amp;IF(COUNTIF(PROCESO!$A$6:A65,PROCESO!A66)&gt;0," (Ped."&amp;(COUNTIF(PROCESO!$A$6:A65,PROCESO!A66)+1)&amp;")",""),"")</f>
        <v/>
      </c>
      <c r="L54" s="130" t="str">
        <f aca="false">IF(N(PROCESO!H71)&gt;0,"MALOGRADO","")</f>
        <v/>
      </c>
      <c r="M54" s="130" t="str">
        <f aca="false">""</f>
        <v/>
      </c>
      <c r="N54" s="130" t="str">
        <f aca="false">IF(N(PROCESO!H71)&gt;0,N(PROCESO!H71),"")</f>
        <v/>
      </c>
      <c r="O54" s="130" t="str">
        <f aca="false">""</f>
        <v/>
      </c>
      <c r="P54" s="130" t="n">
        <f aca="false">P53+N(M54)-N(N54)</f>
        <v>5256</v>
      </c>
      <c r="Q54" s="130"/>
      <c r="R54" s="130"/>
      <c r="S54" s="130"/>
      <c r="T54" s="130"/>
    </row>
    <row r="55" customFormat="false" ht="15" hidden="false" customHeight="false" outlineLevel="0" collapsed="false">
      <c r="A55" s="135" t="str">
        <f aca="false">IFERROR(INDEX(K$6:K$201,MATCH(ROW()-5,J$6:J$201,0)),"")</f>
        <v/>
      </c>
      <c r="B55" s="135" t="str">
        <f aca="false">IFERROR(INDEX(L$6:L$201,MATCH(ROW()-5,J$6:J$201,0)),"")</f>
        <v/>
      </c>
      <c r="C55" s="136" t="str">
        <f aca="false">IFERROR(INDEX(M$6:M$201,MATCH(ROW()-5,J$6:J$201,0)),"")</f>
        <v/>
      </c>
      <c r="D55" s="136" t="str">
        <f aca="false">IFERROR(INDEX(N$6:N$201,MATCH(ROW()-5,J$6:J$201,0)),"")</f>
        <v/>
      </c>
      <c r="E55" s="135" t="str">
        <f aca="false">IFERROR(INDEX(O$6:O$201,MATCH(ROW()-5,J$6:J$201,0)),"")</f>
        <v/>
      </c>
      <c r="F55" s="136" t="str">
        <f aca="false">IFERROR(INDEX(P$6:P$201,MATCH(ROW()-5,J$6:J$201,0)),"")</f>
        <v/>
      </c>
      <c r="G55" s="130"/>
      <c r="H55" s="130"/>
      <c r="I55" s="130"/>
      <c r="J55" s="130" t="n">
        <f aca="false">IF(IF(PROCESO!J66&lt;&gt;"",PROCESO!J66,IF(PROCESO!J67&lt;&gt;"",PROCESO!J67,IF(PROCESO!J68&lt;&gt;"",PROCESO!J68,IF(PROCESO!J69&lt;&gt;"",PROCESO!J69,""))))&lt;&gt;"",COUNT(J$6:J54)+1,"")</f>
        <v>28</v>
      </c>
      <c r="K55" s="130" t="str">
        <f aca="false">IF(IF(PROCESO!J66&lt;&gt;"",PROCESO!J66,IF(PROCESO!J67&lt;&gt;"",PROCESO!J67,IF(PROCESO!J68&lt;&gt;"",PROCESO!J68,IF(PROCESO!J69&lt;&gt;"",PROCESO!J69,""))))&lt;&gt;"",PROCESO!A66&amp;IF(COUNTIF(PROCESO!$A$6:A65,PROCESO!A66)&gt;0," (Ped."&amp;(COUNTIF(PROCESO!$A$6:A65,PROCESO!A66)+1)&amp;")",""),"")</f>
        <v>LUN 20-07</v>
      </c>
      <c r="L55" s="130" t="str">
        <f aca="false">IF(IF(PROCESO!J66&lt;&gt;"",PROCESO!J66,IF(PROCESO!J67&lt;&gt;"",PROCESO!J67,IF(PROCESO!J68&lt;&gt;"",PROCESO!J68,IF(PROCESO!J69&lt;&gt;"",PROCESO!J69,""))))&lt;&gt;"","ENVÍO Guía "&amp;IF(LEFT(IF(PROCESO!J66&lt;&gt;"",PROCESO!J66,IF(PROCESO!J67&lt;&gt;"",PROCESO!J67,IF(PROCESO!J68&lt;&gt;"",PROCESO!J68,IF(PROCESO!J69&lt;&gt;"",PROCESO!J69,"")))),2)="G-",MID(IF(PROCESO!J66&lt;&gt;"",PROCESO!J66,IF(PROCESO!J67&lt;&gt;"",PROCESO!J67,IF(PROCESO!J68&lt;&gt;"",PROCESO!J68,IF(PROCESO!J69&lt;&gt;"",PROCESO!J69,"")))),3,99),IF(PROCESO!J66&lt;&gt;"",PROCESO!J66,IF(PROCESO!J67&lt;&gt;"",PROCESO!J67,IF(PROCESO!J68&lt;&gt;"",PROCESO!J68,IF(PROCESO!J69&lt;&gt;"",PROCESO!J69,""))))),"")</f>
        <v>ENVÍO Guía 3001</v>
      </c>
      <c r="M55" s="130" t="str">
        <f aca="false">""</f>
        <v/>
      </c>
      <c r="N55" s="130" t="n">
        <f aca="false">IF(IF(PROCESO!J66&lt;&gt;"",PROCESO!J66,IF(PROCESO!J67&lt;&gt;"",PROCESO!J67,IF(PROCESO!J68&lt;&gt;"",PROCESO!J68,IF(PROCESO!J69&lt;&gt;"",PROCESO!J69,""))))&lt;&gt;"",SUMIF(PROCESO!J66:J69,IF(PROCESO!J66&lt;&gt;"",PROCESO!J66,IF(PROCESO!J67&lt;&gt;"",PROCESO!J67,IF(PROCESO!J68&lt;&gt;"",PROCESO!J68,IF(PROCESO!J69&lt;&gt;"",PROCESO!J69,"")))),PROCESO!L66:L69),"")</f>
        <v>3294</v>
      </c>
      <c r="O55" s="130" t="str">
        <f aca="false">IF(IF(PROCESO!J66&lt;&gt;"",PROCESO!J66,IF(PROCESO!J67&lt;&gt;"",PROCESO!J67,IF(PROCESO!J68&lt;&gt;"",PROCESO!J68,IF(PROCESO!J69&lt;&gt;"",PROCESO!J69,""))))&lt;&gt;"","G-"&amp;IF(LEFT(IF(PROCESO!J66&lt;&gt;"",PROCESO!J66,IF(PROCESO!J67&lt;&gt;"",PROCESO!J67,IF(PROCESO!J68&lt;&gt;"",PROCESO!J68,IF(PROCESO!J69&lt;&gt;"",PROCESO!J69,"")))),2)="G-",MID(IF(PROCESO!J66&lt;&gt;"",PROCESO!J66,IF(PROCESO!J67&lt;&gt;"",PROCESO!J67,IF(PROCESO!J68&lt;&gt;"",PROCESO!J68,IF(PROCESO!J69&lt;&gt;"",PROCESO!J69,"")))),3,99),IF(PROCESO!J66&lt;&gt;"",PROCESO!J66,IF(PROCESO!J67&lt;&gt;"",PROCESO!J67,IF(PROCESO!J68&lt;&gt;"",PROCESO!J68,IF(PROCESO!J69&lt;&gt;"",PROCESO!J69,""))))),"")</f>
        <v>G-3001</v>
      </c>
      <c r="P55" s="130" t="n">
        <f aca="false">P54+N(M55)-N(N55)</f>
        <v>1962</v>
      </c>
      <c r="Q55" s="130"/>
      <c r="R55" s="130"/>
      <c r="S55" s="130"/>
      <c r="T55" s="130"/>
    </row>
    <row r="56" customFormat="false" ht="15" hidden="false" customHeight="false" outlineLevel="0" collapsed="false">
      <c r="A56" s="135" t="str">
        <f aca="false">IFERROR(INDEX(K$6:K$201,MATCH(ROW()-5,J$6:J$201,0)),"")</f>
        <v/>
      </c>
      <c r="B56" s="135" t="str">
        <f aca="false">IFERROR(INDEX(L$6:L$201,MATCH(ROW()-5,J$6:J$201,0)),"")</f>
        <v/>
      </c>
      <c r="C56" s="136" t="str">
        <f aca="false">IFERROR(INDEX(M$6:M$201,MATCH(ROW()-5,J$6:J$201,0)),"")</f>
        <v/>
      </c>
      <c r="D56" s="136" t="str">
        <f aca="false">IFERROR(INDEX(N$6:N$201,MATCH(ROW()-5,J$6:J$201,0)),"")</f>
        <v/>
      </c>
      <c r="E56" s="135" t="str">
        <f aca="false">IFERROR(INDEX(O$6:O$201,MATCH(ROW()-5,J$6:J$201,0)),"")</f>
        <v/>
      </c>
      <c r="F56" s="136" t="str">
        <f aca="false">IFERROR(INDEX(P$6:P$201,MATCH(ROW()-5,J$6:J$201,0)),"")</f>
        <v/>
      </c>
      <c r="G56" s="130"/>
      <c r="H56" s="130"/>
      <c r="I56" s="130"/>
      <c r="J56" s="130" t="str">
        <f aca="false">IF(OR(SUM(PROCESO!M66:M69)&gt;0,SUM(PROCESO!N66:N69)&gt;0),COUNT(J$6:J55)+1,"")</f>
        <v/>
      </c>
      <c r="K56" s="130" t="str">
        <f aca="false">IF(OR(SUM(PROCESO!M66:M69)&gt;0,SUM(PROCESO!N66:N69)&gt;0),PROCESO!A66&amp;IF(COUNTIF(PROCESO!$A$6:A65,PROCESO!A66)&gt;0," (Ped."&amp;(COUNTIF(PROCESO!$A$6:A65,PROCESO!A66)+1)&amp;")",""),"")</f>
        <v/>
      </c>
      <c r="L56" s="130" t="str">
        <f aca="false">IF(OR(SUM(PROCESO!M66:M69)&gt;0,SUM(PROCESO!N66:N69)&gt;0),"REPROCESO (devolución)","")</f>
        <v/>
      </c>
      <c r="M56" s="130" t="str">
        <f aca="false">IF(OR(SUM(PROCESO!M66:M69)&gt;0,SUM(PROCESO!N66:N69)&gt;0),SUM(PROCESO!N66:N69),"")</f>
        <v/>
      </c>
      <c r="N56" s="130" t="str">
        <f aca="false">""</f>
        <v/>
      </c>
      <c r="O56" s="130" t="str">
        <f aca="false">IF(OR(SUM(PROCESO!M66:M69)&gt;0,SUM(PROCESO!N66:N69)&gt;0),IF(SUM(PROCESO!M66:M69)&gt;0,SUM(PROCESO!M66:M69)&amp;" jabas devueltas · merma "&amp;TEXT((PROCESO!M66*15+PROCESO!M67*18+PROCESO!M68*17+PROCESO!M69*17)-SUM(PROCESO!N66:N69),"+#,##0;-#,##0;0")&amp;" kg",""),"")</f>
        <v/>
      </c>
      <c r="P56" s="130" t="n">
        <f aca="false">P55+N(M56)-N(N56)</f>
        <v>1962</v>
      </c>
      <c r="Q56" s="130"/>
      <c r="R56" s="130"/>
      <c r="S56" s="130"/>
      <c r="T56" s="130"/>
    </row>
    <row r="57" customFormat="false" ht="15" hidden="false" customHeight="false" outlineLevel="0" collapsed="false">
      <c r="A57" s="135" t="str">
        <f aca="false">IFERROR(INDEX(K$6:K$201,MATCH(ROW()-5,J$6:J$201,0)),"")</f>
        <v/>
      </c>
      <c r="B57" s="135" t="str">
        <f aca="false">IFERROR(INDEX(L$6:L$201,MATCH(ROW()-5,J$6:J$201,0)),"")</f>
        <v/>
      </c>
      <c r="C57" s="136" t="str">
        <f aca="false">IFERROR(INDEX(M$6:M$201,MATCH(ROW()-5,J$6:J$201,0)),"")</f>
        <v/>
      </c>
      <c r="D57" s="136" t="str">
        <f aca="false">IFERROR(INDEX(N$6:N$201,MATCH(ROW()-5,J$6:J$201,0)),"")</f>
        <v/>
      </c>
      <c r="E57" s="135" t="str">
        <f aca="false">IFERROR(INDEX(O$6:O$201,MATCH(ROW()-5,J$6:J$201,0)),"")</f>
        <v/>
      </c>
      <c r="F57" s="136" t="str">
        <f aca="false">IFERROR(INDEX(P$6:P$201,MATCH(ROW()-5,J$6:J$201,0)),"")</f>
        <v/>
      </c>
      <c r="G57" s="130"/>
      <c r="H57" s="130"/>
      <c r="I57" s="130"/>
      <c r="J57" s="130" t="n">
        <f aca="false">IF(PROCESO!D72&gt;0,COUNT(J$6:J56)+1,"")</f>
        <v>29</v>
      </c>
      <c r="K57" s="130" t="str">
        <f aca="false">IF(PROCESO!D72&gt;0,PROCESO!A72&amp;IF(COUNTIF(PROCESO!$A$6:A71,PROCESO!A72)&gt;0," (Ped."&amp;(COUNTIF(PROCESO!$A$6:A71,PROCESO!A72)+1)&amp;")",""),"")</f>
        <v>LUN 20-07 (Ped.2)</v>
      </c>
      <c r="L57" s="130" t="str">
        <f aca="false">IF(PROCESO!D72&gt;0,"INGRESO (compra)","")</f>
        <v>INGRESO (compra)</v>
      </c>
      <c r="M57" s="137" t="n">
        <f aca="false">IF(PROCESO!D72&gt;0,PROCESO!D72,"")</f>
        <v>2090</v>
      </c>
      <c r="N57" s="130" t="str">
        <f aca="false">""</f>
        <v/>
      </c>
      <c r="O57" s="130" t="str">
        <f aca="false">IF(PROCESO!D72&gt;0,PROCESO!B72&amp;" sacos x "&amp;PROCESO!C72&amp;" kg","")</f>
        <v>22 sacos x 95 kg</v>
      </c>
      <c r="P57" s="130" t="n">
        <f aca="false">P56+N(M57)-N(N57)</f>
        <v>4052</v>
      </c>
      <c r="Q57" s="130"/>
      <c r="R57" s="130"/>
      <c r="S57" s="130"/>
      <c r="T57" s="130"/>
    </row>
    <row r="58" customFormat="false" ht="15" hidden="false" customHeight="false" outlineLevel="0" collapsed="false">
      <c r="A58" s="135" t="str">
        <f aca="false">IFERROR(INDEX(K$6:K$201,MATCH(ROW()-5,J$6:J$201,0)),"")</f>
        <v/>
      </c>
      <c r="B58" s="135" t="str">
        <f aca="false">IFERROR(INDEX(L$6:L$201,MATCH(ROW()-5,J$6:J$201,0)),"")</f>
        <v/>
      </c>
      <c r="C58" s="136" t="str">
        <f aca="false">IFERROR(INDEX(M$6:M$201,MATCH(ROW()-5,J$6:J$201,0)),"")</f>
        <v/>
      </c>
      <c r="D58" s="136" t="str">
        <f aca="false">IFERROR(INDEX(N$6:N$201,MATCH(ROW()-5,J$6:J$201,0)),"")</f>
        <v/>
      </c>
      <c r="E58" s="135" t="str">
        <f aca="false">IFERROR(INDEX(O$6:O$201,MATCH(ROW()-5,J$6:J$201,0)),"")</f>
        <v/>
      </c>
      <c r="F58" s="136" t="str">
        <f aca="false">IFERROR(INDEX(P$6:P$201,MATCH(ROW()-5,J$6:J$201,0)),"")</f>
        <v/>
      </c>
      <c r="G58" s="130"/>
      <c r="H58" s="130"/>
      <c r="I58" s="130"/>
      <c r="J58" s="130" t="n">
        <f aca="false">IF(N(PROCESO!H76)&gt;0,COUNT(J$6:J57)+1,"")</f>
        <v>30</v>
      </c>
      <c r="K58" s="130" t="str">
        <f aca="false">IF(N(PROCESO!H76)&gt;0,PROCESO!A72&amp;IF(COUNTIF(PROCESO!$A$6:A71,PROCESO!A72)&gt;0," (Ped."&amp;(COUNTIF(PROCESO!$A$6:A71,PROCESO!A72)+1)&amp;")",""),"")</f>
        <v>LUN 20-07 (Ped.2)</v>
      </c>
      <c r="L58" s="130" t="str">
        <f aca="false">IF(N(PROCESO!H76)&gt;0,"CHANCHO (proceso)","")</f>
        <v>CHANCHO (proceso)</v>
      </c>
      <c r="M58" s="130" t="str">
        <f aca="false">""</f>
        <v/>
      </c>
      <c r="N58" s="130" t="n">
        <f aca="false">IF(N(PROCESO!H76)&gt;0,N(PROCESO!H76),"")</f>
        <v>285</v>
      </c>
      <c r="O58" s="130" t="str">
        <f aca="false">IF(N(PROCESO!H76)&gt;0,PROCESO!G76&amp;" sacos x 95 kg","")</f>
        <v>3 sacos x 95 kg</v>
      </c>
      <c r="P58" s="130" t="n">
        <f aca="false">P57+N(M58)-N(N58)</f>
        <v>3767</v>
      </c>
      <c r="Q58" s="130"/>
      <c r="R58" s="130"/>
      <c r="S58" s="130"/>
      <c r="T58" s="130"/>
    </row>
    <row r="59" customFormat="false" ht="15" hidden="false" customHeight="false" outlineLevel="0" collapsed="false">
      <c r="A59" s="135" t="str">
        <f aca="false">IFERROR(INDEX(K$6:K$201,MATCH(ROW()-5,J$6:J$201,0)),"")</f>
        <v/>
      </c>
      <c r="B59" s="135" t="str">
        <f aca="false">IFERROR(INDEX(L$6:L$201,MATCH(ROW()-5,J$6:J$201,0)),"")</f>
        <v/>
      </c>
      <c r="C59" s="136" t="str">
        <f aca="false">IFERROR(INDEX(M$6:M$201,MATCH(ROW()-5,J$6:J$201,0)),"")</f>
        <v/>
      </c>
      <c r="D59" s="136" t="str">
        <f aca="false">IFERROR(INDEX(N$6:N$201,MATCH(ROW()-5,J$6:J$201,0)),"")</f>
        <v/>
      </c>
      <c r="E59" s="135" t="str">
        <f aca="false">IFERROR(INDEX(O$6:O$201,MATCH(ROW()-5,J$6:J$201,0)),"")</f>
        <v/>
      </c>
      <c r="F59" s="136" t="str">
        <f aca="false">IFERROR(INDEX(P$6:P$201,MATCH(ROW()-5,J$6:J$201,0)),"")</f>
        <v/>
      </c>
      <c r="G59" s="130"/>
      <c r="H59" s="130"/>
      <c r="I59" s="130"/>
      <c r="J59" s="130" t="str">
        <f aca="false">IF(N(PROCESO!H77)&gt;0,COUNT(J$6:J58)+1,"")</f>
        <v/>
      </c>
      <c r="K59" s="130" t="str">
        <f aca="false">IF(N(PROCESO!H77)&gt;0,PROCESO!A72&amp;IF(COUNTIF(PROCESO!$A$6:A71,PROCESO!A72)&gt;0," (Ped."&amp;(COUNTIF(PROCESO!$A$6:A71,PROCESO!A72)+1)&amp;")",""),"")</f>
        <v/>
      </c>
      <c r="L59" s="130" t="str">
        <f aca="false">IF(N(PROCESO!H77)&gt;0,"MALOGRADO","")</f>
        <v/>
      </c>
      <c r="M59" s="130" t="str">
        <f aca="false">""</f>
        <v/>
      </c>
      <c r="N59" s="130" t="str">
        <f aca="false">IF(N(PROCESO!H77)&gt;0,N(PROCESO!H77),"")</f>
        <v/>
      </c>
      <c r="O59" s="130" t="str">
        <f aca="false">""</f>
        <v/>
      </c>
      <c r="P59" s="130" t="n">
        <f aca="false">P58+N(M59)-N(N59)</f>
        <v>3767</v>
      </c>
      <c r="Q59" s="130"/>
      <c r="R59" s="130"/>
      <c r="S59" s="130"/>
      <c r="T59" s="130"/>
    </row>
    <row r="60" customFormat="false" ht="15" hidden="false" customHeight="false" outlineLevel="0" collapsed="false">
      <c r="A60" s="135" t="str">
        <f aca="false">IFERROR(INDEX(K$6:K$201,MATCH(ROW()-5,J$6:J$201,0)),"")</f>
        <v/>
      </c>
      <c r="B60" s="135" t="str">
        <f aca="false">IFERROR(INDEX(L$6:L$201,MATCH(ROW()-5,J$6:J$201,0)),"")</f>
        <v/>
      </c>
      <c r="C60" s="136" t="str">
        <f aca="false">IFERROR(INDEX(M$6:M$201,MATCH(ROW()-5,J$6:J$201,0)),"")</f>
        <v/>
      </c>
      <c r="D60" s="136" t="str">
        <f aca="false">IFERROR(INDEX(N$6:N$201,MATCH(ROW()-5,J$6:J$201,0)),"")</f>
        <v/>
      </c>
      <c r="E60" s="135" t="str">
        <f aca="false">IFERROR(INDEX(O$6:O$201,MATCH(ROW()-5,J$6:J$201,0)),"")</f>
        <v/>
      </c>
      <c r="F60" s="136" t="str">
        <f aca="false">IFERROR(INDEX(P$6:P$201,MATCH(ROW()-5,J$6:J$201,0)),"")</f>
        <v/>
      </c>
      <c r="G60" s="130"/>
      <c r="H60" s="130"/>
      <c r="I60" s="130"/>
      <c r="J60" s="130" t="str">
        <f aca="false">IF(IF(PROCESO!J72&lt;&gt;"",PROCESO!J72,IF(PROCESO!J73&lt;&gt;"",PROCESO!J73,IF(PROCESO!J74&lt;&gt;"",PROCESO!J74,IF(PROCESO!J75&lt;&gt;"",PROCESO!J75,""))))&lt;&gt;"",COUNT(J$6:J59)+1,"")</f>
        <v/>
      </c>
      <c r="K60" s="130" t="str">
        <f aca="false">IF(IF(PROCESO!J72&lt;&gt;"",PROCESO!J72,IF(PROCESO!J73&lt;&gt;"",PROCESO!J73,IF(PROCESO!J74&lt;&gt;"",PROCESO!J74,IF(PROCESO!J75&lt;&gt;"",PROCESO!J75,""))))&lt;&gt;"",PROCESO!A72&amp;IF(COUNTIF(PROCESO!$A$6:A71,PROCESO!A72)&gt;0," (Ped."&amp;(COUNTIF(PROCESO!$A$6:A71,PROCESO!A72)+1)&amp;")",""),"")</f>
        <v/>
      </c>
      <c r="L60" s="130" t="str">
        <f aca="false">IF(IF(PROCESO!J72&lt;&gt;"",PROCESO!J72,IF(PROCESO!J73&lt;&gt;"",PROCESO!J73,IF(PROCESO!J74&lt;&gt;"",PROCESO!J74,IF(PROCESO!J75&lt;&gt;"",PROCESO!J75,""))))&lt;&gt;"","ENVÍO Guía "&amp;IF(LEFT(IF(PROCESO!J72&lt;&gt;"",PROCESO!J72,IF(PROCESO!J73&lt;&gt;"",PROCESO!J73,IF(PROCESO!J74&lt;&gt;"",PROCESO!J74,IF(PROCESO!J75&lt;&gt;"",PROCESO!J75,"")))),2)="G-",MID(IF(PROCESO!J72&lt;&gt;"",PROCESO!J72,IF(PROCESO!J73&lt;&gt;"",PROCESO!J73,IF(PROCESO!J74&lt;&gt;"",PROCESO!J74,IF(PROCESO!J75&lt;&gt;"",PROCESO!J75,"")))),3,99),IF(PROCESO!J72&lt;&gt;"",PROCESO!J72,IF(PROCESO!J73&lt;&gt;"",PROCESO!J73,IF(PROCESO!J74&lt;&gt;"",PROCESO!J74,IF(PROCESO!J75&lt;&gt;"",PROCESO!J75,""))))),"")</f>
        <v/>
      </c>
      <c r="M60" s="130" t="str">
        <f aca="false">""</f>
        <v/>
      </c>
      <c r="N60" s="130" t="str">
        <f aca="false">IF(IF(PROCESO!J72&lt;&gt;"",PROCESO!J72,IF(PROCESO!J73&lt;&gt;"",PROCESO!J73,IF(PROCESO!J74&lt;&gt;"",PROCESO!J74,IF(PROCESO!J75&lt;&gt;"",PROCESO!J75,""))))&lt;&gt;"",SUMIF(PROCESO!J72:J75,IF(PROCESO!J72&lt;&gt;"",PROCESO!J72,IF(PROCESO!J73&lt;&gt;"",PROCESO!J73,IF(PROCESO!J74&lt;&gt;"",PROCESO!J74,IF(PROCESO!J75&lt;&gt;"",PROCESO!J75,"")))),PROCESO!L72:L75),"")</f>
        <v/>
      </c>
      <c r="O60" s="130" t="str">
        <f aca="false">IF(IF(PROCESO!J72&lt;&gt;"",PROCESO!J72,IF(PROCESO!J73&lt;&gt;"",PROCESO!J73,IF(PROCESO!J74&lt;&gt;"",PROCESO!J74,IF(PROCESO!J75&lt;&gt;"",PROCESO!J75,""))))&lt;&gt;"","G-"&amp;IF(LEFT(IF(PROCESO!J72&lt;&gt;"",PROCESO!J72,IF(PROCESO!J73&lt;&gt;"",PROCESO!J73,IF(PROCESO!J74&lt;&gt;"",PROCESO!J74,IF(PROCESO!J75&lt;&gt;"",PROCESO!J75,"")))),2)="G-",MID(IF(PROCESO!J72&lt;&gt;"",PROCESO!J72,IF(PROCESO!J73&lt;&gt;"",PROCESO!J73,IF(PROCESO!J74&lt;&gt;"",PROCESO!J74,IF(PROCESO!J75&lt;&gt;"",PROCESO!J75,"")))),3,99),IF(PROCESO!J72&lt;&gt;"",PROCESO!J72,IF(PROCESO!J73&lt;&gt;"",PROCESO!J73,IF(PROCESO!J74&lt;&gt;"",PROCESO!J74,IF(PROCESO!J75&lt;&gt;"",PROCESO!J75,""))))),"")</f>
        <v/>
      </c>
      <c r="P60" s="130" t="n">
        <f aca="false">P59+N(M60)-N(N60)</f>
        <v>3767</v>
      </c>
      <c r="Q60" s="130"/>
      <c r="R60" s="130"/>
      <c r="S60" s="130"/>
      <c r="T60" s="130"/>
    </row>
    <row r="61" customFormat="false" ht="15" hidden="false" customHeight="false" outlineLevel="0" collapsed="false">
      <c r="A61" s="135" t="str">
        <f aca="false">IFERROR(INDEX(K$6:K$201,MATCH(ROW()-5,J$6:J$201,0)),"")</f>
        <v/>
      </c>
      <c r="B61" s="135" t="str">
        <f aca="false">IFERROR(INDEX(L$6:L$201,MATCH(ROW()-5,J$6:J$201,0)),"")</f>
        <v/>
      </c>
      <c r="C61" s="136" t="str">
        <f aca="false">IFERROR(INDEX(M$6:M$201,MATCH(ROW()-5,J$6:J$201,0)),"")</f>
        <v/>
      </c>
      <c r="D61" s="136" t="str">
        <f aca="false">IFERROR(INDEX(N$6:N$201,MATCH(ROW()-5,J$6:J$201,0)),"")</f>
        <v/>
      </c>
      <c r="E61" s="135" t="str">
        <f aca="false">IFERROR(INDEX(O$6:O$201,MATCH(ROW()-5,J$6:J$201,0)),"")</f>
        <v/>
      </c>
      <c r="F61" s="136" t="str">
        <f aca="false">IFERROR(INDEX(P$6:P$201,MATCH(ROW()-5,J$6:J$201,0)),"")</f>
        <v/>
      </c>
      <c r="G61" s="130"/>
      <c r="H61" s="130"/>
      <c r="I61" s="130"/>
      <c r="J61" s="130" t="str">
        <f aca="false">IF(OR(SUM(PROCESO!M72:M75)&gt;0,SUM(PROCESO!N72:N75)&gt;0),COUNT(J$6:J60)+1,"")</f>
        <v/>
      </c>
      <c r="K61" s="130" t="str">
        <f aca="false">IF(OR(SUM(PROCESO!M72:M75)&gt;0,SUM(PROCESO!N72:N75)&gt;0),PROCESO!A72&amp;IF(COUNTIF(PROCESO!$A$6:A71,PROCESO!A72)&gt;0," (Ped."&amp;(COUNTIF(PROCESO!$A$6:A71,PROCESO!A72)+1)&amp;")",""),"")</f>
        <v/>
      </c>
      <c r="L61" s="130" t="str">
        <f aca="false">IF(OR(SUM(PROCESO!M72:M75)&gt;0,SUM(PROCESO!N72:N75)&gt;0),"REPROCESO (devolución)","")</f>
        <v/>
      </c>
      <c r="M61" s="130" t="str">
        <f aca="false">IF(OR(SUM(PROCESO!M72:M75)&gt;0,SUM(PROCESO!N72:N75)&gt;0),SUM(PROCESO!N72:N75),"")</f>
        <v/>
      </c>
      <c r="N61" s="130" t="str">
        <f aca="false">""</f>
        <v/>
      </c>
      <c r="O61" s="130" t="str">
        <f aca="false">IF(OR(SUM(PROCESO!M72:M75)&gt;0,SUM(PROCESO!N72:N75)&gt;0),IF(SUM(PROCESO!M72:M75)&gt;0,SUM(PROCESO!M72:M75)&amp;" jabas devueltas · merma "&amp;TEXT((PROCESO!M72*15+PROCESO!M73*18+PROCESO!M74*17+PROCESO!M75*17)-SUM(PROCESO!N72:N75),"+#,##0;-#,##0;0")&amp;" kg",""),"")</f>
        <v/>
      </c>
      <c r="P61" s="130" t="n">
        <f aca="false">P60+N(M61)-N(N61)</f>
        <v>3767</v>
      </c>
      <c r="Q61" s="130"/>
      <c r="R61" s="130"/>
      <c r="S61" s="130"/>
      <c r="T61" s="130"/>
    </row>
    <row r="62" customFormat="false" ht="15" hidden="false" customHeight="false" outlineLevel="0" collapsed="false">
      <c r="A62" s="135" t="str">
        <f aca="false">IFERROR(INDEX(K$6:K$201,MATCH(ROW()-5,J$6:J$201,0)),"")</f>
        <v/>
      </c>
      <c r="B62" s="135" t="str">
        <f aca="false">IFERROR(INDEX(L$6:L$201,MATCH(ROW()-5,J$6:J$201,0)),"")</f>
        <v/>
      </c>
      <c r="C62" s="136" t="str">
        <f aca="false">IFERROR(INDEX(M$6:M$201,MATCH(ROW()-5,J$6:J$201,0)),"")</f>
        <v/>
      </c>
      <c r="D62" s="136" t="str">
        <f aca="false">IFERROR(INDEX(N$6:N$201,MATCH(ROW()-5,J$6:J$201,0)),"")</f>
        <v/>
      </c>
      <c r="E62" s="135" t="str">
        <f aca="false">IFERROR(INDEX(O$6:O$201,MATCH(ROW()-5,J$6:J$201,0)),"")</f>
        <v/>
      </c>
      <c r="F62" s="136" t="str">
        <f aca="false">IFERROR(INDEX(P$6:P$201,MATCH(ROW()-5,J$6:J$201,0)),"")</f>
        <v/>
      </c>
      <c r="G62" s="130"/>
      <c r="H62" s="130"/>
      <c r="I62" s="130"/>
      <c r="J62" s="130" t="n">
        <f aca="false">IF(PROCESO!D78&gt;0,COUNT(J$6:J61)+1,"")</f>
        <v>31</v>
      </c>
      <c r="K62" s="130" t="str">
        <f aca="false">IF(PROCESO!D78&gt;0,PROCESO!A78&amp;IF(COUNTIF(PROCESO!$A$6:A77,PROCESO!A78)&gt;0," (Ped."&amp;(COUNTIF(PROCESO!$A$6:A77,PROCESO!A78)+1)&amp;")",""),"")</f>
        <v>MAR 21-07</v>
      </c>
      <c r="L62" s="130" t="str">
        <f aca="false">IF(PROCESO!D78&gt;0,"INGRESO (compra)","")</f>
        <v>INGRESO (compra)</v>
      </c>
      <c r="M62" s="137" t="n">
        <f aca="false">IF(PROCESO!D78&gt;0,PROCESO!D78,"")</f>
        <v>6650</v>
      </c>
      <c r="N62" s="130" t="str">
        <f aca="false">""</f>
        <v/>
      </c>
      <c r="O62" s="130" t="str">
        <f aca="false">IF(PROCESO!D78&gt;0,PROCESO!B78&amp;" sacos x "&amp;PROCESO!C78&amp;" kg","")</f>
        <v>70 sacos x 95 kg</v>
      </c>
      <c r="P62" s="130" t="n">
        <f aca="false">P61+N(M62)-N(N62)</f>
        <v>10417</v>
      </c>
      <c r="Q62" s="130"/>
      <c r="R62" s="130"/>
      <c r="S62" s="130"/>
      <c r="T62" s="130"/>
    </row>
    <row r="63" customFormat="false" ht="15" hidden="false" customHeight="false" outlineLevel="0" collapsed="false">
      <c r="A63" s="135" t="str">
        <f aca="false">IFERROR(INDEX(K$6:K$201,MATCH(ROW()-5,J$6:J$201,0)),"")</f>
        <v/>
      </c>
      <c r="B63" s="135" t="str">
        <f aca="false">IFERROR(INDEX(L$6:L$201,MATCH(ROW()-5,J$6:J$201,0)),"")</f>
        <v/>
      </c>
      <c r="C63" s="136" t="str">
        <f aca="false">IFERROR(INDEX(M$6:M$201,MATCH(ROW()-5,J$6:J$201,0)),"")</f>
        <v/>
      </c>
      <c r="D63" s="136" t="str">
        <f aca="false">IFERROR(INDEX(N$6:N$201,MATCH(ROW()-5,J$6:J$201,0)),"")</f>
        <v/>
      </c>
      <c r="E63" s="135" t="str">
        <f aca="false">IFERROR(INDEX(O$6:O$201,MATCH(ROW()-5,J$6:J$201,0)),"")</f>
        <v/>
      </c>
      <c r="F63" s="136" t="str">
        <f aca="false">IFERROR(INDEX(P$6:P$201,MATCH(ROW()-5,J$6:J$201,0)),"")</f>
        <v/>
      </c>
      <c r="G63" s="130"/>
      <c r="H63" s="130"/>
      <c r="I63" s="130"/>
      <c r="J63" s="130" t="n">
        <f aca="false">IF(N(PROCESO!H82)&gt;0,COUNT(J$6:J62)+1,"")</f>
        <v>32</v>
      </c>
      <c r="K63" s="130" t="str">
        <f aca="false">IF(N(PROCESO!H82)&gt;0,PROCESO!A78&amp;IF(COUNTIF(PROCESO!$A$6:A77,PROCESO!A78)&gt;0," (Ped."&amp;(COUNTIF(PROCESO!$A$6:A77,PROCESO!A78)+1)&amp;")",""),"")</f>
        <v>MAR 21-07</v>
      </c>
      <c r="L63" s="130" t="str">
        <f aca="false">IF(N(PROCESO!H82)&gt;0,"CHANCHO (proceso)","")</f>
        <v>CHANCHO (proceso)</v>
      </c>
      <c r="M63" s="130" t="str">
        <f aca="false">""</f>
        <v/>
      </c>
      <c r="N63" s="130" t="n">
        <f aca="false">IF(N(PROCESO!H82)&gt;0,N(PROCESO!H82),"")</f>
        <v>380</v>
      </c>
      <c r="O63" s="130" t="str">
        <f aca="false">IF(N(PROCESO!H82)&gt;0,PROCESO!G82&amp;" sacos x 95 kg","")</f>
        <v>4 sacos x 95 kg</v>
      </c>
      <c r="P63" s="130" t="n">
        <f aca="false">P62+N(M63)-N(N63)</f>
        <v>10037</v>
      </c>
      <c r="Q63" s="130"/>
      <c r="R63" s="130"/>
      <c r="S63" s="130"/>
      <c r="T63" s="130"/>
    </row>
    <row r="64" customFormat="false" ht="15" hidden="false" customHeight="false" outlineLevel="0" collapsed="false">
      <c r="A64" s="135" t="str">
        <f aca="false">IFERROR(INDEX(K$6:K$201,MATCH(ROW()-5,J$6:J$201,0)),"")</f>
        <v/>
      </c>
      <c r="B64" s="135" t="str">
        <f aca="false">IFERROR(INDEX(L$6:L$201,MATCH(ROW()-5,J$6:J$201,0)),"")</f>
        <v/>
      </c>
      <c r="C64" s="136" t="str">
        <f aca="false">IFERROR(INDEX(M$6:M$201,MATCH(ROW()-5,J$6:J$201,0)),"")</f>
        <v/>
      </c>
      <c r="D64" s="136" t="str">
        <f aca="false">IFERROR(INDEX(N$6:N$201,MATCH(ROW()-5,J$6:J$201,0)),"")</f>
        <v/>
      </c>
      <c r="E64" s="135" t="str">
        <f aca="false">IFERROR(INDEX(O$6:O$201,MATCH(ROW()-5,J$6:J$201,0)),"")</f>
        <v/>
      </c>
      <c r="F64" s="136" t="str">
        <f aca="false">IFERROR(INDEX(P$6:P$201,MATCH(ROW()-5,J$6:J$201,0)),"")</f>
        <v/>
      </c>
      <c r="G64" s="130"/>
      <c r="H64" s="130"/>
      <c r="I64" s="130"/>
      <c r="J64" s="130" t="str">
        <f aca="false">IF(N(PROCESO!H83)&gt;0,COUNT(J$6:J63)+1,"")</f>
        <v/>
      </c>
      <c r="K64" s="130" t="str">
        <f aca="false">IF(N(PROCESO!H83)&gt;0,PROCESO!A78&amp;IF(COUNTIF(PROCESO!$A$6:A77,PROCESO!A78)&gt;0," (Ped."&amp;(COUNTIF(PROCESO!$A$6:A77,PROCESO!A78)+1)&amp;")",""),"")</f>
        <v/>
      </c>
      <c r="L64" s="130" t="str">
        <f aca="false">IF(N(PROCESO!H83)&gt;0,"MALOGRADO","")</f>
        <v/>
      </c>
      <c r="M64" s="130" t="str">
        <f aca="false">""</f>
        <v/>
      </c>
      <c r="N64" s="130" t="str">
        <f aca="false">IF(N(PROCESO!H83)&gt;0,N(PROCESO!H83),"")</f>
        <v/>
      </c>
      <c r="O64" s="130" t="str">
        <f aca="false">""</f>
        <v/>
      </c>
      <c r="P64" s="130" t="n">
        <f aca="false">P63+N(M64)-N(N64)</f>
        <v>10037</v>
      </c>
      <c r="Q64" s="130"/>
      <c r="R64" s="130"/>
      <c r="S64" s="130"/>
      <c r="T64" s="130"/>
    </row>
    <row r="65" customFormat="false" ht="15" hidden="false" customHeight="false" outlineLevel="0" collapsed="false">
      <c r="A65" s="135" t="str">
        <f aca="false">IFERROR(INDEX(K$6:K$201,MATCH(ROW()-5,J$6:J$201,0)),"")</f>
        <v/>
      </c>
      <c r="B65" s="135" t="str">
        <f aca="false">IFERROR(INDEX(L$6:L$201,MATCH(ROW()-5,J$6:J$201,0)),"")</f>
        <v/>
      </c>
      <c r="C65" s="136" t="str">
        <f aca="false">IFERROR(INDEX(M$6:M$201,MATCH(ROW()-5,J$6:J$201,0)),"")</f>
        <v/>
      </c>
      <c r="D65" s="136" t="str">
        <f aca="false">IFERROR(INDEX(N$6:N$201,MATCH(ROW()-5,J$6:J$201,0)),"")</f>
        <v/>
      </c>
      <c r="E65" s="135" t="str">
        <f aca="false">IFERROR(INDEX(O$6:O$201,MATCH(ROW()-5,J$6:J$201,0)),"")</f>
        <v/>
      </c>
      <c r="F65" s="136" t="str">
        <f aca="false">IFERROR(INDEX(P$6:P$201,MATCH(ROW()-5,J$6:J$201,0)),"")</f>
        <v/>
      </c>
      <c r="G65" s="130"/>
      <c r="H65" s="130"/>
      <c r="I65" s="130"/>
      <c r="J65" s="130" t="n">
        <f aca="false">IF(IF(PROCESO!J78&lt;&gt;"",PROCESO!J78,IF(PROCESO!J79&lt;&gt;"",PROCESO!J79,IF(PROCESO!J80&lt;&gt;"",PROCESO!J80,IF(PROCESO!J81&lt;&gt;"",PROCESO!J81,""))))&lt;&gt;"",COUNT(J$6:J64)+1,"")</f>
        <v>33</v>
      </c>
      <c r="K65" s="130" t="str">
        <f aca="false">IF(IF(PROCESO!J78&lt;&gt;"",PROCESO!J78,IF(PROCESO!J79&lt;&gt;"",PROCESO!J79,IF(PROCESO!J80&lt;&gt;"",PROCESO!J80,IF(PROCESO!J81&lt;&gt;"",PROCESO!J81,""))))&lt;&gt;"",PROCESO!A78&amp;IF(COUNTIF(PROCESO!$A$6:A77,PROCESO!A78)&gt;0," (Ped."&amp;(COUNTIF(PROCESO!$A$6:A77,PROCESO!A78)+1)&amp;")",""),"")</f>
        <v>MAR 21-07</v>
      </c>
      <c r="L65" s="130" t="str">
        <f aca="false">IF(IF(PROCESO!J78&lt;&gt;"",PROCESO!J78,IF(PROCESO!J79&lt;&gt;"",PROCESO!J79,IF(PROCESO!J80&lt;&gt;"",PROCESO!J80,IF(PROCESO!J81&lt;&gt;"",PROCESO!J81,""))))&lt;&gt;"","ENVÍO Guía "&amp;IF(LEFT(IF(PROCESO!J78&lt;&gt;"",PROCESO!J78,IF(PROCESO!J79&lt;&gt;"",PROCESO!J79,IF(PROCESO!J80&lt;&gt;"",PROCESO!J80,IF(PROCESO!J81&lt;&gt;"",PROCESO!J81,"")))),2)="G-",MID(IF(PROCESO!J78&lt;&gt;"",PROCESO!J78,IF(PROCESO!J79&lt;&gt;"",PROCESO!J79,IF(PROCESO!J80&lt;&gt;"",PROCESO!J80,IF(PROCESO!J81&lt;&gt;"",PROCESO!J81,"")))),3,99),IF(PROCESO!J78&lt;&gt;"",PROCESO!J78,IF(PROCESO!J79&lt;&gt;"",PROCESO!J79,IF(PROCESO!J80&lt;&gt;"",PROCESO!J80,IF(PROCESO!J81&lt;&gt;"",PROCESO!J81,""))))),"")</f>
        <v>ENVÍO Guía 3004</v>
      </c>
      <c r="M65" s="130" t="str">
        <f aca="false">""</f>
        <v/>
      </c>
      <c r="N65" s="130" t="n">
        <f aca="false">IF(IF(PROCESO!J78&lt;&gt;"",PROCESO!J78,IF(PROCESO!J79&lt;&gt;"",PROCESO!J79,IF(PROCESO!J80&lt;&gt;"",PROCESO!J80,IF(PROCESO!J81&lt;&gt;"",PROCESO!J81,""))))&lt;&gt;"",SUMIF(PROCESO!J78:J81,IF(PROCESO!J78&lt;&gt;"",PROCESO!J78,IF(PROCESO!J79&lt;&gt;"",PROCESO!J79,IF(PROCESO!J80&lt;&gt;"",PROCESO!J80,IF(PROCESO!J81&lt;&gt;"",PROCESO!J81,"")))),PROCESO!L78:L81),"")</f>
        <v>3260</v>
      </c>
      <c r="O65" s="130" t="str">
        <f aca="false">IF(IF(PROCESO!J78&lt;&gt;"",PROCESO!J78,IF(PROCESO!J79&lt;&gt;"",PROCESO!J79,IF(PROCESO!J80&lt;&gt;"",PROCESO!J80,IF(PROCESO!J81&lt;&gt;"",PROCESO!J81,""))))&lt;&gt;"","G-"&amp;IF(LEFT(IF(PROCESO!J78&lt;&gt;"",PROCESO!J78,IF(PROCESO!J79&lt;&gt;"",PROCESO!J79,IF(PROCESO!J80&lt;&gt;"",PROCESO!J80,IF(PROCESO!J81&lt;&gt;"",PROCESO!J81,"")))),2)="G-",MID(IF(PROCESO!J78&lt;&gt;"",PROCESO!J78,IF(PROCESO!J79&lt;&gt;"",PROCESO!J79,IF(PROCESO!J80&lt;&gt;"",PROCESO!J80,IF(PROCESO!J81&lt;&gt;"",PROCESO!J81,"")))),3,99),IF(PROCESO!J78&lt;&gt;"",PROCESO!J78,IF(PROCESO!J79&lt;&gt;"",PROCESO!J79,IF(PROCESO!J80&lt;&gt;"",PROCESO!J80,IF(PROCESO!J81&lt;&gt;"",PROCESO!J81,""))))),"")</f>
        <v>G-3004</v>
      </c>
      <c r="P65" s="130" t="n">
        <f aca="false">P64+N(M65)-N(N65)</f>
        <v>6777</v>
      </c>
      <c r="Q65" s="130"/>
      <c r="R65" s="130"/>
      <c r="S65" s="130"/>
      <c r="T65" s="130"/>
    </row>
    <row r="66" customFormat="false" ht="15" hidden="false" customHeight="false" outlineLevel="0" collapsed="false">
      <c r="A66" s="135" t="str">
        <f aca="false">IFERROR(INDEX(K$6:K$201,MATCH(ROW()-5,J$6:J$201,0)),"")</f>
        <v/>
      </c>
      <c r="B66" s="135" t="str">
        <f aca="false">IFERROR(INDEX(L$6:L$201,MATCH(ROW()-5,J$6:J$201,0)),"")</f>
        <v/>
      </c>
      <c r="C66" s="136" t="str">
        <f aca="false">IFERROR(INDEX(M$6:M$201,MATCH(ROW()-5,J$6:J$201,0)),"")</f>
        <v/>
      </c>
      <c r="D66" s="136" t="str">
        <f aca="false">IFERROR(INDEX(N$6:N$201,MATCH(ROW()-5,J$6:J$201,0)),"")</f>
        <v/>
      </c>
      <c r="E66" s="135" t="str">
        <f aca="false">IFERROR(INDEX(O$6:O$201,MATCH(ROW()-5,J$6:J$201,0)),"")</f>
        <v/>
      </c>
      <c r="F66" s="136" t="str">
        <f aca="false">IFERROR(INDEX(P$6:P$201,MATCH(ROW()-5,J$6:J$201,0)),"")</f>
        <v/>
      </c>
      <c r="G66" s="130"/>
      <c r="H66" s="130"/>
      <c r="I66" s="130"/>
      <c r="J66" s="130" t="n">
        <f aca="false">IF(OR(SUM(PROCESO!M78:M81)&gt;0,SUM(PROCESO!N78:N81)&gt;0),COUNT(J$6:J65)+1,"")</f>
        <v>34</v>
      </c>
      <c r="K66" s="130" t="str">
        <f aca="false">IF(OR(SUM(PROCESO!M78:M81)&gt;0,SUM(PROCESO!N78:N81)&gt;0),PROCESO!A78&amp;IF(COUNTIF(PROCESO!$A$6:A77,PROCESO!A78)&gt;0," (Ped."&amp;(COUNTIF(PROCESO!$A$6:A77,PROCESO!A78)+1)&amp;")",""),"")</f>
        <v>MAR 21-07</v>
      </c>
      <c r="L66" s="130" t="str">
        <f aca="false">IF(OR(SUM(PROCESO!M78:M81)&gt;0,SUM(PROCESO!N78:N81)&gt;0),"REPROCESO (devolución)","")</f>
        <v>REPROCESO (devolución)</v>
      </c>
      <c r="M66" s="130" t="n">
        <f aca="false">IF(OR(SUM(PROCESO!M78:M81)&gt;0,SUM(PROCESO!N78:N81)&gt;0),SUM(PROCESO!N78:N81),"")</f>
        <v>17</v>
      </c>
      <c r="N66" s="130" t="str">
        <f aca="false">""</f>
        <v/>
      </c>
      <c r="O66" s="130" t="str">
        <f aca="false">IF(OR(SUM(PROCESO!M78:M81)&gt;0,SUM(PROCESO!N78:N81)&gt;0),IF(SUM(PROCESO!M78:M81)&gt;0,SUM(PROCESO!M78:M81)&amp;" jabas devueltas · merma "&amp;TEXT((PROCESO!M78*15+PROCESO!M79*18+PROCESO!M80*17+PROCESO!M81*17)-SUM(PROCESO!N78:N81),"+#,##0;-#,##0;0")&amp;" kg",""),"")</f>
        <v>2 jabas devueltas · merma +15 kg</v>
      </c>
      <c r="P66" s="130" t="n">
        <f aca="false">P65+N(M66)-N(N66)</f>
        <v>6794</v>
      </c>
      <c r="Q66" s="130"/>
      <c r="R66" s="130"/>
      <c r="S66" s="130"/>
      <c r="T66" s="130"/>
    </row>
    <row r="67" customFormat="false" ht="15" hidden="false" customHeight="false" outlineLevel="0" collapsed="false">
      <c r="A67" s="135" t="str">
        <f aca="false">IFERROR(INDEX(K$6:K$201,MATCH(ROW()-5,J$6:J$201,0)),"")</f>
        <v/>
      </c>
      <c r="B67" s="135" t="str">
        <f aca="false">IFERROR(INDEX(L$6:L$201,MATCH(ROW()-5,J$6:J$201,0)),"")</f>
        <v/>
      </c>
      <c r="C67" s="136" t="str">
        <f aca="false">IFERROR(INDEX(M$6:M$201,MATCH(ROW()-5,J$6:J$201,0)),"")</f>
        <v/>
      </c>
      <c r="D67" s="136" t="str">
        <f aca="false">IFERROR(INDEX(N$6:N$201,MATCH(ROW()-5,J$6:J$201,0)),"")</f>
        <v/>
      </c>
      <c r="E67" s="135" t="str">
        <f aca="false">IFERROR(INDEX(O$6:O$201,MATCH(ROW()-5,J$6:J$201,0)),"")</f>
        <v/>
      </c>
      <c r="F67" s="136" t="str">
        <f aca="false">IFERROR(INDEX(P$6:P$201,MATCH(ROW()-5,J$6:J$201,0)),"")</f>
        <v/>
      </c>
      <c r="G67" s="130"/>
      <c r="H67" s="130"/>
      <c r="I67" s="130"/>
      <c r="J67" s="130" t="str">
        <f aca="false">IF(PROCESO!D84&gt;0,COUNT(J$6:J66)+1,"")</f>
        <v/>
      </c>
      <c r="K67" s="130" t="str">
        <f aca="false">IF(PROCESO!D84&gt;0,PROCESO!A84&amp;IF(COUNTIF(PROCESO!$A$6:A83,PROCESO!A84)&gt;0," (Ped."&amp;(COUNTIF(PROCESO!$A$6:A83,PROCESO!A84)+1)&amp;")",""),"")</f>
        <v/>
      </c>
      <c r="L67" s="130" t="str">
        <f aca="false">IF(PROCESO!D84&gt;0,"INGRESO (compra)","")</f>
        <v/>
      </c>
      <c r="M67" s="130" t="str">
        <f aca="false">IF(PROCESO!D84&gt;0,PROCESO!D84,"")</f>
        <v/>
      </c>
      <c r="N67" s="130" t="str">
        <f aca="false">""</f>
        <v/>
      </c>
      <c r="O67" s="130" t="str">
        <f aca="false">IF(PROCESO!D84&gt;0,PROCESO!B84&amp;" sacos x "&amp;PROCESO!C84&amp;" kg","")</f>
        <v/>
      </c>
      <c r="P67" s="130" t="n">
        <f aca="false">P66+N(M67)-N(N67)</f>
        <v>6794</v>
      </c>
      <c r="Q67" s="130"/>
      <c r="R67" s="130"/>
      <c r="S67" s="130"/>
      <c r="T67" s="130"/>
    </row>
    <row r="68" customFormat="false" ht="15" hidden="false" customHeight="false" outlineLevel="0" collapsed="false">
      <c r="A68" s="135" t="str">
        <f aca="false">IFERROR(INDEX(K$6:K$201,MATCH(ROW()-5,J$6:J$201,0)),"")</f>
        <v/>
      </c>
      <c r="B68" s="135" t="str">
        <f aca="false">IFERROR(INDEX(L$6:L$201,MATCH(ROW()-5,J$6:J$201,0)),"")</f>
        <v/>
      </c>
      <c r="C68" s="136" t="str">
        <f aca="false">IFERROR(INDEX(M$6:M$201,MATCH(ROW()-5,J$6:J$201,0)),"")</f>
        <v/>
      </c>
      <c r="D68" s="136" t="str">
        <f aca="false">IFERROR(INDEX(N$6:N$201,MATCH(ROW()-5,J$6:J$201,0)),"")</f>
        <v/>
      </c>
      <c r="E68" s="135" t="str">
        <f aca="false">IFERROR(INDEX(O$6:O$201,MATCH(ROW()-5,J$6:J$201,0)),"")</f>
        <v/>
      </c>
      <c r="F68" s="136" t="str">
        <f aca="false">IFERROR(INDEX(P$6:P$201,MATCH(ROW()-5,J$6:J$201,0)),"")</f>
        <v/>
      </c>
      <c r="G68" s="130"/>
      <c r="H68" s="130"/>
      <c r="I68" s="130"/>
      <c r="J68" s="130" t="n">
        <f aca="false">IF(N(PROCESO!H88)&gt;0,COUNT(J$6:J67)+1,"")</f>
        <v>35</v>
      </c>
      <c r="K68" s="130" t="str">
        <f aca="false">IF(N(PROCESO!H88)&gt;0,PROCESO!A84&amp;IF(COUNTIF(PROCESO!$A$6:A83,PROCESO!A84)&gt;0," (Ped."&amp;(COUNTIF(PROCESO!$A$6:A83,PROCESO!A84)+1)&amp;")",""),"")</f>
        <v>MIE 22-07</v>
      </c>
      <c r="L68" s="130" t="str">
        <f aca="false">IF(N(PROCESO!H88)&gt;0,"CHANCHO (proceso)","")</f>
        <v>CHANCHO (proceso)</v>
      </c>
      <c r="M68" s="130" t="str">
        <f aca="false">""</f>
        <v/>
      </c>
      <c r="N68" s="130" t="n">
        <f aca="false">IF(N(PROCESO!H88)&gt;0,N(PROCESO!H88),"")</f>
        <v>760</v>
      </c>
      <c r="O68" s="130" t="str">
        <f aca="false">IF(N(PROCESO!H88)&gt;0,PROCESO!G88&amp;" sacos x 95 kg","")</f>
        <v>8 sacos x 95 kg</v>
      </c>
      <c r="P68" s="130" t="n">
        <f aca="false">P67+N(M68)-N(N68)</f>
        <v>6034</v>
      </c>
      <c r="Q68" s="130"/>
      <c r="R68" s="130"/>
      <c r="S68" s="130"/>
      <c r="T68" s="130"/>
    </row>
    <row r="69" customFormat="false" ht="15" hidden="false" customHeight="false" outlineLevel="0" collapsed="false">
      <c r="A69" s="135" t="str">
        <f aca="false">IFERROR(INDEX(K$6:K$201,MATCH(ROW()-5,J$6:J$201,0)),"")</f>
        <v/>
      </c>
      <c r="B69" s="135" t="str">
        <f aca="false">IFERROR(INDEX(L$6:L$201,MATCH(ROW()-5,J$6:J$201,0)),"")</f>
        <v/>
      </c>
      <c r="C69" s="136" t="str">
        <f aca="false">IFERROR(INDEX(M$6:M$201,MATCH(ROW()-5,J$6:J$201,0)),"")</f>
        <v/>
      </c>
      <c r="D69" s="136" t="str">
        <f aca="false">IFERROR(INDEX(N$6:N$201,MATCH(ROW()-5,J$6:J$201,0)),"")</f>
        <v/>
      </c>
      <c r="E69" s="135" t="str">
        <f aca="false">IFERROR(INDEX(O$6:O$201,MATCH(ROW()-5,J$6:J$201,0)),"")</f>
        <v/>
      </c>
      <c r="F69" s="136" t="str">
        <f aca="false">IFERROR(INDEX(P$6:P$201,MATCH(ROW()-5,J$6:J$201,0)),"")</f>
        <v/>
      </c>
      <c r="G69" s="130"/>
      <c r="H69" s="130"/>
      <c r="I69" s="130"/>
      <c r="J69" s="130" t="n">
        <f aca="false">IF(N(PROCESO!H89)&gt;0,COUNT(J$6:J68)+1,"")</f>
        <v>36</v>
      </c>
      <c r="K69" s="130" t="str">
        <f aca="false">IF(N(PROCESO!H89)&gt;0,PROCESO!A84&amp;IF(COUNTIF(PROCESO!$A$6:A83,PROCESO!A84)&gt;0," (Ped."&amp;(COUNTIF(PROCESO!$A$6:A83,PROCESO!A84)+1)&amp;")",""),"")</f>
        <v>MIE 22-07</v>
      </c>
      <c r="L69" s="130" t="str">
        <f aca="false">IF(N(PROCESO!H89)&gt;0,"MALOGRADO","")</f>
        <v>MALOGRADO</v>
      </c>
      <c r="M69" s="130" t="str">
        <f aca="false">""</f>
        <v/>
      </c>
      <c r="N69" s="130" t="n">
        <f aca="false">IF(N(PROCESO!H89)&gt;0,N(PROCESO!H89),"")</f>
        <v>50</v>
      </c>
      <c r="O69" s="130" t="str">
        <f aca="false">""</f>
        <v/>
      </c>
      <c r="P69" s="130" t="n">
        <f aca="false">P68+N(M69)-N(N69)</f>
        <v>5984</v>
      </c>
      <c r="Q69" s="130"/>
      <c r="R69" s="130"/>
      <c r="S69" s="130"/>
      <c r="T69" s="130"/>
    </row>
    <row r="70" customFormat="false" ht="15" hidden="false" customHeight="false" outlineLevel="0" collapsed="false">
      <c r="A70" s="135" t="str">
        <f aca="false">IFERROR(INDEX(K$6:K$201,MATCH(ROW()-5,J$6:J$201,0)),"")</f>
        <v/>
      </c>
      <c r="B70" s="135" t="str">
        <f aca="false">IFERROR(INDEX(L$6:L$201,MATCH(ROW()-5,J$6:J$201,0)),"")</f>
        <v/>
      </c>
      <c r="C70" s="136" t="str">
        <f aca="false">IFERROR(INDEX(M$6:M$201,MATCH(ROW()-5,J$6:J$201,0)),"")</f>
        <v/>
      </c>
      <c r="D70" s="136" t="str">
        <f aca="false">IFERROR(INDEX(N$6:N$201,MATCH(ROW()-5,J$6:J$201,0)),"")</f>
        <v/>
      </c>
      <c r="E70" s="135" t="str">
        <f aca="false">IFERROR(INDEX(O$6:O$201,MATCH(ROW()-5,J$6:J$201,0)),"")</f>
        <v/>
      </c>
      <c r="F70" s="136" t="str">
        <f aca="false">IFERROR(INDEX(P$6:P$201,MATCH(ROW()-5,J$6:J$201,0)),"")</f>
        <v/>
      </c>
      <c r="G70" s="130"/>
      <c r="H70" s="130"/>
      <c r="I70" s="130"/>
      <c r="J70" s="130" t="n">
        <f aca="false">IF(IF(PROCESO!J84&lt;&gt;"",PROCESO!J84,IF(PROCESO!J85&lt;&gt;"",PROCESO!J85,IF(PROCESO!J86&lt;&gt;"",PROCESO!J86,IF(PROCESO!J87&lt;&gt;"",PROCESO!J87,""))))&lt;&gt;"",COUNT(J$6:J69)+1,"")</f>
        <v>37</v>
      </c>
      <c r="K70" s="130" t="str">
        <f aca="false">IF(IF(PROCESO!J84&lt;&gt;"",PROCESO!J84,IF(PROCESO!J85&lt;&gt;"",PROCESO!J85,IF(PROCESO!J86&lt;&gt;"",PROCESO!J86,IF(PROCESO!J87&lt;&gt;"",PROCESO!J87,""))))&lt;&gt;"",PROCESO!A84&amp;IF(COUNTIF(PROCESO!$A$6:A83,PROCESO!A84)&gt;0," (Ped."&amp;(COUNTIF(PROCESO!$A$6:A83,PROCESO!A84)+1)&amp;")",""),"")</f>
        <v>MIE 22-07</v>
      </c>
      <c r="L70" s="130" t="str">
        <f aca="false">IF(IF(PROCESO!J84&lt;&gt;"",PROCESO!J84,IF(PROCESO!J85&lt;&gt;"",PROCESO!J85,IF(PROCESO!J86&lt;&gt;"",PROCESO!J86,IF(PROCESO!J87&lt;&gt;"",PROCESO!J87,""))))&lt;&gt;"","ENVÍO Guía "&amp;IF(LEFT(IF(PROCESO!J84&lt;&gt;"",PROCESO!J84,IF(PROCESO!J85&lt;&gt;"",PROCESO!J85,IF(PROCESO!J86&lt;&gt;"",PROCESO!J86,IF(PROCESO!J87&lt;&gt;"",PROCESO!J87,"")))),2)="G-",MID(IF(PROCESO!J84&lt;&gt;"",PROCESO!J84,IF(PROCESO!J85&lt;&gt;"",PROCESO!J85,IF(PROCESO!J86&lt;&gt;"",PROCESO!J86,IF(PROCESO!J87&lt;&gt;"",PROCESO!J87,"")))),3,99),IF(PROCESO!J84&lt;&gt;"",PROCESO!J84,IF(PROCESO!J85&lt;&gt;"",PROCESO!J85,IF(PROCESO!J86&lt;&gt;"",PROCESO!J86,IF(PROCESO!J87&lt;&gt;"",PROCESO!J87,""))))),"")</f>
        <v>ENVÍO Guía 3006</v>
      </c>
      <c r="M70" s="130" t="str">
        <f aca="false">""</f>
        <v/>
      </c>
      <c r="N70" s="130" t="n">
        <f aca="false">IF(IF(PROCESO!J84&lt;&gt;"",PROCESO!J84,IF(PROCESO!J85&lt;&gt;"",PROCESO!J85,IF(PROCESO!J86&lt;&gt;"",PROCESO!J86,IF(PROCESO!J87&lt;&gt;"",PROCESO!J87,""))))&lt;&gt;"",SUMIF(PROCESO!J84:J87,IF(PROCESO!J84&lt;&gt;"",PROCESO!J84,IF(PROCESO!J85&lt;&gt;"",PROCESO!J85,IF(PROCESO!J86&lt;&gt;"",PROCESO!J86,IF(PROCESO!J87&lt;&gt;"",PROCESO!J87,"")))),PROCESO!L84:L87),"")</f>
        <v>3294</v>
      </c>
      <c r="O70" s="130" t="str">
        <f aca="false">IF(IF(PROCESO!J84&lt;&gt;"",PROCESO!J84,IF(PROCESO!J85&lt;&gt;"",PROCESO!J85,IF(PROCESO!J86&lt;&gt;"",PROCESO!J86,IF(PROCESO!J87&lt;&gt;"",PROCESO!J87,""))))&lt;&gt;"","G-"&amp;IF(LEFT(IF(PROCESO!J84&lt;&gt;"",PROCESO!J84,IF(PROCESO!J85&lt;&gt;"",PROCESO!J85,IF(PROCESO!J86&lt;&gt;"",PROCESO!J86,IF(PROCESO!J87&lt;&gt;"",PROCESO!J87,"")))),2)="G-",MID(IF(PROCESO!J84&lt;&gt;"",PROCESO!J84,IF(PROCESO!J85&lt;&gt;"",PROCESO!J85,IF(PROCESO!J86&lt;&gt;"",PROCESO!J86,IF(PROCESO!J87&lt;&gt;"",PROCESO!J87,"")))),3,99),IF(PROCESO!J84&lt;&gt;"",PROCESO!J84,IF(PROCESO!J85&lt;&gt;"",PROCESO!J85,IF(PROCESO!J86&lt;&gt;"",PROCESO!J86,IF(PROCESO!J87&lt;&gt;"",PROCESO!J87,""))))),"")</f>
        <v>G-3006</v>
      </c>
      <c r="P70" s="130" t="n">
        <f aca="false">P69+N(M70)-N(N70)</f>
        <v>2690</v>
      </c>
      <c r="Q70" s="130"/>
      <c r="R70" s="130"/>
      <c r="S70" s="130"/>
      <c r="T70" s="130"/>
    </row>
    <row r="71" customFormat="false" ht="15" hidden="false" customHeight="false" outlineLevel="0" collapsed="false">
      <c r="A71" s="135" t="str">
        <f aca="false">IFERROR(INDEX(K$6:K$201,MATCH(ROW()-5,J$6:J$201,0)),"")</f>
        <v/>
      </c>
      <c r="B71" s="135" t="str">
        <f aca="false">IFERROR(INDEX(L$6:L$201,MATCH(ROW()-5,J$6:J$201,0)),"")</f>
        <v/>
      </c>
      <c r="C71" s="136" t="str">
        <f aca="false">IFERROR(INDEX(M$6:M$201,MATCH(ROW()-5,J$6:J$201,0)),"")</f>
        <v/>
      </c>
      <c r="D71" s="136" t="str">
        <f aca="false">IFERROR(INDEX(N$6:N$201,MATCH(ROW()-5,J$6:J$201,0)),"")</f>
        <v/>
      </c>
      <c r="E71" s="135" t="str">
        <f aca="false">IFERROR(INDEX(O$6:O$201,MATCH(ROW()-5,J$6:J$201,0)),"")</f>
        <v/>
      </c>
      <c r="F71" s="136" t="str">
        <f aca="false">IFERROR(INDEX(P$6:P$201,MATCH(ROW()-5,J$6:J$201,0)),"")</f>
        <v/>
      </c>
      <c r="G71" s="130"/>
      <c r="H71" s="130"/>
      <c r="I71" s="130"/>
      <c r="J71" s="130" t="n">
        <f aca="false">IF(OR(SUM(PROCESO!M84:M87)&gt;0,SUM(PROCESO!N84:N87)&gt;0),COUNT(J$6:J70)+1,"")</f>
        <v>38</v>
      </c>
      <c r="K71" s="130" t="str">
        <f aca="false">IF(OR(SUM(PROCESO!M84:M87)&gt;0,SUM(PROCESO!N84:N87)&gt;0),PROCESO!A84&amp;IF(COUNTIF(PROCESO!$A$6:A83,PROCESO!A84)&gt;0," (Ped."&amp;(COUNTIF(PROCESO!$A$6:A83,PROCESO!A84)+1)&amp;")",""),"")</f>
        <v>MIE 22-07</v>
      </c>
      <c r="L71" s="130" t="str">
        <f aca="false">IF(OR(SUM(PROCESO!M84:M87)&gt;0,SUM(PROCESO!N84:N87)&gt;0),"REPROCESO (devolución)","")</f>
        <v>REPROCESO (devolución)</v>
      </c>
      <c r="M71" s="130" t="n">
        <f aca="false">IF(OR(SUM(PROCESO!M84:M87)&gt;0,SUM(PROCESO!N84:N87)&gt;0),SUM(PROCESO!N84:N87),"")</f>
        <v>162</v>
      </c>
      <c r="N71" s="130" t="str">
        <f aca="false">""</f>
        <v/>
      </c>
      <c r="O71" s="130" t="str">
        <f aca="false">IF(OR(SUM(PROCESO!M84:M87)&gt;0,SUM(PROCESO!N84:N87)&gt;0),IF(SUM(PROCESO!M84:M87)&gt;0,SUM(PROCESO!M84:M87)&amp;" jabas devueltas · merma "&amp;TEXT((PROCESO!M84*15+PROCESO!M85*18+PROCESO!M86*17+PROCESO!M87*17)-SUM(PROCESO!N84:N87),"+#,##0;-#,##0;0")&amp;" kg",""),"")</f>
        <v>10 jabas devueltas · merma +6 kg</v>
      </c>
      <c r="P71" s="130" t="n">
        <f aca="false">P70+N(M71)-N(N71)</f>
        <v>2852</v>
      </c>
      <c r="Q71" s="130"/>
      <c r="R71" s="130"/>
      <c r="S71" s="130"/>
      <c r="T71" s="130"/>
    </row>
    <row r="72" customFormat="false" ht="15" hidden="false" customHeight="false" outlineLevel="0" collapsed="false">
      <c r="A72" s="135" t="str">
        <f aca="false">IFERROR(INDEX(K$6:K$201,MATCH(ROW()-5,J$6:J$201,0)),"")</f>
        <v/>
      </c>
      <c r="B72" s="135" t="str">
        <f aca="false">IFERROR(INDEX(L$6:L$201,MATCH(ROW()-5,J$6:J$201,0)),"")</f>
        <v/>
      </c>
      <c r="C72" s="136" t="str">
        <f aca="false">IFERROR(INDEX(M$6:M$201,MATCH(ROW()-5,J$6:J$201,0)),"")</f>
        <v/>
      </c>
      <c r="D72" s="136" t="str">
        <f aca="false">IFERROR(INDEX(N$6:N$201,MATCH(ROW()-5,J$6:J$201,0)),"")</f>
        <v/>
      </c>
      <c r="E72" s="135" t="str">
        <f aca="false">IFERROR(INDEX(O$6:O$201,MATCH(ROW()-5,J$6:J$201,0)),"")</f>
        <v/>
      </c>
      <c r="F72" s="136" t="str">
        <f aca="false">IFERROR(INDEX(P$6:P$201,MATCH(ROW()-5,J$6:J$201,0)),"")</f>
        <v/>
      </c>
      <c r="G72" s="130"/>
      <c r="H72" s="130"/>
      <c r="I72" s="130"/>
      <c r="J72" s="130" t="n">
        <f aca="false">IF(PROCESO!D90&gt;0,COUNT(J$6:J71)+1,"")</f>
        <v>39</v>
      </c>
      <c r="K72" s="130" t="str">
        <f aca="false">IF(PROCESO!D90&gt;0,PROCESO!A90&amp;IF(COUNTIF(PROCESO!$A$6:A89,PROCESO!A90)&gt;0," (Ped."&amp;(COUNTIF(PROCESO!$A$6:A89,PROCESO!A90)+1)&amp;")",""),"")</f>
        <v>MIE 22-07 (Ped.2)</v>
      </c>
      <c r="L72" s="130" t="str">
        <f aca="false">IF(PROCESO!D90&gt;0,"INGRESO (compra)","")</f>
        <v>INGRESO (compra)</v>
      </c>
      <c r="M72" s="137" t="n">
        <f aca="false">IF(PROCESO!D90&gt;0,PROCESO!D90,"")</f>
        <v>3800</v>
      </c>
      <c r="N72" s="130" t="str">
        <f aca="false">""</f>
        <v/>
      </c>
      <c r="O72" s="130" t="str">
        <f aca="false">IF(PROCESO!D90&gt;0,PROCESO!B90&amp;" sacos x "&amp;PROCESO!C90&amp;" kg","")</f>
        <v>40 sacos x 95 kg</v>
      </c>
      <c r="P72" s="130" t="n">
        <f aca="false">P71+N(M72)-N(N72)</f>
        <v>6652</v>
      </c>
      <c r="Q72" s="130"/>
      <c r="R72" s="130"/>
      <c r="S72" s="130"/>
      <c r="T72" s="130"/>
    </row>
    <row r="73" customFormat="false" ht="15" hidden="false" customHeight="false" outlineLevel="0" collapsed="false">
      <c r="A73" s="135" t="str">
        <f aca="false">IFERROR(INDEX(K$6:K$201,MATCH(ROW()-5,J$6:J$201,0)),"")</f>
        <v/>
      </c>
      <c r="B73" s="135" t="str">
        <f aca="false">IFERROR(INDEX(L$6:L$201,MATCH(ROW()-5,J$6:J$201,0)),"")</f>
        <v/>
      </c>
      <c r="C73" s="136" t="str">
        <f aca="false">IFERROR(INDEX(M$6:M$201,MATCH(ROW()-5,J$6:J$201,0)),"")</f>
        <v/>
      </c>
      <c r="D73" s="136" t="str">
        <f aca="false">IFERROR(INDEX(N$6:N$201,MATCH(ROW()-5,J$6:J$201,0)),"")</f>
        <v/>
      </c>
      <c r="E73" s="135" t="str">
        <f aca="false">IFERROR(INDEX(O$6:O$201,MATCH(ROW()-5,J$6:J$201,0)),"")</f>
        <v/>
      </c>
      <c r="F73" s="136" t="str">
        <f aca="false">IFERROR(INDEX(P$6:P$201,MATCH(ROW()-5,J$6:J$201,0)),"")</f>
        <v/>
      </c>
      <c r="G73" s="130"/>
      <c r="H73" s="130"/>
      <c r="I73" s="130"/>
      <c r="J73" s="130" t="n">
        <f aca="false">IF(N(PROCESO!H94)&gt;0,COUNT(J$6:J72)+1,"")</f>
        <v>40</v>
      </c>
      <c r="K73" s="130" t="str">
        <f aca="false">IF(N(PROCESO!H94)&gt;0,PROCESO!A90&amp;IF(COUNTIF(PROCESO!$A$6:A89,PROCESO!A90)&gt;0," (Ped."&amp;(COUNTIF(PROCESO!$A$6:A89,PROCESO!A90)+1)&amp;")",""),"")</f>
        <v>MIE 22-07 (Ped.2)</v>
      </c>
      <c r="L73" s="130" t="str">
        <f aca="false">IF(N(PROCESO!H94)&gt;0,"CHANCHO (proceso)","")</f>
        <v>CHANCHO (proceso)</v>
      </c>
      <c r="M73" s="130" t="str">
        <f aca="false">""</f>
        <v/>
      </c>
      <c r="N73" s="130" t="n">
        <f aca="false">IF(N(PROCESO!H94)&gt;0,N(PROCESO!H94),"")</f>
        <v>617.5</v>
      </c>
      <c r="O73" s="130" t="str">
        <f aca="false">IF(N(PROCESO!H94)&gt;0,PROCESO!G94&amp;" sacos x 95 kg","")</f>
        <v>6.5 sacos x 95 kg</v>
      </c>
      <c r="P73" s="130" t="n">
        <f aca="false">P72+N(M73)-N(N73)</f>
        <v>6034.5</v>
      </c>
      <c r="Q73" s="130"/>
      <c r="R73" s="130"/>
      <c r="S73" s="130"/>
      <c r="T73" s="130"/>
    </row>
    <row r="74" customFormat="false" ht="15" hidden="false" customHeight="false" outlineLevel="0" collapsed="false">
      <c r="A74" s="135" t="str">
        <f aca="false">IFERROR(INDEX(K$6:K$201,MATCH(ROW()-5,J$6:J$201,0)),"")</f>
        <v/>
      </c>
      <c r="B74" s="135" t="str">
        <f aca="false">IFERROR(INDEX(L$6:L$201,MATCH(ROW()-5,J$6:J$201,0)),"")</f>
        <v/>
      </c>
      <c r="C74" s="136" t="str">
        <f aca="false">IFERROR(INDEX(M$6:M$201,MATCH(ROW()-5,J$6:J$201,0)),"")</f>
        <v/>
      </c>
      <c r="D74" s="136" t="str">
        <f aca="false">IFERROR(INDEX(N$6:N$201,MATCH(ROW()-5,J$6:J$201,0)),"")</f>
        <v/>
      </c>
      <c r="E74" s="135" t="str">
        <f aca="false">IFERROR(INDEX(O$6:O$201,MATCH(ROW()-5,J$6:J$201,0)),"")</f>
        <v/>
      </c>
      <c r="F74" s="136" t="str">
        <f aca="false">IFERROR(INDEX(P$6:P$201,MATCH(ROW()-5,J$6:J$201,0)),"")</f>
        <v/>
      </c>
      <c r="G74" s="130"/>
      <c r="H74" s="130"/>
      <c r="I74" s="130"/>
      <c r="J74" s="130" t="str">
        <f aca="false">IF(N(PROCESO!H95)&gt;0,COUNT(J$6:J73)+1,"")</f>
        <v/>
      </c>
      <c r="K74" s="130" t="str">
        <f aca="false">IF(N(PROCESO!H95)&gt;0,PROCESO!A90&amp;IF(COUNTIF(PROCESO!$A$6:A89,PROCESO!A90)&gt;0," (Ped."&amp;(COUNTIF(PROCESO!$A$6:A89,PROCESO!A90)+1)&amp;")",""),"")</f>
        <v/>
      </c>
      <c r="L74" s="130" t="str">
        <f aca="false">IF(N(PROCESO!H95)&gt;0,"MALOGRADO","")</f>
        <v/>
      </c>
      <c r="M74" s="130" t="str">
        <f aca="false">""</f>
        <v/>
      </c>
      <c r="N74" s="130" t="str">
        <f aca="false">IF(N(PROCESO!H95)&gt;0,N(PROCESO!H95),"")</f>
        <v/>
      </c>
      <c r="O74" s="130" t="str">
        <f aca="false">""</f>
        <v/>
      </c>
      <c r="P74" s="130" t="n">
        <f aca="false">P73+N(M74)-N(N74)</f>
        <v>6034.5</v>
      </c>
      <c r="Q74" s="130"/>
      <c r="R74" s="130"/>
      <c r="S74" s="130"/>
      <c r="T74" s="130"/>
    </row>
    <row r="75" customFormat="false" ht="15" hidden="false" customHeight="false" outlineLevel="0" collapsed="false">
      <c r="A75" s="135" t="str">
        <f aca="false">IFERROR(INDEX(K$6:K$201,MATCH(ROW()-5,J$6:J$201,0)),"")</f>
        <v/>
      </c>
      <c r="B75" s="135" t="str">
        <f aca="false">IFERROR(INDEX(L$6:L$201,MATCH(ROW()-5,J$6:J$201,0)),"")</f>
        <v/>
      </c>
      <c r="C75" s="136" t="str">
        <f aca="false">IFERROR(INDEX(M$6:M$201,MATCH(ROW()-5,J$6:J$201,0)),"")</f>
        <v/>
      </c>
      <c r="D75" s="136" t="str">
        <f aca="false">IFERROR(INDEX(N$6:N$201,MATCH(ROW()-5,J$6:J$201,0)),"")</f>
        <v/>
      </c>
      <c r="E75" s="135" t="str">
        <f aca="false">IFERROR(INDEX(O$6:O$201,MATCH(ROW()-5,J$6:J$201,0)),"")</f>
        <v/>
      </c>
      <c r="F75" s="136" t="str">
        <f aca="false">IFERROR(INDEX(P$6:P$201,MATCH(ROW()-5,J$6:J$201,0)),"")</f>
        <v/>
      </c>
      <c r="G75" s="130"/>
      <c r="H75" s="130"/>
      <c r="I75" s="130"/>
      <c r="J75" s="130" t="n">
        <f aca="false">IF(IF(PROCESO!J90&lt;&gt;"",PROCESO!J90,IF(PROCESO!J91&lt;&gt;"",PROCESO!J91,IF(PROCESO!J92&lt;&gt;"",PROCESO!J92,IF(PROCESO!J93&lt;&gt;"",PROCESO!J93,""))))&lt;&gt;"",COUNT(J$6:J74)+1,"")</f>
        <v>41</v>
      </c>
      <c r="K75" s="130" t="str">
        <f aca="false">IF(IF(PROCESO!J90&lt;&gt;"",PROCESO!J90,IF(PROCESO!J91&lt;&gt;"",PROCESO!J91,IF(PROCESO!J92&lt;&gt;"",PROCESO!J92,IF(PROCESO!J93&lt;&gt;"",PROCESO!J93,""))))&lt;&gt;"",PROCESO!A90&amp;IF(COUNTIF(PROCESO!$A$6:A89,PROCESO!A90)&gt;0," (Ped."&amp;(COUNTIF(PROCESO!$A$6:A89,PROCESO!A90)+1)&amp;")",""),"")</f>
        <v>MIE 22-07 (Ped.2)</v>
      </c>
      <c r="L75" s="130" t="str">
        <f aca="false">IF(IF(PROCESO!J90&lt;&gt;"",PROCESO!J90,IF(PROCESO!J91&lt;&gt;"",PROCESO!J91,IF(PROCESO!J92&lt;&gt;"",PROCESO!J92,IF(PROCESO!J93&lt;&gt;"",PROCESO!J93,""))))&lt;&gt;"","ENVÍO Guía "&amp;IF(LEFT(IF(PROCESO!J90&lt;&gt;"",PROCESO!J90,IF(PROCESO!J91&lt;&gt;"",PROCESO!J91,IF(PROCESO!J92&lt;&gt;"",PROCESO!J92,IF(PROCESO!J93&lt;&gt;"",PROCESO!J93,"")))),2)="G-",MID(IF(PROCESO!J90&lt;&gt;"",PROCESO!J90,IF(PROCESO!J91&lt;&gt;"",PROCESO!J91,IF(PROCESO!J92&lt;&gt;"",PROCESO!J92,IF(PROCESO!J93&lt;&gt;"",PROCESO!J93,"")))),3,99),IF(PROCESO!J90&lt;&gt;"",PROCESO!J90,IF(PROCESO!J91&lt;&gt;"",PROCESO!J91,IF(PROCESO!J92&lt;&gt;"",PROCESO!J92,IF(PROCESO!J93&lt;&gt;"",PROCESO!J93,""))))),"")</f>
        <v>ENVÍO Guía 3008</v>
      </c>
      <c r="M75" s="130" t="str">
        <f aca="false">""</f>
        <v/>
      </c>
      <c r="N75" s="130" t="n">
        <f aca="false">IF(IF(PROCESO!J90&lt;&gt;"",PROCESO!J90,IF(PROCESO!J91&lt;&gt;"",PROCESO!J91,IF(PROCESO!J92&lt;&gt;"",PROCESO!J92,IF(PROCESO!J93&lt;&gt;"",PROCESO!J93,""))))&lt;&gt;"",SUMIF(PROCESO!J90:J93,IF(PROCESO!J90&lt;&gt;"",PROCESO!J90,IF(PROCESO!J91&lt;&gt;"",PROCESO!J91,IF(PROCESO!J92&lt;&gt;"",PROCESO!J92,IF(PROCESO!J93&lt;&gt;"",PROCESO!J93,"")))),PROCESO!L90:L93),"")</f>
        <v>3413</v>
      </c>
      <c r="O75" s="130" t="str">
        <f aca="false">IF(IF(PROCESO!J90&lt;&gt;"",PROCESO!J90,IF(PROCESO!J91&lt;&gt;"",PROCESO!J91,IF(PROCESO!J92&lt;&gt;"",PROCESO!J92,IF(PROCESO!J93&lt;&gt;"",PROCESO!J93,""))))&lt;&gt;"","G-"&amp;IF(LEFT(IF(PROCESO!J90&lt;&gt;"",PROCESO!J90,IF(PROCESO!J91&lt;&gt;"",PROCESO!J91,IF(PROCESO!J92&lt;&gt;"",PROCESO!J92,IF(PROCESO!J93&lt;&gt;"",PROCESO!J93,"")))),2)="G-",MID(IF(PROCESO!J90&lt;&gt;"",PROCESO!J90,IF(PROCESO!J91&lt;&gt;"",PROCESO!J91,IF(PROCESO!J92&lt;&gt;"",PROCESO!J92,IF(PROCESO!J93&lt;&gt;"",PROCESO!J93,"")))),3,99),IF(PROCESO!J90&lt;&gt;"",PROCESO!J90,IF(PROCESO!J91&lt;&gt;"",PROCESO!J91,IF(PROCESO!J92&lt;&gt;"",PROCESO!J92,IF(PROCESO!J93&lt;&gt;"",PROCESO!J93,""))))),"")</f>
        <v>G-3008</v>
      </c>
      <c r="P75" s="130" t="n">
        <f aca="false">P74+N(M75)-N(N75)</f>
        <v>2621.5</v>
      </c>
      <c r="Q75" s="130"/>
      <c r="R75" s="130"/>
      <c r="S75" s="130"/>
      <c r="T75" s="130"/>
    </row>
    <row r="76" customFormat="false" ht="15" hidden="false" customHeight="false" outlineLevel="0" collapsed="false">
      <c r="A76" s="135" t="str">
        <f aca="false">IFERROR(INDEX(K$6:K$201,MATCH(ROW()-5,J$6:J$201,0)),"")</f>
        <v/>
      </c>
      <c r="B76" s="135" t="str">
        <f aca="false">IFERROR(INDEX(L$6:L$201,MATCH(ROW()-5,J$6:J$201,0)),"")</f>
        <v/>
      </c>
      <c r="C76" s="136" t="str">
        <f aca="false">IFERROR(INDEX(M$6:M$201,MATCH(ROW()-5,J$6:J$201,0)),"")</f>
        <v/>
      </c>
      <c r="D76" s="136" t="str">
        <f aca="false">IFERROR(INDEX(N$6:N$201,MATCH(ROW()-5,J$6:J$201,0)),"")</f>
        <v/>
      </c>
      <c r="E76" s="135" t="str">
        <f aca="false">IFERROR(INDEX(O$6:O$201,MATCH(ROW()-5,J$6:J$201,0)),"")</f>
        <v/>
      </c>
      <c r="F76" s="136" t="str">
        <f aca="false">IFERROR(INDEX(P$6:P$201,MATCH(ROW()-5,J$6:J$201,0)),"")</f>
        <v/>
      </c>
      <c r="G76" s="130"/>
      <c r="H76" s="130"/>
      <c r="I76" s="130"/>
      <c r="J76" s="130" t="str">
        <f aca="false">IF(OR(SUM(PROCESO!M90:M93)&gt;0,SUM(PROCESO!N90:N93)&gt;0),COUNT(J$6:J75)+1,"")</f>
        <v/>
      </c>
      <c r="K76" s="130" t="str">
        <f aca="false">IF(OR(SUM(PROCESO!M90:M93)&gt;0,SUM(PROCESO!N90:N93)&gt;0),PROCESO!A90&amp;IF(COUNTIF(PROCESO!$A$6:A89,PROCESO!A90)&gt;0," (Ped."&amp;(COUNTIF(PROCESO!$A$6:A89,PROCESO!A90)+1)&amp;")",""),"")</f>
        <v/>
      </c>
      <c r="L76" s="130" t="str">
        <f aca="false">IF(OR(SUM(PROCESO!M90:M93)&gt;0,SUM(PROCESO!N90:N93)&gt;0),"REPROCESO (devolución)","")</f>
        <v/>
      </c>
      <c r="M76" s="130" t="str">
        <f aca="false">IF(OR(SUM(PROCESO!M90:M93)&gt;0,SUM(PROCESO!N90:N93)&gt;0),SUM(PROCESO!N90:N93),"")</f>
        <v/>
      </c>
      <c r="N76" s="130" t="str">
        <f aca="false">""</f>
        <v/>
      </c>
      <c r="O76" s="130" t="str">
        <f aca="false">IF(OR(SUM(PROCESO!M90:M93)&gt;0,SUM(PROCESO!N90:N93)&gt;0),IF(SUM(PROCESO!M90:M93)&gt;0,SUM(PROCESO!M90:M93)&amp;" jabas devueltas · merma "&amp;TEXT((PROCESO!M90*15+PROCESO!M91*18+PROCESO!M92*17+PROCESO!M93*17)-SUM(PROCESO!N90:N93),"+#,##0;-#,##0;0")&amp;" kg",""),"")</f>
        <v/>
      </c>
      <c r="P76" s="130" t="n">
        <f aca="false">P75+N(M76)-N(N76)</f>
        <v>2621.5</v>
      </c>
      <c r="Q76" s="130"/>
      <c r="R76" s="130"/>
      <c r="S76" s="130"/>
      <c r="T76" s="130"/>
    </row>
    <row r="77" customFormat="false" ht="15" hidden="false" customHeight="false" outlineLevel="0" collapsed="false">
      <c r="A77" s="135" t="str">
        <f aca="false">IFERROR(INDEX(K$6:K$201,MATCH(ROW()-5,J$6:J$201,0)),"")</f>
        <v/>
      </c>
      <c r="B77" s="135" t="str">
        <f aca="false">IFERROR(INDEX(L$6:L$201,MATCH(ROW()-5,J$6:J$201,0)),"")</f>
        <v/>
      </c>
      <c r="C77" s="136" t="str">
        <f aca="false">IFERROR(INDEX(M$6:M$201,MATCH(ROW()-5,J$6:J$201,0)),"")</f>
        <v/>
      </c>
      <c r="D77" s="136" t="str">
        <f aca="false">IFERROR(INDEX(N$6:N$201,MATCH(ROW()-5,J$6:J$201,0)),"")</f>
        <v/>
      </c>
      <c r="E77" s="135" t="str">
        <f aca="false">IFERROR(INDEX(O$6:O$201,MATCH(ROW()-5,J$6:J$201,0)),"")</f>
        <v/>
      </c>
      <c r="F77" s="136" t="str">
        <f aca="false">IFERROR(INDEX(P$6:P$201,MATCH(ROW()-5,J$6:J$201,0)),"")</f>
        <v/>
      </c>
      <c r="G77" s="130"/>
      <c r="H77" s="130"/>
      <c r="I77" s="130"/>
      <c r="J77" s="130" t="n">
        <f aca="false">IF(PROCESO!D96&gt;0,COUNT(J$6:J76)+1,"")</f>
        <v>42</v>
      </c>
      <c r="K77" s="130" t="str">
        <f aca="false">IF(PROCESO!D96&gt;0,PROCESO!A96&amp;IF(COUNTIF(PROCESO!$A$6:A95,PROCESO!A96)&gt;0," (Ped."&amp;(COUNTIF(PROCESO!$A$6:A95,PROCESO!A96)+1)&amp;")",""),"")</f>
        <v>JUE 24-7</v>
      </c>
      <c r="L77" s="130" t="str">
        <f aca="false">IF(PROCESO!D96&gt;0,"INGRESO (compra)","")</f>
        <v>INGRESO (compra)</v>
      </c>
      <c r="M77" s="137" t="n">
        <f aca="false">IF(PROCESO!D96&gt;0,PROCESO!D96,"")</f>
        <v>6650</v>
      </c>
      <c r="N77" s="130" t="str">
        <f aca="false">""</f>
        <v/>
      </c>
      <c r="O77" s="130" t="str">
        <f aca="false">IF(PROCESO!D96&gt;0,PROCESO!B96&amp;" sacos x "&amp;PROCESO!C96&amp;" kg","")</f>
        <v>70 sacos x 95 kg</v>
      </c>
      <c r="P77" s="130" t="n">
        <f aca="false">P76+N(M77)-N(N77)</f>
        <v>9271.5</v>
      </c>
      <c r="Q77" s="130"/>
      <c r="R77" s="130"/>
      <c r="S77" s="130"/>
      <c r="T77" s="130"/>
    </row>
    <row r="78" customFormat="false" ht="15" hidden="false" customHeight="false" outlineLevel="0" collapsed="false">
      <c r="A78" s="135" t="str">
        <f aca="false">IFERROR(INDEX(K$6:K$201,MATCH(ROW()-5,J$6:J$201,0)),"")</f>
        <v/>
      </c>
      <c r="B78" s="135" t="str">
        <f aca="false">IFERROR(INDEX(L$6:L$201,MATCH(ROW()-5,J$6:J$201,0)),"")</f>
        <v/>
      </c>
      <c r="C78" s="136" t="str">
        <f aca="false">IFERROR(INDEX(M$6:M$201,MATCH(ROW()-5,J$6:J$201,0)),"")</f>
        <v/>
      </c>
      <c r="D78" s="136" t="str">
        <f aca="false">IFERROR(INDEX(N$6:N$201,MATCH(ROW()-5,J$6:J$201,0)),"")</f>
        <v/>
      </c>
      <c r="E78" s="135" t="str">
        <f aca="false">IFERROR(INDEX(O$6:O$201,MATCH(ROW()-5,J$6:J$201,0)),"")</f>
        <v/>
      </c>
      <c r="F78" s="136" t="str">
        <f aca="false">IFERROR(INDEX(P$6:P$201,MATCH(ROW()-5,J$6:J$201,0)),"")</f>
        <v/>
      </c>
      <c r="G78" s="130"/>
      <c r="H78" s="130"/>
      <c r="I78" s="130"/>
      <c r="J78" s="130" t="n">
        <f aca="false">IF(N(PROCESO!H100)&gt;0,COUNT(J$6:J77)+1,"")</f>
        <v>43</v>
      </c>
      <c r="K78" s="130" t="str">
        <f aca="false">IF(N(PROCESO!H100)&gt;0,PROCESO!A96&amp;IF(COUNTIF(PROCESO!$A$6:A95,PROCESO!A96)&gt;0," (Ped."&amp;(COUNTIF(PROCESO!$A$6:A95,PROCESO!A96)+1)&amp;")",""),"")</f>
        <v>JUE 24-7</v>
      </c>
      <c r="L78" s="130" t="str">
        <f aca="false">IF(N(PROCESO!H100)&gt;0,"CHANCHO (proceso)","")</f>
        <v>CHANCHO (proceso)</v>
      </c>
      <c r="M78" s="130" t="str">
        <f aca="false">""</f>
        <v/>
      </c>
      <c r="N78" s="130" t="n">
        <f aca="false">IF(N(PROCESO!H100)&gt;0,N(PROCESO!H100),"")</f>
        <v>570</v>
      </c>
      <c r="O78" s="130" t="str">
        <f aca="false">IF(N(PROCESO!H100)&gt;0,PROCESO!G100&amp;" sacos x 95 kg","")</f>
        <v>6 sacos x 95 kg</v>
      </c>
      <c r="P78" s="130" t="n">
        <f aca="false">P77+N(M78)-N(N78)</f>
        <v>8701.5</v>
      </c>
      <c r="Q78" s="130"/>
      <c r="R78" s="130"/>
      <c r="S78" s="130"/>
      <c r="T78" s="130"/>
    </row>
    <row r="79" customFormat="false" ht="15" hidden="false" customHeight="false" outlineLevel="0" collapsed="false">
      <c r="A79" s="135" t="str">
        <f aca="false">IFERROR(INDEX(K$6:K$201,MATCH(ROW()-5,J$6:J$201,0)),"")</f>
        <v/>
      </c>
      <c r="B79" s="135" t="str">
        <f aca="false">IFERROR(INDEX(L$6:L$201,MATCH(ROW()-5,J$6:J$201,0)),"")</f>
        <v/>
      </c>
      <c r="C79" s="136" t="str">
        <f aca="false">IFERROR(INDEX(M$6:M$201,MATCH(ROW()-5,J$6:J$201,0)),"")</f>
        <v/>
      </c>
      <c r="D79" s="136" t="str">
        <f aca="false">IFERROR(INDEX(N$6:N$201,MATCH(ROW()-5,J$6:J$201,0)),"")</f>
        <v/>
      </c>
      <c r="E79" s="135" t="str">
        <f aca="false">IFERROR(INDEX(O$6:O$201,MATCH(ROW()-5,J$6:J$201,0)),"")</f>
        <v/>
      </c>
      <c r="F79" s="136" t="str">
        <f aca="false">IFERROR(INDEX(P$6:P$201,MATCH(ROW()-5,J$6:J$201,0)),"")</f>
        <v/>
      </c>
      <c r="G79" s="130"/>
      <c r="H79" s="130"/>
      <c r="I79" s="130"/>
      <c r="J79" s="130" t="str">
        <f aca="false">IF(N(PROCESO!H101)&gt;0,COUNT(J$6:J78)+1,"")</f>
        <v/>
      </c>
      <c r="K79" s="130" t="str">
        <f aca="false">IF(N(PROCESO!H101)&gt;0,PROCESO!A96&amp;IF(COUNTIF(PROCESO!$A$6:A95,PROCESO!A96)&gt;0," (Ped."&amp;(COUNTIF(PROCESO!$A$6:A95,PROCESO!A96)+1)&amp;")",""),"")</f>
        <v/>
      </c>
      <c r="L79" s="130" t="str">
        <f aca="false">IF(N(PROCESO!H101)&gt;0,"MALOGRADO","")</f>
        <v/>
      </c>
      <c r="M79" s="130" t="str">
        <f aca="false">""</f>
        <v/>
      </c>
      <c r="N79" s="130" t="str">
        <f aca="false">IF(N(PROCESO!H101)&gt;0,N(PROCESO!H101),"")</f>
        <v/>
      </c>
      <c r="O79" s="130" t="str">
        <f aca="false">""</f>
        <v/>
      </c>
      <c r="P79" s="130" t="n">
        <f aca="false">P78+N(M79)-N(N79)</f>
        <v>8701.5</v>
      </c>
      <c r="Q79" s="130"/>
      <c r="R79" s="130"/>
      <c r="S79" s="130"/>
      <c r="T79" s="130"/>
    </row>
    <row r="80" customFormat="false" ht="15" hidden="false" customHeight="false" outlineLevel="0" collapsed="false">
      <c r="A80" s="135" t="str">
        <f aca="false">IFERROR(INDEX(K$6:K$201,MATCH(ROW()-5,J$6:J$201,0)),"")</f>
        <v/>
      </c>
      <c r="B80" s="135" t="str">
        <f aca="false">IFERROR(INDEX(L$6:L$201,MATCH(ROW()-5,J$6:J$201,0)),"")</f>
        <v/>
      </c>
      <c r="C80" s="136" t="str">
        <f aca="false">IFERROR(INDEX(M$6:M$201,MATCH(ROW()-5,J$6:J$201,0)),"")</f>
        <v/>
      </c>
      <c r="D80" s="136" t="str">
        <f aca="false">IFERROR(INDEX(N$6:N$201,MATCH(ROW()-5,J$6:J$201,0)),"")</f>
        <v/>
      </c>
      <c r="E80" s="135" t="str">
        <f aca="false">IFERROR(INDEX(O$6:O$201,MATCH(ROW()-5,J$6:J$201,0)),"")</f>
        <v/>
      </c>
      <c r="F80" s="136" t="str">
        <f aca="false">IFERROR(INDEX(P$6:P$201,MATCH(ROW()-5,J$6:J$201,0)),"")</f>
        <v/>
      </c>
      <c r="G80" s="130"/>
      <c r="H80" s="130"/>
      <c r="I80" s="130"/>
      <c r="J80" s="130" t="n">
        <f aca="false">IF(IF(PROCESO!J96&lt;&gt;"",PROCESO!J96,IF(PROCESO!J97&lt;&gt;"",PROCESO!J97,IF(PROCESO!J98&lt;&gt;"",PROCESO!J98,IF(PROCESO!J99&lt;&gt;"",PROCESO!J99,""))))&lt;&gt;"",COUNT(J$6:J79)+1,"")</f>
        <v>44</v>
      </c>
      <c r="K80" s="130" t="str">
        <f aca="false">IF(IF(PROCESO!J96&lt;&gt;"",PROCESO!J96,IF(PROCESO!J97&lt;&gt;"",PROCESO!J97,IF(PROCESO!J98&lt;&gt;"",PROCESO!J98,IF(PROCESO!J99&lt;&gt;"",PROCESO!J99,""))))&lt;&gt;"",PROCESO!A96&amp;IF(COUNTIF(PROCESO!$A$6:A95,PROCESO!A96)&gt;0," (Ped."&amp;(COUNTIF(PROCESO!$A$6:A95,PROCESO!A96)+1)&amp;")",""),"")</f>
        <v>JUE 24-7</v>
      </c>
      <c r="L80" s="130" t="str">
        <f aca="false">IF(IF(PROCESO!J96&lt;&gt;"",PROCESO!J96,IF(PROCESO!J97&lt;&gt;"",PROCESO!J97,IF(PROCESO!J98&lt;&gt;"",PROCESO!J98,IF(PROCESO!J99&lt;&gt;"",PROCESO!J99,""))))&lt;&gt;"","ENVÍO Guía "&amp;IF(LEFT(IF(PROCESO!J96&lt;&gt;"",PROCESO!J96,IF(PROCESO!J97&lt;&gt;"",PROCESO!J97,IF(PROCESO!J98&lt;&gt;"",PROCESO!J98,IF(PROCESO!J99&lt;&gt;"",PROCESO!J99,"")))),2)="G-",MID(IF(PROCESO!J96&lt;&gt;"",PROCESO!J96,IF(PROCESO!J97&lt;&gt;"",PROCESO!J97,IF(PROCESO!J98&lt;&gt;"",PROCESO!J98,IF(PROCESO!J99&lt;&gt;"",PROCESO!J99,"")))),3,99),IF(PROCESO!J96&lt;&gt;"",PROCESO!J96,IF(PROCESO!J97&lt;&gt;"",PROCESO!J97,IF(PROCESO!J98&lt;&gt;"",PROCESO!J98,IF(PROCESO!J99&lt;&gt;"",PROCESO!J99,""))))),"")</f>
        <v>ENVÍO Guía 3011</v>
      </c>
      <c r="M80" s="130" t="str">
        <f aca="false">""</f>
        <v/>
      </c>
      <c r="N80" s="130" t="n">
        <f aca="false">IF(IF(PROCESO!J96&lt;&gt;"",PROCESO!J96,IF(PROCESO!J97&lt;&gt;"",PROCESO!J97,IF(PROCESO!J98&lt;&gt;"",PROCESO!J98,IF(PROCESO!J99&lt;&gt;"",PROCESO!J99,""))))&lt;&gt;"",SUMIF(PROCESO!J96:J99,IF(PROCESO!J96&lt;&gt;"",PROCESO!J96,IF(PROCESO!J97&lt;&gt;"",PROCESO!J97,IF(PROCESO!J98&lt;&gt;"",PROCESO!J98,IF(PROCESO!J99&lt;&gt;"",PROCESO!J99,"")))),PROCESO!L96:L99),"")</f>
        <v>3413</v>
      </c>
      <c r="O80" s="130" t="str">
        <f aca="false">IF(IF(PROCESO!J96&lt;&gt;"",PROCESO!J96,IF(PROCESO!J97&lt;&gt;"",PROCESO!J97,IF(PROCESO!J98&lt;&gt;"",PROCESO!J98,IF(PROCESO!J99&lt;&gt;"",PROCESO!J99,""))))&lt;&gt;"","G-"&amp;IF(LEFT(IF(PROCESO!J96&lt;&gt;"",PROCESO!J96,IF(PROCESO!J97&lt;&gt;"",PROCESO!J97,IF(PROCESO!J98&lt;&gt;"",PROCESO!J98,IF(PROCESO!J99&lt;&gt;"",PROCESO!J99,"")))),2)="G-",MID(IF(PROCESO!J96&lt;&gt;"",PROCESO!J96,IF(PROCESO!J97&lt;&gt;"",PROCESO!J97,IF(PROCESO!J98&lt;&gt;"",PROCESO!J98,IF(PROCESO!J99&lt;&gt;"",PROCESO!J99,"")))),3,99),IF(PROCESO!J96&lt;&gt;"",PROCESO!J96,IF(PROCESO!J97&lt;&gt;"",PROCESO!J97,IF(PROCESO!J98&lt;&gt;"",PROCESO!J98,IF(PROCESO!J99&lt;&gt;"",PROCESO!J99,""))))),"")</f>
        <v>G-3011</v>
      </c>
      <c r="P80" s="130" t="n">
        <f aca="false">P79+N(M80)-N(N80)</f>
        <v>5288.5</v>
      </c>
      <c r="Q80" s="130"/>
      <c r="R80" s="130"/>
      <c r="S80" s="130"/>
      <c r="T80" s="130"/>
    </row>
    <row r="81" customFormat="false" ht="15" hidden="false" customHeight="false" outlineLevel="0" collapsed="false">
      <c r="A81" s="135" t="str">
        <f aca="false">IFERROR(INDEX(K$6:K$201,MATCH(ROW()-5,J$6:J$201,0)),"")</f>
        <v/>
      </c>
      <c r="B81" s="135" t="str">
        <f aca="false">IFERROR(INDEX(L$6:L$201,MATCH(ROW()-5,J$6:J$201,0)),"")</f>
        <v/>
      </c>
      <c r="C81" s="136" t="str">
        <f aca="false">IFERROR(INDEX(M$6:M$201,MATCH(ROW()-5,J$6:J$201,0)),"")</f>
        <v/>
      </c>
      <c r="D81" s="136" t="str">
        <f aca="false">IFERROR(INDEX(N$6:N$201,MATCH(ROW()-5,J$6:J$201,0)),"")</f>
        <v/>
      </c>
      <c r="E81" s="135" t="str">
        <f aca="false">IFERROR(INDEX(O$6:O$201,MATCH(ROW()-5,J$6:J$201,0)),"")</f>
        <v/>
      </c>
      <c r="F81" s="136" t="str">
        <f aca="false">IFERROR(INDEX(P$6:P$201,MATCH(ROW()-5,J$6:J$201,0)),"")</f>
        <v/>
      </c>
      <c r="G81" s="130"/>
      <c r="H81" s="130"/>
      <c r="I81" s="130"/>
      <c r="J81" s="130" t="str">
        <f aca="false">IF(OR(SUM(PROCESO!M96:M99)&gt;0,SUM(PROCESO!N96:N99)&gt;0),COUNT(J$6:J80)+1,"")</f>
        <v/>
      </c>
      <c r="K81" s="130" t="str">
        <f aca="false">IF(OR(SUM(PROCESO!M96:M99)&gt;0,SUM(PROCESO!N96:N99)&gt;0),PROCESO!A96&amp;IF(COUNTIF(PROCESO!$A$6:A95,PROCESO!A96)&gt;0," (Ped."&amp;(COUNTIF(PROCESO!$A$6:A95,PROCESO!A96)+1)&amp;")",""),"")</f>
        <v/>
      </c>
      <c r="L81" s="130" t="str">
        <f aca="false">IF(OR(SUM(PROCESO!M96:M99)&gt;0,SUM(PROCESO!N96:N99)&gt;0),"REPROCESO (devolución)","")</f>
        <v/>
      </c>
      <c r="M81" s="130" t="str">
        <f aca="false">IF(OR(SUM(PROCESO!M96:M99)&gt;0,SUM(PROCESO!N96:N99)&gt;0),SUM(PROCESO!N96:N99),"")</f>
        <v/>
      </c>
      <c r="N81" s="130" t="str">
        <f aca="false">""</f>
        <v/>
      </c>
      <c r="O81" s="130" t="str">
        <f aca="false">IF(OR(SUM(PROCESO!M96:M99)&gt;0,SUM(PROCESO!N96:N99)&gt;0),IF(SUM(PROCESO!M96:M99)&gt;0,SUM(PROCESO!M96:M99)&amp;" jabas devueltas · merma "&amp;TEXT((PROCESO!M96*15+PROCESO!M97*18+PROCESO!M98*17+PROCESO!M99*17)-SUM(PROCESO!N96:N99),"+#,##0;-#,##0;0")&amp;" kg",""),"")</f>
        <v/>
      </c>
      <c r="P81" s="130" t="n">
        <f aca="false">P80+N(M81)-N(N81)</f>
        <v>5288.5</v>
      </c>
      <c r="Q81" s="130"/>
      <c r="R81" s="130"/>
      <c r="S81" s="130"/>
      <c r="T81" s="130"/>
    </row>
    <row r="82" customFormat="false" ht="15" hidden="false" customHeight="false" outlineLevel="0" collapsed="false">
      <c r="A82" s="135" t="str">
        <f aca="false">IFERROR(INDEX(K$6:K$201,MATCH(ROW()-5,J$6:J$201,0)),"")</f>
        <v/>
      </c>
      <c r="B82" s="135" t="str">
        <f aca="false">IFERROR(INDEX(L$6:L$201,MATCH(ROW()-5,J$6:J$201,0)),"")</f>
        <v/>
      </c>
      <c r="C82" s="136" t="str">
        <f aca="false">IFERROR(INDEX(M$6:M$201,MATCH(ROW()-5,J$6:J$201,0)),"")</f>
        <v/>
      </c>
      <c r="D82" s="136" t="str">
        <f aca="false">IFERROR(INDEX(N$6:N$201,MATCH(ROW()-5,J$6:J$201,0)),"")</f>
        <v/>
      </c>
      <c r="E82" s="135" t="str">
        <f aca="false">IFERROR(INDEX(O$6:O$201,MATCH(ROW()-5,J$6:J$201,0)),"")</f>
        <v/>
      </c>
      <c r="F82" s="136" t="str">
        <f aca="false">IFERROR(INDEX(P$6:P$201,MATCH(ROW()-5,J$6:J$201,0)),"")</f>
        <v/>
      </c>
      <c r="G82" s="130"/>
      <c r="H82" s="130"/>
      <c r="I82" s="130"/>
      <c r="J82" s="130" t="str">
        <f aca="false">IF(PROCESO!D102&gt;0,COUNT(J$6:J81)+1,"")</f>
        <v/>
      </c>
      <c r="K82" s="130" t="str">
        <f aca="false">IF(PROCESO!D102&gt;0,PROCESO!A102&amp;IF(COUNTIF(PROCESO!$A$6:A101,PROCESO!A102)&gt;0," (Ped."&amp;(COUNTIF(PROCESO!$A$6:A101,PROCESO!A102)+1)&amp;")",""),"")</f>
        <v/>
      </c>
      <c r="L82" s="130" t="str">
        <f aca="false">IF(PROCESO!D102&gt;0,"INGRESO (compra)","")</f>
        <v/>
      </c>
      <c r="M82" s="130" t="str">
        <f aca="false">IF(PROCESO!D102&gt;0,PROCESO!D102,"")</f>
        <v/>
      </c>
      <c r="N82" s="130" t="str">
        <f aca="false">""</f>
        <v/>
      </c>
      <c r="O82" s="130" t="str">
        <f aca="false">IF(PROCESO!D102&gt;0,PROCESO!B102&amp;" sacos x "&amp;PROCESO!C102&amp;" kg","")</f>
        <v/>
      </c>
      <c r="P82" s="130" t="n">
        <f aca="false">P81+N(M82)-N(N82)</f>
        <v>5288.5</v>
      </c>
      <c r="Q82" s="130"/>
      <c r="R82" s="130"/>
      <c r="S82" s="130"/>
      <c r="T82" s="130"/>
    </row>
    <row r="83" customFormat="false" ht="15" hidden="false" customHeight="false" outlineLevel="0" collapsed="false">
      <c r="A83" s="135" t="str">
        <f aca="false">IFERROR(INDEX(K$6:K$201,MATCH(ROW()-5,J$6:J$201,0)),"")</f>
        <v/>
      </c>
      <c r="B83" s="135" t="str">
        <f aca="false">IFERROR(INDEX(L$6:L$201,MATCH(ROW()-5,J$6:J$201,0)),"")</f>
        <v/>
      </c>
      <c r="C83" s="136" t="str">
        <f aca="false">IFERROR(INDEX(M$6:M$201,MATCH(ROW()-5,J$6:J$201,0)),"")</f>
        <v/>
      </c>
      <c r="D83" s="136" t="str">
        <f aca="false">IFERROR(INDEX(N$6:N$201,MATCH(ROW()-5,J$6:J$201,0)),"")</f>
        <v/>
      </c>
      <c r="E83" s="135" t="str">
        <f aca="false">IFERROR(INDEX(O$6:O$201,MATCH(ROW()-5,J$6:J$201,0)),"")</f>
        <v/>
      </c>
      <c r="F83" s="136" t="str">
        <f aca="false">IFERROR(INDEX(P$6:P$201,MATCH(ROW()-5,J$6:J$201,0)),"")</f>
        <v/>
      </c>
      <c r="G83" s="130"/>
      <c r="H83" s="130"/>
      <c r="I83" s="130"/>
      <c r="J83" s="130" t="str">
        <f aca="false">IF(N(PROCESO!H106)&gt;0,COUNT(J$6:J82)+1,"")</f>
        <v/>
      </c>
      <c r="K83" s="130" t="str">
        <f aca="false">IF(N(PROCESO!H106)&gt;0,PROCESO!A102&amp;IF(COUNTIF(PROCESO!$A$6:A101,PROCESO!A102)&gt;0," (Ped."&amp;(COUNTIF(PROCESO!$A$6:A101,PROCESO!A102)+1)&amp;")",""),"")</f>
        <v/>
      </c>
      <c r="L83" s="130" t="str">
        <f aca="false">IF(N(PROCESO!H106)&gt;0,"CHANCHO (proceso)","")</f>
        <v/>
      </c>
      <c r="M83" s="130" t="str">
        <f aca="false">""</f>
        <v/>
      </c>
      <c r="N83" s="130" t="str">
        <f aca="false">IF(N(PROCESO!H106)&gt;0,N(PROCESO!H106),"")</f>
        <v/>
      </c>
      <c r="O83" s="130" t="str">
        <f aca="false">IF(N(PROCESO!H106)&gt;0,PROCESO!G106&amp;" sacos x 95 kg","")</f>
        <v/>
      </c>
      <c r="P83" s="130" t="n">
        <f aca="false">P82+N(M83)-N(N83)</f>
        <v>5288.5</v>
      </c>
      <c r="Q83" s="130"/>
      <c r="R83" s="130"/>
      <c r="S83" s="130"/>
      <c r="T83" s="130"/>
    </row>
    <row r="84" customFormat="false" ht="15" hidden="false" customHeight="false" outlineLevel="0" collapsed="false">
      <c r="A84" s="135" t="str">
        <f aca="false">IFERROR(INDEX(K$6:K$201,MATCH(ROW()-5,J$6:J$201,0)),"")</f>
        <v/>
      </c>
      <c r="B84" s="135" t="str">
        <f aca="false">IFERROR(INDEX(L$6:L$201,MATCH(ROW()-5,J$6:J$201,0)),"")</f>
        <v/>
      </c>
      <c r="C84" s="136" t="str">
        <f aca="false">IFERROR(INDEX(M$6:M$201,MATCH(ROW()-5,J$6:J$201,0)),"")</f>
        <v/>
      </c>
      <c r="D84" s="136" t="str">
        <f aca="false">IFERROR(INDEX(N$6:N$201,MATCH(ROW()-5,J$6:J$201,0)),"")</f>
        <v/>
      </c>
      <c r="E84" s="135" t="str">
        <f aca="false">IFERROR(INDEX(O$6:O$201,MATCH(ROW()-5,J$6:J$201,0)),"")</f>
        <v/>
      </c>
      <c r="F84" s="136" t="str">
        <f aca="false">IFERROR(INDEX(P$6:P$201,MATCH(ROW()-5,J$6:J$201,0)),"")</f>
        <v/>
      </c>
      <c r="G84" s="130"/>
      <c r="H84" s="130"/>
      <c r="I84" s="130"/>
      <c r="J84" s="130" t="str">
        <f aca="false">IF(N(PROCESO!H107)&gt;0,COUNT(J$6:J83)+1,"")</f>
        <v/>
      </c>
      <c r="K84" s="130" t="str">
        <f aca="false">IF(N(PROCESO!H107)&gt;0,PROCESO!A102&amp;IF(COUNTIF(PROCESO!$A$6:A101,PROCESO!A102)&gt;0," (Ped."&amp;(COUNTIF(PROCESO!$A$6:A101,PROCESO!A102)+1)&amp;")",""),"")</f>
        <v/>
      </c>
      <c r="L84" s="130" t="str">
        <f aca="false">IF(N(PROCESO!H107)&gt;0,"MALOGRADO","")</f>
        <v/>
      </c>
      <c r="M84" s="130" t="str">
        <f aca="false">""</f>
        <v/>
      </c>
      <c r="N84" s="130" t="str">
        <f aca="false">IF(N(PROCESO!H107)&gt;0,N(PROCESO!H107),"")</f>
        <v/>
      </c>
      <c r="O84" s="130" t="str">
        <f aca="false">""</f>
        <v/>
      </c>
      <c r="P84" s="130" t="n">
        <f aca="false">P83+N(M84)-N(N84)</f>
        <v>5288.5</v>
      </c>
      <c r="Q84" s="130"/>
      <c r="R84" s="130"/>
      <c r="S84" s="130"/>
      <c r="T84" s="130"/>
    </row>
    <row r="85" customFormat="false" ht="15" hidden="false" customHeight="false" outlineLevel="0" collapsed="false">
      <c r="A85" s="135" t="str">
        <f aca="false">IFERROR(INDEX(K$6:K$201,MATCH(ROW()-5,J$6:J$201,0)),"")</f>
        <v/>
      </c>
      <c r="B85" s="135" t="str">
        <f aca="false">IFERROR(INDEX(L$6:L$201,MATCH(ROW()-5,J$6:J$201,0)),"")</f>
        <v/>
      </c>
      <c r="C85" s="136" t="str">
        <f aca="false">IFERROR(INDEX(M$6:M$201,MATCH(ROW()-5,J$6:J$201,0)),"")</f>
        <v/>
      </c>
      <c r="D85" s="136" t="str">
        <f aca="false">IFERROR(INDEX(N$6:N$201,MATCH(ROW()-5,J$6:J$201,0)),"")</f>
        <v/>
      </c>
      <c r="E85" s="135" t="str">
        <f aca="false">IFERROR(INDEX(O$6:O$201,MATCH(ROW()-5,J$6:J$201,0)),"")</f>
        <v/>
      </c>
      <c r="F85" s="136" t="str">
        <f aca="false">IFERROR(INDEX(P$6:P$201,MATCH(ROW()-5,J$6:J$201,0)),"")</f>
        <v/>
      </c>
      <c r="G85" s="130"/>
      <c r="H85" s="130"/>
      <c r="I85" s="130"/>
      <c r="J85" s="130" t="str">
        <f aca="false">IF(IF(PROCESO!J102&lt;&gt;"",PROCESO!J102,IF(PROCESO!J103&lt;&gt;"",PROCESO!J103,IF(PROCESO!J104&lt;&gt;"",PROCESO!J104,IF(PROCESO!J105&lt;&gt;"",PROCESO!J105,""))))&lt;&gt;"",COUNT(J$6:J84)+1,"")</f>
        <v/>
      </c>
      <c r="K85" s="130" t="str">
        <f aca="false">IF(IF(PROCESO!J102&lt;&gt;"",PROCESO!J102,IF(PROCESO!J103&lt;&gt;"",PROCESO!J103,IF(PROCESO!J104&lt;&gt;"",PROCESO!J104,IF(PROCESO!J105&lt;&gt;"",PROCESO!J105,""))))&lt;&gt;"",PROCESO!A102&amp;IF(COUNTIF(PROCESO!$A$6:A101,PROCESO!A102)&gt;0," (Ped."&amp;(COUNTIF(PROCESO!$A$6:A101,PROCESO!A102)+1)&amp;")",""),"")</f>
        <v/>
      </c>
      <c r="L85" s="130" t="str">
        <f aca="false">IF(IF(PROCESO!J102&lt;&gt;"",PROCESO!J102,IF(PROCESO!J103&lt;&gt;"",PROCESO!J103,IF(PROCESO!J104&lt;&gt;"",PROCESO!J104,IF(PROCESO!J105&lt;&gt;"",PROCESO!J105,""))))&lt;&gt;"","ENVÍO Guía "&amp;IF(LEFT(IF(PROCESO!J102&lt;&gt;"",PROCESO!J102,IF(PROCESO!J103&lt;&gt;"",PROCESO!J103,IF(PROCESO!J104&lt;&gt;"",PROCESO!J104,IF(PROCESO!J105&lt;&gt;"",PROCESO!J105,"")))),2)="G-",MID(IF(PROCESO!J102&lt;&gt;"",PROCESO!J102,IF(PROCESO!J103&lt;&gt;"",PROCESO!J103,IF(PROCESO!J104&lt;&gt;"",PROCESO!J104,IF(PROCESO!J105&lt;&gt;"",PROCESO!J105,"")))),3,99),IF(PROCESO!J102&lt;&gt;"",PROCESO!J102,IF(PROCESO!J103&lt;&gt;"",PROCESO!J103,IF(PROCESO!J104&lt;&gt;"",PROCESO!J104,IF(PROCESO!J105&lt;&gt;"",PROCESO!J105,""))))),"")</f>
        <v/>
      </c>
      <c r="M85" s="130" t="str">
        <f aca="false">""</f>
        <v/>
      </c>
      <c r="N85" s="130" t="str">
        <f aca="false">IF(IF(PROCESO!J102&lt;&gt;"",PROCESO!J102,IF(PROCESO!J103&lt;&gt;"",PROCESO!J103,IF(PROCESO!J104&lt;&gt;"",PROCESO!J104,IF(PROCESO!J105&lt;&gt;"",PROCESO!J105,""))))&lt;&gt;"",SUMIF(PROCESO!J102:J105,IF(PROCESO!J102&lt;&gt;"",PROCESO!J102,IF(PROCESO!J103&lt;&gt;"",PROCESO!J103,IF(PROCESO!J104&lt;&gt;"",PROCESO!J104,IF(PROCESO!J105&lt;&gt;"",PROCESO!J105,"")))),PROCESO!L102:L105),"")</f>
        <v/>
      </c>
      <c r="O85" s="130" t="str">
        <f aca="false">IF(IF(PROCESO!J102&lt;&gt;"",PROCESO!J102,IF(PROCESO!J103&lt;&gt;"",PROCESO!J103,IF(PROCESO!J104&lt;&gt;"",PROCESO!J104,IF(PROCESO!J105&lt;&gt;"",PROCESO!J105,""))))&lt;&gt;"","G-"&amp;IF(LEFT(IF(PROCESO!J102&lt;&gt;"",PROCESO!J102,IF(PROCESO!J103&lt;&gt;"",PROCESO!J103,IF(PROCESO!J104&lt;&gt;"",PROCESO!J104,IF(PROCESO!J105&lt;&gt;"",PROCESO!J105,"")))),2)="G-",MID(IF(PROCESO!J102&lt;&gt;"",PROCESO!J102,IF(PROCESO!J103&lt;&gt;"",PROCESO!J103,IF(PROCESO!J104&lt;&gt;"",PROCESO!J104,IF(PROCESO!J105&lt;&gt;"",PROCESO!J105,"")))),3,99),IF(PROCESO!J102&lt;&gt;"",PROCESO!J102,IF(PROCESO!J103&lt;&gt;"",PROCESO!J103,IF(PROCESO!J104&lt;&gt;"",PROCESO!J104,IF(PROCESO!J105&lt;&gt;"",PROCESO!J105,""))))),"")</f>
        <v/>
      </c>
      <c r="P85" s="130" t="n">
        <f aca="false">P84+N(M85)-N(N85)</f>
        <v>5288.5</v>
      </c>
      <c r="Q85" s="130"/>
      <c r="R85" s="130"/>
      <c r="S85" s="130"/>
      <c r="T85" s="130"/>
    </row>
    <row r="86" customFormat="false" ht="15" hidden="false" customHeight="false" outlineLevel="0" collapsed="false">
      <c r="A86" s="135" t="str">
        <f aca="false">IFERROR(INDEX(K$6:K$201,MATCH(ROW()-5,J$6:J$201,0)),"")</f>
        <v/>
      </c>
      <c r="B86" s="135" t="str">
        <f aca="false">IFERROR(INDEX(L$6:L$201,MATCH(ROW()-5,J$6:J$201,0)),"")</f>
        <v/>
      </c>
      <c r="C86" s="136" t="str">
        <f aca="false">IFERROR(INDEX(M$6:M$201,MATCH(ROW()-5,J$6:J$201,0)),"")</f>
        <v/>
      </c>
      <c r="D86" s="136" t="str">
        <f aca="false">IFERROR(INDEX(N$6:N$201,MATCH(ROW()-5,J$6:J$201,0)),"")</f>
        <v/>
      </c>
      <c r="E86" s="135" t="str">
        <f aca="false">IFERROR(INDEX(O$6:O$201,MATCH(ROW()-5,J$6:J$201,0)),"")</f>
        <v/>
      </c>
      <c r="F86" s="136" t="str">
        <f aca="false">IFERROR(INDEX(P$6:P$201,MATCH(ROW()-5,J$6:J$201,0)),"")</f>
        <v/>
      </c>
      <c r="G86" s="130"/>
      <c r="H86" s="130"/>
      <c r="I86" s="130"/>
      <c r="J86" s="130" t="str">
        <f aca="false">IF(OR(SUM(PROCESO!M102:M105)&gt;0,SUM(PROCESO!N102:N105)&gt;0),COUNT(J$6:J85)+1,"")</f>
        <v/>
      </c>
      <c r="K86" s="130" t="str">
        <f aca="false">IF(OR(SUM(PROCESO!M102:M105)&gt;0,SUM(PROCESO!N102:N105)&gt;0),PROCESO!A102&amp;IF(COUNTIF(PROCESO!$A$6:A101,PROCESO!A102)&gt;0," (Ped."&amp;(COUNTIF(PROCESO!$A$6:A101,PROCESO!A102)+1)&amp;")",""),"")</f>
        <v/>
      </c>
      <c r="L86" s="130" t="str">
        <f aca="false">IF(OR(SUM(PROCESO!M102:M105)&gt;0,SUM(PROCESO!N102:N105)&gt;0),"REPROCESO (devolución)","")</f>
        <v/>
      </c>
      <c r="M86" s="130" t="str">
        <f aca="false">IF(OR(SUM(PROCESO!M102:M105)&gt;0,SUM(PROCESO!N102:N105)&gt;0),SUM(PROCESO!N102:N105),"")</f>
        <v/>
      </c>
      <c r="N86" s="130" t="str">
        <f aca="false">""</f>
        <v/>
      </c>
      <c r="O86" s="130" t="str">
        <f aca="false">IF(OR(SUM(PROCESO!M102:M105)&gt;0,SUM(PROCESO!N102:N105)&gt;0),IF(SUM(PROCESO!M102:M105)&gt;0,SUM(PROCESO!M102:M105)&amp;" jabas devueltas · merma "&amp;TEXT((PROCESO!M102*15+PROCESO!M103*18+PROCESO!M104*17+PROCESO!M105*17)-SUM(PROCESO!N102:N105),"+#,##0;-#,##0;0")&amp;" kg",""),"")</f>
        <v/>
      </c>
      <c r="P86" s="130" t="n">
        <f aca="false">P85+N(M86)-N(N86)</f>
        <v>5288.5</v>
      </c>
      <c r="Q86" s="130"/>
      <c r="R86" s="130"/>
      <c r="S86" s="130"/>
      <c r="T86" s="130"/>
    </row>
    <row r="87" customFormat="false" ht="15" hidden="false" customHeight="false" outlineLevel="0" collapsed="false">
      <c r="A87" s="135" t="str">
        <f aca="false">IFERROR(INDEX(K$6:K$201,MATCH(ROW()-5,J$6:J$201,0)),"")</f>
        <v/>
      </c>
      <c r="B87" s="135" t="str">
        <f aca="false">IFERROR(INDEX(L$6:L$201,MATCH(ROW()-5,J$6:J$201,0)),"")</f>
        <v/>
      </c>
      <c r="C87" s="136" t="str">
        <f aca="false">IFERROR(INDEX(M$6:M$201,MATCH(ROW()-5,J$6:J$201,0)),"")</f>
        <v/>
      </c>
      <c r="D87" s="136" t="str">
        <f aca="false">IFERROR(INDEX(N$6:N$201,MATCH(ROW()-5,J$6:J$201,0)),"")</f>
        <v/>
      </c>
      <c r="E87" s="135" t="str">
        <f aca="false">IFERROR(INDEX(O$6:O$201,MATCH(ROW()-5,J$6:J$201,0)),"")</f>
        <v/>
      </c>
      <c r="F87" s="136" t="str">
        <f aca="false">IFERROR(INDEX(P$6:P$201,MATCH(ROW()-5,J$6:J$201,0)),"")</f>
        <v/>
      </c>
      <c r="G87" s="130"/>
      <c r="H87" s="130"/>
      <c r="I87" s="130"/>
      <c r="J87" s="130" t="str">
        <f aca="false">IF(PROCESO!D108&gt;0,COUNT(J$6:J86)+1,"")</f>
        <v/>
      </c>
      <c r="K87" s="130" t="str">
        <f aca="false">IF(PROCESO!D108&gt;0,PROCESO!A108&amp;IF(COUNTIF(PROCESO!$A$6:A107,PROCESO!A108)&gt;0," (Ped."&amp;(COUNTIF(PROCESO!$A$6:A107,PROCESO!A108)+1)&amp;")",""),"")</f>
        <v/>
      </c>
      <c r="L87" s="130" t="str">
        <f aca="false">IF(PROCESO!D108&gt;0,"INGRESO (compra)","")</f>
        <v/>
      </c>
      <c r="M87" s="130" t="str">
        <f aca="false">IF(PROCESO!D108&gt;0,PROCESO!D108,"")</f>
        <v/>
      </c>
      <c r="N87" s="130" t="str">
        <f aca="false">""</f>
        <v/>
      </c>
      <c r="O87" s="130" t="str">
        <f aca="false">IF(PROCESO!D108&gt;0,PROCESO!B108&amp;" sacos x "&amp;PROCESO!C108&amp;" kg","")</f>
        <v/>
      </c>
      <c r="P87" s="130" t="n">
        <f aca="false">P86+N(M87)-N(N87)</f>
        <v>5288.5</v>
      </c>
      <c r="Q87" s="130"/>
      <c r="R87" s="130"/>
      <c r="S87" s="130"/>
      <c r="T87" s="130"/>
    </row>
    <row r="88" customFormat="false" ht="15" hidden="false" customHeight="false" outlineLevel="0" collapsed="false">
      <c r="A88" s="135" t="str">
        <f aca="false">IFERROR(INDEX(K$6:K$201,MATCH(ROW()-5,J$6:J$201,0)),"")</f>
        <v/>
      </c>
      <c r="B88" s="135" t="str">
        <f aca="false">IFERROR(INDEX(L$6:L$201,MATCH(ROW()-5,J$6:J$201,0)),"")</f>
        <v/>
      </c>
      <c r="C88" s="136" t="str">
        <f aca="false">IFERROR(INDEX(M$6:M$201,MATCH(ROW()-5,J$6:J$201,0)),"")</f>
        <v/>
      </c>
      <c r="D88" s="136" t="str">
        <f aca="false">IFERROR(INDEX(N$6:N$201,MATCH(ROW()-5,J$6:J$201,0)),"")</f>
        <v/>
      </c>
      <c r="E88" s="135" t="str">
        <f aca="false">IFERROR(INDEX(O$6:O$201,MATCH(ROW()-5,J$6:J$201,0)),"")</f>
        <v/>
      </c>
      <c r="F88" s="136" t="str">
        <f aca="false">IFERROR(INDEX(P$6:P$201,MATCH(ROW()-5,J$6:J$201,0)),"")</f>
        <v/>
      </c>
      <c r="G88" s="130"/>
      <c r="H88" s="130"/>
      <c r="I88" s="130"/>
      <c r="J88" s="130" t="str">
        <f aca="false">IF(N(PROCESO!H112)&gt;0,COUNT(J$6:J87)+1,"")</f>
        <v/>
      </c>
      <c r="K88" s="130" t="str">
        <f aca="false">IF(N(PROCESO!H112)&gt;0,PROCESO!A108&amp;IF(COUNTIF(PROCESO!$A$6:A107,PROCESO!A108)&gt;0," (Ped."&amp;(COUNTIF(PROCESO!$A$6:A107,PROCESO!A108)+1)&amp;")",""),"")</f>
        <v/>
      </c>
      <c r="L88" s="130" t="str">
        <f aca="false">IF(N(PROCESO!H112)&gt;0,"CHANCHO (proceso)","")</f>
        <v/>
      </c>
      <c r="M88" s="130" t="str">
        <f aca="false">""</f>
        <v/>
      </c>
      <c r="N88" s="130" t="str">
        <f aca="false">IF(N(PROCESO!H112)&gt;0,N(PROCESO!H112),"")</f>
        <v/>
      </c>
      <c r="O88" s="130" t="str">
        <f aca="false">IF(N(PROCESO!H112)&gt;0,PROCESO!G112&amp;" sacos x 95 kg","")</f>
        <v/>
      </c>
      <c r="P88" s="130" t="n">
        <f aca="false">P87+N(M88)-N(N88)</f>
        <v>5288.5</v>
      </c>
      <c r="Q88" s="130"/>
      <c r="R88" s="130"/>
      <c r="S88" s="130"/>
      <c r="T88" s="130"/>
    </row>
    <row r="89" customFormat="false" ht="15" hidden="false" customHeight="false" outlineLevel="0" collapsed="false">
      <c r="A89" s="135" t="str">
        <f aca="false">IFERROR(INDEX(K$6:K$201,MATCH(ROW()-5,J$6:J$201,0)),"")</f>
        <v/>
      </c>
      <c r="B89" s="135" t="str">
        <f aca="false">IFERROR(INDEX(L$6:L$201,MATCH(ROW()-5,J$6:J$201,0)),"")</f>
        <v/>
      </c>
      <c r="C89" s="136" t="str">
        <f aca="false">IFERROR(INDEX(M$6:M$201,MATCH(ROW()-5,J$6:J$201,0)),"")</f>
        <v/>
      </c>
      <c r="D89" s="136" t="str">
        <f aca="false">IFERROR(INDEX(N$6:N$201,MATCH(ROW()-5,J$6:J$201,0)),"")</f>
        <v/>
      </c>
      <c r="E89" s="135" t="str">
        <f aca="false">IFERROR(INDEX(O$6:O$201,MATCH(ROW()-5,J$6:J$201,0)),"")</f>
        <v/>
      </c>
      <c r="F89" s="136" t="str">
        <f aca="false">IFERROR(INDEX(P$6:P$201,MATCH(ROW()-5,J$6:J$201,0)),"")</f>
        <v/>
      </c>
      <c r="G89" s="130"/>
      <c r="H89" s="130"/>
      <c r="I89" s="130"/>
      <c r="J89" s="130" t="str">
        <f aca="false">IF(N(PROCESO!H113)&gt;0,COUNT(J$6:J88)+1,"")</f>
        <v/>
      </c>
      <c r="K89" s="130" t="str">
        <f aca="false">IF(N(PROCESO!H113)&gt;0,PROCESO!A108&amp;IF(COUNTIF(PROCESO!$A$6:A107,PROCESO!A108)&gt;0," (Ped."&amp;(COUNTIF(PROCESO!$A$6:A107,PROCESO!A108)+1)&amp;")",""),"")</f>
        <v/>
      </c>
      <c r="L89" s="130" t="str">
        <f aca="false">IF(N(PROCESO!H113)&gt;0,"MALOGRADO","")</f>
        <v/>
      </c>
      <c r="M89" s="130" t="str">
        <f aca="false">""</f>
        <v/>
      </c>
      <c r="N89" s="130" t="str">
        <f aca="false">IF(N(PROCESO!H113)&gt;0,N(PROCESO!H113),"")</f>
        <v/>
      </c>
      <c r="O89" s="130" t="str">
        <f aca="false">""</f>
        <v/>
      </c>
      <c r="P89" s="130" t="n">
        <f aca="false">P88+N(M89)-N(N89)</f>
        <v>5288.5</v>
      </c>
      <c r="Q89" s="130"/>
      <c r="R89" s="130"/>
      <c r="S89" s="130"/>
      <c r="T89" s="130"/>
    </row>
    <row r="90" customFormat="false" ht="15" hidden="false" customHeight="false" outlineLevel="0" collapsed="false">
      <c r="A90" s="135" t="str">
        <f aca="false">IFERROR(INDEX(K$6:K$201,MATCH(ROW()-5,J$6:J$201,0)),"")</f>
        <v/>
      </c>
      <c r="B90" s="135" t="str">
        <f aca="false">IFERROR(INDEX(L$6:L$201,MATCH(ROW()-5,J$6:J$201,0)),"")</f>
        <v/>
      </c>
      <c r="C90" s="136" t="str">
        <f aca="false">IFERROR(INDEX(M$6:M$201,MATCH(ROW()-5,J$6:J$201,0)),"")</f>
        <v/>
      </c>
      <c r="D90" s="136" t="str">
        <f aca="false">IFERROR(INDEX(N$6:N$201,MATCH(ROW()-5,J$6:J$201,0)),"")</f>
        <v/>
      </c>
      <c r="E90" s="135" t="str">
        <f aca="false">IFERROR(INDEX(O$6:O$201,MATCH(ROW()-5,J$6:J$201,0)),"")</f>
        <v/>
      </c>
      <c r="F90" s="136" t="str">
        <f aca="false">IFERROR(INDEX(P$6:P$201,MATCH(ROW()-5,J$6:J$201,0)),"")</f>
        <v/>
      </c>
      <c r="G90" s="130"/>
      <c r="H90" s="130"/>
      <c r="I90" s="130"/>
      <c r="J90" s="130" t="str">
        <f aca="false">IF(IF(PROCESO!J108&lt;&gt;"",PROCESO!J108,IF(PROCESO!J109&lt;&gt;"",PROCESO!J109,IF(PROCESO!J110&lt;&gt;"",PROCESO!J110,IF(PROCESO!J111&lt;&gt;"",PROCESO!J111,""))))&lt;&gt;"",COUNT(J$6:J89)+1,"")</f>
        <v/>
      </c>
      <c r="K90" s="130" t="str">
        <f aca="false">IF(IF(PROCESO!J108&lt;&gt;"",PROCESO!J108,IF(PROCESO!J109&lt;&gt;"",PROCESO!J109,IF(PROCESO!J110&lt;&gt;"",PROCESO!J110,IF(PROCESO!J111&lt;&gt;"",PROCESO!J111,""))))&lt;&gt;"",PROCESO!A108&amp;IF(COUNTIF(PROCESO!$A$6:A107,PROCESO!A108)&gt;0," (Ped."&amp;(COUNTIF(PROCESO!$A$6:A107,PROCESO!A108)+1)&amp;")",""),"")</f>
        <v/>
      </c>
      <c r="L90" s="130" t="str">
        <f aca="false">IF(IF(PROCESO!J108&lt;&gt;"",PROCESO!J108,IF(PROCESO!J109&lt;&gt;"",PROCESO!J109,IF(PROCESO!J110&lt;&gt;"",PROCESO!J110,IF(PROCESO!J111&lt;&gt;"",PROCESO!J111,""))))&lt;&gt;"","ENVÍO Guía "&amp;IF(LEFT(IF(PROCESO!J108&lt;&gt;"",PROCESO!J108,IF(PROCESO!J109&lt;&gt;"",PROCESO!J109,IF(PROCESO!J110&lt;&gt;"",PROCESO!J110,IF(PROCESO!J111&lt;&gt;"",PROCESO!J111,"")))),2)="G-",MID(IF(PROCESO!J108&lt;&gt;"",PROCESO!J108,IF(PROCESO!J109&lt;&gt;"",PROCESO!J109,IF(PROCESO!J110&lt;&gt;"",PROCESO!J110,IF(PROCESO!J111&lt;&gt;"",PROCESO!J111,"")))),3,99),IF(PROCESO!J108&lt;&gt;"",PROCESO!J108,IF(PROCESO!J109&lt;&gt;"",PROCESO!J109,IF(PROCESO!J110&lt;&gt;"",PROCESO!J110,IF(PROCESO!J111&lt;&gt;"",PROCESO!J111,""))))),"")</f>
        <v/>
      </c>
      <c r="M90" s="130" t="str">
        <f aca="false">""</f>
        <v/>
      </c>
      <c r="N90" s="130" t="str">
        <f aca="false">IF(IF(PROCESO!J108&lt;&gt;"",PROCESO!J108,IF(PROCESO!J109&lt;&gt;"",PROCESO!J109,IF(PROCESO!J110&lt;&gt;"",PROCESO!J110,IF(PROCESO!J111&lt;&gt;"",PROCESO!J111,""))))&lt;&gt;"",SUMIF(PROCESO!J108:J111,IF(PROCESO!J108&lt;&gt;"",PROCESO!J108,IF(PROCESO!J109&lt;&gt;"",PROCESO!J109,IF(PROCESO!J110&lt;&gt;"",PROCESO!J110,IF(PROCESO!J111&lt;&gt;"",PROCESO!J111,"")))),PROCESO!L108:L111),"")</f>
        <v/>
      </c>
      <c r="O90" s="130" t="str">
        <f aca="false">IF(IF(PROCESO!J108&lt;&gt;"",PROCESO!J108,IF(PROCESO!J109&lt;&gt;"",PROCESO!J109,IF(PROCESO!J110&lt;&gt;"",PROCESO!J110,IF(PROCESO!J111&lt;&gt;"",PROCESO!J111,""))))&lt;&gt;"","G-"&amp;IF(LEFT(IF(PROCESO!J108&lt;&gt;"",PROCESO!J108,IF(PROCESO!J109&lt;&gt;"",PROCESO!J109,IF(PROCESO!J110&lt;&gt;"",PROCESO!J110,IF(PROCESO!J111&lt;&gt;"",PROCESO!J111,"")))),2)="G-",MID(IF(PROCESO!J108&lt;&gt;"",PROCESO!J108,IF(PROCESO!J109&lt;&gt;"",PROCESO!J109,IF(PROCESO!J110&lt;&gt;"",PROCESO!J110,IF(PROCESO!J111&lt;&gt;"",PROCESO!J111,"")))),3,99),IF(PROCESO!J108&lt;&gt;"",PROCESO!J108,IF(PROCESO!J109&lt;&gt;"",PROCESO!J109,IF(PROCESO!J110&lt;&gt;"",PROCESO!J110,IF(PROCESO!J111&lt;&gt;"",PROCESO!J111,""))))),"")</f>
        <v/>
      </c>
      <c r="P90" s="130" t="n">
        <f aca="false">P89+N(M90)-N(N90)</f>
        <v>5288.5</v>
      </c>
      <c r="Q90" s="130"/>
      <c r="R90" s="130"/>
      <c r="S90" s="130"/>
      <c r="T90" s="130"/>
    </row>
    <row r="91" customFormat="false" ht="15" hidden="false" customHeight="false" outlineLevel="0" collapsed="false">
      <c r="A91" s="135" t="str">
        <f aca="false">IFERROR(INDEX(K$6:K$201,MATCH(ROW()-5,J$6:J$201,0)),"")</f>
        <v/>
      </c>
      <c r="B91" s="135" t="str">
        <f aca="false">IFERROR(INDEX(L$6:L$201,MATCH(ROW()-5,J$6:J$201,0)),"")</f>
        <v/>
      </c>
      <c r="C91" s="136" t="str">
        <f aca="false">IFERROR(INDEX(M$6:M$201,MATCH(ROW()-5,J$6:J$201,0)),"")</f>
        <v/>
      </c>
      <c r="D91" s="136" t="str">
        <f aca="false">IFERROR(INDEX(N$6:N$201,MATCH(ROW()-5,J$6:J$201,0)),"")</f>
        <v/>
      </c>
      <c r="E91" s="135" t="str">
        <f aca="false">IFERROR(INDEX(O$6:O$201,MATCH(ROW()-5,J$6:J$201,0)),"")</f>
        <v/>
      </c>
      <c r="F91" s="136" t="str">
        <f aca="false">IFERROR(INDEX(P$6:P$201,MATCH(ROW()-5,J$6:J$201,0)),"")</f>
        <v/>
      </c>
      <c r="G91" s="130"/>
      <c r="H91" s="130"/>
      <c r="I91" s="130"/>
      <c r="J91" s="130" t="str">
        <f aca="false">IF(OR(SUM(PROCESO!M108:M111)&gt;0,SUM(PROCESO!N108:N111)&gt;0),COUNT(J$6:J90)+1,"")</f>
        <v/>
      </c>
      <c r="K91" s="130" t="str">
        <f aca="false">IF(OR(SUM(PROCESO!M108:M111)&gt;0,SUM(PROCESO!N108:N111)&gt;0),PROCESO!A108&amp;IF(COUNTIF(PROCESO!$A$6:A107,PROCESO!A108)&gt;0," (Ped."&amp;(COUNTIF(PROCESO!$A$6:A107,PROCESO!A108)+1)&amp;")",""),"")</f>
        <v/>
      </c>
      <c r="L91" s="130" t="str">
        <f aca="false">IF(OR(SUM(PROCESO!M108:M111)&gt;0,SUM(PROCESO!N108:N111)&gt;0),"REPROCESO (devolución)","")</f>
        <v/>
      </c>
      <c r="M91" s="130" t="str">
        <f aca="false">IF(OR(SUM(PROCESO!M108:M111)&gt;0,SUM(PROCESO!N108:N111)&gt;0),SUM(PROCESO!N108:N111),"")</f>
        <v/>
      </c>
      <c r="N91" s="130" t="str">
        <f aca="false">""</f>
        <v/>
      </c>
      <c r="O91" s="130" t="str">
        <f aca="false">IF(OR(SUM(PROCESO!M108:M111)&gt;0,SUM(PROCESO!N108:N111)&gt;0),IF(SUM(PROCESO!M108:M111)&gt;0,SUM(PROCESO!M108:M111)&amp;" jabas devueltas · merma "&amp;TEXT((PROCESO!M108*15+PROCESO!M109*18+PROCESO!M110*17+PROCESO!M111*17)-SUM(PROCESO!N108:N111),"+#,##0;-#,##0;0")&amp;" kg",""),"")</f>
        <v/>
      </c>
      <c r="P91" s="130" t="n">
        <f aca="false">P90+N(M91)-N(N91)</f>
        <v>5288.5</v>
      </c>
      <c r="Q91" s="130"/>
      <c r="R91" s="130"/>
      <c r="S91" s="130"/>
      <c r="T91" s="130"/>
    </row>
    <row r="92" customFormat="false" ht="15" hidden="false" customHeight="false" outlineLevel="0" collapsed="false">
      <c r="A92" s="135" t="str">
        <f aca="false">IFERROR(INDEX(K$6:K$201,MATCH(ROW()-5,J$6:J$201,0)),"")</f>
        <v/>
      </c>
      <c r="B92" s="135" t="str">
        <f aca="false">IFERROR(INDEX(L$6:L$201,MATCH(ROW()-5,J$6:J$201,0)),"")</f>
        <v/>
      </c>
      <c r="C92" s="136" t="str">
        <f aca="false">IFERROR(INDEX(M$6:M$201,MATCH(ROW()-5,J$6:J$201,0)),"")</f>
        <v/>
      </c>
      <c r="D92" s="136" t="str">
        <f aca="false">IFERROR(INDEX(N$6:N$201,MATCH(ROW()-5,J$6:J$201,0)),"")</f>
        <v/>
      </c>
      <c r="E92" s="135" t="str">
        <f aca="false">IFERROR(INDEX(O$6:O$201,MATCH(ROW()-5,J$6:J$201,0)),"")</f>
        <v/>
      </c>
      <c r="F92" s="136" t="str">
        <f aca="false">IFERROR(INDEX(P$6:P$201,MATCH(ROW()-5,J$6:J$201,0)),"")</f>
        <v/>
      </c>
      <c r="G92" s="130"/>
      <c r="H92" s="130"/>
      <c r="I92" s="130"/>
      <c r="J92" s="130" t="str">
        <f aca="false">IF(PROCESO!D114&gt;0,COUNT(J$6:J91)+1,"")</f>
        <v/>
      </c>
      <c r="K92" s="130" t="str">
        <f aca="false">IF(PROCESO!D114&gt;0,PROCESO!A114&amp;IF(COUNTIF(PROCESO!$A$6:A113,PROCESO!A114)&gt;0," (Ped."&amp;(COUNTIF(PROCESO!$A$6:A113,PROCESO!A114)+1)&amp;")",""),"")</f>
        <v/>
      </c>
      <c r="L92" s="130" t="str">
        <f aca="false">IF(PROCESO!D114&gt;0,"INGRESO (compra)","")</f>
        <v/>
      </c>
      <c r="M92" s="130" t="str">
        <f aca="false">IF(PROCESO!D114&gt;0,PROCESO!D114,"")</f>
        <v/>
      </c>
      <c r="N92" s="130" t="str">
        <f aca="false">""</f>
        <v/>
      </c>
      <c r="O92" s="130" t="str">
        <f aca="false">IF(PROCESO!D114&gt;0,PROCESO!B114&amp;" sacos x "&amp;PROCESO!C114&amp;" kg","")</f>
        <v/>
      </c>
      <c r="P92" s="130" t="n">
        <f aca="false">P91+N(M92)-N(N92)</f>
        <v>5288.5</v>
      </c>
      <c r="Q92" s="130"/>
      <c r="R92" s="130"/>
      <c r="S92" s="130"/>
      <c r="T92" s="130"/>
    </row>
    <row r="93" customFormat="false" ht="15" hidden="false" customHeight="false" outlineLevel="0" collapsed="false">
      <c r="A93" s="135" t="str">
        <f aca="false">IFERROR(INDEX(K$6:K$201,MATCH(ROW()-5,J$6:J$201,0)),"")</f>
        <v/>
      </c>
      <c r="B93" s="135" t="str">
        <f aca="false">IFERROR(INDEX(L$6:L$201,MATCH(ROW()-5,J$6:J$201,0)),"")</f>
        <v/>
      </c>
      <c r="C93" s="136" t="str">
        <f aca="false">IFERROR(INDEX(M$6:M$201,MATCH(ROW()-5,J$6:J$201,0)),"")</f>
        <v/>
      </c>
      <c r="D93" s="136" t="str">
        <f aca="false">IFERROR(INDEX(N$6:N$201,MATCH(ROW()-5,J$6:J$201,0)),"")</f>
        <v/>
      </c>
      <c r="E93" s="135" t="str">
        <f aca="false">IFERROR(INDEX(O$6:O$201,MATCH(ROW()-5,J$6:J$201,0)),"")</f>
        <v/>
      </c>
      <c r="F93" s="136" t="str">
        <f aca="false">IFERROR(INDEX(P$6:P$201,MATCH(ROW()-5,J$6:J$201,0)),"")</f>
        <v/>
      </c>
      <c r="G93" s="130"/>
      <c r="H93" s="130"/>
      <c r="I93" s="130"/>
      <c r="J93" s="130" t="str">
        <f aca="false">IF(N(PROCESO!H118)&gt;0,COUNT(J$6:J92)+1,"")</f>
        <v/>
      </c>
      <c r="K93" s="130" t="str">
        <f aca="false">IF(N(PROCESO!H118)&gt;0,PROCESO!A114&amp;IF(COUNTIF(PROCESO!$A$6:A113,PROCESO!A114)&gt;0," (Ped."&amp;(COUNTIF(PROCESO!$A$6:A113,PROCESO!A114)+1)&amp;")",""),"")</f>
        <v/>
      </c>
      <c r="L93" s="130" t="str">
        <f aca="false">IF(N(PROCESO!H118)&gt;0,"CHANCHO (proceso)","")</f>
        <v/>
      </c>
      <c r="M93" s="130" t="str">
        <f aca="false">""</f>
        <v/>
      </c>
      <c r="N93" s="130" t="str">
        <f aca="false">IF(N(PROCESO!H118)&gt;0,N(PROCESO!H118),"")</f>
        <v/>
      </c>
      <c r="O93" s="130" t="str">
        <f aca="false">IF(N(PROCESO!H118)&gt;0,PROCESO!G118&amp;" sacos x 95 kg","")</f>
        <v/>
      </c>
      <c r="P93" s="130" t="n">
        <f aca="false">P92+N(M93)-N(N93)</f>
        <v>5288.5</v>
      </c>
      <c r="Q93" s="130"/>
      <c r="R93" s="130"/>
      <c r="S93" s="130"/>
      <c r="T93" s="130"/>
    </row>
    <row r="94" customFormat="false" ht="15" hidden="false" customHeight="false" outlineLevel="0" collapsed="false">
      <c r="A94" s="135" t="str">
        <f aca="false">IFERROR(INDEX(K$6:K$201,MATCH(ROW()-5,J$6:J$201,0)),"")</f>
        <v/>
      </c>
      <c r="B94" s="135" t="str">
        <f aca="false">IFERROR(INDEX(L$6:L$201,MATCH(ROW()-5,J$6:J$201,0)),"")</f>
        <v/>
      </c>
      <c r="C94" s="136" t="str">
        <f aca="false">IFERROR(INDEX(M$6:M$201,MATCH(ROW()-5,J$6:J$201,0)),"")</f>
        <v/>
      </c>
      <c r="D94" s="136" t="str">
        <f aca="false">IFERROR(INDEX(N$6:N$201,MATCH(ROW()-5,J$6:J$201,0)),"")</f>
        <v/>
      </c>
      <c r="E94" s="135" t="str">
        <f aca="false">IFERROR(INDEX(O$6:O$201,MATCH(ROW()-5,J$6:J$201,0)),"")</f>
        <v/>
      </c>
      <c r="F94" s="136" t="str">
        <f aca="false">IFERROR(INDEX(P$6:P$201,MATCH(ROW()-5,J$6:J$201,0)),"")</f>
        <v/>
      </c>
      <c r="G94" s="130"/>
      <c r="H94" s="130"/>
      <c r="I94" s="130"/>
      <c r="J94" s="130" t="str">
        <f aca="false">IF(N(PROCESO!H119)&gt;0,COUNT(J$6:J93)+1,"")</f>
        <v/>
      </c>
      <c r="K94" s="130" t="str">
        <f aca="false">IF(N(PROCESO!H119)&gt;0,PROCESO!A114&amp;IF(COUNTIF(PROCESO!$A$6:A113,PROCESO!A114)&gt;0," (Ped."&amp;(COUNTIF(PROCESO!$A$6:A113,PROCESO!A114)+1)&amp;")",""),"")</f>
        <v/>
      </c>
      <c r="L94" s="130" t="str">
        <f aca="false">IF(N(PROCESO!H119)&gt;0,"MALOGRADO","")</f>
        <v/>
      </c>
      <c r="M94" s="130" t="str">
        <f aca="false">""</f>
        <v/>
      </c>
      <c r="N94" s="130" t="str">
        <f aca="false">IF(N(PROCESO!H119)&gt;0,N(PROCESO!H119),"")</f>
        <v/>
      </c>
      <c r="O94" s="130" t="str">
        <f aca="false">""</f>
        <v/>
      </c>
      <c r="P94" s="130" t="n">
        <f aca="false">P93+N(M94)-N(N94)</f>
        <v>5288.5</v>
      </c>
      <c r="Q94" s="130"/>
      <c r="R94" s="130"/>
      <c r="S94" s="130"/>
      <c r="T94" s="130"/>
    </row>
    <row r="95" customFormat="false" ht="15" hidden="false" customHeight="false" outlineLevel="0" collapsed="false">
      <c r="A95" s="135" t="str">
        <f aca="false">IFERROR(INDEX(K$6:K$201,MATCH(ROW()-5,J$6:J$201,0)),"")</f>
        <v/>
      </c>
      <c r="B95" s="135" t="str">
        <f aca="false">IFERROR(INDEX(L$6:L$201,MATCH(ROW()-5,J$6:J$201,0)),"")</f>
        <v/>
      </c>
      <c r="C95" s="136" t="str">
        <f aca="false">IFERROR(INDEX(M$6:M$201,MATCH(ROW()-5,J$6:J$201,0)),"")</f>
        <v/>
      </c>
      <c r="D95" s="136" t="str">
        <f aca="false">IFERROR(INDEX(N$6:N$201,MATCH(ROW()-5,J$6:J$201,0)),"")</f>
        <v/>
      </c>
      <c r="E95" s="135" t="str">
        <f aca="false">IFERROR(INDEX(O$6:O$201,MATCH(ROW()-5,J$6:J$201,0)),"")</f>
        <v/>
      </c>
      <c r="F95" s="136" t="str">
        <f aca="false">IFERROR(INDEX(P$6:P$201,MATCH(ROW()-5,J$6:J$201,0)),"")</f>
        <v/>
      </c>
      <c r="G95" s="130"/>
      <c r="H95" s="130"/>
      <c r="I95" s="130"/>
      <c r="J95" s="130" t="str">
        <f aca="false">IF(IF(PROCESO!J114&lt;&gt;"",PROCESO!J114,IF(PROCESO!J115&lt;&gt;"",PROCESO!J115,IF(PROCESO!J116&lt;&gt;"",PROCESO!J116,IF(PROCESO!J117&lt;&gt;"",PROCESO!J117,""))))&lt;&gt;"",COUNT(J$6:J94)+1,"")</f>
        <v/>
      </c>
      <c r="K95" s="130" t="str">
        <f aca="false">IF(IF(PROCESO!J114&lt;&gt;"",PROCESO!J114,IF(PROCESO!J115&lt;&gt;"",PROCESO!J115,IF(PROCESO!J116&lt;&gt;"",PROCESO!J116,IF(PROCESO!J117&lt;&gt;"",PROCESO!J117,""))))&lt;&gt;"",PROCESO!A114&amp;IF(COUNTIF(PROCESO!$A$6:A113,PROCESO!A114)&gt;0," (Ped."&amp;(COUNTIF(PROCESO!$A$6:A113,PROCESO!A114)+1)&amp;")",""),"")</f>
        <v/>
      </c>
      <c r="L95" s="130" t="str">
        <f aca="false">IF(IF(PROCESO!J114&lt;&gt;"",PROCESO!J114,IF(PROCESO!J115&lt;&gt;"",PROCESO!J115,IF(PROCESO!J116&lt;&gt;"",PROCESO!J116,IF(PROCESO!J117&lt;&gt;"",PROCESO!J117,""))))&lt;&gt;"","ENVÍO Guía "&amp;IF(LEFT(IF(PROCESO!J114&lt;&gt;"",PROCESO!J114,IF(PROCESO!J115&lt;&gt;"",PROCESO!J115,IF(PROCESO!J116&lt;&gt;"",PROCESO!J116,IF(PROCESO!J117&lt;&gt;"",PROCESO!J117,"")))),2)="G-",MID(IF(PROCESO!J114&lt;&gt;"",PROCESO!J114,IF(PROCESO!J115&lt;&gt;"",PROCESO!J115,IF(PROCESO!J116&lt;&gt;"",PROCESO!J116,IF(PROCESO!J117&lt;&gt;"",PROCESO!J117,"")))),3,99),IF(PROCESO!J114&lt;&gt;"",PROCESO!J114,IF(PROCESO!J115&lt;&gt;"",PROCESO!J115,IF(PROCESO!J116&lt;&gt;"",PROCESO!J116,IF(PROCESO!J117&lt;&gt;"",PROCESO!J117,""))))),"")</f>
        <v/>
      </c>
      <c r="M95" s="130" t="str">
        <f aca="false">""</f>
        <v/>
      </c>
      <c r="N95" s="130" t="str">
        <f aca="false">IF(IF(PROCESO!J114&lt;&gt;"",PROCESO!J114,IF(PROCESO!J115&lt;&gt;"",PROCESO!J115,IF(PROCESO!J116&lt;&gt;"",PROCESO!J116,IF(PROCESO!J117&lt;&gt;"",PROCESO!J117,""))))&lt;&gt;"",SUMIF(PROCESO!J114:J117,IF(PROCESO!J114&lt;&gt;"",PROCESO!J114,IF(PROCESO!J115&lt;&gt;"",PROCESO!J115,IF(PROCESO!J116&lt;&gt;"",PROCESO!J116,IF(PROCESO!J117&lt;&gt;"",PROCESO!J117,"")))),PROCESO!L114:L117),"")</f>
        <v/>
      </c>
      <c r="O95" s="130" t="str">
        <f aca="false">IF(IF(PROCESO!J114&lt;&gt;"",PROCESO!J114,IF(PROCESO!J115&lt;&gt;"",PROCESO!J115,IF(PROCESO!J116&lt;&gt;"",PROCESO!J116,IF(PROCESO!J117&lt;&gt;"",PROCESO!J117,""))))&lt;&gt;"","G-"&amp;IF(LEFT(IF(PROCESO!J114&lt;&gt;"",PROCESO!J114,IF(PROCESO!J115&lt;&gt;"",PROCESO!J115,IF(PROCESO!J116&lt;&gt;"",PROCESO!J116,IF(PROCESO!J117&lt;&gt;"",PROCESO!J117,"")))),2)="G-",MID(IF(PROCESO!J114&lt;&gt;"",PROCESO!J114,IF(PROCESO!J115&lt;&gt;"",PROCESO!J115,IF(PROCESO!J116&lt;&gt;"",PROCESO!J116,IF(PROCESO!J117&lt;&gt;"",PROCESO!J117,"")))),3,99),IF(PROCESO!J114&lt;&gt;"",PROCESO!J114,IF(PROCESO!J115&lt;&gt;"",PROCESO!J115,IF(PROCESO!J116&lt;&gt;"",PROCESO!J116,IF(PROCESO!J117&lt;&gt;"",PROCESO!J117,""))))),"")</f>
        <v/>
      </c>
      <c r="P95" s="130" t="n">
        <f aca="false">P94+N(M95)-N(N95)</f>
        <v>5288.5</v>
      </c>
      <c r="Q95" s="130"/>
      <c r="R95" s="130"/>
      <c r="S95" s="130"/>
      <c r="T95" s="130"/>
    </row>
    <row r="96" customFormat="false" ht="15" hidden="false" customHeight="false" outlineLevel="0" collapsed="false">
      <c r="A96" s="135" t="str">
        <f aca="false">IFERROR(INDEX(K$6:K$201,MATCH(ROW()-5,J$6:J$201,0)),"")</f>
        <v/>
      </c>
      <c r="B96" s="135" t="str">
        <f aca="false">IFERROR(INDEX(L$6:L$201,MATCH(ROW()-5,J$6:J$201,0)),"")</f>
        <v/>
      </c>
      <c r="C96" s="136" t="str">
        <f aca="false">IFERROR(INDEX(M$6:M$201,MATCH(ROW()-5,J$6:J$201,0)),"")</f>
        <v/>
      </c>
      <c r="D96" s="136" t="str">
        <f aca="false">IFERROR(INDEX(N$6:N$201,MATCH(ROW()-5,J$6:J$201,0)),"")</f>
        <v/>
      </c>
      <c r="E96" s="135" t="str">
        <f aca="false">IFERROR(INDEX(O$6:O$201,MATCH(ROW()-5,J$6:J$201,0)),"")</f>
        <v/>
      </c>
      <c r="F96" s="136" t="str">
        <f aca="false">IFERROR(INDEX(P$6:P$201,MATCH(ROW()-5,J$6:J$201,0)),"")</f>
        <v/>
      </c>
      <c r="G96" s="130"/>
      <c r="H96" s="130"/>
      <c r="I96" s="130"/>
      <c r="J96" s="130" t="str">
        <f aca="false">IF(OR(SUM(PROCESO!M114:M117)&gt;0,SUM(PROCESO!N114:N117)&gt;0),COUNT(J$6:J95)+1,"")</f>
        <v/>
      </c>
      <c r="K96" s="130" t="str">
        <f aca="false">IF(OR(SUM(PROCESO!M114:M117)&gt;0,SUM(PROCESO!N114:N117)&gt;0),PROCESO!A114&amp;IF(COUNTIF(PROCESO!$A$6:A113,PROCESO!A114)&gt;0," (Ped."&amp;(COUNTIF(PROCESO!$A$6:A113,PROCESO!A114)+1)&amp;")",""),"")</f>
        <v/>
      </c>
      <c r="L96" s="130" t="str">
        <f aca="false">IF(OR(SUM(PROCESO!M114:M117)&gt;0,SUM(PROCESO!N114:N117)&gt;0),"REPROCESO (devolución)","")</f>
        <v/>
      </c>
      <c r="M96" s="130" t="str">
        <f aca="false">IF(OR(SUM(PROCESO!M114:M117)&gt;0,SUM(PROCESO!N114:N117)&gt;0),SUM(PROCESO!N114:N117),"")</f>
        <v/>
      </c>
      <c r="N96" s="130" t="str">
        <f aca="false">""</f>
        <v/>
      </c>
      <c r="O96" s="130" t="str">
        <f aca="false">IF(OR(SUM(PROCESO!M114:M117)&gt;0,SUM(PROCESO!N114:N117)&gt;0),IF(SUM(PROCESO!M114:M117)&gt;0,SUM(PROCESO!M114:M117)&amp;" jabas devueltas · merma "&amp;TEXT((PROCESO!M114*15+PROCESO!M115*18+PROCESO!M116*17+PROCESO!M117*17)-SUM(PROCESO!N114:N117),"+#,##0;-#,##0;0")&amp;" kg",""),"")</f>
        <v/>
      </c>
      <c r="P96" s="130" t="n">
        <f aca="false">P95+N(M96)-N(N96)</f>
        <v>5288.5</v>
      </c>
      <c r="Q96" s="130"/>
      <c r="R96" s="130"/>
      <c r="S96" s="130"/>
      <c r="T96" s="130"/>
    </row>
    <row r="97" customFormat="false" ht="15" hidden="false" customHeight="false" outlineLevel="0" collapsed="false">
      <c r="A97" s="135" t="str">
        <f aca="false">IFERROR(INDEX(K$6:K$201,MATCH(ROW()-5,J$6:J$201,0)),"")</f>
        <v/>
      </c>
      <c r="B97" s="135" t="str">
        <f aca="false">IFERROR(INDEX(L$6:L$201,MATCH(ROW()-5,J$6:J$201,0)),"")</f>
        <v/>
      </c>
      <c r="C97" s="136" t="str">
        <f aca="false">IFERROR(INDEX(M$6:M$201,MATCH(ROW()-5,J$6:J$201,0)),"")</f>
        <v/>
      </c>
      <c r="D97" s="136" t="str">
        <f aca="false">IFERROR(INDEX(N$6:N$201,MATCH(ROW()-5,J$6:J$201,0)),"")</f>
        <v/>
      </c>
      <c r="E97" s="135" t="str">
        <f aca="false">IFERROR(INDEX(O$6:O$201,MATCH(ROW()-5,J$6:J$201,0)),"")</f>
        <v/>
      </c>
      <c r="F97" s="136" t="str">
        <f aca="false">IFERROR(INDEX(P$6:P$201,MATCH(ROW()-5,J$6:J$201,0)),"")</f>
        <v/>
      </c>
      <c r="G97" s="130"/>
      <c r="H97" s="130"/>
      <c r="I97" s="130"/>
      <c r="J97" s="130" t="str">
        <f aca="false">IF(PROCESO!D120&gt;0,COUNT(J$6:J96)+1,"")</f>
        <v/>
      </c>
      <c r="K97" s="130" t="str">
        <f aca="false">IF(PROCESO!D120&gt;0,PROCESO!A120&amp;IF(COUNTIF(PROCESO!$A$6:A119,PROCESO!A120)&gt;0," (Ped."&amp;(COUNTIF(PROCESO!$A$6:A119,PROCESO!A120)+1)&amp;")",""),"")</f>
        <v/>
      </c>
      <c r="L97" s="130" t="str">
        <f aca="false">IF(PROCESO!D120&gt;0,"INGRESO (compra)","")</f>
        <v/>
      </c>
      <c r="M97" s="130" t="str">
        <f aca="false">IF(PROCESO!D120&gt;0,PROCESO!D120,"")</f>
        <v/>
      </c>
      <c r="N97" s="130" t="str">
        <f aca="false">""</f>
        <v/>
      </c>
      <c r="O97" s="130" t="str">
        <f aca="false">IF(PROCESO!D120&gt;0,PROCESO!B120&amp;" sacos x "&amp;PROCESO!C120&amp;" kg","")</f>
        <v/>
      </c>
      <c r="P97" s="130" t="n">
        <f aca="false">P96+N(M97)-N(N97)</f>
        <v>5288.5</v>
      </c>
      <c r="Q97" s="130"/>
      <c r="R97" s="130"/>
      <c r="S97" s="130"/>
      <c r="T97" s="130"/>
    </row>
    <row r="98" customFormat="false" ht="15" hidden="false" customHeight="false" outlineLevel="0" collapsed="false">
      <c r="A98" s="135" t="str">
        <f aca="false">IFERROR(INDEX(K$6:K$201,MATCH(ROW()-5,J$6:J$201,0)),"")</f>
        <v/>
      </c>
      <c r="B98" s="135" t="str">
        <f aca="false">IFERROR(INDEX(L$6:L$201,MATCH(ROW()-5,J$6:J$201,0)),"")</f>
        <v/>
      </c>
      <c r="C98" s="136" t="str">
        <f aca="false">IFERROR(INDEX(M$6:M$201,MATCH(ROW()-5,J$6:J$201,0)),"")</f>
        <v/>
      </c>
      <c r="D98" s="136" t="str">
        <f aca="false">IFERROR(INDEX(N$6:N$201,MATCH(ROW()-5,J$6:J$201,0)),"")</f>
        <v/>
      </c>
      <c r="E98" s="135" t="str">
        <f aca="false">IFERROR(INDEX(O$6:O$201,MATCH(ROW()-5,J$6:J$201,0)),"")</f>
        <v/>
      </c>
      <c r="F98" s="136" t="str">
        <f aca="false">IFERROR(INDEX(P$6:P$201,MATCH(ROW()-5,J$6:J$201,0)),"")</f>
        <v/>
      </c>
      <c r="G98" s="130"/>
      <c r="H98" s="130"/>
      <c r="I98" s="130"/>
      <c r="J98" s="130" t="str">
        <f aca="false">IF(N(PROCESO!H124)&gt;0,COUNT(J$6:J97)+1,"")</f>
        <v/>
      </c>
      <c r="K98" s="130" t="str">
        <f aca="false">IF(N(PROCESO!H124)&gt;0,PROCESO!A120&amp;IF(COUNTIF(PROCESO!$A$6:A119,PROCESO!A120)&gt;0," (Ped."&amp;(COUNTIF(PROCESO!$A$6:A119,PROCESO!A120)+1)&amp;")",""),"")</f>
        <v/>
      </c>
      <c r="L98" s="130" t="str">
        <f aca="false">IF(N(PROCESO!H124)&gt;0,"CHANCHO (proceso)","")</f>
        <v/>
      </c>
      <c r="M98" s="130" t="str">
        <f aca="false">""</f>
        <v/>
      </c>
      <c r="N98" s="130" t="str">
        <f aca="false">IF(N(PROCESO!H124)&gt;0,N(PROCESO!H124),"")</f>
        <v/>
      </c>
      <c r="O98" s="130" t="str">
        <f aca="false">IF(N(PROCESO!H124)&gt;0,PROCESO!G124&amp;" sacos x 95 kg","")</f>
        <v/>
      </c>
      <c r="P98" s="130" t="n">
        <f aca="false">P97+N(M98)-N(N98)</f>
        <v>5288.5</v>
      </c>
      <c r="Q98" s="130"/>
      <c r="R98" s="130"/>
      <c r="S98" s="130"/>
      <c r="T98" s="130"/>
    </row>
    <row r="99" customFormat="false" ht="15" hidden="false" customHeight="false" outlineLevel="0" collapsed="false">
      <c r="A99" s="135" t="str">
        <f aca="false">IFERROR(INDEX(K$6:K$201,MATCH(ROW()-5,J$6:J$201,0)),"")</f>
        <v/>
      </c>
      <c r="B99" s="135" t="str">
        <f aca="false">IFERROR(INDEX(L$6:L$201,MATCH(ROW()-5,J$6:J$201,0)),"")</f>
        <v/>
      </c>
      <c r="C99" s="136" t="str">
        <f aca="false">IFERROR(INDEX(M$6:M$201,MATCH(ROW()-5,J$6:J$201,0)),"")</f>
        <v/>
      </c>
      <c r="D99" s="136" t="str">
        <f aca="false">IFERROR(INDEX(N$6:N$201,MATCH(ROW()-5,J$6:J$201,0)),"")</f>
        <v/>
      </c>
      <c r="E99" s="135" t="str">
        <f aca="false">IFERROR(INDEX(O$6:O$201,MATCH(ROW()-5,J$6:J$201,0)),"")</f>
        <v/>
      </c>
      <c r="F99" s="136" t="str">
        <f aca="false">IFERROR(INDEX(P$6:P$201,MATCH(ROW()-5,J$6:J$201,0)),"")</f>
        <v/>
      </c>
      <c r="G99" s="130"/>
      <c r="H99" s="130"/>
      <c r="I99" s="130"/>
      <c r="J99" s="130" t="str">
        <f aca="false">IF(N(PROCESO!H125)&gt;0,COUNT(J$6:J98)+1,"")</f>
        <v/>
      </c>
      <c r="K99" s="130" t="str">
        <f aca="false">IF(N(PROCESO!H125)&gt;0,PROCESO!A120&amp;IF(COUNTIF(PROCESO!$A$6:A119,PROCESO!A120)&gt;0," (Ped."&amp;(COUNTIF(PROCESO!$A$6:A119,PROCESO!A120)+1)&amp;")",""),"")</f>
        <v/>
      </c>
      <c r="L99" s="130" t="str">
        <f aca="false">IF(N(PROCESO!H125)&gt;0,"MALOGRADO","")</f>
        <v/>
      </c>
      <c r="M99" s="130" t="str">
        <f aca="false">""</f>
        <v/>
      </c>
      <c r="N99" s="130" t="str">
        <f aca="false">IF(N(PROCESO!H125)&gt;0,N(PROCESO!H125),"")</f>
        <v/>
      </c>
      <c r="O99" s="130" t="str">
        <f aca="false">""</f>
        <v/>
      </c>
      <c r="P99" s="130" t="n">
        <f aca="false">P98+N(M99)-N(N99)</f>
        <v>5288.5</v>
      </c>
      <c r="Q99" s="130"/>
      <c r="R99" s="130"/>
      <c r="S99" s="130"/>
      <c r="T99" s="130"/>
    </row>
    <row r="100" customFormat="false" ht="15" hidden="false" customHeight="false" outlineLevel="0" collapsed="false">
      <c r="A100" s="135" t="str">
        <f aca="false">IFERROR(INDEX(K$6:K$201,MATCH(ROW()-5,J$6:J$201,0)),"")</f>
        <v/>
      </c>
      <c r="B100" s="135" t="str">
        <f aca="false">IFERROR(INDEX(L$6:L$201,MATCH(ROW()-5,J$6:J$201,0)),"")</f>
        <v/>
      </c>
      <c r="C100" s="136" t="str">
        <f aca="false">IFERROR(INDEX(M$6:M$201,MATCH(ROW()-5,J$6:J$201,0)),"")</f>
        <v/>
      </c>
      <c r="D100" s="136" t="str">
        <f aca="false">IFERROR(INDEX(N$6:N$201,MATCH(ROW()-5,J$6:J$201,0)),"")</f>
        <v/>
      </c>
      <c r="E100" s="135" t="str">
        <f aca="false">IFERROR(INDEX(O$6:O$201,MATCH(ROW()-5,J$6:J$201,0)),"")</f>
        <v/>
      </c>
      <c r="F100" s="136" t="str">
        <f aca="false">IFERROR(INDEX(P$6:P$201,MATCH(ROW()-5,J$6:J$201,0)),"")</f>
        <v/>
      </c>
      <c r="G100" s="130"/>
      <c r="H100" s="130"/>
      <c r="I100" s="130"/>
      <c r="J100" s="130" t="str">
        <f aca="false">IF(IF(PROCESO!J120&lt;&gt;"",PROCESO!J120,IF(PROCESO!J121&lt;&gt;"",PROCESO!J121,IF(PROCESO!J122&lt;&gt;"",PROCESO!J122,IF(PROCESO!J123&lt;&gt;"",PROCESO!J123,""))))&lt;&gt;"",COUNT(J$6:J99)+1,"")</f>
        <v/>
      </c>
      <c r="K100" s="130" t="str">
        <f aca="false">IF(IF(PROCESO!J120&lt;&gt;"",PROCESO!J120,IF(PROCESO!J121&lt;&gt;"",PROCESO!J121,IF(PROCESO!J122&lt;&gt;"",PROCESO!J122,IF(PROCESO!J123&lt;&gt;"",PROCESO!J123,""))))&lt;&gt;"",PROCESO!A120&amp;IF(COUNTIF(PROCESO!$A$6:A119,PROCESO!A120)&gt;0," (Ped."&amp;(COUNTIF(PROCESO!$A$6:A119,PROCESO!A120)+1)&amp;")",""),"")</f>
        <v/>
      </c>
      <c r="L100" s="130" t="str">
        <f aca="false">IF(IF(PROCESO!J120&lt;&gt;"",PROCESO!J120,IF(PROCESO!J121&lt;&gt;"",PROCESO!J121,IF(PROCESO!J122&lt;&gt;"",PROCESO!J122,IF(PROCESO!J123&lt;&gt;"",PROCESO!J123,""))))&lt;&gt;"","ENVÍO Guía "&amp;IF(LEFT(IF(PROCESO!J120&lt;&gt;"",PROCESO!J120,IF(PROCESO!J121&lt;&gt;"",PROCESO!J121,IF(PROCESO!J122&lt;&gt;"",PROCESO!J122,IF(PROCESO!J123&lt;&gt;"",PROCESO!J123,"")))),2)="G-",MID(IF(PROCESO!J120&lt;&gt;"",PROCESO!J120,IF(PROCESO!J121&lt;&gt;"",PROCESO!J121,IF(PROCESO!J122&lt;&gt;"",PROCESO!J122,IF(PROCESO!J123&lt;&gt;"",PROCESO!J123,"")))),3,99),IF(PROCESO!J120&lt;&gt;"",PROCESO!J120,IF(PROCESO!J121&lt;&gt;"",PROCESO!J121,IF(PROCESO!J122&lt;&gt;"",PROCESO!J122,IF(PROCESO!J123&lt;&gt;"",PROCESO!J123,""))))),"")</f>
        <v/>
      </c>
      <c r="M100" s="130" t="str">
        <f aca="false">""</f>
        <v/>
      </c>
      <c r="N100" s="130" t="str">
        <f aca="false">IF(IF(PROCESO!J120&lt;&gt;"",PROCESO!J120,IF(PROCESO!J121&lt;&gt;"",PROCESO!J121,IF(PROCESO!J122&lt;&gt;"",PROCESO!J122,IF(PROCESO!J123&lt;&gt;"",PROCESO!J123,""))))&lt;&gt;"",SUMIF(PROCESO!J120:J123,IF(PROCESO!J120&lt;&gt;"",PROCESO!J120,IF(PROCESO!J121&lt;&gt;"",PROCESO!J121,IF(PROCESO!J122&lt;&gt;"",PROCESO!J122,IF(PROCESO!J123&lt;&gt;"",PROCESO!J123,"")))),PROCESO!L120:L123),"")</f>
        <v/>
      </c>
      <c r="O100" s="130" t="str">
        <f aca="false">IF(IF(PROCESO!J120&lt;&gt;"",PROCESO!J120,IF(PROCESO!J121&lt;&gt;"",PROCESO!J121,IF(PROCESO!J122&lt;&gt;"",PROCESO!J122,IF(PROCESO!J123&lt;&gt;"",PROCESO!J123,""))))&lt;&gt;"","G-"&amp;IF(LEFT(IF(PROCESO!J120&lt;&gt;"",PROCESO!J120,IF(PROCESO!J121&lt;&gt;"",PROCESO!J121,IF(PROCESO!J122&lt;&gt;"",PROCESO!J122,IF(PROCESO!J123&lt;&gt;"",PROCESO!J123,"")))),2)="G-",MID(IF(PROCESO!J120&lt;&gt;"",PROCESO!J120,IF(PROCESO!J121&lt;&gt;"",PROCESO!J121,IF(PROCESO!J122&lt;&gt;"",PROCESO!J122,IF(PROCESO!J123&lt;&gt;"",PROCESO!J123,"")))),3,99),IF(PROCESO!J120&lt;&gt;"",PROCESO!J120,IF(PROCESO!J121&lt;&gt;"",PROCESO!J121,IF(PROCESO!J122&lt;&gt;"",PROCESO!J122,IF(PROCESO!J123&lt;&gt;"",PROCESO!J123,""))))),"")</f>
        <v/>
      </c>
      <c r="P100" s="130" t="n">
        <f aca="false">P99+N(M100)-N(N100)</f>
        <v>5288.5</v>
      </c>
      <c r="Q100" s="130"/>
      <c r="R100" s="130"/>
      <c r="S100" s="130"/>
      <c r="T100" s="130"/>
    </row>
    <row r="101" customFormat="false" ht="15" hidden="false" customHeight="false" outlineLevel="0" collapsed="false">
      <c r="A101" s="135" t="str">
        <f aca="false">IFERROR(INDEX(K$6:K$201,MATCH(ROW()-5,J$6:J$201,0)),"")</f>
        <v/>
      </c>
      <c r="B101" s="135" t="str">
        <f aca="false">IFERROR(INDEX(L$6:L$201,MATCH(ROW()-5,J$6:J$201,0)),"")</f>
        <v/>
      </c>
      <c r="C101" s="136" t="str">
        <f aca="false">IFERROR(INDEX(M$6:M$201,MATCH(ROW()-5,J$6:J$201,0)),"")</f>
        <v/>
      </c>
      <c r="D101" s="136" t="str">
        <f aca="false">IFERROR(INDEX(N$6:N$201,MATCH(ROW()-5,J$6:J$201,0)),"")</f>
        <v/>
      </c>
      <c r="E101" s="135" t="str">
        <f aca="false">IFERROR(INDEX(O$6:O$201,MATCH(ROW()-5,J$6:J$201,0)),"")</f>
        <v/>
      </c>
      <c r="F101" s="136" t="str">
        <f aca="false">IFERROR(INDEX(P$6:P$201,MATCH(ROW()-5,J$6:J$201,0)),"")</f>
        <v/>
      </c>
      <c r="G101" s="130"/>
      <c r="H101" s="130"/>
      <c r="I101" s="130"/>
      <c r="J101" s="130" t="str">
        <f aca="false">IF(OR(SUM(PROCESO!M120:M123)&gt;0,SUM(PROCESO!N120:N123)&gt;0),COUNT(J$6:J100)+1,"")</f>
        <v/>
      </c>
      <c r="K101" s="130" t="str">
        <f aca="false">IF(OR(SUM(PROCESO!M120:M123)&gt;0,SUM(PROCESO!N120:N123)&gt;0),PROCESO!A120&amp;IF(COUNTIF(PROCESO!$A$6:A119,PROCESO!A120)&gt;0," (Ped."&amp;(COUNTIF(PROCESO!$A$6:A119,PROCESO!A120)+1)&amp;")",""),"")</f>
        <v/>
      </c>
      <c r="L101" s="130" t="str">
        <f aca="false">IF(OR(SUM(PROCESO!M120:M123)&gt;0,SUM(PROCESO!N120:N123)&gt;0),"REPROCESO (devolución)","")</f>
        <v/>
      </c>
      <c r="M101" s="130" t="str">
        <f aca="false">IF(OR(SUM(PROCESO!M120:M123)&gt;0,SUM(PROCESO!N120:N123)&gt;0),SUM(PROCESO!N120:N123),"")</f>
        <v/>
      </c>
      <c r="N101" s="130" t="str">
        <f aca="false">""</f>
        <v/>
      </c>
      <c r="O101" s="130" t="str">
        <f aca="false">IF(OR(SUM(PROCESO!M120:M123)&gt;0,SUM(PROCESO!N120:N123)&gt;0),IF(SUM(PROCESO!M120:M123)&gt;0,SUM(PROCESO!M120:M123)&amp;" jabas devueltas · merma "&amp;TEXT((PROCESO!M120*15+PROCESO!M121*18+PROCESO!M122*17+PROCESO!M123*17)-SUM(PROCESO!N120:N123),"+#,##0;-#,##0;0")&amp;" kg",""),"")</f>
        <v/>
      </c>
      <c r="P101" s="130" t="n">
        <f aca="false">P100+N(M101)-N(N101)</f>
        <v>5288.5</v>
      </c>
      <c r="Q101" s="130"/>
      <c r="R101" s="130"/>
      <c r="S101" s="130"/>
      <c r="T101" s="130"/>
    </row>
    <row r="102" customFormat="false" ht="15" hidden="false" customHeight="false" outlineLevel="0" collapsed="false">
      <c r="A102" s="135" t="str">
        <f aca="false">IFERROR(INDEX(K$6:K$201,MATCH(ROW()-5,J$6:J$201,0)),"")</f>
        <v/>
      </c>
      <c r="B102" s="135" t="str">
        <f aca="false">IFERROR(INDEX(L$6:L$201,MATCH(ROW()-5,J$6:J$201,0)),"")</f>
        <v/>
      </c>
      <c r="C102" s="136" t="str">
        <f aca="false">IFERROR(INDEX(M$6:M$201,MATCH(ROW()-5,J$6:J$201,0)),"")</f>
        <v/>
      </c>
      <c r="D102" s="136" t="str">
        <f aca="false">IFERROR(INDEX(N$6:N$201,MATCH(ROW()-5,J$6:J$201,0)),"")</f>
        <v/>
      </c>
      <c r="E102" s="135" t="str">
        <f aca="false">IFERROR(INDEX(O$6:O$201,MATCH(ROW()-5,J$6:J$201,0)),"")</f>
        <v/>
      </c>
      <c r="F102" s="136" t="str">
        <f aca="false">IFERROR(INDEX(P$6:P$201,MATCH(ROW()-5,J$6:J$201,0)),"")</f>
        <v/>
      </c>
      <c r="G102" s="130"/>
      <c r="H102" s="130"/>
      <c r="I102" s="130"/>
      <c r="J102" s="130" t="str">
        <f aca="false">IF(PROCESO!D126&gt;0,COUNT(J$6:J101)+1,"")</f>
        <v/>
      </c>
      <c r="K102" s="130" t="str">
        <f aca="false">IF(PROCESO!D126&gt;0,PROCESO!A126&amp;IF(COUNTIF(PROCESO!$A$6:A125,PROCESO!A126)&gt;0," (Ped."&amp;(COUNTIF(PROCESO!$A$6:A125,PROCESO!A126)+1)&amp;")",""),"")</f>
        <v/>
      </c>
      <c r="L102" s="130" t="str">
        <f aca="false">IF(PROCESO!D126&gt;0,"INGRESO (compra)","")</f>
        <v/>
      </c>
      <c r="M102" s="130" t="str">
        <f aca="false">IF(PROCESO!D126&gt;0,PROCESO!D126,"")</f>
        <v/>
      </c>
      <c r="N102" s="130" t="str">
        <f aca="false">""</f>
        <v/>
      </c>
      <c r="O102" s="130" t="str">
        <f aca="false">IF(PROCESO!D126&gt;0,PROCESO!B126&amp;" sacos x "&amp;PROCESO!C126&amp;" kg","")</f>
        <v/>
      </c>
      <c r="P102" s="130" t="n">
        <f aca="false">P101+N(M102)-N(N102)</f>
        <v>5288.5</v>
      </c>
      <c r="Q102" s="130"/>
      <c r="R102" s="130"/>
      <c r="S102" s="130"/>
      <c r="T102" s="130"/>
    </row>
    <row r="103" customFormat="false" ht="15" hidden="false" customHeight="false" outlineLevel="0" collapsed="false">
      <c r="A103" s="135" t="str">
        <f aca="false">IFERROR(INDEX(K$6:K$201,MATCH(ROW()-5,J$6:J$201,0)),"")</f>
        <v/>
      </c>
      <c r="B103" s="135" t="str">
        <f aca="false">IFERROR(INDEX(L$6:L$201,MATCH(ROW()-5,J$6:J$201,0)),"")</f>
        <v/>
      </c>
      <c r="C103" s="136" t="str">
        <f aca="false">IFERROR(INDEX(M$6:M$201,MATCH(ROW()-5,J$6:J$201,0)),"")</f>
        <v/>
      </c>
      <c r="D103" s="136" t="str">
        <f aca="false">IFERROR(INDEX(N$6:N$201,MATCH(ROW()-5,J$6:J$201,0)),"")</f>
        <v/>
      </c>
      <c r="E103" s="135" t="str">
        <f aca="false">IFERROR(INDEX(O$6:O$201,MATCH(ROW()-5,J$6:J$201,0)),"")</f>
        <v/>
      </c>
      <c r="F103" s="136" t="str">
        <f aca="false">IFERROR(INDEX(P$6:P$201,MATCH(ROW()-5,J$6:J$201,0)),"")</f>
        <v/>
      </c>
      <c r="G103" s="130"/>
      <c r="H103" s="130"/>
      <c r="I103" s="130"/>
      <c r="J103" s="130" t="str">
        <f aca="false">IF(N(PROCESO!H130)&gt;0,COUNT(J$6:J102)+1,"")</f>
        <v/>
      </c>
      <c r="K103" s="130" t="str">
        <f aca="false">IF(N(PROCESO!H130)&gt;0,PROCESO!A126&amp;IF(COUNTIF(PROCESO!$A$6:A125,PROCESO!A126)&gt;0," (Ped."&amp;(COUNTIF(PROCESO!$A$6:A125,PROCESO!A126)+1)&amp;")",""),"")</f>
        <v/>
      </c>
      <c r="L103" s="130" t="str">
        <f aca="false">IF(N(PROCESO!H130)&gt;0,"CHANCHO (proceso)","")</f>
        <v/>
      </c>
      <c r="M103" s="130" t="str">
        <f aca="false">""</f>
        <v/>
      </c>
      <c r="N103" s="130" t="str">
        <f aca="false">IF(N(PROCESO!H130)&gt;0,N(PROCESO!H130),"")</f>
        <v/>
      </c>
      <c r="O103" s="130" t="str">
        <f aca="false">IF(N(PROCESO!H130)&gt;0,PROCESO!G130&amp;" sacos x 95 kg","")</f>
        <v/>
      </c>
      <c r="P103" s="130" t="n">
        <f aca="false">P102+N(M103)-N(N103)</f>
        <v>5288.5</v>
      </c>
      <c r="Q103" s="130"/>
      <c r="R103" s="130"/>
      <c r="S103" s="130"/>
      <c r="T103" s="130"/>
    </row>
    <row r="104" customFormat="false" ht="15" hidden="false" customHeight="false" outlineLevel="0" collapsed="false">
      <c r="A104" s="135" t="str">
        <f aca="false">IFERROR(INDEX(K$6:K$201,MATCH(ROW()-5,J$6:J$201,0)),"")</f>
        <v/>
      </c>
      <c r="B104" s="135" t="str">
        <f aca="false">IFERROR(INDEX(L$6:L$201,MATCH(ROW()-5,J$6:J$201,0)),"")</f>
        <v/>
      </c>
      <c r="C104" s="136" t="str">
        <f aca="false">IFERROR(INDEX(M$6:M$201,MATCH(ROW()-5,J$6:J$201,0)),"")</f>
        <v/>
      </c>
      <c r="D104" s="136" t="str">
        <f aca="false">IFERROR(INDEX(N$6:N$201,MATCH(ROW()-5,J$6:J$201,0)),"")</f>
        <v/>
      </c>
      <c r="E104" s="135" t="str">
        <f aca="false">IFERROR(INDEX(O$6:O$201,MATCH(ROW()-5,J$6:J$201,0)),"")</f>
        <v/>
      </c>
      <c r="F104" s="136" t="str">
        <f aca="false">IFERROR(INDEX(P$6:P$201,MATCH(ROW()-5,J$6:J$201,0)),"")</f>
        <v/>
      </c>
      <c r="G104" s="130"/>
      <c r="H104" s="130"/>
      <c r="I104" s="130"/>
      <c r="J104" s="130" t="str">
        <f aca="false">IF(N(PROCESO!H131)&gt;0,COUNT(J$6:J103)+1,"")</f>
        <v/>
      </c>
      <c r="K104" s="130" t="str">
        <f aca="false">IF(N(PROCESO!H131)&gt;0,PROCESO!A126&amp;IF(COUNTIF(PROCESO!$A$6:A125,PROCESO!A126)&gt;0," (Ped."&amp;(COUNTIF(PROCESO!$A$6:A125,PROCESO!A126)+1)&amp;")",""),"")</f>
        <v/>
      </c>
      <c r="L104" s="130" t="str">
        <f aca="false">IF(N(PROCESO!H131)&gt;0,"MALOGRADO","")</f>
        <v/>
      </c>
      <c r="M104" s="130" t="str">
        <f aca="false">""</f>
        <v/>
      </c>
      <c r="N104" s="130" t="str">
        <f aca="false">IF(N(PROCESO!H131)&gt;0,N(PROCESO!H131),"")</f>
        <v/>
      </c>
      <c r="O104" s="130" t="str">
        <f aca="false">""</f>
        <v/>
      </c>
      <c r="P104" s="130" t="n">
        <f aca="false">P103+N(M104)-N(N104)</f>
        <v>5288.5</v>
      </c>
      <c r="Q104" s="130"/>
      <c r="R104" s="130"/>
      <c r="S104" s="130"/>
      <c r="T104" s="130"/>
    </row>
    <row r="105" customFormat="false" ht="15" hidden="false" customHeight="false" outlineLevel="0" collapsed="false">
      <c r="A105" s="135" t="str">
        <f aca="false">IFERROR(INDEX(K$6:K$201,MATCH(ROW()-5,J$6:J$201,0)),"")</f>
        <v/>
      </c>
      <c r="B105" s="135" t="str">
        <f aca="false">IFERROR(INDEX(L$6:L$201,MATCH(ROW()-5,J$6:J$201,0)),"")</f>
        <v/>
      </c>
      <c r="C105" s="136" t="str">
        <f aca="false">IFERROR(INDEX(M$6:M$201,MATCH(ROW()-5,J$6:J$201,0)),"")</f>
        <v/>
      </c>
      <c r="D105" s="136" t="str">
        <f aca="false">IFERROR(INDEX(N$6:N$201,MATCH(ROW()-5,J$6:J$201,0)),"")</f>
        <v/>
      </c>
      <c r="E105" s="135" t="str">
        <f aca="false">IFERROR(INDEX(O$6:O$201,MATCH(ROW()-5,J$6:J$201,0)),"")</f>
        <v/>
      </c>
      <c r="F105" s="136" t="str">
        <f aca="false">IFERROR(INDEX(P$6:P$201,MATCH(ROW()-5,J$6:J$201,0)),"")</f>
        <v/>
      </c>
      <c r="G105" s="130"/>
      <c r="H105" s="130"/>
      <c r="I105" s="130"/>
      <c r="J105" s="130" t="str">
        <f aca="false">IF(IF(PROCESO!J126&lt;&gt;"",PROCESO!J126,IF(PROCESO!J127&lt;&gt;"",PROCESO!J127,IF(PROCESO!J128&lt;&gt;"",PROCESO!J128,IF(PROCESO!J129&lt;&gt;"",PROCESO!J129,""))))&lt;&gt;"",COUNT(J$6:J104)+1,"")</f>
        <v/>
      </c>
      <c r="K105" s="130" t="str">
        <f aca="false">IF(IF(PROCESO!J126&lt;&gt;"",PROCESO!J126,IF(PROCESO!J127&lt;&gt;"",PROCESO!J127,IF(PROCESO!J128&lt;&gt;"",PROCESO!J128,IF(PROCESO!J129&lt;&gt;"",PROCESO!J129,""))))&lt;&gt;"",PROCESO!A126&amp;IF(COUNTIF(PROCESO!$A$6:A125,PROCESO!A126)&gt;0," (Ped."&amp;(COUNTIF(PROCESO!$A$6:A125,PROCESO!A126)+1)&amp;")",""),"")</f>
        <v/>
      </c>
      <c r="L105" s="130" t="str">
        <f aca="false">IF(IF(PROCESO!J126&lt;&gt;"",PROCESO!J126,IF(PROCESO!J127&lt;&gt;"",PROCESO!J127,IF(PROCESO!J128&lt;&gt;"",PROCESO!J128,IF(PROCESO!J129&lt;&gt;"",PROCESO!J129,""))))&lt;&gt;"","ENVÍO Guía "&amp;IF(LEFT(IF(PROCESO!J126&lt;&gt;"",PROCESO!J126,IF(PROCESO!J127&lt;&gt;"",PROCESO!J127,IF(PROCESO!J128&lt;&gt;"",PROCESO!J128,IF(PROCESO!J129&lt;&gt;"",PROCESO!J129,"")))),2)="G-",MID(IF(PROCESO!J126&lt;&gt;"",PROCESO!J126,IF(PROCESO!J127&lt;&gt;"",PROCESO!J127,IF(PROCESO!J128&lt;&gt;"",PROCESO!J128,IF(PROCESO!J129&lt;&gt;"",PROCESO!J129,"")))),3,99),IF(PROCESO!J126&lt;&gt;"",PROCESO!J126,IF(PROCESO!J127&lt;&gt;"",PROCESO!J127,IF(PROCESO!J128&lt;&gt;"",PROCESO!J128,IF(PROCESO!J129&lt;&gt;"",PROCESO!J129,""))))),"")</f>
        <v/>
      </c>
      <c r="M105" s="130" t="str">
        <f aca="false">""</f>
        <v/>
      </c>
      <c r="N105" s="130" t="str">
        <f aca="false">IF(IF(PROCESO!J126&lt;&gt;"",PROCESO!J126,IF(PROCESO!J127&lt;&gt;"",PROCESO!J127,IF(PROCESO!J128&lt;&gt;"",PROCESO!J128,IF(PROCESO!J129&lt;&gt;"",PROCESO!J129,""))))&lt;&gt;"",SUMIF(PROCESO!J126:J129,IF(PROCESO!J126&lt;&gt;"",PROCESO!J126,IF(PROCESO!J127&lt;&gt;"",PROCESO!J127,IF(PROCESO!J128&lt;&gt;"",PROCESO!J128,IF(PROCESO!J129&lt;&gt;"",PROCESO!J129,"")))),PROCESO!L126:L129),"")</f>
        <v/>
      </c>
      <c r="O105" s="130" t="str">
        <f aca="false">IF(IF(PROCESO!J126&lt;&gt;"",PROCESO!J126,IF(PROCESO!J127&lt;&gt;"",PROCESO!J127,IF(PROCESO!J128&lt;&gt;"",PROCESO!J128,IF(PROCESO!J129&lt;&gt;"",PROCESO!J129,""))))&lt;&gt;"","G-"&amp;IF(LEFT(IF(PROCESO!J126&lt;&gt;"",PROCESO!J126,IF(PROCESO!J127&lt;&gt;"",PROCESO!J127,IF(PROCESO!J128&lt;&gt;"",PROCESO!J128,IF(PROCESO!J129&lt;&gt;"",PROCESO!J129,"")))),2)="G-",MID(IF(PROCESO!J126&lt;&gt;"",PROCESO!J126,IF(PROCESO!J127&lt;&gt;"",PROCESO!J127,IF(PROCESO!J128&lt;&gt;"",PROCESO!J128,IF(PROCESO!J129&lt;&gt;"",PROCESO!J129,"")))),3,99),IF(PROCESO!J126&lt;&gt;"",PROCESO!J126,IF(PROCESO!J127&lt;&gt;"",PROCESO!J127,IF(PROCESO!J128&lt;&gt;"",PROCESO!J128,IF(PROCESO!J129&lt;&gt;"",PROCESO!J129,""))))),"")</f>
        <v/>
      </c>
      <c r="P105" s="130" t="n">
        <f aca="false">P104+N(M105)-N(N105)</f>
        <v>5288.5</v>
      </c>
      <c r="Q105" s="130"/>
      <c r="R105" s="130"/>
      <c r="S105" s="130"/>
      <c r="T105" s="130"/>
    </row>
    <row r="106" customFormat="false" ht="15" hidden="false" customHeight="false" outlineLevel="0" collapsed="false">
      <c r="A106" s="135" t="str">
        <f aca="false">IFERROR(INDEX(K$6:K$201,MATCH(ROW()-5,J$6:J$201,0)),"")</f>
        <v/>
      </c>
      <c r="B106" s="135" t="str">
        <f aca="false">IFERROR(INDEX(L$6:L$201,MATCH(ROW()-5,J$6:J$201,0)),"")</f>
        <v/>
      </c>
      <c r="C106" s="136" t="str">
        <f aca="false">IFERROR(INDEX(M$6:M$201,MATCH(ROW()-5,J$6:J$201,0)),"")</f>
        <v/>
      </c>
      <c r="D106" s="136" t="str">
        <f aca="false">IFERROR(INDEX(N$6:N$201,MATCH(ROW()-5,J$6:J$201,0)),"")</f>
        <v/>
      </c>
      <c r="E106" s="135" t="str">
        <f aca="false">IFERROR(INDEX(O$6:O$201,MATCH(ROW()-5,J$6:J$201,0)),"")</f>
        <v/>
      </c>
      <c r="F106" s="136" t="str">
        <f aca="false">IFERROR(INDEX(P$6:P$201,MATCH(ROW()-5,J$6:J$201,0)),"")</f>
        <v/>
      </c>
      <c r="G106" s="130"/>
      <c r="H106" s="130"/>
      <c r="I106" s="130"/>
      <c r="J106" s="130" t="str">
        <f aca="false">IF(OR(SUM(PROCESO!M126:M129)&gt;0,SUM(PROCESO!N126:N129)&gt;0),COUNT(J$6:J105)+1,"")</f>
        <v/>
      </c>
      <c r="K106" s="130" t="str">
        <f aca="false">IF(OR(SUM(PROCESO!M126:M129)&gt;0,SUM(PROCESO!N126:N129)&gt;0),PROCESO!A126&amp;IF(COUNTIF(PROCESO!$A$6:A125,PROCESO!A126)&gt;0," (Ped."&amp;(COUNTIF(PROCESO!$A$6:A125,PROCESO!A126)+1)&amp;")",""),"")</f>
        <v/>
      </c>
      <c r="L106" s="130" t="str">
        <f aca="false">IF(OR(SUM(PROCESO!M126:M129)&gt;0,SUM(PROCESO!N126:N129)&gt;0),"REPROCESO (devolución)","")</f>
        <v/>
      </c>
      <c r="M106" s="130" t="str">
        <f aca="false">IF(OR(SUM(PROCESO!M126:M129)&gt;0,SUM(PROCESO!N126:N129)&gt;0),SUM(PROCESO!N126:N129),"")</f>
        <v/>
      </c>
      <c r="N106" s="130" t="str">
        <f aca="false">""</f>
        <v/>
      </c>
      <c r="O106" s="130" t="str">
        <f aca="false">IF(OR(SUM(PROCESO!M126:M129)&gt;0,SUM(PROCESO!N126:N129)&gt;0),IF(SUM(PROCESO!M126:M129)&gt;0,SUM(PROCESO!M126:M129)&amp;" jabas devueltas · merma "&amp;TEXT((PROCESO!M126*15+PROCESO!M127*18+PROCESO!M128*17+PROCESO!M129*17)-SUM(PROCESO!N126:N129),"+#,##0;-#,##0;0")&amp;" kg",""),"")</f>
        <v/>
      </c>
      <c r="P106" s="130" t="n">
        <f aca="false">P105+N(M106)-N(N106)</f>
        <v>5288.5</v>
      </c>
      <c r="Q106" s="130"/>
      <c r="R106" s="130"/>
      <c r="S106" s="130"/>
      <c r="T106" s="130"/>
    </row>
    <row r="107" customFormat="false" ht="15" hidden="false" customHeight="false" outlineLevel="0" collapsed="false">
      <c r="A107" s="135" t="str">
        <f aca="false">IFERROR(INDEX(K$6:K$201,MATCH(ROW()-5,J$6:J$201,0)),"")</f>
        <v/>
      </c>
      <c r="B107" s="135" t="str">
        <f aca="false">IFERROR(INDEX(L$6:L$201,MATCH(ROW()-5,J$6:J$201,0)),"")</f>
        <v/>
      </c>
      <c r="C107" s="136" t="str">
        <f aca="false">IFERROR(INDEX(M$6:M$201,MATCH(ROW()-5,J$6:J$201,0)),"")</f>
        <v/>
      </c>
      <c r="D107" s="136" t="str">
        <f aca="false">IFERROR(INDEX(N$6:N$201,MATCH(ROW()-5,J$6:J$201,0)),"")</f>
        <v/>
      </c>
      <c r="E107" s="135" t="str">
        <f aca="false">IFERROR(INDEX(O$6:O$201,MATCH(ROW()-5,J$6:J$201,0)),"")</f>
        <v/>
      </c>
      <c r="F107" s="136" t="str">
        <f aca="false">IFERROR(INDEX(P$6:P$201,MATCH(ROW()-5,J$6:J$201,0)),"")</f>
        <v/>
      </c>
      <c r="G107" s="130"/>
      <c r="H107" s="130"/>
      <c r="I107" s="130"/>
      <c r="J107" s="130" t="str">
        <f aca="false">IF(PROCESO!D132&gt;0,COUNT(J$6:J106)+1,"")</f>
        <v/>
      </c>
      <c r="K107" s="130" t="str">
        <f aca="false">IF(PROCESO!D132&gt;0,PROCESO!A132&amp;IF(COUNTIF(PROCESO!$A$6:A131,PROCESO!A132)&gt;0," (Ped."&amp;(COUNTIF(PROCESO!$A$6:A131,PROCESO!A132)+1)&amp;")",""),"")</f>
        <v/>
      </c>
      <c r="L107" s="130" t="str">
        <f aca="false">IF(PROCESO!D132&gt;0,"INGRESO (compra)","")</f>
        <v/>
      </c>
      <c r="M107" s="130" t="str">
        <f aca="false">IF(PROCESO!D132&gt;0,PROCESO!D132,"")</f>
        <v/>
      </c>
      <c r="N107" s="130" t="str">
        <f aca="false">""</f>
        <v/>
      </c>
      <c r="O107" s="130" t="str">
        <f aca="false">IF(PROCESO!D132&gt;0,PROCESO!B132&amp;" sacos x "&amp;PROCESO!C132&amp;" kg","")</f>
        <v/>
      </c>
      <c r="P107" s="130" t="n">
        <f aca="false">P106+N(M107)-N(N107)</f>
        <v>5288.5</v>
      </c>
      <c r="Q107" s="130"/>
      <c r="R107" s="130"/>
      <c r="S107" s="130"/>
      <c r="T107" s="130"/>
    </row>
    <row r="108" customFormat="false" ht="15" hidden="false" customHeight="false" outlineLevel="0" collapsed="false">
      <c r="A108" s="135" t="str">
        <f aca="false">IFERROR(INDEX(K$6:K$201,MATCH(ROW()-5,J$6:J$201,0)),"")</f>
        <v/>
      </c>
      <c r="B108" s="135" t="str">
        <f aca="false">IFERROR(INDEX(L$6:L$201,MATCH(ROW()-5,J$6:J$201,0)),"")</f>
        <v/>
      </c>
      <c r="C108" s="136" t="str">
        <f aca="false">IFERROR(INDEX(M$6:M$201,MATCH(ROW()-5,J$6:J$201,0)),"")</f>
        <v/>
      </c>
      <c r="D108" s="136" t="str">
        <f aca="false">IFERROR(INDEX(N$6:N$201,MATCH(ROW()-5,J$6:J$201,0)),"")</f>
        <v/>
      </c>
      <c r="E108" s="135" t="str">
        <f aca="false">IFERROR(INDEX(O$6:O$201,MATCH(ROW()-5,J$6:J$201,0)),"")</f>
        <v/>
      </c>
      <c r="F108" s="136" t="str">
        <f aca="false">IFERROR(INDEX(P$6:P$201,MATCH(ROW()-5,J$6:J$201,0)),"")</f>
        <v/>
      </c>
      <c r="G108" s="130"/>
      <c r="H108" s="130"/>
      <c r="I108" s="130"/>
      <c r="J108" s="130" t="str">
        <f aca="false">IF(N(PROCESO!H136)&gt;0,COUNT(J$6:J107)+1,"")</f>
        <v/>
      </c>
      <c r="K108" s="130" t="str">
        <f aca="false">IF(N(PROCESO!H136)&gt;0,PROCESO!A132&amp;IF(COUNTIF(PROCESO!$A$6:A131,PROCESO!A132)&gt;0," (Ped."&amp;(COUNTIF(PROCESO!$A$6:A131,PROCESO!A132)+1)&amp;")",""),"")</f>
        <v/>
      </c>
      <c r="L108" s="130" t="str">
        <f aca="false">IF(N(PROCESO!H136)&gt;0,"CHANCHO (proceso)","")</f>
        <v/>
      </c>
      <c r="M108" s="130" t="str">
        <f aca="false">""</f>
        <v/>
      </c>
      <c r="N108" s="130" t="str">
        <f aca="false">IF(N(PROCESO!H136)&gt;0,N(PROCESO!H136),"")</f>
        <v/>
      </c>
      <c r="O108" s="130" t="str">
        <f aca="false">IF(N(PROCESO!H136)&gt;0,PROCESO!G136&amp;" sacos x 95 kg","")</f>
        <v/>
      </c>
      <c r="P108" s="130" t="n">
        <f aca="false">P107+N(M108)-N(N108)</f>
        <v>5288.5</v>
      </c>
      <c r="Q108" s="130"/>
      <c r="R108" s="130"/>
      <c r="S108" s="130"/>
      <c r="T108" s="130"/>
    </row>
    <row r="109" customFormat="false" ht="15" hidden="false" customHeight="false" outlineLevel="0" collapsed="false">
      <c r="A109" s="135" t="str">
        <f aca="false">IFERROR(INDEX(K$6:K$201,MATCH(ROW()-5,J$6:J$201,0)),"")</f>
        <v/>
      </c>
      <c r="B109" s="135" t="str">
        <f aca="false">IFERROR(INDEX(L$6:L$201,MATCH(ROW()-5,J$6:J$201,0)),"")</f>
        <v/>
      </c>
      <c r="C109" s="136" t="str">
        <f aca="false">IFERROR(INDEX(M$6:M$201,MATCH(ROW()-5,J$6:J$201,0)),"")</f>
        <v/>
      </c>
      <c r="D109" s="136" t="str">
        <f aca="false">IFERROR(INDEX(N$6:N$201,MATCH(ROW()-5,J$6:J$201,0)),"")</f>
        <v/>
      </c>
      <c r="E109" s="135" t="str">
        <f aca="false">IFERROR(INDEX(O$6:O$201,MATCH(ROW()-5,J$6:J$201,0)),"")</f>
        <v/>
      </c>
      <c r="F109" s="136" t="str">
        <f aca="false">IFERROR(INDEX(P$6:P$201,MATCH(ROW()-5,J$6:J$201,0)),"")</f>
        <v/>
      </c>
      <c r="G109" s="130"/>
      <c r="H109" s="130"/>
      <c r="I109" s="130"/>
      <c r="J109" s="130" t="str">
        <f aca="false">IF(N(PROCESO!H137)&gt;0,COUNT(J$6:J108)+1,"")</f>
        <v/>
      </c>
      <c r="K109" s="130" t="str">
        <f aca="false">IF(N(PROCESO!H137)&gt;0,PROCESO!A132&amp;IF(COUNTIF(PROCESO!$A$6:A131,PROCESO!A132)&gt;0," (Ped."&amp;(COUNTIF(PROCESO!$A$6:A131,PROCESO!A132)+1)&amp;")",""),"")</f>
        <v/>
      </c>
      <c r="L109" s="130" t="str">
        <f aca="false">IF(N(PROCESO!H137)&gt;0,"MALOGRADO","")</f>
        <v/>
      </c>
      <c r="M109" s="130" t="str">
        <f aca="false">""</f>
        <v/>
      </c>
      <c r="N109" s="130" t="str">
        <f aca="false">IF(N(PROCESO!H137)&gt;0,N(PROCESO!H137),"")</f>
        <v/>
      </c>
      <c r="O109" s="130" t="str">
        <f aca="false">""</f>
        <v/>
      </c>
      <c r="P109" s="130" t="n">
        <f aca="false">P108+N(M109)-N(N109)</f>
        <v>5288.5</v>
      </c>
      <c r="Q109" s="130"/>
      <c r="R109" s="130"/>
      <c r="S109" s="130"/>
      <c r="T109" s="130"/>
    </row>
    <row r="110" customFormat="false" ht="15" hidden="false" customHeight="false" outlineLevel="0" collapsed="false">
      <c r="A110" s="135" t="str">
        <f aca="false">IFERROR(INDEX(K$6:K$201,MATCH(ROW()-5,J$6:J$201,0)),"")</f>
        <v/>
      </c>
      <c r="B110" s="135" t="str">
        <f aca="false">IFERROR(INDEX(L$6:L$201,MATCH(ROW()-5,J$6:J$201,0)),"")</f>
        <v/>
      </c>
      <c r="C110" s="136" t="str">
        <f aca="false">IFERROR(INDEX(M$6:M$201,MATCH(ROW()-5,J$6:J$201,0)),"")</f>
        <v/>
      </c>
      <c r="D110" s="136" t="str">
        <f aca="false">IFERROR(INDEX(N$6:N$201,MATCH(ROW()-5,J$6:J$201,0)),"")</f>
        <v/>
      </c>
      <c r="E110" s="135" t="str">
        <f aca="false">IFERROR(INDEX(O$6:O$201,MATCH(ROW()-5,J$6:J$201,0)),"")</f>
        <v/>
      </c>
      <c r="F110" s="136" t="str">
        <f aca="false">IFERROR(INDEX(P$6:P$201,MATCH(ROW()-5,J$6:J$201,0)),"")</f>
        <v/>
      </c>
      <c r="G110" s="130"/>
      <c r="H110" s="130"/>
      <c r="I110" s="130"/>
      <c r="J110" s="130" t="str">
        <f aca="false">IF(IF(PROCESO!J132&lt;&gt;"",PROCESO!J132,IF(PROCESO!J133&lt;&gt;"",PROCESO!J133,IF(PROCESO!J134&lt;&gt;"",PROCESO!J134,IF(PROCESO!J135&lt;&gt;"",PROCESO!J135,""))))&lt;&gt;"",COUNT(J$6:J109)+1,"")</f>
        <v/>
      </c>
      <c r="K110" s="130" t="str">
        <f aca="false">IF(IF(PROCESO!J132&lt;&gt;"",PROCESO!J132,IF(PROCESO!J133&lt;&gt;"",PROCESO!J133,IF(PROCESO!J134&lt;&gt;"",PROCESO!J134,IF(PROCESO!J135&lt;&gt;"",PROCESO!J135,""))))&lt;&gt;"",PROCESO!A132&amp;IF(COUNTIF(PROCESO!$A$6:A131,PROCESO!A132)&gt;0," (Ped."&amp;(COUNTIF(PROCESO!$A$6:A131,PROCESO!A132)+1)&amp;")",""),"")</f>
        <v/>
      </c>
      <c r="L110" s="130" t="str">
        <f aca="false">IF(IF(PROCESO!J132&lt;&gt;"",PROCESO!J132,IF(PROCESO!J133&lt;&gt;"",PROCESO!J133,IF(PROCESO!J134&lt;&gt;"",PROCESO!J134,IF(PROCESO!J135&lt;&gt;"",PROCESO!J135,""))))&lt;&gt;"","ENVÍO Guía "&amp;IF(LEFT(IF(PROCESO!J132&lt;&gt;"",PROCESO!J132,IF(PROCESO!J133&lt;&gt;"",PROCESO!J133,IF(PROCESO!J134&lt;&gt;"",PROCESO!J134,IF(PROCESO!J135&lt;&gt;"",PROCESO!J135,"")))),2)="G-",MID(IF(PROCESO!J132&lt;&gt;"",PROCESO!J132,IF(PROCESO!J133&lt;&gt;"",PROCESO!J133,IF(PROCESO!J134&lt;&gt;"",PROCESO!J134,IF(PROCESO!J135&lt;&gt;"",PROCESO!J135,"")))),3,99),IF(PROCESO!J132&lt;&gt;"",PROCESO!J132,IF(PROCESO!J133&lt;&gt;"",PROCESO!J133,IF(PROCESO!J134&lt;&gt;"",PROCESO!J134,IF(PROCESO!J135&lt;&gt;"",PROCESO!J135,""))))),"")</f>
        <v/>
      </c>
      <c r="M110" s="130" t="str">
        <f aca="false">""</f>
        <v/>
      </c>
      <c r="N110" s="130" t="str">
        <f aca="false">IF(IF(PROCESO!J132&lt;&gt;"",PROCESO!J132,IF(PROCESO!J133&lt;&gt;"",PROCESO!J133,IF(PROCESO!J134&lt;&gt;"",PROCESO!J134,IF(PROCESO!J135&lt;&gt;"",PROCESO!J135,""))))&lt;&gt;"",SUMIF(PROCESO!J132:J135,IF(PROCESO!J132&lt;&gt;"",PROCESO!J132,IF(PROCESO!J133&lt;&gt;"",PROCESO!J133,IF(PROCESO!J134&lt;&gt;"",PROCESO!J134,IF(PROCESO!J135&lt;&gt;"",PROCESO!J135,"")))),PROCESO!L132:L135),"")</f>
        <v/>
      </c>
      <c r="O110" s="130" t="str">
        <f aca="false">IF(IF(PROCESO!J132&lt;&gt;"",PROCESO!J132,IF(PROCESO!J133&lt;&gt;"",PROCESO!J133,IF(PROCESO!J134&lt;&gt;"",PROCESO!J134,IF(PROCESO!J135&lt;&gt;"",PROCESO!J135,""))))&lt;&gt;"","G-"&amp;IF(LEFT(IF(PROCESO!J132&lt;&gt;"",PROCESO!J132,IF(PROCESO!J133&lt;&gt;"",PROCESO!J133,IF(PROCESO!J134&lt;&gt;"",PROCESO!J134,IF(PROCESO!J135&lt;&gt;"",PROCESO!J135,"")))),2)="G-",MID(IF(PROCESO!J132&lt;&gt;"",PROCESO!J132,IF(PROCESO!J133&lt;&gt;"",PROCESO!J133,IF(PROCESO!J134&lt;&gt;"",PROCESO!J134,IF(PROCESO!J135&lt;&gt;"",PROCESO!J135,"")))),3,99),IF(PROCESO!J132&lt;&gt;"",PROCESO!J132,IF(PROCESO!J133&lt;&gt;"",PROCESO!J133,IF(PROCESO!J134&lt;&gt;"",PROCESO!J134,IF(PROCESO!J135&lt;&gt;"",PROCESO!J135,""))))),"")</f>
        <v/>
      </c>
      <c r="P110" s="130" t="n">
        <f aca="false">P109+N(M110)-N(N110)</f>
        <v>5288.5</v>
      </c>
      <c r="Q110" s="130"/>
      <c r="R110" s="130"/>
      <c r="S110" s="130"/>
      <c r="T110" s="130"/>
    </row>
    <row r="111" customFormat="false" ht="15" hidden="false" customHeight="false" outlineLevel="0" collapsed="false">
      <c r="A111" s="135" t="str">
        <f aca="false">IFERROR(INDEX(K$6:K$201,MATCH(ROW()-5,J$6:J$201,0)),"")</f>
        <v/>
      </c>
      <c r="B111" s="135" t="str">
        <f aca="false">IFERROR(INDEX(L$6:L$201,MATCH(ROW()-5,J$6:J$201,0)),"")</f>
        <v/>
      </c>
      <c r="C111" s="136" t="str">
        <f aca="false">IFERROR(INDEX(M$6:M$201,MATCH(ROW()-5,J$6:J$201,0)),"")</f>
        <v/>
      </c>
      <c r="D111" s="136" t="str">
        <f aca="false">IFERROR(INDEX(N$6:N$201,MATCH(ROW()-5,J$6:J$201,0)),"")</f>
        <v/>
      </c>
      <c r="E111" s="135" t="str">
        <f aca="false">IFERROR(INDEX(O$6:O$201,MATCH(ROW()-5,J$6:J$201,0)),"")</f>
        <v/>
      </c>
      <c r="F111" s="136" t="str">
        <f aca="false">IFERROR(INDEX(P$6:P$201,MATCH(ROW()-5,J$6:J$201,0)),"")</f>
        <v/>
      </c>
      <c r="G111" s="130"/>
      <c r="H111" s="130"/>
      <c r="I111" s="130"/>
      <c r="J111" s="130" t="str">
        <f aca="false">IF(OR(SUM(PROCESO!M132:M135)&gt;0,SUM(PROCESO!N132:N135)&gt;0),COUNT(J$6:J110)+1,"")</f>
        <v/>
      </c>
      <c r="K111" s="130" t="str">
        <f aca="false">IF(OR(SUM(PROCESO!M132:M135)&gt;0,SUM(PROCESO!N132:N135)&gt;0),PROCESO!A132&amp;IF(COUNTIF(PROCESO!$A$6:A131,PROCESO!A132)&gt;0," (Ped."&amp;(COUNTIF(PROCESO!$A$6:A131,PROCESO!A132)+1)&amp;")",""),"")</f>
        <v/>
      </c>
      <c r="L111" s="130" t="str">
        <f aca="false">IF(OR(SUM(PROCESO!M132:M135)&gt;0,SUM(PROCESO!N132:N135)&gt;0),"REPROCESO (devolución)","")</f>
        <v/>
      </c>
      <c r="M111" s="130" t="str">
        <f aca="false">IF(OR(SUM(PROCESO!M132:M135)&gt;0,SUM(PROCESO!N132:N135)&gt;0),SUM(PROCESO!N132:N135),"")</f>
        <v/>
      </c>
      <c r="N111" s="130" t="str">
        <f aca="false">""</f>
        <v/>
      </c>
      <c r="O111" s="130" t="str">
        <f aca="false">IF(OR(SUM(PROCESO!M132:M135)&gt;0,SUM(PROCESO!N132:N135)&gt;0),IF(SUM(PROCESO!M132:M135)&gt;0,SUM(PROCESO!M132:M135)&amp;" jabas devueltas · merma "&amp;TEXT((PROCESO!M132*15+PROCESO!M133*18+PROCESO!M134*17+PROCESO!M135*17)-SUM(PROCESO!N132:N135),"+#,##0;-#,##0;0")&amp;" kg",""),"")</f>
        <v/>
      </c>
      <c r="P111" s="130" t="n">
        <f aca="false">P110+N(M111)-N(N111)</f>
        <v>5288.5</v>
      </c>
      <c r="Q111" s="130"/>
      <c r="R111" s="130"/>
      <c r="S111" s="130"/>
      <c r="T111" s="130"/>
    </row>
    <row r="112" customFormat="false" ht="15" hidden="false" customHeight="false" outlineLevel="0" collapsed="false">
      <c r="A112" s="135" t="str">
        <f aca="false">IFERROR(INDEX(K$6:K$201,MATCH(ROW()-5,J$6:J$201,0)),"")</f>
        <v/>
      </c>
      <c r="B112" s="135" t="str">
        <f aca="false">IFERROR(INDEX(L$6:L$201,MATCH(ROW()-5,J$6:J$201,0)),"")</f>
        <v/>
      </c>
      <c r="C112" s="136" t="str">
        <f aca="false">IFERROR(INDEX(M$6:M$201,MATCH(ROW()-5,J$6:J$201,0)),"")</f>
        <v/>
      </c>
      <c r="D112" s="136" t="str">
        <f aca="false">IFERROR(INDEX(N$6:N$201,MATCH(ROW()-5,J$6:J$201,0)),"")</f>
        <v/>
      </c>
      <c r="E112" s="135" t="str">
        <f aca="false">IFERROR(INDEX(O$6:O$201,MATCH(ROW()-5,J$6:J$201,0)),"")</f>
        <v/>
      </c>
      <c r="F112" s="136" t="str">
        <f aca="false">IFERROR(INDEX(P$6:P$201,MATCH(ROW()-5,J$6:J$201,0)),"")</f>
        <v/>
      </c>
      <c r="G112" s="130"/>
      <c r="H112" s="130"/>
      <c r="I112" s="130"/>
      <c r="J112" s="130" t="str">
        <f aca="false">IF(PROCESO!D138&gt;0,COUNT(J$6:J111)+1,"")</f>
        <v/>
      </c>
      <c r="K112" s="130" t="str">
        <f aca="false">IF(PROCESO!D138&gt;0,PROCESO!A138&amp;IF(COUNTIF(PROCESO!$A$6:A137,PROCESO!A138)&gt;0," (Ped."&amp;(COUNTIF(PROCESO!$A$6:A137,PROCESO!A138)+1)&amp;")",""),"")</f>
        <v/>
      </c>
      <c r="L112" s="130" t="str">
        <f aca="false">IF(PROCESO!D138&gt;0,"INGRESO (compra)","")</f>
        <v/>
      </c>
      <c r="M112" s="130" t="str">
        <f aca="false">IF(PROCESO!D138&gt;0,PROCESO!D138,"")</f>
        <v/>
      </c>
      <c r="N112" s="130" t="str">
        <f aca="false">""</f>
        <v/>
      </c>
      <c r="O112" s="130" t="str">
        <f aca="false">IF(PROCESO!D138&gt;0,PROCESO!B138&amp;" sacos x "&amp;PROCESO!C138&amp;" kg","")</f>
        <v/>
      </c>
      <c r="P112" s="130" t="n">
        <f aca="false">P111+N(M112)-N(N112)</f>
        <v>5288.5</v>
      </c>
      <c r="Q112" s="130"/>
      <c r="R112" s="130"/>
      <c r="S112" s="130"/>
      <c r="T112" s="130"/>
    </row>
    <row r="113" customFormat="false" ht="15" hidden="false" customHeight="false" outlineLevel="0" collapsed="false">
      <c r="A113" s="135" t="str">
        <f aca="false">IFERROR(INDEX(K$6:K$201,MATCH(ROW()-5,J$6:J$201,0)),"")</f>
        <v/>
      </c>
      <c r="B113" s="135" t="str">
        <f aca="false">IFERROR(INDEX(L$6:L$201,MATCH(ROW()-5,J$6:J$201,0)),"")</f>
        <v/>
      </c>
      <c r="C113" s="136" t="str">
        <f aca="false">IFERROR(INDEX(M$6:M$201,MATCH(ROW()-5,J$6:J$201,0)),"")</f>
        <v/>
      </c>
      <c r="D113" s="136" t="str">
        <f aca="false">IFERROR(INDEX(N$6:N$201,MATCH(ROW()-5,J$6:J$201,0)),"")</f>
        <v/>
      </c>
      <c r="E113" s="135" t="str">
        <f aca="false">IFERROR(INDEX(O$6:O$201,MATCH(ROW()-5,J$6:J$201,0)),"")</f>
        <v/>
      </c>
      <c r="F113" s="136" t="str">
        <f aca="false">IFERROR(INDEX(P$6:P$201,MATCH(ROW()-5,J$6:J$201,0)),"")</f>
        <v/>
      </c>
      <c r="G113" s="130"/>
      <c r="H113" s="130"/>
      <c r="I113" s="130"/>
      <c r="J113" s="130" t="str">
        <f aca="false">IF(N(PROCESO!H142)&gt;0,COUNT(J$6:J112)+1,"")</f>
        <v/>
      </c>
      <c r="K113" s="130" t="str">
        <f aca="false">IF(N(PROCESO!H142)&gt;0,PROCESO!A138&amp;IF(COUNTIF(PROCESO!$A$6:A137,PROCESO!A138)&gt;0," (Ped."&amp;(COUNTIF(PROCESO!$A$6:A137,PROCESO!A138)+1)&amp;")",""),"")</f>
        <v/>
      </c>
      <c r="L113" s="130" t="str">
        <f aca="false">IF(N(PROCESO!H142)&gt;0,"CHANCHO (proceso)","")</f>
        <v/>
      </c>
      <c r="M113" s="130" t="str">
        <f aca="false">""</f>
        <v/>
      </c>
      <c r="N113" s="130" t="str">
        <f aca="false">IF(N(PROCESO!H142)&gt;0,N(PROCESO!H142),"")</f>
        <v/>
      </c>
      <c r="O113" s="130" t="str">
        <f aca="false">IF(N(PROCESO!H142)&gt;0,PROCESO!G142&amp;" sacos x 95 kg","")</f>
        <v/>
      </c>
      <c r="P113" s="130" t="n">
        <f aca="false">P112+N(M113)-N(N113)</f>
        <v>5288.5</v>
      </c>
      <c r="Q113" s="130"/>
      <c r="R113" s="130"/>
      <c r="S113" s="130"/>
      <c r="T113" s="130"/>
    </row>
    <row r="114" customFormat="false" ht="15" hidden="false" customHeight="false" outlineLevel="0" collapsed="false">
      <c r="A114" s="135" t="str">
        <f aca="false">IFERROR(INDEX(K$6:K$201,MATCH(ROW()-5,J$6:J$201,0)),"")</f>
        <v/>
      </c>
      <c r="B114" s="135" t="str">
        <f aca="false">IFERROR(INDEX(L$6:L$201,MATCH(ROW()-5,J$6:J$201,0)),"")</f>
        <v/>
      </c>
      <c r="C114" s="136" t="str">
        <f aca="false">IFERROR(INDEX(M$6:M$201,MATCH(ROW()-5,J$6:J$201,0)),"")</f>
        <v/>
      </c>
      <c r="D114" s="136" t="str">
        <f aca="false">IFERROR(INDEX(N$6:N$201,MATCH(ROW()-5,J$6:J$201,0)),"")</f>
        <v/>
      </c>
      <c r="E114" s="135" t="str">
        <f aca="false">IFERROR(INDEX(O$6:O$201,MATCH(ROW()-5,J$6:J$201,0)),"")</f>
        <v/>
      </c>
      <c r="F114" s="136" t="str">
        <f aca="false">IFERROR(INDEX(P$6:P$201,MATCH(ROW()-5,J$6:J$201,0)),"")</f>
        <v/>
      </c>
      <c r="G114" s="130"/>
      <c r="H114" s="130"/>
      <c r="I114" s="130"/>
      <c r="J114" s="130" t="str">
        <f aca="false">IF(N(PROCESO!H143)&gt;0,COUNT(J$6:J113)+1,"")</f>
        <v/>
      </c>
      <c r="K114" s="130" t="str">
        <f aca="false">IF(N(PROCESO!H143)&gt;0,PROCESO!A138&amp;IF(COUNTIF(PROCESO!$A$6:A137,PROCESO!A138)&gt;0," (Ped."&amp;(COUNTIF(PROCESO!$A$6:A137,PROCESO!A138)+1)&amp;")",""),"")</f>
        <v/>
      </c>
      <c r="L114" s="130" t="str">
        <f aca="false">IF(N(PROCESO!H143)&gt;0,"MALOGRADO","")</f>
        <v/>
      </c>
      <c r="M114" s="130" t="str">
        <f aca="false">""</f>
        <v/>
      </c>
      <c r="N114" s="130" t="str">
        <f aca="false">IF(N(PROCESO!H143)&gt;0,N(PROCESO!H143),"")</f>
        <v/>
      </c>
      <c r="O114" s="130" t="str">
        <f aca="false">""</f>
        <v/>
      </c>
      <c r="P114" s="130" t="n">
        <f aca="false">P113+N(M114)-N(N114)</f>
        <v>5288.5</v>
      </c>
      <c r="Q114" s="130"/>
      <c r="R114" s="130"/>
      <c r="S114" s="130"/>
      <c r="T114" s="130"/>
    </row>
    <row r="115" customFormat="false" ht="15" hidden="false" customHeight="false" outlineLevel="0" collapsed="false">
      <c r="A115" s="135" t="str">
        <f aca="false">IFERROR(INDEX(K$6:K$201,MATCH(ROW()-5,J$6:J$201,0)),"")</f>
        <v/>
      </c>
      <c r="B115" s="135" t="str">
        <f aca="false">IFERROR(INDEX(L$6:L$201,MATCH(ROW()-5,J$6:J$201,0)),"")</f>
        <v/>
      </c>
      <c r="C115" s="136" t="str">
        <f aca="false">IFERROR(INDEX(M$6:M$201,MATCH(ROW()-5,J$6:J$201,0)),"")</f>
        <v/>
      </c>
      <c r="D115" s="136" t="str">
        <f aca="false">IFERROR(INDEX(N$6:N$201,MATCH(ROW()-5,J$6:J$201,0)),"")</f>
        <v/>
      </c>
      <c r="E115" s="135" t="str">
        <f aca="false">IFERROR(INDEX(O$6:O$201,MATCH(ROW()-5,J$6:J$201,0)),"")</f>
        <v/>
      </c>
      <c r="F115" s="136" t="str">
        <f aca="false">IFERROR(INDEX(P$6:P$201,MATCH(ROW()-5,J$6:J$201,0)),"")</f>
        <v/>
      </c>
      <c r="G115" s="130"/>
      <c r="H115" s="130"/>
      <c r="I115" s="130"/>
      <c r="J115" s="130" t="str">
        <f aca="false">IF(IF(PROCESO!J138&lt;&gt;"",PROCESO!J138,IF(PROCESO!J139&lt;&gt;"",PROCESO!J139,IF(PROCESO!J140&lt;&gt;"",PROCESO!J140,IF(PROCESO!J141&lt;&gt;"",PROCESO!J141,""))))&lt;&gt;"",COUNT(J$6:J114)+1,"")</f>
        <v/>
      </c>
      <c r="K115" s="130" t="str">
        <f aca="false">IF(IF(PROCESO!J138&lt;&gt;"",PROCESO!J138,IF(PROCESO!J139&lt;&gt;"",PROCESO!J139,IF(PROCESO!J140&lt;&gt;"",PROCESO!J140,IF(PROCESO!J141&lt;&gt;"",PROCESO!J141,""))))&lt;&gt;"",PROCESO!A138&amp;IF(COUNTIF(PROCESO!$A$6:A137,PROCESO!A138)&gt;0," (Ped."&amp;(COUNTIF(PROCESO!$A$6:A137,PROCESO!A138)+1)&amp;")",""),"")</f>
        <v/>
      </c>
      <c r="L115" s="130" t="str">
        <f aca="false">IF(IF(PROCESO!J138&lt;&gt;"",PROCESO!J138,IF(PROCESO!J139&lt;&gt;"",PROCESO!J139,IF(PROCESO!J140&lt;&gt;"",PROCESO!J140,IF(PROCESO!J141&lt;&gt;"",PROCESO!J141,""))))&lt;&gt;"","ENVÍO Guía "&amp;IF(LEFT(IF(PROCESO!J138&lt;&gt;"",PROCESO!J138,IF(PROCESO!J139&lt;&gt;"",PROCESO!J139,IF(PROCESO!J140&lt;&gt;"",PROCESO!J140,IF(PROCESO!J141&lt;&gt;"",PROCESO!J141,"")))),2)="G-",MID(IF(PROCESO!J138&lt;&gt;"",PROCESO!J138,IF(PROCESO!J139&lt;&gt;"",PROCESO!J139,IF(PROCESO!J140&lt;&gt;"",PROCESO!J140,IF(PROCESO!J141&lt;&gt;"",PROCESO!J141,"")))),3,99),IF(PROCESO!J138&lt;&gt;"",PROCESO!J138,IF(PROCESO!J139&lt;&gt;"",PROCESO!J139,IF(PROCESO!J140&lt;&gt;"",PROCESO!J140,IF(PROCESO!J141&lt;&gt;"",PROCESO!J141,""))))),"")</f>
        <v/>
      </c>
      <c r="M115" s="130" t="str">
        <f aca="false">""</f>
        <v/>
      </c>
      <c r="N115" s="130" t="str">
        <f aca="false">IF(IF(PROCESO!J138&lt;&gt;"",PROCESO!J138,IF(PROCESO!J139&lt;&gt;"",PROCESO!J139,IF(PROCESO!J140&lt;&gt;"",PROCESO!J140,IF(PROCESO!J141&lt;&gt;"",PROCESO!J141,""))))&lt;&gt;"",SUMIF(PROCESO!J138:J141,IF(PROCESO!J138&lt;&gt;"",PROCESO!J138,IF(PROCESO!J139&lt;&gt;"",PROCESO!J139,IF(PROCESO!J140&lt;&gt;"",PROCESO!J140,IF(PROCESO!J141&lt;&gt;"",PROCESO!J141,"")))),PROCESO!L138:L141),"")</f>
        <v/>
      </c>
      <c r="O115" s="130" t="str">
        <f aca="false">IF(IF(PROCESO!J138&lt;&gt;"",PROCESO!J138,IF(PROCESO!J139&lt;&gt;"",PROCESO!J139,IF(PROCESO!J140&lt;&gt;"",PROCESO!J140,IF(PROCESO!J141&lt;&gt;"",PROCESO!J141,""))))&lt;&gt;"","G-"&amp;IF(LEFT(IF(PROCESO!J138&lt;&gt;"",PROCESO!J138,IF(PROCESO!J139&lt;&gt;"",PROCESO!J139,IF(PROCESO!J140&lt;&gt;"",PROCESO!J140,IF(PROCESO!J141&lt;&gt;"",PROCESO!J141,"")))),2)="G-",MID(IF(PROCESO!J138&lt;&gt;"",PROCESO!J138,IF(PROCESO!J139&lt;&gt;"",PROCESO!J139,IF(PROCESO!J140&lt;&gt;"",PROCESO!J140,IF(PROCESO!J141&lt;&gt;"",PROCESO!J141,"")))),3,99),IF(PROCESO!J138&lt;&gt;"",PROCESO!J138,IF(PROCESO!J139&lt;&gt;"",PROCESO!J139,IF(PROCESO!J140&lt;&gt;"",PROCESO!J140,IF(PROCESO!J141&lt;&gt;"",PROCESO!J141,""))))),"")</f>
        <v/>
      </c>
      <c r="P115" s="130" t="n">
        <f aca="false">P114+N(M115)-N(N115)</f>
        <v>5288.5</v>
      </c>
      <c r="Q115" s="130"/>
      <c r="R115" s="130"/>
      <c r="S115" s="130"/>
      <c r="T115" s="130"/>
    </row>
    <row r="116" customFormat="false" ht="15" hidden="false" customHeight="false" outlineLevel="0" collapsed="false">
      <c r="A116" s="135" t="str">
        <f aca="false">IFERROR(INDEX(K$6:K$201,MATCH(ROW()-5,J$6:J$201,0)),"")</f>
        <v/>
      </c>
      <c r="B116" s="135" t="str">
        <f aca="false">IFERROR(INDEX(L$6:L$201,MATCH(ROW()-5,J$6:J$201,0)),"")</f>
        <v/>
      </c>
      <c r="C116" s="136" t="str">
        <f aca="false">IFERROR(INDEX(M$6:M$201,MATCH(ROW()-5,J$6:J$201,0)),"")</f>
        <v/>
      </c>
      <c r="D116" s="136" t="str">
        <f aca="false">IFERROR(INDEX(N$6:N$201,MATCH(ROW()-5,J$6:J$201,0)),"")</f>
        <v/>
      </c>
      <c r="E116" s="135" t="str">
        <f aca="false">IFERROR(INDEX(O$6:O$201,MATCH(ROW()-5,J$6:J$201,0)),"")</f>
        <v/>
      </c>
      <c r="F116" s="136" t="str">
        <f aca="false">IFERROR(INDEX(P$6:P$201,MATCH(ROW()-5,J$6:J$201,0)),"")</f>
        <v/>
      </c>
      <c r="G116" s="130"/>
      <c r="H116" s="130"/>
      <c r="I116" s="130"/>
      <c r="J116" s="130" t="str">
        <f aca="false">IF(OR(SUM(PROCESO!M138:M141)&gt;0,SUM(PROCESO!N138:N141)&gt;0),COUNT(J$6:J115)+1,"")</f>
        <v/>
      </c>
      <c r="K116" s="130" t="str">
        <f aca="false">IF(OR(SUM(PROCESO!M138:M141)&gt;0,SUM(PROCESO!N138:N141)&gt;0),PROCESO!A138&amp;IF(COUNTIF(PROCESO!$A$6:A137,PROCESO!A138)&gt;0," (Ped."&amp;(COUNTIF(PROCESO!$A$6:A137,PROCESO!A138)+1)&amp;")",""),"")</f>
        <v/>
      </c>
      <c r="L116" s="130" t="str">
        <f aca="false">IF(OR(SUM(PROCESO!M138:M141)&gt;0,SUM(PROCESO!N138:N141)&gt;0),"REPROCESO (devolución)","")</f>
        <v/>
      </c>
      <c r="M116" s="130" t="str">
        <f aca="false">IF(OR(SUM(PROCESO!M138:M141)&gt;0,SUM(PROCESO!N138:N141)&gt;0),SUM(PROCESO!N138:N141),"")</f>
        <v/>
      </c>
      <c r="N116" s="130" t="str">
        <f aca="false">""</f>
        <v/>
      </c>
      <c r="O116" s="130" t="str">
        <f aca="false">IF(OR(SUM(PROCESO!M138:M141)&gt;0,SUM(PROCESO!N138:N141)&gt;0),IF(SUM(PROCESO!M138:M141)&gt;0,SUM(PROCESO!M138:M141)&amp;" jabas devueltas · merma "&amp;TEXT((PROCESO!M138*15+PROCESO!M139*18+PROCESO!M140*17+PROCESO!M141*17)-SUM(PROCESO!N138:N141),"+#,##0;-#,##0;0")&amp;" kg",""),"")</f>
        <v/>
      </c>
      <c r="P116" s="130" t="n">
        <f aca="false">P115+N(M116)-N(N116)</f>
        <v>5288.5</v>
      </c>
      <c r="Q116" s="130"/>
      <c r="R116" s="130"/>
      <c r="S116" s="130"/>
      <c r="T116" s="130"/>
    </row>
    <row r="117" customFormat="false" ht="15" hidden="false" customHeight="false" outlineLevel="0" collapsed="false">
      <c r="A117" s="135" t="str">
        <f aca="false">IFERROR(INDEX(K$6:K$201,MATCH(ROW()-5,J$6:J$201,0)),"")</f>
        <v/>
      </c>
      <c r="B117" s="135" t="str">
        <f aca="false">IFERROR(INDEX(L$6:L$201,MATCH(ROW()-5,J$6:J$201,0)),"")</f>
        <v/>
      </c>
      <c r="C117" s="136" t="str">
        <f aca="false">IFERROR(INDEX(M$6:M$201,MATCH(ROW()-5,J$6:J$201,0)),"")</f>
        <v/>
      </c>
      <c r="D117" s="136" t="str">
        <f aca="false">IFERROR(INDEX(N$6:N$201,MATCH(ROW()-5,J$6:J$201,0)),"")</f>
        <v/>
      </c>
      <c r="E117" s="135" t="str">
        <f aca="false">IFERROR(INDEX(O$6:O$201,MATCH(ROW()-5,J$6:J$201,0)),"")</f>
        <v/>
      </c>
      <c r="F117" s="136" t="str">
        <f aca="false">IFERROR(INDEX(P$6:P$201,MATCH(ROW()-5,J$6:J$201,0)),"")</f>
        <v/>
      </c>
      <c r="G117" s="130"/>
      <c r="H117" s="130"/>
      <c r="I117" s="130"/>
      <c r="J117" s="130" t="str">
        <f aca="false">IF(PROCESO!D144&gt;0,COUNT(J$6:J116)+1,"")</f>
        <v/>
      </c>
      <c r="K117" s="130" t="str">
        <f aca="false">IF(PROCESO!D144&gt;0,PROCESO!A144&amp;IF(COUNTIF(PROCESO!$A$6:A143,PROCESO!A144)&gt;0," (Ped."&amp;(COUNTIF(PROCESO!$A$6:A143,PROCESO!A144)+1)&amp;")",""),"")</f>
        <v/>
      </c>
      <c r="L117" s="130" t="str">
        <f aca="false">IF(PROCESO!D144&gt;0,"INGRESO (compra)","")</f>
        <v/>
      </c>
      <c r="M117" s="130" t="str">
        <f aca="false">IF(PROCESO!D144&gt;0,PROCESO!D144,"")</f>
        <v/>
      </c>
      <c r="N117" s="130" t="str">
        <f aca="false">""</f>
        <v/>
      </c>
      <c r="O117" s="130" t="str">
        <f aca="false">IF(PROCESO!D144&gt;0,PROCESO!B144&amp;" sacos x "&amp;PROCESO!C144&amp;" kg","")</f>
        <v/>
      </c>
      <c r="P117" s="130" t="n">
        <f aca="false">P116+N(M117)-N(N117)</f>
        <v>5288.5</v>
      </c>
      <c r="Q117" s="130"/>
      <c r="R117" s="130"/>
      <c r="S117" s="130"/>
      <c r="T117" s="130"/>
    </row>
    <row r="118" customFormat="false" ht="15" hidden="false" customHeight="false" outlineLevel="0" collapsed="false">
      <c r="A118" s="135" t="str">
        <f aca="false">IFERROR(INDEX(K$6:K$201,MATCH(ROW()-5,J$6:J$201,0)),"")</f>
        <v/>
      </c>
      <c r="B118" s="135" t="str">
        <f aca="false">IFERROR(INDEX(L$6:L$201,MATCH(ROW()-5,J$6:J$201,0)),"")</f>
        <v/>
      </c>
      <c r="C118" s="136" t="str">
        <f aca="false">IFERROR(INDEX(M$6:M$201,MATCH(ROW()-5,J$6:J$201,0)),"")</f>
        <v/>
      </c>
      <c r="D118" s="136" t="str">
        <f aca="false">IFERROR(INDEX(N$6:N$201,MATCH(ROW()-5,J$6:J$201,0)),"")</f>
        <v/>
      </c>
      <c r="E118" s="135" t="str">
        <f aca="false">IFERROR(INDEX(O$6:O$201,MATCH(ROW()-5,J$6:J$201,0)),"")</f>
        <v/>
      </c>
      <c r="F118" s="136" t="str">
        <f aca="false">IFERROR(INDEX(P$6:P$201,MATCH(ROW()-5,J$6:J$201,0)),"")</f>
        <v/>
      </c>
      <c r="G118" s="130"/>
      <c r="H118" s="130"/>
      <c r="I118" s="130"/>
      <c r="J118" s="130" t="str">
        <f aca="false">IF(N(PROCESO!H148)&gt;0,COUNT(J$6:J117)+1,"")</f>
        <v/>
      </c>
      <c r="K118" s="130" t="str">
        <f aca="false">IF(N(PROCESO!H148)&gt;0,PROCESO!A144&amp;IF(COUNTIF(PROCESO!$A$6:A143,PROCESO!A144)&gt;0," (Ped."&amp;(COUNTIF(PROCESO!$A$6:A143,PROCESO!A144)+1)&amp;")",""),"")</f>
        <v/>
      </c>
      <c r="L118" s="130" t="str">
        <f aca="false">IF(N(PROCESO!H148)&gt;0,"CHANCHO (proceso)","")</f>
        <v/>
      </c>
      <c r="M118" s="130" t="str">
        <f aca="false">""</f>
        <v/>
      </c>
      <c r="N118" s="130" t="str">
        <f aca="false">IF(N(PROCESO!H148)&gt;0,N(PROCESO!H148),"")</f>
        <v/>
      </c>
      <c r="O118" s="130" t="str">
        <f aca="false">IF(N(PROCESO!H148)&gt;0,PROCESO!G148&amp;" sacos x 95 kg","")</f>
        <v/>
      </c>
      <c r="P118" s="130" t="n">
        <f aca="false">P117+N(M118)-N(N118)</f>
        <v>5288.5</v>
      </c>
      <c r="Q118" s="130"/>
      <c r="R118" s="130"/>
      <c r="S118" s="130"/>
      <c r="T118" s="130"/>
    </row>
    <row r="119" customFormat="false" ht="15" hidden="false" customHeight="false" outlineLevel="0" collapsed="false">
      <c r="A119" s="135" t="str">
        <f aca="false">IFERROR(INDEX(K$6:K$201,MATCH(ROW()-5,J$6:J$201,0)),"")</f>
        <v/>
      </c>
      <c r="B119" s="135" t="str">
        <f aca="false">IFERROR(INDEX(L$6:L$201,MATCH(ROW()-5,J$6:J$201,0)),"")</f>
        <v/>
      </c>
      <c r="C119" s="136" t="str">
        <f aca="false">IFERROR(INDEX(M$6:M$201,MATCH(ROW()-5,J$6:J$201,0)),"")</f>
        <v/>
      </c>
      <c r="D119" s="136" t="str">
        <f aca="false">IFERROR(INDEX(N$6:N$201,MATCH(ROW()-5,J$6:J$201,0)),"")</f>
        <v/>
      </c>
      <c r="E119" s="135" t="str">
        <f aca="false">IFERROR(INDEX(O$6:O$201,MATCH(ROW()-5,J$6:J$201,0)),"")</f>
        <v/>
      </c>
      <c r="F119" s="136" t="str">
        <f aca="false">IFERROR(INDEX(P$6:P$201,MATCH(ROW()-5,J$6:J$201,0)),"")</f>
        <v/>
      </c>
      <c r="G119" s="130"/>
      <c r="H119" s="130"/>
      <c r="I119" s="130"/>
      <c r="J119" s="130" t="str">
        <f aca="false">IF(N(PROCESO!H149)&gt;0,COUNT(J$6:J118)+1,"")</f>
        <v/>
      </c>
      <c r="K119" s="130" t="str">
        <f aca="false">IF(N(PROCESO!H149)&gt;0,PROCESO!A144&amp;IF(COUNTIF(PROCESO!$A$6:A143,PROCESO!A144)&gt;0," (Ped."&amp;(COUNTIF(PROCESO!$A$6:A143,PROCESO!A144)+1)&amp;")",""),"")</f>
        <v/>
      </c>
      <c r="L119" s="130" t="str">
        <f aca="false">IF(N(PROCESO!H149)&gt;0,"MALOGRADO","")</f>
        <v/>
      </c>
      <c r="M119" s="130" t="str">
        <f aca="false">""</f>
        <v/>
      </c>
      <c r="N119" s="130" t="str">
        <f aca="false">IF(N(PROCESO!H149)&gt;0,N(PROCESO!H149),"")</f>
        <v/>
      </c>
      <c r="O119" s="130" t="str">
        <f aca="false">""</f>
        <v/>
      </c>
      <c r="P119" s="130" t="n">
        <f aca="false">P118+N(M119)-N(N119)</f>
        <v>5288.5</v>
      </c>
      <c r="Q119" s="130"/>
      <c r="R119" s="130"/>
      <c r="S119" s="130"/>
      <c r="T119" s="130"/>
    </row>
    <row r="120" customFormat="false" ht="15" hidden="false" customHeight="false" outlineLevel="0" collapsed="false">
      <c r="A120" s="135" t="str">
        <f aca="false">IFERROR(INDEX(K$6:K$201,MATCH(ROW()-5,J$6:J$201,0)),"")</f>
        <v/>
      </c>
      <c r="B120" s="135" t="str">
        <f aca="false">IFERROR(INDEX(L$6:L$201,MATCH(ROW()-5,J$6:J$201,0)),"")</f>
        <v/>
      </c>
      <c r="C120" s="136" t="str">
        <f aca="false">IFERROR(INDEX(M$6:M$201,MATCH(ROW()-5,J$6:J$201,0)),"")</f>
        <v/>
      </c>
      <c r="D120" s="136" t="str">
        <f aca="false">IFERROR(INDEX(N$6:N$201,MATCH(ROW()-5,J$6:J$201,0)),"")</f>
        <v/>
      </c>
      <c r="E120" s="135" t="str">
        <f aca="false">IFERROR(INDEX(O$6:O$201,MATCH(ROW()-5,J$6:J$201,0)),"")</f>
        <v/>
      </c>
      <c r="F120" s="136" t="str">
        <f aca="false">IFERROR(INDEX(P$6:P$201,MATCH(ROW()-5,J$6:J$201,0)),"")</f>
        <v/>
      </c>
      <c r="G120" s="130"/>
      <c r="H120" s="130"/>
      <c r="I120" s="130"/>
      <c r="J120" s="130" t="str">
        <f aca="false">IF(IF(PROCESO!J144&lt;&gt;"",PROCESO!J144,IF(PROCESO!J145&lt;&gt;"",PROCESO!J145,IF(PROCESO!J146&lt;&gt;"",PROCESO!J146,IF(PROCESO!J147&lt;&gt;"",PROCESO!J147,""))))&lt;&gt;"",COUNT(J$6:J119)+1,"")</f>
        <v/>
      </c>
      <c r="K120" s="130" t="str">
        <f aca="false">IF(IF(PROCESO!J144&lt;&gt;"",PROCESO!J144,IF(PROCESO!J145&lt;&gt;"",PROCESO!J145,IF(PROCESO!J146&lt;&gt;"",PROCESO!J146,IF(PROCESO!J147&lt;&gt;"",PROCESO!J147,""))))&lt;&gt;"",PROCESO!A144&amp;IF(COUNTIF(PROCESO!$A$6:A143,PROCESO!A144)&gt;0," (Ped."&amp;(COUNTIF(PROCESO!$A$6:A143,PROCESO!A144)+1)&amp;")",""),"")</f>
        <v/>
      </c>
      <c r="L120" s="130" t="str">
        <f aca="false">IF(IF(PROCESO!J144&lt;&gt;"",PROCESO!J144,IF(PROCESO!J145&lt;&gt;"",PROCESO!J145,IF(PROCESO!J146&lt;&gt;"",PROCESO!J146,IF(PROCESO!J147&lt;&gt;"",PROCESO!J147,""))))&lt;&gt;"","ENVÍO Guía "&amp;IF(LEFT(IF(PROCESO!J144&lt;&gt;"",PROCESO!J144,IF(PROCESO!J145&lt;&gt;"",PROCESO!J145,IF(PROCESO!J146&lt;&gt;"",PROCESO!J146,IF(PROCESO!J147&lt;&gt;"",PROCESO!J147,"")))),2)="G-",MID(IF(PROCESO!J144&lt;&gt;"",PROCESO!J144,IF(PROCESO!J145&lt;&gt;"",PROCESO!J145,IF(PROCESO!J146&lt;&gt;"",PROCESO!J146,IF(PROCESO!J147&lt;&gt;"",PROCESO!J147,"")))),3,99),IF(PROCESO!J144&lt;&gt;"",PROCESO!J144,IF(PROCESO!J145&lt;&gt;"",PROCESO!J145,IF(PROCESO!J146&lt;&gt;"",PROCESO!J146,IF(PROCESO!J147&lt;&gt;"",PROCESO!J147,""))))),"")</f>
        <v/>
      </c>
      <c r="M120" s="130" t="str">
        <f aca="false">""</f>
        <v/>
      </c>
      <c r="N120" s="130" t="str">
        <f aca="false">IF(IF(PROCESO!J144&lt;&gt;"",PROCESO!J144,IF(PROCESO!J145&lt;&gt;"",PROCESO!J145,IF(PROCESO!J146&lt;&gt;"",PROCESO!J146,IF(PROCESO!J147&lt;&gt;"",PROCESO!J147,""))))&lt;&gt;"",SUMIF(PROCESO!J144:J147,IF(PROCESO!J144&lt;&gt;"",PROCESO!J144,IF(PROCESO!J145&lt;&gt;"",PROCESO!J145,IF(PROCESO!J146&lt;&gt;"",PROCESO!J146,IF(PROCESO!J147&lt;&gt;"",PROCESO!J147,"")))),PROCESO!L144:L147),"")</f>
        <v/>
      </c>
      <c r="O120" s="130" t="str">
        <f aca="false">IF(IF(PROCESO!J144&lt;&gt;"",PROCESO!J144,IF(PROCESO!J145&lt;&gt;"",PROCESO!J145,IF(PROCESO!J146&lt;&gt;"",PROCESO!J146,IF(PROCESO!J147&lt;&gt;"",PROCESO!J147,""))))&lt;&gt;"","G-"&amp;IF(LEFT(IF(PROCESO!J144&lt;&gt;"",PROCESO!J144,IF(PROCESO!J145&lt;&gt;"",PROCESO!J145,IF(PROCESO!J146&lt;&gt;"",PROCESO!J146,IF(PROCESO!J147&lt;&gt;"",PROCESO!J147,"")))),2)="G-",MID(IF(PROCESO!J144&lt;&gt;"",PROCESO!J144,IF(PROCESO!J145&lt;&gt;"",PROCESO!J145,IF(PROCESO!J146&lt;&gt;"",PROCESO!J146,IF(PROCESO!J147&lt;&gt;"",PROCESO!J147,"")))),3,99),IF(PROCESO!J144&lt;&gt;"",PROCESO!J144,IF(PROCESO!J145&lt;&gt;"",PROCESO!J145,IF(PROCESO!J146&lt;&gt;"",PROCESO!J146,IF(PROCESO!J147&lt;&gt;"",PROCESO!J147,""))))),"")</f>
        <v/>
      </c>
      <c r="P120" s="130" t="n">
        <f aca="false">P119+N(M120)-N(N120)</f>
        <v>5288.5</v>
      </c>
      <c r="Q120" s="130"/>
      <c r="R120" s="130"/>
      <c r="S120" s="130"/>
      <c r="T120" s="130"/>
    </row>
    <row r="121" customFormat="false" ht="15" hidden="false" customHeight="false" outlineLevel="0" collapsed="false">
      <c r="A121" s="135" t="str">
        <f aca="false">IFERROR(INDEX(K$6:K$201,MATCH(ROW()-5,J$6:J$201,0)),"")</f>
        <v/>
      </c>
      <c r="B121" s="135" t="str">
        <f aca="false">IFERROR(INDEX(L$6:L$201,MATCH(ROW()-5,J$6:J$201,0)),"")</f>
        <v/>
      </c>
      <c r="C121" s="136" t="str">
        <f aca="false">IFERROR(INDEX(M$6:M$201,MATCH(ROW()-5,J$6:J$201,0)),"")</f>
        <v/>
      </c>
      <c r="D121" s="136" t="str">
        <f aca="false">IFERROR(INDEX(N$6:N$201,MATCH(ROW()-5,J$6:J$201,0)),"")</f>
        <v/>
      </c>
      <c r="E121" s="135" t="str">
        <f aca="false">IFERROR(INDEX(O$6:O$201,MATCH(ROW()-5,J$6:J$201,0)),"")</f>
        <v/>
      </c>
      <c r="F121" s="136" t="str">
        <f aca="false">IFERROR(INDEX(P$6:P$201,MATCH(ROW()-5,J$6:J$201,0)),"")</f>
        <v/>
      </c>
      <c r="G121" s="130"/>
      <c r="H121" s="130"/>
      <c r="I121" s="130"/>
      <c r="J121" s="130" t="str">
        <f aca="false">IF(OR(SUM(PROCESO!M144:M147)&gt;0,SUM(PROCESO!N144:N147)&gt;0),COUNT(J$6:J120)+1,"")</f>
        <v/>
      </c>
      <c r="K121" s="130" t="str">
        <f aca="false">IF(OR(SUM(PROCESO!M144:M147)&gt;0,SUM(PROCESO!N144:N147)&gt;0),PROCESO!A144&amp;IF(COUNTIF(PROCESO!$A$6:A143,PROCESO!A144)&gt;0," (Ped."&amp;(COUNTIF(PROCESO!$A$6:A143,PROCESO!A144)+1)&amp;")",""),"")</f>
        <v/>
      </c>
      <c r="L121" s="130" t="str">
        <f aca="false">IF(OR(SUM(PROCESO!M144:M147)&gt;0,SUM(PROCESO!N144:N147)&gt;0),"REPROCESO (devolución)","")</f>
        <v/>
      </c>
      <c r="M121" s="130" t="str">
        <f aca="false">IF(OR(SUM(PROCESO!M144:M147)&gt;0,SUM(PROCESO!N144:N147)&gt;0),SUM(PROCESO!N144:N147),"")</f>
        <v/>
      </c>
      <c r="N121" s="130" t="str">
        <f aca="false">""</f>
        <v/>
      </c>
      <c r="O121" s="130" t="str">
        <f aca="false">IF(OR(SUM(PROCESO!M144:M147)&gt;0,SUM(PROCESO!N144:N147)&gt;0),IF(SUM(PROCESO!M144:M147)&gt;0,SUM(PROCESO!M144:M147)&amp;" jabas devueltas · merma "&amp;TEXT((PROCESO!M144*15+PROCESO!M145*18+PROCESO!M146*17+PROCESO!M147*17)-SUM(PROCESO!N144:N147),"+#,##0;-#,##0;0")&amp;" kg",""),"")</f>
        <v/>
      </c>
      <c r="P121" s="130" t="n">
        <f aca="false">P120+N(M121)-N(N121)</f>
        <v>5288.5</v>
      </c>
      <c r="Q121" s="130"/>
      <c r="R121" s="130"/>
      <c r="S121" s="130"/>
      <c r="T121" s="130"/>
    </row>
    <row r="122" customFormat="false" ht="15" hidden="false" customHeight="false" outlineLevel="0" collapsed="false">
      <c r="A122" s="135" t="str">
        <f aca="false">IFERROR(INDEX(K$6:K$201,MATCH(ROW()-5,J$6:J$201,0)),"")</f>
        <v/>
      </c>
      <c r="B122" s="135" t="str">
        <f aca="false">IFERROR(INDEX(L$6:L$201,MATCH(ROW()-5,J$6:J$201,0)),"")</f>
        <v/>
      </c>
      <c r="C122" s="136" t="str">
        <f aca="false">IFERROR(INDEX(M$6:M$201,MATCH(ROW()-5,J$6:J$201,0)),"")</f>
        <v/>
      </c>
      <c r="D122" s="136" t="str">
        <f aca="false">IFERROR(INDEX(N$6:N$201,MATCH(ROW()-5,J$6:J$201,0)),"")</f>
        <v/>
      </c>
      <c r="E122" s="135" t="str">
        <f aca="false">IFERROR(INDEX(O$6:O$201,MATCH(ROW()-5,J$6:J$201,0)),"")</f>
        <v/>
      </c>
      <c r="F122" s="136" t="str">
        <f aca="false">IFERROR(INDEX(P$6:P$201,MATCH(ROW()-5,J$6:J$201,0)),"")</f>
        <v/>
      </c>
      <c r="G122" s="130"/>
      <c r="H122" s="130"/>
      <c r="I122" s="130"/>
      <c r="J122" s="130" t="str">
        <f aca="false">IF(PROCESO!D150&gt;0,COUNT(J$6:J121)+1,"")</f>
        <v/>
      </c>
      <c r="K122" s="130" t="str">
        <f aca="false">IF(PROCESO!D150&gt;0,PROCESO!A150&amp;IF(COUNTIF(PROCESO!$A$6:A149,PROCESO!A150)&gt;0," (Ped."&amp;(COUNTIF(PROCESO!$A$6:A149,PROCESO!A150)+1)&amp;")",""),"")</f>
        <v/>
      </c>
      <c r="L122" s="130" t="str">
        <f aca="false">IF(PROCESO!D150&gt;0,"INGRESO (compra)","")</f>
        <v/>
      </c>
      <c r="M122" s="130" t="str">
        <f aca="false">IF(PROCESO!D150&gt;0,PROCESO!D150,"")</f>
        <v/>
      </c>
      <c r="N122" s="130" t="str">
        <f aca="false">""</f>
        <v/>
      </c>
      <c r="O122" s="130" t="str">
        <f aca="false">IF(PROCESO!D150&gt;0,PROCESO!B150&amp;" sacos x "&amp;PROCESO!C150&amp;" kg","")</f>
        <v/>
      </c>
      <c r="P122" s="130" t="n">
        <f aca="false">P121+N(M122)-N(N122)</f>
        <v>5288.5</v>
      </c>
      <c r="Q122" s="130"/>
      <c r="R122" s="130"/>
      <c r="S122" s="130"/>
      <c r="T122" s="130"/>
    </row>
    <row r="123" customFormat="false" ht="15" hidden="false" customHeight="false" outlineLevel="0" collapsed="false">
      <c r="A123" s="135" t="str">
        <f aca="false">IFERROR(INDEX(K$6:K$201,MATCH(ROW()-5,J$6:J$201,0)),"")</f>
        <v/>
      </c>
      <c r="B123" s="135" t="str">
        <f aca="false">IFERROR(INDEX(L$6:L$201,MATCH(ROW()-5,J$6:J$201,0)),"")</f>
        <v/>
      </c>
      <c r="C123" s="136" t="str">
        <f aca="false">IFERROR(INDEX(M$6:M$201,MATCH(ROW()-5,J$6:J$201,0)),"")</f>
        <v/>
      </c>
      <c r="D123" s="136" t="str">
        <f aca="false">IFERROR(INDEX(N$6:N$201,MATCH(ROW()-5,J$6:J$201,0)),"")</f>
        <v/>
      </c>
      <c r="E123" s="135" t="str">
        <f aca="false">IFERROR(INDEX(O$6:O$201,MATCH(ROW()-5,J$6:J$201,0)),"")</f>
        <v/>
      </c>
      <c r="F123" s="136" t="str">
        <f aca="false">IFERROR(INDEX(P$6:P$201,MATCH(ROW()-5,J$6:J$201,0)),"")</f>
        <v/>
      </c>
      <c r="G123" s="130"/>
      <c r="H123" s="130"/>
      <c r="I123" s="130"/>
      <c r="J123" s="130" t="str">
        <f aca="false">IF(N(PROCESO!H154)&gt;0,COUNT(J$6:J122)+1,"")</f>
        <v/>
      </c>
      <c r="K123" s="130" t="str">
        <f aca="false">IF(N(PROCESO!H154)&gt;0,PROCESO!A150&amp;IF(COUNTIF(PROCESO!$A$6:A149,PROCESO!A150)&gt;0," (Ped."&amp;(COUNTIF(PROCESO!$A$6:A149,PROCESO!A150)+1)&amp;")",""),"")</f>
        <v/>
      </c>
      <c r="L123" s="130" t="str">
        <f aca="false">IF(N(PROCESO!H154)&gt;0,"CHANCHO (proceso)","")</f>
        <v/>
      </c>
      <c r="M123" s="130" t="str">
        <f aca="false">""</f>
        <v/>
      </c>
      <c r="N123" s="130" t="str">
        <f aca="false">IF(N(PROCESO!H154)&gt;0,N(PROCESO!H154),"")</f>
        <v/>
      </c>
      <c r="O123" s="130" t="str">
        <f aca="false">IF(N(PROCESO!H154)&gt;0,PROCESO!G154&amp;" sacos x 95 kg","")</f>
        <v/>
      </c>
      <c r="P123" s="130" t="n">
        <f aca="false">P122+N(M123)-N(N123)</f>
        <v>5288.5</v>
      </c>
      <c r="Q123" s="130"/>
      <c r="R123" s="130"/>
      <c r="S123" s="130"/>
      <c r="T123" s="130"/>
    </row>
    <row r="124" customFormat="false" ht="15" hidden="false" customHeight="false" outlineLevel="0" collapsed="false">
      <c r="A124" s="135" t="str">
        <f aca="false">IFERROR(INDEX(K$6:K$201,MATCH(ROW()-5,J$6:J$201,0)),"")</f>
        <v/>
      </c>
      <c r="B124" s="135" t="str">
        <f aca="false">IFERROR(INDEX(L$6:L$201,MATCH(ROW()-5,J$6:J$201,0)),"")</f>
        <v/>
      </c>
      <c r="C124" s="136" t="str">
        <f aca="false">IFERROR(INDEX(M$6:M$201,MATCH(ROW()-5,J$6:J$201,0)),"")</f>
        <v/>
      </c>
      <c r="D124" s="136" t="str">
        <f aca="false">IFERROR(INDEX(N$6:N$201,MATCH(ROW()-5,J$6:J$201,0)),"")</f>
        <v/>
      </c>
      <c r="E124" s="135" t="str">
        <f aca="false">IFERROR(INDEX(O$6:O$201,MATCH(ROW()-5,J$6:J$201,0)),"")</f>
        <v/>
      </c>
      <c r="F124" s="136" t="str">
        <f aca="false">IFERROR(INDEX(P$6:P$201,MATCH(ROW()-5,J$6:J$201,0)),"")</f>
        <v/>
      </c>
      <c r="G124" s="130"/>
      <c r="H124" s="130"/>
      <c r="I124" s="130"/>
      <c r="J124" s="130" t="str">
        <f aca="false">IF(N(PROCESO!H155)&gt;0,COUNT(J$6:J123)+1,"")</f>
        <v/>
      </c>
      <c r="K124" s="130" t="str">
        <f aca="false">IF(N(PROCESO!H155)&gt;0,PROCESO!A150&amp;IF(COUNTIF(PROCESO!$A$6:A149,PROCESO!A150)&gt;0," (Ped."&amp;(COUNTIF(PROCESO!$A$6:A149,PROCESO!A150)+1)&amp;")",""),"")</f>
        <v/>
      </c>
      <c r="L124" s="130" t="str">
        <f aca="false">IF(N(PROCESO!H155)&gt;0,"MALOGRADO","")</f>
        <v/>
      </c>
      <c r="M124" s="130" t="str">
        <f aca="false">""</f>
        <v/>
      </c>
      <c r="N124" s="130" t="str">
        <f aca="false">IF(N(PROCESO!H155)&gt;0,N(PROCESO!H155),"")</f>
        <v/>
      </c>
      <c r="O124" s="130" t="str">
        <f aca="false">""</f>
        <v/>
      </c>
      <c r="P124" s="130" t="n">
        <f aca="false">P123+N(M124)-N(N124)</f>
        <v>5288.5</v>
      </c>
      <c r="Q124" s="130"/>
      <c r="R124" s="130"/>
      <c r="S124" s="130"/>
      <c r="T124" s="130"/>
    </row>
    <row r="125" customFormat="false" ht="15" hidden="false" customHeight="false" outlineLevel="0" collapsed="false">
      <c r="A125" s="135" t="str">
        <f aca="false">IFERROR(INDEX(K$6:K$201,MATCH(ROW()-5,J$6:J$201,0)),"")</f>
        <v/>
      </c>
      <c r="B125" s="135" t="str">
        <f aca="false">IFERROR(INDEX(L$6:L$201,MATCH(ROW()-5,J$6:J$201,0)),"")</f>
        <v/>
      </c>
      <c r="C125" s="136" t="str">
        <f aca="false">IFERROR(INDEX(M$6:M$201,MATCH(ROW()-5,J$6:J$201,0)),"")</f>
        <v/>
      </c>
      <c r="D125" s="136" t="str">
        <f aca="false">IFERROR(INDEX(N$6:N$201,MATCH(ROW()-5,J$6:J$201,0)),"")</f>
        <v/>
      </c>
      <c r="E125" s="135" t="str">
        <f aca="false">IFERROR(INDEX(O$6:O$201,MATCH(ROW()-5,J$6:J$201,0)),"")</f>
        <v/>
      </c>
      <c r="F125" s="136" t="str">
        <f aca="false">IFERROR(INDEX(P$6:P$201,MATCH(ROW()-5,J$6:J$201,0)),"")</f>
        <v/>
      </c>
      <c r="G125" s="130"/>
      <c r="H125" s="130"/>
      <c r="I125" s="130"/>
      <c r="J125" s="130" t="str">
        <f aca="false">IF(IF(PROCESO!J150&lt;&gt;"",PROCESO!J150,IF(PROCESO!J151&lt;&gt;"",PROCESO!J151,IF(PROCESO!J152&lt;&gt;"",PROCESO!J152,IF(PROCESO!J153&lt;&gt;"",PROCESO!J153,""))))&lt;&gt;"",COUNT(J$6:J124)+1,"")</f>
        <v/>
      </c>
      <c r="K125" s="130" t="str">
        <f aca="false">IF(IF(PROCESO!J150&lt;&gt;"",PROCESO!J150,IF(PROCESO!J151&lt;&gt;"",PROCESO!J151,IF(PROCESO!J152&lt;&gt;"",PROCESO!J152,IF(PROCESO!J153&lt;&gt;"",PROCESO!J153,""))))&lt;&gt;"",PROCESO!A150&amp;IF(COUNTIF(PROCESO!$A$6:A149,PROCESO!A150)&gt;0," (Ped."&amp;(COUNTIF(PROCESO!$A$6:A149,PROCESO!A150)+1)&amp;")",""),"")</f>
        <v/>
      </c>
      <c r="L125" s="130" t="str">
        <f aca="false">IF(IF(PROCESO!J150&lt;&gt;"",PROCESO!J150,IF(PROCESO!J151&lt;&gt;"",PROCESO!J151,IF(PROCESO!J152&lt;&gt;"",PROCESO!J152,IF(PROCESO!J153&lt;&gt;"",PROCESO!J153,""))))&lt;&gt;"","ENVÍO Guía "&amp;IF(LEFT(IF(PROCESO!J150&lt;&gt;"",PROCESO!J150,IF(PROCESO!J151&lt;&gt;"",PROCESO!J151,IF(PROCESO!J152&lt;&gt;"",PROCESO!J152,IF(PROCESO!J153&lt;&gt;"",PROCESO!J153,"")))),2)="G-",MID(IF(PROCESO!J150&lt;&gt;"",PROCESO!J150,IF(PROCESO!J151&lt;&gt;"",PROCESO!J151,IF(PROCESO!J152&lt;&gt;"",PROCESO!J152,IF(PROCESO!J153&lt;&gt;"",PROCESO!J153,"")))),3,99),IF(PROCESO!J150&lt;&gt;"",PROCESO!J150,IF(PROCESO!J151&lt;&gt;"",PROCESO!J151,IF(PROCESO!J152&lt;&gt;"",PROCESO!J152,IF(PROCESO!J153&lt;&gt;"",PROCESO!J153,""))))),"")</f>
        <v/>
      </c>
      <c r="M125" s="130" t="str">
        <f aca="false">""</f>
        <v/>
      </c>
      <c r="N125" s="130" t="str">
        <f aca="false">IF(IF(PROCESO!J150&lt;&gt;"",PROCESO!J150,IF(PROCESO!J151&lt;&gt;"",PROCESO!J151,IF(PROCESO!J152&lt;&gt;"",PROCESO!J152,IF(PROCESO!J153&lt;&gt;"",PROCESO!J153,""))))&lt;&gt;"",SUMIF(PROCESO!J150:J153,IF(PROCESO!J150&lt;&gt;"",PROCESO!J150,IF(PROCESO!J151&lt;&gt;"",PROCESO!J151,IF(PROCESO!J152&lt;&gt;"",PROCESO!J152,IF(PROCESO!J153&lt;&gt;"",PROCESO!J153,"")))),PROCESO!L150:L153),"")</f>
        <v/>
      </c>
      <c r="O125" s="130" t="str">
        <f aca="false">IF(IF(PROCESO!J150&lt;&gt;"",PROCESO!J150,IF(PROCESO!J151&lt;&gt;"",PROCESO!J151,IF(PROCESO!J152&lt;&gt;"",PROCESO!J152,IF(PROCESO!J153&lt;&gt;"",PROCESO!J153,""))))&lt;&gt;"","G-"&amp;IF(LEFT(IF(PROCESO!J150&lt;&gt;"",PROCESO!J150,IF(PROCESO!J151&lt;&gt;"",PROCESO!J151,IF(PROCESO!J152&lt;&gt;"",PROCESO!J152,IF(PROCESO!J153&lt;&gt;"",PROCESO!J153,"")))),2)="G-",MID(IF(PROCESO!J150&lt;&gt;"",PROCESO!J150,IF(PROCESO!J151&lt;&gt;"",PROCESO!J151,IF(PROCESO!J152&lt;&gt;"",PROCESO!J152,IF(PROCESO!J153&lt;&gt;"",PROCESO!J153,"")))),3,99),IF(PROCESO!J150&lt;&gt;"",PROCESO!J150,IF(PROCESO!J151&lt;&gt;"",PROCESO!J151,IF(PROCESO!J152&lt;&gt;"",PROCESO!J152,IF(PROCESO!J153&lt;&gt;"",PROCESO!J153,""))))),"")</f>
        <v/>
      </c>
      <c r="P125" s="130" t="n">
        <f aca="false">P124+N(M125)-N(N125)</f>
        <v>5288.5</v>
      </c>
      <c r="Q125" s="130"/>
      <c r="R125" s="130"/>
      <c r="S125" s="130"/>
      <c r="T125" s="130"/>
    </row>
    <row r="126" customFormat="false" ht="15" hidden="false" customHeight="false" outlineLevel="0" collapsed="false">
      <c r="A126" s="135" t="str">
        <f aca="false">IFERROR(INDEX(K$6:K$201,MATCH(ROW()-5,J$6:J$201,0)),"")</f>
        <v/>
      </c>
      <c r="B126" s="135" t="str">
        <f aca="false">IFERROR(INDEX(L$6:L$201,MATCH(ROW()-5,J$6:J$201,0)),"")</f>
        <v/>
      </c>
      <c r="C126" s="136" t="str">
        <f aca="false">IFERROR(INDEX(M$6:M$201,MATCH(ROW()-5,J$6:J$201,0)),"")</f>
        <v/>
      </c>
      <c r="D126" s="136" t="str">
        <f aca="false">IFERROR(INDEX(N$6:N$201,MATCH(ROW()-5,J$6:J$201,0)),"")</f>
        <v/>
      </c>
      <c r="E126" s="135" t="str">
        <f aca="false">IFERROR(INDEX(O$6:O$201,MATCH(ROW()-5,J$6:J$201,0)),"")</f>
        <v/>
      </c>
      <c r="F126" s="136" t="str">
        <f aca="false">IFERROR(INDEX(P$6:P$201,MATCH(ROW()-5,J$6:J$201,0)),"")</f>
        <v/>
      </c>
      <c r="G126" s="130"/>
      <c r="H126" s="130"/>
      <c r="I126" s="130"/>
      <c r="J126" s="130" t="str">
        <f aca="false">IF(OR(SUM(PROCESO!M150:M153)&gt;0,SUM(PROCESO!N150:N153)&gt;0),COUNT(J$6:J125)+1,"")</f>
        <v/>
      </c>
      <c r="K126" s="130" t="str">
        <f aca="false">IF(OR(SUM(PROCESO!M150:M153)&gt;0,SUM(PROCESO!N150:N153)&gt;0),PROCESO!A150&amp;IF(COUNTIF(PROCESO!$A$6:A149,PROCESO!A150)&gt;0," (Ped."&amp;(COUNTIF(PROCESO!$A$6:A149,PROCESO!A150)+1)&amp;")",""),"")</f>
        <v/>
      </c>
      <c r="L126" s="130" t="str">
        <f aca="false">IF(OR(SUM(PROCESO!M150:M153)&gt;0,SUM(PROCESO!N150:N153)&gt;0),"REPROCESO (devolución)","")</f>
        <v/>
      </c>
      <c r="M126" s="130" t="str">
        <f aca="false">IF(OR(SUM(PROCESO!M150:M153)&gt;0,SUM(PROCESO!N150:N153)&gt;0),SUM(PROCESO!N150:N153),"")</f>
        <v/>
      </c>
      <c r="N126" s="130" t="str">
        <f aca="false">""</f>
        <v/>
      </c>
      <c r="O126" s="130" t="str">
        <f aca="false">IF(OR(SUM(PROCESO!M150:M153)&gt;0,SUM(PROCESO!N150:N153)&gt;0),IF(SUM(PROCESO!M150:M153)&gt;0,SUM(PROCESO!M150:M153)&amp;" jabas devueltas · merma "&amp;TEXT((PROCESO!M150*15+PROCESO!M151*18+PROCESO!M152*17+PROCESO!M153*17)-SUM(PROCESO!N150:N153),"+#,##0;-#,##0;0")&amp;" kg",""),"")</f>
        <v/>
      </c>
      <c r="P126" s="130" t="n">
        <f aca="false">P125+N(M126)-N(N126)</f>
        <v>5288.5</v>
      </c>
      <c r="Q126" s="130"/>
      <c r="R126" s="130"/>
      <c r="S126" s="130"/>
      <c r="T126" s="130"/>
    </row>
    <row r="127" customFormat="false" ht="15" hidden="false" customHeight="false" outlineLevel="0" collapsed="false">
      <c r="A127" s="135" t="str">
        <f aca="false">IFERROR(INDEX(K$6:K$201,MATCH(ROW()-5,J$6:J$201,0)),"")</f>
        <v/>
      </c>
      <c r="B127" s="135" t="str">
        <f aca="false">IFERROR(INDEX(L$6:L$201,MATCH(ROW()-5,J$6:J$201,0)),"")</f>
        <v/>
      </c>
      <c r="C127" s="136" t="str">
        <f aca="false">IFERROR(INDEX(M$6:M$201,MATCH(ROW()-5,J$6:J$201,0)),"")</f>
        <v/>
      </c>
      <c r="D127" s="136" t="str">
        <f aca="false">IFERROR(INDEX(N$6:N$201,MATCH(ROW()-5,J$6:J$201,0)),"")</f>
        <v/>
      </c>
      <c r="E127" s="135" t="str">
        <f aca="false">IFERROR(INDEX(O$6:O$201,MATCH(ROW()-5,J$6:J$201,0)),"")</f>
        <v/>
      </c>
      <c r="F127" s="136" t="str">
        <f aca="false">IFERROR(INDEX(P$6:P$201,MATCH(ROW()-5,J$6:J$201,0)),"")</f>
        <v/>
      </c>
      <c r="G127" s="130"/>
      <c r="H127" s="130"/>
      <c r="I127" s="130"/>
      <c r="J127" s="130" t="str">
        <f aca="false">IF(PROCESO!D156&gt;0,COUNT(J$6:J126)+1,"")</f>
        <v/>
      </c>
      <c r="K127" s="130" t="str">
        <f aca="false">IF(PROCESO!D156&gt;0,PROCESO!A156&amp;IF(COUNTIF(PROCESO!$A$6:A155,PROCESO!A156)&gt;0," (Ped."&amp;(COUNTIF(PROCESO!$A$6:A155,PROCESO!A156)+1)&amp;")",""),"")</f>
        <v/>
      </c>
      <c r="L127" s="130" t="str">
        <f aca="false">IF(PROCESO!D156&gt;0,"INGRESO (compra)","")</f>
        <v/>
      </c>
      <c r="M127" s="130" t="str">
        <f aca="false">IF(PROCESO!D156&gt;0,PROCESO!D156,"")</f>
        <v/>
      </c>
      <c r="N127" s="130" t="str">
        <f aca="false">""</f>
        <v/>
      </c>
      <c r="O127" s="130" t="str">
        <f aca="false">IF(PROCESO!D156&gt;0,PROCESO!B156&amp;" sacos x "&amp;PROCESO!C156&amp;" kg","")</f>
        <v/>
      </c>
      <c r="P127" s="130" t="n">
        <f aca="false">P126+N(M127)-N(N127)</f>
        <v>5288.5</v>
      </c>
      <c r="Q127" s="130"/>
      <c r="R127" s="130"/>
      <c r="S127" s="130"/>
      <c r="T127" s="130"/>
    </row>
    <row r="128" customFormat="false" ht="15" hidden="false" customHeight="false" outlineLevel="0" collapsed="false">
      <c r="A128" s="135" t="str">
        <f aca="false">IFERROR(INDEX(K$6:K$201,MATCH(ROW()-5,J$6:J$201,0)),"")</f>
        <v/>
      </c>
      <c r="B128" s="135" t="str">
        <f aca="false">IFERROR(INDEX(L$6:L$201,MATCH(ROW()-5,J$6:J$201,0)),"")</f>
        <v/>
      </c>
      <c r="C128" s="136" t="str">
        <f aca="false">IFERROR(INDEX(M$6:M$201,MATCH(ROW()-5,J$6:J$201,0)),"")</f>
        <v/>
      </c>
      <c r="D128" s="136" t="str">
        <f aca="false">IFERROR(INDEX(N$6:N$201,MATCH(ROW()-5,J$6:J$201,0)),"")</f>
        <v/>
      </c>
      <c r="E128" s="135" t="str">
        <f aca="false">IFERROR(INDEX(O$6:O$201,MATCH(ROW()-5,J$6:J$201,0)),"")</f>
        <v/>
      </c>
      <c r="F128" s="136" t="str">
        <f aca="false">IFERROR(INDEX(P$6:P$201,MATCH(ROW()-5,J$6:J$201,0)),"")</f>
        <v/>
      </c>
      <c r="G128" s="130"/>
      <c r="H128" s="130"/>
      <c r="I128" s="130"/>
      <c r="J128" s="130" t="str">
        <f aca="false">IF(N(PROCESO!H160)&gt;0,COUNT(J$6:J127)+1,"")</f>
        <v/>
      </c>
      <c r="K128" s="130" t="str">
        <f aca="false">IF(N(PROCESO!H160)&gt;0,PROCESO!A156&amp;IF(COUNTIF(PROCESO!$A$6:A155,PROCESO!A156)&gt;0," (Ped."&amp;(COUNTIF(PROCESO!$A$6:A155,PROCESO!A156)+1)&amp;")",""),"")</f>
        <v/>
      </c>
      <c r="L128" s="130" t="str">
        <f aca="false">IF(N(PROCESO!H160)&gt;0,"CHANCHO (proceso)","")</f>
        <v/>
      </c>
      <c r="M128" s="130" t="str">
        <f aca="false">""</f>
        <v/>
      </c>
      <c r="N128" s="130" t="str">
        <f aca="false">IF(N(PROCESO!H160)&gt;0,N(PROCESO!H160),"")</f>
        <v/>
      </c>
      <c r="O128" s="130" t="str">
        <f aca="false">IF(N(PROCESO!H160)&gt;0,PROCESO!G160&amp;" sacos x 95 kg","")</f>
        <v/>
      </c>
      <c r="P128" s="130" t="n">
        <f aca="false">P127+N(M128)-N(N128)</f>
        <v>5288.5</v>
      </c>
      <c r="Q128" s="130"/>
      <c r="R128" s="130"/>
      <c r="S128" s="130"/>
      <c r="T128" s="130"/>
    </row>
    <row r="129" customFormat="false" ht="15" hidden="false" customHeight="false" outlineLevel="0" collapsed="false">
      <c r="A129" s="135" t="str">
        <f aca="false">IFERROR(INDEX(K$6:K$201,MATCH(ROW()-5,J$6:J$201,0)),"")</f>
        <v/>
      </c>
      <c r="B129" s="135" t="str">
        <f aca="false">IFERROR(INDEX(L$6:L$201,MATCH(ROW()-5,J$6:J$201,0)),"")</f>
        <v/>
      </c>
      <c r="C129" s="136" t="str">
        <f aca="false">IFERROR(INDEX(M$6:M$201,MATCH(ROW()-5,J$6:J$201,0)),"")</f>
        <v/>
      </c>
      <c r="D129" s="136" t="str">
        <f aca="false">IFERROR(INDEX(N$6:N$201,MATCH(ROW()-5,J$6:J$201,0)),"")</f>
        <v/>
      </c>
      <c r="E129" s="135" t="str">
        <f aca="false">IFERROR(INDEX(O$6:O$201,MATCH(ROW()-5,J$6:J$201,0)),"")</f>
        <v/>
      </c>
      <c r="F129" s="136" t="str">
        <f aca="false">IFERROR(INDEX(P$6:P$201,MATCH(ROW()-5,J$6:J$201,0)),"")</f>
        <v/>
      </c>
      <c r="G129" s="130"/>
      <c r="H129" s="130"/>
      <c r="I129" s="130"/>
      <c r="J129" s="130" t="str">
        <f aca="false">IF(N(PROCESO!H161)&gt;0,COUNT(J$6:J128)+1,"")</f>
        <v/>
      </c>
      <c r="K129" s="130" t="str">
        <f aca="false">IF(N(PROCESO!H161)&gt;0,PROCESO!A156&amp;IF(COUNTIF(PROCESO!$A$6:A155,PROCESO!A156)&gt;0," (Ped."&amp;(COUNTIF(PROCESO!$A$6:A155,PROCESO!A156)+1)&amp;")",""),"")</f>
        <v/>
      </c>
      <c r="L129" s="130" t="str">
        <f aca="false">IF(N(PROCESO!H161)&gt;0,"MALOGRADO","")</f>
        <v/>
      </c>
      <c r="M129" s="130" t="str">
        <f aca="false">""</f>
        <v/>
      </c>
      <c r="N129" s="130" t="str">
        <f aca="false">IF(N(PROCESO!H161)&gt;0,N(PROCESO!H161),"")</f>
        <v/>
      </c>
      <c r="O129" s="130" t="str">
        <f aca="false">""</f>
        <v/>
      </c>
      <c r="P129" s="130" t="n">
        <f aca="false">P128+N(M129)-N(N129)</f>
        <v>5288.5</v>
      </c>
      <c r="Q129" s="130"/>
      <c r="R129" s="130"/>
      <c r="S129" s="130"/>
      <c r="T129" s="130"/>
    </row>
    <row r="130" customFormat="false" ht="15" hidden="false" customHeight="false" outlineLevel="0" collapsed="false">
      <c r="A130" s="135" t="str">
        <f aca="false">IFERROR(INDEX(K$6:K$201,MATCH(ROW()-5,J$6:J$201,0)),"")</f>
        <v/>
      </c>
      <c r="B130" s="135" t="str">
        <f aca="false">IFERROR(INDEX(L$6:L$201,MATCH(ROW()-5,J$6:J$201,0)),"")</f>
        <v/>
      </c>
      <c r="C130" s="136" t="str">
        <f aca="false">IFERROR(INDEX(M$6:M$201,MATCH(ROW()-5,J$6:J$201,0)),"")</f>
        <v/>
      </c>
      <c r="D130" s="136" t="str">
        <f aca="false">IFERROR(INDEX(N$6:N$201,MATCH(ROW()-5,J$6:J$201,0)),"")</f>
        <v/>
      </c>
      <c r="E130" s="135" t="str">
        <f aca="false">IFERROR(INDEX(O$6:O$201,MATCH(ROW()-5,J$6:J$201,0)),"")</f>
        <v/>
      </c>
      <c r="F130" s="136" t="str">
        <f aca="false">IFERROR(INDEX(P$6:P$201,MATCH(ROW()-5,J$6:J$201,0)),"")</f>
        <v/>
      </c>
      <c r="G130" s="130"/>
      <c r="H130" s="130"/>
      <c r="I130" s="130"/>
      <c r="J130" s="130" t="str">
        <f aca="false">IF(IF(PROCESO!J156&lt;&gt;"",PROCESO!J156,IF(PROCESO!J157&lt;&gt;"",PROCESO!J157,IF(PROCESO!J158&lt;&gt;"",PROCESO!J158,IF(PROCESO!J159&lt;&gt;"",PROCESO!J159,""))))&lt;&gt;"",COUNT(J$6:J129)+1,"")</f>
        <v/>
      </c>
      <c r="K130" s="130" t="str">
        <f aca="false">IF(IF(PROCESO!J156&lt;&gt;"",PROCESO!J156,IF(PROCESO!J157&lt;&gt;"",PROCESO!J157,IF(PROCESO!J158&lt;&gt;"",PROCESO!J158,IF(PROCESO!J159&lt;&gt;"",PROCESO!J159,""))))&lt;&gt;"",PROCESO!A156&amp;IF(COUNTIF(PROCESO!$A$6:A155,PROCESO!A156)&gt;0," (Ped."&amp;(COUNTIF(PROCESO!$A$6:A155,PROCESO!A156)+1)&amp;")",""),"")</f>
        <v/>
      </c>
      <c r="L130" s="130" t="str">
        <f aca="false">IF(IF(PROCESO!J156&lt;&gt;"",PROCESO!J156,IF(PROCESO!J157&lt;&gt;"",PROCESO!J157,IF(PROCESO!J158&lt;&gt;"",PROCESO!J158,IF(PROCESO!J159&lt;&gt;"",PROCESO!J159,""))))&lt;&gt;"","ENVÍO Guía "&amp;IF(LEFT(IF(PROCESO!J156&lt;&gt;"",PROCESO!J156,IF(PROCESO!J157&lt;&gt;"",PROCESO!J157,IF(PROCESO!J158&lt;&gt;"",PROCESO!J158,IF(PROCESO!J159&lt;&gt;"",PROCESO!J159,"")))),2)="G-",MID(IF(PROCESO!J156&lt;&gt;"",PROCESO!J156,IF(PROCESO!J157&lt;&gt;"",PROCESO!J157,IF(PROCESO!J158&lt;&gt;"",PROCESO!J158,IF(PROCESO!J159&lt;&gt;"",PROCESO!J159,"")))),3,99),IF(PROCESO!J156&lt;&gt;"",PROCESO!J156,IF(PROCESO!J157&lt;&gt;"",PROCESO!J157,IF(PROCESO!J158&lt;&gt;"",PROCESO!J158,IF(PROCESO!J159&lt;&gt;"",PROCESO!J159,""))))),"")</f>
        <v/>
      </c>
      <c r="M130" s="130" t="str">
        <f aca="false">""</f>
        <v/>
      </c>
      <c r="N130" s="130" t="str">
        <f aca="false">IF(IF(PROCESO!J156&lt;&gt;"",PROCESO!J156,IF(PROCESO!J157&lt;&gt;"",PROCESO!J157,IF(PROCESO!J158&lt;&gt;"",PROCESO!J158,IF(PROCESO!J159&lt;&gt;"",PROCESO!J159,""))))&lt;&gt;"",SUMIF(PROCESO!J156:J159,IF(PROCESO!J156&lt;&gt;"",PROCESO!J156,IF(PROCESO!J157&lt;&gt;"",PROCESO!J157,IF(PROCESO!J158&lt;&gt;"",PROCESO!J158,IF(PROCESO!J159&lt;&gt;"",PROCESO!J159,"")))),PROCESO!L156:L159),"")</f>
        <v/>
      </c>
      <c r="O130" s="130" t="str">
        <f aca="false">IF(IF(PROCESO!J156&lt;&gt;"",PROCESO!J156,IF(PROCESO!J157&lt;&gt;"",PROCESO!J157,IF(PROCESO!J158&lt;&gt;"",PROCESO!J158,IF(PROCESO!J159&lt;&gt;"",PROCESO!J159,""))))&lt;&gt;"","G-"&amp;IF(LEFT(IF(PROCESO!J156&lt;&gt;"",PROCESO!J156,IF(PROCESO!J157&lt;&gt;"",PROCESO!J157,IF(PROCESO!J158&lt;&gt;"",PROCESO!J158,IF(PROCESO!J159&lt;&gt;"",PROCESO!J159,"")))),2)="G-",MID(IF(PROCESO!J156&lt;&gt;"",PROCESO!J156,IF(PROCESO!J157&lt;&gt;"",PROCESO!J157,IF(PROCESO!J158&lt;&gt;"",PROCESO!J158,IF(PROCESO!J159&lt;&gt;"",PROCESO!J159,"")))),3,99),IF(PROCESO!J156&lt;&gt;"",PROCESO!J156,IF(PROCESO!J157&lt;&gt;"",PROCESO!J157,IF(PROCESO!J158&lt;&gt;"",PROCESO!J158,IF(PROCESO!J159&lt;&gt;"",PROCESO!J159,""))))),"")</f>
        <v/>
      </c>
      <c r="P130" s="130" t="n">
        <f aca="false">P129+N(M130)-N(N130)</f>
        <v>5288.5</v>
      </c>
      <c r="Q130" s="130"/>
      <c r="R130" s="130"/>
      <c r="S130" s="130"/>
      <c r="T130" s="130"/>
    </row>
    <row r="131" customFormat="false" ht="15" hidden="false" customHeight="false" outlineLevel="0" collapsed="false">
      <c r="A131" s="135" t="str">
        <f aca="false">IFERROR(INDEX(K$6:K$201,MATCH(ROW()-5,J$6:J$201,0)),"")</f>
        <v/>
      </c>
      <c r="B131" s="135" t="str">
        <f aca="false">IFERROR(INDEX(L$6:L$201,MATCH(ROW()-5,J$6:J$201,0)),"")</f>
        <v/>
      </c>
      <c r="C131" s="136" t="str">
        <f aca="false">IFERROR(INDEX(M$6:M$201,MATCH(ROW()-5,J$6:J$201,0)),"")</f>
        <v/>
      </c>
      <c r="D131" s="136" t="str">
        <f aca="false">IFERROR(INDEX(N$6:N$201,MATCH(ROW()-5,J$6:J$201,0)),"")</f>
        <v/>
      </c>
      <c r="E131" s="135" t="str">
        <f aca="false">IFERROR(INDEX(O$6:O$201,MATCH(ROW()-5,J$6:J$201,0)),"")</f>
        <v/>
      </c>
      <c r="F131" s="136" t="str">
        <f aca="false">IFERROR(INDEX(P$6:P$201,MATCH(ROW()-5,J$6:J$201,0)),"")</f>
        <v/>
      </c>
      <c r="G131" s="130"/>
      <c r="H131" s="130"/>
      <c r="I131" s="130"/>
      <c r="J131" s="130" t="str">
        <f aca="false">IF(OR(SUM(PROCESO!M156:M159)&gt;0,SUM(PROCESO!N156:N159)&gt;0),COUNT(J$6:J130)+1,"")</f>
        <v/>
      </c>
      <c r="K131" s="130" t="str">
        <f aca="false">IF(OR(SUM(PROCESO!M156:M159)&gt;0,SUM(PROCESO!N156:N159)&gt;0),PROCESO!A156&amp;IF(COUNTIF(PROCESO!$A$6:A155,PROCESO!A156)&gt;0," (Ped."&amp;(COUNTIF(PROCESO!$A$6:A155,PROCESO!A156)+1)&amp;")",""),"")</f>
        <v/>
      </c>
      <c r="L131" s="130" t="str">
        <f aca="false">IF(OR(SUM(PROCESO!M156:M159)&gt;0,SUM(PROCESO!N156:N159)&gt;0),"REPROCESO (devolución)","")</f>
        <v/>
      </c>
      <c r="M131" s="130" t="str">
        <f aca="false">IF(OR(SUM(PROCESO!M156:M159)&gt;0,SUM(PROCESO!N156:N159)&gt;0),SUM(PROCESO!N156:N159),"")</f>
        <v/>
      </c>
      <c r="N131" s="130" t="str">
        <f aca="false">""</f>
        <v/>
      </c>
      <c r="O131" s="130" t="str">
        <f aca="false">IF(OR(SUM(PROCESO!M156:M159)&gt;0,SUM(PROCESO!N156:N159)&gt;0),IF(SUM(PROCESO!M156:M159)&gt;0,SUM(PROCESO!M156:M159)&amp;" jabas devueltas · merma "&amp;TEXT((PROCESO!M156*15+PROCESO!M157*18+PROCESO!M158*17+PROCESO!M159*17)-SUM(PROCESO!N156:N159),"+#,##0;-#,##0;0")&amp;" kg",""),"")</f>
        <v/>
      </c>
      <c r="P131" s="130" t="n">
        <f aca="false">P130+N(M131)-N(N131)</f>
        <v>5288.5</v>
      </c>
      <c r="Q131" s="130"/>
      <c r="R131" s="130"/>
      <c r="S131" s="130"/>
      <c r="T131" s="130"/>
    </row>
    <row r="132" customFormat="false" ht="15" hidden="false" customHeight="false" outlineLevel="0" collapsed="false">
      <c r="A132" s="135" t="str">
        <f aca="false">IFERROR(INDEX(K$6:K$201,MATCH(ROW()-5,J$6:J$201,0)),"")</f>
        <v/>
      </c>
      <c r="B132" s="135" t="str">
        <f aca="false">IFERROR(INDEX(L$6:L$201,MATCH(ROW()-5,J$6:J$201,0)),"")</f>
        <v/>
      </c>
      <c r="C132" s="136" t="str">
        <f aca="false">IFERROR(INDEX(M$6:M$201,MATCH(ROW()-5,J$6:J$201,0)),"")</f>
        <v/>
      </c>
      <c r="D132" s="136" t="str">
        <f aca="false">IFERROR(INDEX(N$6:N$201,MATCH(ROW()-5,J$6:J$201,0)),"")</f>
        <v/>
      </c>
      <c r="E132" s="135" t="str">
        <f aca="false">IFERROR(INDEX(O$6:O$201,MATCH(ROW()-5,J$6:J$201,0)),"")</f>
        <v/>
      </c>
      <c r="F132" s="136" t="str">
        <f aca="false">IFERROR(INDEX(P$6:P$201,MATCH(ROW()-5,J$6:J$201,0)),"")</f>
        <v/>
      </c>
      <c r="G132" s="130"/>
      <c r="H132" s="130"/>
      <c r="I132" s="130"/>
      <c r="J132" s="130" t="str">
        <f aca="false">IF(PROCESO!D162&gt;0,COUNT(J$6:J131)+1,"")</f>
        <v/>
      </c>
      <c r="K132" s="130" t="str">
        <f aca="false">IF(PROCESO!D162&gt;0,PROCESO!A162&amp;IF(COUNTIF(PROCESO!$A$6:A161,PROCESO!A162)&gt;0," (Ped."&amp;(COUNTIF(PROCESO!$A$6:A161,PROCESO!A162)+1)&amp;")",""),"")</f>
        <v/>
      </c>
      <c r="L132" s="130" t="str">
        <f aca="false">IF(PROCESO!D162&gt;0,"INGRESO (compra)","")</f>
        <v/>
      </c>
      <c r="M132" s="130" t="str">
        <f aca="false">IF(PROCESO!D162&gt;0,PROCESO!D162,"")</f>
        <v/>
      </c>
      <c r="N132" s="130" t="str">
        <f aca="false">""</f>
        <v/>
      </c>
      <c r="O132" s="130" t="str">
        <f aca="false">IF(PROCESO!D162&gt;0,PROCESO!B162&amp;" sacos x "&amp;PROCESO!C162&amp;" kg","")</f>
        <v/>
      </c>
      <c r="P132" s="130" t="n">
        <f aca="false">P131+N(M132)-N(N132)</f>
        <v>5288.5</v>
      </c>
      <c r="Q132" s="130"/>
      <c r="R132" s="130"/>
      <c r="S132" s="130"/>
      <c r="T132" s="130"/>
    </row>
    <row r="133" customFormat="false" ht="15" hidden="false" customHeight="false" outlineLevel="0" collapsed="false">
      <c r="A133" s="135" t="str">
        <f aca="false">IFERROR(INDEX(K$6:K$201,MATCH(ROW()-5,J$6:J$201,0)),"")</f>
        <v/>
      </c>
      <c r="B133" s="135" t="str">
        <f aca="false">IFERROR(INDEX(L$6:L$201,MATCH(ROW()-5,J$6:J$201,0)),"")</f>
        <v/>
      </c>
      <c r="C133" s="136" t="str">
        <f aca="false">IFERROR(INDEX(M$6:M$201,MATCH(ROW()-5,J$6:J$201,0)),"")</f>
        <v/>
      </c>
      <c r="D133" s="136" t="str">
        <f aca="false">IFERROR(INDEX(N$6:N$201,MATCH(ROW()-5,J$6:J$201,0)),"")</f>
        <v/>
      </c>
      <c r="E133" s="135" t="str">
        <f aca="false">IFERROR(INDEX(O$6:O$201,MATCH(ROW()-5,J$6:J$201,0)),"")</f>
        <v/>
      </c>
      <c r="F133" s="136" t="str">
        <f aca="false">IFERROR(INDEX(P$6:P$201,MATCH(ROW()-5,J$6:J$201,0)),"")</f>
        <v/>
      </c>
      <c r="G133" s="130"/>
      <c r="H133" s="130"/>
      <c r="I133" s="130"/>
      <c r="J133" s="130" t="str">
        <f aca="false">IF(N(PROCESO!H166)&gt;0,COUNT(J$6:J132)+1,"")</f>
        <v/>
      </c>
      <c r="K133" s="130" t="str">
        <f aca="false">IF(N(PROCESO!H166)&gt;0,PROCESO!A162&amp;IF(COUNTIF(PROCESO!$A$6:A161,PROCESO!A162)&gt;0," (Ped."&amp;(COUNTIF(PROCESO!$A$6:A161,PROCESO!A162)+1)&amp;")",""),"")</f>
        <v/>
      </c>
      <c r="L133" s="130" t="str">
        <f aca="false">IF(N(PROCESO!H166)&gt;0,"CHANCHO (proceso)","")</f>
        <v/>
      </c>
      <c r="M133" s="130" t="str">
        <f aca="false">""</f>
        <v/>
      </c>
      <c r="N133" s="130" t="str">
        <f aca="false">IF(N(PROCESO!H166)&gt;0,N(PROCESO!H166),"")</f>
        <v/>
      </c>
      <c r="O133" s="130" t="str">
        <f aca="false">IF(N(PROCESO!H166)&gt;0,PROCESO!G166&amp;" sacos x 95 kg","")</f>
        <v/>
      </c>
      <c r="P133" s="130" t="n">
        <f aca="false">P132+N(M133)-N(N133)</f>
        <v>5288.5</v>
      </c>
      <c r="Q133" s="130"/>
      <c r="R133" s="130"/>
      <c r="S133" s="130"/>
      <c r="T133" s="130"/>
    </row>
    <row r="134" customFormat="false" ht="15" hidden="false" customHeight="false" outlineLevel="0" collapsed="false">
      <c r="A134" s="135" t="str">
        <f aca="false">IFERROR(INDEX(K$6:K$201,MATCH(ROW()-5,J$6:J$201,0)),"")</f>
        <v/>
      </c>
      <c r="B134" s="135" t="str">
        <f aca="false">IFERROR(INDEX(L$6:L$201,MATCH(ROW()-5,J$6:J$201,0)),"")</f>
        <v/>
      </c>
      <c r="C134" s="136" t="str">
        <f aca="false">IFERROR(INDEX(M$6:M$201,MATCH(ROW()-5,J$6:J$201,0)),"")</f>
        <v/>
      </c>
      <c r="D134" s="136" t="str">
        <f aca="false">IFERROR(INDEX(N$6:N$201,MATCH(ROW()-5,J$6:J$201,0)),"")</f>
        <v/>
      </c>
      <c r="E134" s="135" t="str">
        <f aca="false">IFERROR(INDEX(O$6:O$201,MATCH(ROW()-5,J$6:J$201,0)),"")</f>
        <v/>
      </c>
      <c r="F134" s="136" t="str">
        <f aca="false">IFERROR(INDEX(P$6:P$201,MATCH(ROW()-5,J$6:J$201,0)),"")</f>
        <v/>
      </c>
      <c r="G134" s="130"/>
      <c r="H134" s="130"/>
      <c r="I134" s="130"/>
      <c r="J134" s="130" t="str">
        <f aca="false">IF(N(PROCESO!H167)&gt;0,COUNT(J$6:J133)+1,"")</f>
        <v/>
      </c>
      <c r="K134" s="130" t="str">
        <f aca="false">IF(N(PROCESO!H167)&gt;0,PROCESO!A162&amp;IF(COUNTIF(PROCESO!$A$6:A161,PROCESO!A162)&gt;0," (Ped."&amp;(COUNTIF(PROCESO!$A$6:A161,PROCESO!A162)+1)&amp;")",""),"")</f>
        <v/>
      </c>
      <c r="L134" s="130" t="str">
        <f aca="false">IF(N(PROCESO!H167)&gt;0,"MALOGRADO","")</f>
        <v/>
      </c>
      <c r="M134" s="130" t="str">
        <f aca="false">""</f>
        <v/>
      </c>
      <c r="N134" s="130" t="str">
        <f aca="false">IF(N(PROCESO!H167)&gt;0,N(PROCESO!H167),"")</f>
        <v/>
      </c>
      <c r="O134" s="130" t="str">
        <f aca="false">""</f>
        <v/>
      </c>
      <c r="P134" s="130" t="n">
        <f aca="false">P133+N(M134)-N(N134)</f>
        <v>5288.5</v>
      </c>
      <c r="Q134" s="130"/>
      <c r="R134" s="130"/>
      <c r="S134" s="130"/>
      <c r="T134" s="130"/>
    </row>
    <row r="135" customFormat="false" ht="15" hidden="false" customHeight="false" outlineLevel="0" collapsed="false">
      <c r="A135" s="135" t="str">
        <f aca="false">IFERROR(INDEX(K$6:K$201,MATCH(ROW()-5,J$6:J$201,0)),"")</f>
        <v/>
      </c>
      <c r="B135" s="135" t="str">
        <f aca="false">IFERROR(INDEX(L$6:L$201,MATCH(ROW()-5,J$6:J$201,0)),"")</f>
        <v/>
      </c>
      <c r="C135" s="136" t="str">
        <f aca="false">IFERROR(INDEX(M$6:M$201,MATCH(ROW()-5,J$6:J$201,0)),"")</f>
        <v/>
      </c>
      <c r="D135" s="136" t="str">
        <f aca="false">IFERROR(INDEX(N$6:N$201,MATCH(ROW()-5,J$6:J$201,0)),"")</f>
        <v/>
      </c>
      <c r="E135" s="135" t="str">
        <f aca="false">IFERROR(INDEX(O$6:O$201,MATCH(ROW()-5,J$6:J$201,0)),"")</f>
        <v/>
      </c>
      <c r="F135" s="136" t="str">
        <f aca="false">IFERROR(INDEX(P$6:P$201,MATCH(ROW()-5,J$6:J$201,0)),"")</f>
        <v/>
      </c>
      <c r="G135" s="130"/>
      <c r="H135" s="130"/>
      <c r="I135" s="130"/>
      <c r="J135" s="130" t="str">
        <f aca="false">IF(IF(PROCESO!J162&lt;&gt;"",PROCESO!J162,IF(PROCESO!J163&lt;&gt;"",PROCESO!J163,IF(PROCESO!J164&lt;&gt;"",PROCESO!J164,IF(PROCESO!J165&lt;&gt;"",PROCESO!J165,""))))&lt;&gt;"",COUNT(J$6:J134)+1,"")</f>
        <v/>
      </c>
      <c r="K135" s="130" t="str">
        <f aca="false">IF(IF(PROCESO!J162&lt;&gt;"",PROCESO!J162,IF(PROCESO!J163&lt;&gt;"",PROCESO!J163,IF(PROCESO!J164&lt;&gt;"",PROCESO!J164,IF(PROCESO!J165&lt;&gt;"",PROCESO!J165,""))))&lt;&gt;"",PROCESO!A162&amp;IF(COUNTIF(PROCESO!$A$6:A161,PROCESO!A162)&gt;0," (Ped."&amp;(COUNTIF(PROCESO!$A$6:A161,PROCESO!A162)+1)&amp;")",""),"")</f>
        <v/>
      </c>
      <c r="L135" s="130" t="str">
        <f aca="false">IF(IF(PROCESO!J162&lt;&gt;"",PROCESO!J162,IF(PROCESO!J163&lt;&gt;"",PROCESO!J163,IF(PROCESO!J164&lt;&gt;"",PROCESO!J164,IF(PROCESO!J165&lt;&gt;"",PROCESO!J165,""))))&lt;&gt;"","ENVÍO Guía "&amp;IF(LEFT(IF(PROCESO!J162&lt;&gt;"",PROCESO!J162,IF(PROCESO!J163&lt;&gt;"",PROCESO!J163,IF(PROCESO!J164&lt;&gt;"",PROCESO!J164,IF(PROCESO!J165&lt;&gt;"",PROCESO!J165,"")))),2)="G-",MID(IF(PROCESO!J162&lt;&gt;"",PROCESO!J162,IF(PROCESO!J163&lt;&gt;"",PROCESO!J163,IF(PROCESO!J164&lt;&gt;"",PROCESO!J164,IF(PROCESO!J165&lt;&gt;"",PROCESO!J165,"")))),3,99),IF(PROCESO!J162&lt;&gt;"",PROCESO!J162,IF(PROCESO!J163&lt;&gt;"",PROCESO!J163,IF(PROCESO!J164&lt;&gt;"",PROCESO!J164,IF(PROCESO!J165&lt;&gt;"",PROCESO!J165,""))))),"")</f>
        <v/>
      </c>
      <c r="M135" s="130" t="str">
        <f aca="false">""</f>
        <v/>
      </c>
      <c r="N135" s="130" t="str">
        <f aca="false">IF(IF(PROCESO!J162&lt;&gt;"",PROCESO!J162,IF(PROCESO!J163&lt;&gt;"",PROCESO!J163,IF(PROCESO!J164&lt;&gt;"",PROCESO!J164,IF(PROCESO!J165&lt;&gt;"",PROCESO!J165,""))))&lt;&gt;"",SUMIF(PROCESO!J162:J165,IF(PROCESO!J162&lt;&gt;"",PROCESO!J162,IF(PROCESO!J163&lt;&gt;"",PROCESO!J163,IF(PROCESO!J164&lt;&gt;"",PROCESO!J164,IF(PROCESO!J165&lt;&gt;"",PROCESO!J165,"")))),PROCESO!L162:L165),"")</f>
        <v/>
      </c>
      <c r="O135" s="130" t="str">
        <f aca="false">IF(IF(PROCESO!J162&lt;&gt;"",PROCESO!J162,IF(PROCESO!J163&lt;&gt;"",PROCESO!J163,IF(PROCESO!J164&lt;&gt;"",PROCESO!J164,IF(PROCESO!J165&lt;&gt;"",PROCESO!J165,""))))&lt;&gt;"","G-"&amp;IF(LEFT(IF(PROCESO!J162&lt;&gt;"",PROCESO!J162,IF(PROCESO!J163&lt;&gt;"",PROCESO!J163,IF(PROCESO!J164&lt;&gt;"",PROCESO!J164,IF(PROCESO!J165&lt;&gt;"",PROCESO!J165,"")))),2)="G-",MID(IF(PROCESO!J162&lt;&gt;"",PROCESO!J162,IF(PROCESO!J163&lt;&gt;"",PROCESO!J163,IF(PROCESO!J164&lt;&gt;"",PROCESO!J164,IF(PROCESO!J165&lt;&gt;"",PROCESO!J165,"")))),3,99),IF(PROCESO!J162&lt;&gt;"",PROCESO!J162,IF(PROCESO!J163&lt;&gt;"",PROCESO!J163,IF(PROCESO!J164&lt;&gt;"",PROCESO!J164,IF(PROCESO!J165&lt;&gt;"",PROCESO!J165,""))))),"")</f>
        <v/>
      </c>
      <c r="P135" s="130" t="n">
        <f aca="false">P134+N(M135)-N(N135)</f>
        <v>5288.5</v>
      </c>
      <c r="Q135" s="130"/>
      <c r="R135" s="130"/>
      <c r="S135" s="130"/>
      <c r="T135" s="130"/>
    </row>
    <row r="136" customFormat="false" ht="15" hidden="false" customHeight="false" outlineLevel="0" collapsed="false">
      <c r="A136" s="135" t="str">
        <f aca="false">IFERROR(INDEX(K$6:K$201,MATCH(ROW()-5,J$6:J$201,0)),"")</f>
        <v/>
      </c>
      <c r="B136" s="135" t="str">
        <f aca="false">IFERROR(INDEX(L$6:L$201,MATCH(ROW()-5,J$6:J$201,0)),"")</f>
        <v/>
      </c>
      <c r="C136" s="136" t="str">
        <f aca="false">IFERROR(INDEX(M$6:M$201,MATCH(ROW()-5,J$6:J$201,0)),"")</f>
        <v/>
      </c>
      <c r="D136" s="136" t="str">
        <f aca="false">IFERROR(INDEX(N$6:N$201,MATCH(ROW()-5,J$6:J$201,0)),"")</f>
        <v/>
      </c>
      <c r="E136" s="135" t="str">
        <f aca="false">IFERROR(INDEX(O$6:O$201,MATCH(ROW()-5,J$6:J$201,0)),"")</f>
        <v/>
      </c>
      <c r="F136" s="136" t="str">
        <f aca="false">IFERROR(INDEX(P$6:P$201,MATCH(ROW()-5,J$6:J$201,0)),"")</f>
        <v/>
      </c>
      <c r="G136" s="130"/>
      <c r="H136" s="130"/>
      <c r="I136" s="130"/>
      <c r="J136" s="130" t="str">
        <f aca="false">IF(OR(SUM(PROCESO!M162:M165)&gt;0,SUM(PROCESO!N162:N165)&gt;0),COUNT(J$6:J135)+1,"")</f>
        <v/>
      </c>
      <c r="K136" s="130" t="str">
        <f aca="false">IF(OR(SUM(PROCESO!M162:M165)&gt;0,SUM(PROCESO!N162:N165)&gt;0),PROCESO!A162&amp;IF(COUNTIF(PROCESO!$A$6:A161,PROCESO!A162)&gt;0," (Ped."&amp;(COUNTIF(PROCESO!$A$6:A161,PROCESO!A162)+1)&amp;")",""),"")</f>
        <v/>
      </c>
      <c r="L136" s="130" t="str">
        <f aca="false">IF(OR(SUM(PROCESO!M162:M165)&gt;0,SUM(PROCESO!N162:N165)&gt;0),"REPROCESO (devolución)","")</f>
        <v/>
      </c>
      <c r="M136" s="130" t="str">
        <f aca="false">IF(OR(SUM(PROCESO!M162:M165)&gt;0,SUM(PROCESO!N162:N165)&gt;0),SUM(PROCESO!N162:N165),"")</f>
        <v/>
      </c>
      <c r="N136" s="130" t="str">
        <f aca="false">""</f>
        <v/>
      </c>
      <c r="O136" s="130" t="str">
        <f aca="false">IF(OR(SUM(PROCESO!M162:M165)&gt;0,SUM(PROCESO!N162:N165)&gt;0),IF(SUM(PROCESO!M162:M165)&gt;0,SUM(PROCESO!M162:M165)&amp;" jabas devueltas · merma "&amp;TEXT((PROCESO!M162*15+PROCESO!M163*18+PROCESO!M164*17+PROCESO!M165*17)-SUM(PROCESO!N162:N165),"+#,##0;-#,##0;0")&amp;" kg",""),"")</f>
        <v/>
      </c>
      <c r="P136" s="130" t="n">
        <f aca="false">P135+N(M136)-N(N136)</f>
        <v>5288.5</v>
      </c>
      <c r="Q136" s="130"/>
      <c r="R136" s="130"/>
      <c r="S136" s="130"/>
      <c r="T136" s="130"/>
    </row>
    <row r="137" customFormat="false" ht="15" hidden="false" customHeight="false" outlineLevel="0" collapsed="false">
      <c r="A137" s="135" t="str">
        <f aca="false">IFERROR(INDEX(K$6:K$201,MATCH(ROW()-5,J$6:J$201,0)),"")</f>
        <v/>
      </c>
      <c r="B137" s="135" t="str">
        <f aca="false">IFERROR(INDEX(L$6:L$201,MATCH(ROW()-5,J$6:J$201,0)),"")</f>
        <v/>
      </c>
      <c r="C137" s="136" t="str">
        <f aca="false">IFERROR(INDEX(M$6:M$201,MATCH(ROW()-5,J$6:J$201,0)),"")</f>
        <v/>
      </c>
      <c r="D137" s="136" t="str">
        <f aca="false">IFERROR(INDEX(N$6:N$201,MATCH(ROW()-5,J$6:J$201,0)),"")</f>
        <v/>
      </c>
      <c r="E137" s="135" t="str">
        <f aca="false">IFERROR(INDEX(O$6:O$201,MATCH(ROW()-5,J$6:J$201,0)),"")</f>
        <v/>
      </c>
      <c r="F137" s="136" t="str">
        <f aca="false">IFERROR(INDEX(P$6:P$201,MATCH(ROW()-5,J$6:J$201,0)),"")</f>
        <v/>
      </c>
      <c r="G137" s="130"/>
      <c r="H137" s="130"/>
      <c r="I137" s="130"/>
      <c r="J137" s="130" t="str">
        <f aca="false">IF(PROCESO!D168&gt;0,COUNT(J$6:J136)+1,"")</f>
        <v/>
      </c>
      <c r="K137" s="130" t="str">
        <f aca="false">IF(PROCESO!D168&gt;0,PROCESO!A168&amp;IF(COUNTIF(PROCESO!$A$6:A167,PROCESO!A168)&gt;0," (Ped."&amp;(COUNTIF(PROCESO!$A$6:A167,PROCESO!A168)+1)&amp;")",""),"")</f>
        <v/>
      </c>
      <c r="L137" s="130" t="str">
        <f aca="false">IF(PROCESO!D168&gt;0,"INGRESO (compra)","")</f>
        <v/>
      </c>
      <c r="M137" s="130" t="str">
        <f aca="false">IF(PROCESO!D168&gt;0,PROCESO!D168,"")</f>
        <v/>
      </c>
      <c r="N137" s="130" t="str">
        <f aca="false">""</f>
        <v/>
      </c>
      <c r="O137" s="130" t="str">
        <f aca="false">IF(PROCESO!D168&gt;0,PROCESO!B168&amp;" sacos x "&amp;PROCESO!C168&amp;" kg","")</f>
        <v/>
      </c>
      <c r="P137" s="130" t="n">
        <f aca="false">P136+N(M137)-N(N137)</f>
        <v>5288.5</v>
      </c>
      <c r="Q137" s="130"/>
      <c r="R137" s="130"/>
      <c r="S137" s="130"/>
      <c r="T137" s="130"/>
    </row>
    <row r="138" customFormat="false" ht="15" hidden="false" customHeight="false" outlineLevel="0" collapsed="false">
      <c r="A138" s="135" t="str">
        <f aca="false">IFERROR(INDEX(K$6:K$201,MATCH(ROW()-5,J$6:J$201,0)),"")</f>
        <v/>
      </c>
      <c r="B138" s="135" t="str">
        <f aca="false">IFERROR(INDEX(L$6:L$201,MATCH(ROW()-5,J$6:J$201,0)),"")</f>
        <v/>
      </c>
      <c r="C138" s="136" t="str">
        <f aca="false">IFERROR(INDEX(M$6:M$201,MATCH(ROW()-5,J$6:J$201,0)),"")</f>
        <v/>
      </c>
      <c r="D138" s="136" t="str">
        <f aca="false">IFERROR(INDEX(N$6:N$201,MATCH(ROW()-5,J$6:J$201,0)),"")</f>
        <v/>
      </c>
      <c r="E138" s="135" t="str">
        <f aca="false">IFERROR(INDEX(O$6:O$201,MATCH(ROW()-5,J$6:J$201,0)),"")</f>
        <v/>
      </c>
      <c r="F138" s="136" t="str">
        <f aca="false">IFERROR(INDEX(P$6:P$201,MATCH(ROW()-5,J$6:J$201,0)),"")</f>
        <v/>
      </c>
      <c r="G138" s="130"/>
      <c r="H138" s="130"/>
      <c r="I138" s="130"/>
      <c r="J138" s="130" t="str">
        <f aca="false">IF(N(PROCESO!H172)&gt;0,COUNT(J$6:J137)+1,"")</f>
        <v/>
      </c>
      <c r="K138" s="130" t="str">
        <f aca="false">IF(N(PROCESO!H172)&gt;0,PROCESO!A168&amp;IF(COUNTIF(PROCESO!$A$6:A167,PROCESO!A168)&gt;0," (Ped."&amp;(COUNTIF(PROCESO!$A$6:A167,PROCESO!A168)+1)&amp;")",""),"")</f>
        <v/>
      </c>
      <c r="L138" s="130" t="str">
        <f aca="false">IF(N(PROCESO!H172)&gt;0,"CHANCHO (proceso)","")</f>
        <v/>
      </c>
      <c r="M138" s="130" t="str">
        <f aca="false">""</f>
        <v/>
      </c>
      <c r="N138" s="130" t="str">
        <f aca="false">IF(N(PROCESO!H172)&gt;0,N(PROCESO!H172),"")</f>
        <v/>
      </c>
      <c r="O138" s="130" t="str">
        <f aca="false">IF(N(PROCESO!H172)&gt;0,PROCESO!G172&amp;" sacos x 95 kg","")</f>
        <v/>
      </c>
      <c r="P138" s="130" t="n">
        <f aca="false">P137+N(M138)-N(N138)</f>
        <v>5288.5</v>
      </c>
      <c r="Q138" s="130"/>
      <c r="R138" s="130"/>
      <c r="S138" s="130"/>
      <c r="T138" s="130"/>
    </row>
    <row r="139" customFormat="false" ht="15" hidden="false" customHeight="false" outlineLevel="0" collapsed="false">
      <c r="A139" s="135" t="str">
        <f aca="false">IFERROR(INDEX(K$6:K$201,MATCH(ROW()-5,J$6:J$201,0)),"")</f>
        <v/>
      </c>
      <c r="B139" s="135" t="str">
        <f aca="false">IFERROR(INDEX(L$6:L$201,MATCH(ROW()-5,J$6:J$201,0)),"")</f>
        <v/>
      </c>
      <c r="C139" s="136" t="str">
        <f aca="false">IFERROR(INDEX(M$6:M$201,MATCH(ROW()-5,J$6:J$201,0)),"")</f>
        <v/>
      </c>
      <c r="D139" s="136" t="str">
        <f aca="false">IFERROR(INDEX(N$6:N$201,MATCH(ROW()-5,J$6:J$201,0)),"")</f>
        <v/>
      </c>
      <c r="E139" s="135" t="str">
        <f aca="false">IFERROR(INDEX(O$6:O$201,MATCH(ROW()-5,J$6:J$201,0)),"")</f>
        <v/>
      </c>
      <c r="F139" s="136" t="str">
        <f aca="false">IFERROR(INDEX(P$6:P$201,MATCH(ROW()-5,J$6:J$201,0)),"")</f>
        <v/>
      </c>
      <c r="G139" s="130"/>
      <c r="H139" s="130"/>
      <c r="I139" s="130"/>
      <c r="J139" s="130" t="str">
        <f aca="false">IF(N(PROCESO!H173)&gt;0,COUNT(J$6:J138)+1,"")</f>
        <v/>
      </c>
      <c r="K139" s="130" t="str">
        <f aca="false">IF(N(PROCESO!H173)&gt;0,PROCESO!A168&amp;IF(COUNTIF(PROCESO!$A$6:A167,PROCESO!A168)&gt;0," (Ped."&amp;(COUNTIF(PROCESO!$A$6:A167,PROCESO!A168)+1)&amp;")",""),"")</f>
        <v/>
      </c>
      <c r="L139" s="130" t="str">
        <f aca="false">IF(N(PROCESO!H173)&gt;0,"MALOGRADO","")</f>
        <v/>
      </c>
      <c r="M139" s="130" t="str">
        <f aca="false">""</f>
        <v/>
      </c>
      <c r="N139" s="130" t="str">
        <f aca="false">IF(N(PROCESO!H173)&gt;0,N(PROCESO!H173),"")</f>
        <v/>
      </c>
      <c r="O139" s="130" t="str">
        <f aca="false">""</f>
        <v/>
      </c>
      <c r="P139" s="130" t="n">
        <f aca="false">P138+N(M139)-N(N139)</f>
        <v>5288.5</v>
      </c>
      <c r="Q139" s="130"/>
      <c r="R139" s="130"/>
      <c r="S139" s="130"/>
      <c r="T139" s="130"/>
    </row>
    <row r="140" customFormat="false" ht="15" hidden="false" customHeight="false" outlineLevel="0" collapsed="false">
      <c r="A140" s="135" t="str">
        <f aca="false">IFERROR(INDEX(K$6:K$201,MATCH(ROW()-5,J$6:J$201,0)),"")</f>
        <v/>
      </c>
      <c r="B140" s="135" t="str">
        <f aca="false">IFERROR(INDEX(L$6:L$201,MATCH(ROW()-5,J$6:J$201,0)),"")</f>
        <v/>
      </c>
      <c r="C140" s="136" t="str">
        <f aca="false">IFERROR(INDEX(M$6:M$201,MATCH(ROW()-5,J$6:J$201,0)),"")</f>
        <v/>
      </c>
      <c r="D140" s="136" t="str">
        <f aca="false">IFERROR(INDEX(N$6:N$201,MATCH(ROW()-5,J$6:J$201,0)),"")</f>
        <v/>
      </c>
      <c r="E140" s="135" t="str">
        <f aca="false">IFERROR(INDEX(O$6:O$201,MATCH(ROW()-5,J$6:J$201,0)),"")</f>
        <v/>
      </c>
      <c r="F140" s="136" t="str">
        <f aca="false">IFERROR(INDEX(P$6:P$201,MATCH(ROW()-5,J$6:J$201,0)),"")</f>
        <v/>
      </c>
      <c r="G140" s="130"/>
      <c r="H140" s="130"/>
      <c r="I140" s="130"/>
      <c r="J140" s="130" t="str">
        <f aca="false">IF(IF(PROCESO!J168&lt;&gt;"",PROCESO!J168,IF(PROCESO!J169&lt;&gt;"",PROCESO!J169,IF(PROCESO!J170&lt;&gt;"",PROCESO!J170,IF(PROCESO!J171&lt;&gt;"",PROCESO!J171,""))))&lt;&gt;"",COUNT(J$6:J139)+1,"")</f>
        <v/>
      </c>
      <c r="K140" s="130" t="str">
        <f aca="false">IF(IF(PROCESO!J168&lt;&gt;"",PROCESO!J168,IF(PROCESO!J169&lt;&gt;"",PROCESO!J169,IF(PROCESO!J170&lt;&gt;"",PROCESO!J170,IF(PROCESO!J171&lt;&gt;"",PROCESO!J171,""))))&lt;&gt;"",PROCESO!A168&amp;IF(COUNTIF(PROCESO!$A$6:A167,PROCESO!A168)&gt;0," (Ped."&amp;(COUNTIF(PROCESO!$A$6:A167,PROCESO!A168)+1)&amp;")",""),"")</f>
        <v/>
      </c>
      <c r="L140" s="130" t="str">
        <f aca="false">IF(IF(PROCESO!J168&lt;&gt;"",PROCESO!J168,IF(PROCESO!J169&lt;&gt;"",PROCESO!J169,IF(PROCESO!J170&lt;&gt;"",PROCESO!J170,IF(PROCESO!J171&lt;&gt;"",PROCESO!J171,""))))&lt;&gt;"","ENVÍO Guía "&amp;IF(LEFT(IF(PROCESO!J168&lt;&gt;"",PROCESO!J168,IF(PROCESO!J169&lt;&gt;"",PROCESO!J169,IF(PROCESO!J170&lt;&gt;"",PROCESO!J170,IF(PROCESO!J171&lt;&gt;"",PROCESO!J171,"")))),2)="G-",MID(IF(PROCESO!J168&lt;&gt;"",PROCESO!J168,IF(PROCESO!J169&lt;&gt;"",PROCESO!J169,IF(PROCESO!J170&lt;&gt;"",PROCESO!J170,IF(PROCESO!J171&lt;&gt;"",PROCESO!J171,"")))),3,99),IF(PROCESO!J168&lt;&gt;"",PROCESO!J168,IF(PROCESO!J169&lt;&gt;"",PROCESO!J169,IF(PROCESO!J170&lt;&gt;"",PROCESO!J170,IF(PROCESO!J171&lt;&gt;"",PROCESO!J171,""))))),"")</f>
        <v/>
      </c>
      <c r="M140" s="130" t="str">
        <f aca="false">""</f>
        <v/>
      </c>
      <c r="N140" s="130" t="str">
        <f aca="false">IF(IF(PROCESO!J168&lt;&gt;"",PROCESO!J168,IF(PROCESO!J169&lt;&gt;"",PROCESO!J169,IF(PROCESO!J170&lt;&gt;"",PROCESO!J170,IF(PROCESO!J171&lt;&gt;"",PROCESO!J171,""))))&lt;&gt;"",SUMIF(PROCESO!J168:J171,IF(PROCESO!J168&lt;&gt;"",PROCESO!J168,IF(PROCESO!J169&lt;&gt;"",PROCESO!J169,IF(PROCESO!J170&lt;&gt;"",PROCESO!J170,IF(PROCESO!J171&lt;&gt;"",PROCESO!J171,"")))),PROCESO!L168:L171),"")</f>
        <v/>
      </c>
      <c r="O140" s="130" t="str">
        <f aca="false">IF(IF(PROCESO!J168&lt;&gt;"",PROCESO!J168,IF(PROCESO!J169&lt;&gt;"",PROCESO!J169,IF(PROCESO!J170&lt;&gt;"",PROCESO!J170,IF(PROCESO!J171&lt;&gt;"",PROCESO!J171,""))))&lt;&gt;"","G-"&amp;IF(LEFT(IF(PROCESO!J168&lt;&gt;"",PROCESO!J168,IF(PROCESO!J169&lt;&gt;"",PROCESO!J169,IF(PROCESO!J170&lt;&gt;"",PROCESO!J170,IF(PROCESO!J171&lt;&gt;"",PROCESO!J171,"")))),2)="G-",MID(IF(PROCESO!J168&lt;&gt;"",PROCESO!J168,IF(PROCESO!J169&lt;&gt;"",PROCESO!J169,IF(PROCESO!J170&lt;&gt;"",PROCESO!J170,IF(PROCESO!J171&lt;&gt;"",PROCESO!J171,"")))),3,99),IF(PROCESO!J168&lt;&gt;"",PROCESO!J168,IF(PROCESO!J169&lt;&gt;"",PROCESO!J169,IF(PROCESO!J170&lt;&gt;"",PROCESO!J170,IF(PROCESO!J171&lt;&gt;"",PROCESO!J171,""))))),"")</f>
        <v/>
      </c>
      <c r="P140" s="130" t="n">
        <f aca="false">P139+N(M140)-N(N140)</f>
        <v>5288.5</v>
      </c>
      <c r="Q140" s="130"/>
      <c r="R140" s="130"/>
      <c r="S140" s="130"/>
      <c r="T140" s="130"/>
    </row>
    <row r="141" customFormat="false" ht="15" hidden="false" customHeight="false" outlineLevel="0" collapsed="false">
      <c r="A141" s="135" t="str">
        <f aca="false">IFERROR(INDEX(K$6:K$201,MATCH(ROW()-5,J$6:J$201,0)),"")</f>
        <v/>
      </c>
      <c r="B141" s="135" t="str">
        <f aca="false">IFERROR(INDEX(L$6:L$201,MATCH(ROW()-5,J$6:J$201,0)),"")</f>
        <v/>
      </c>
      <c r="C141" s="136" t="str">
        <f aca="false">IFERROR(INDEX(M$6:M$201,MATCH(ROW()-5,J$6:J$201,0)),"")</f>
        <v/>
      </c>
      <c r="D141" s="136" t="str">
        <f aca="false">IFERROR(INDEX(N$6:N$201,MATCH(ROW()-5,J$6:J$201,0)),"")</f>
        <v/>
      </c>
      <c r="E141" s="135" t="str">
        <f aca="false">IFERROR(INDEX(O$6:O$201,MATCH(ROW()-5,J$6:J$201,0)),"")</f>
        <v/>
      </c>
      <c r="F141" s="136" t="str">
        <f aca="false">IFERROR(INDEX(P$6:P$201,MATCH(ROW()-5,J$6:J$201,0)),"")</f>
        <v/>
      </c>
      <c r="G141" s="130"/>
      <c r="H141" s="130"/>
      <c r="I141" s="130"/>
      <c r="J141" s="130" t="str">
        <f aca="false">IF(OR(SUM(PROCESO!M168:M171)&gt;0,SUM(PROCESO!N168:N171)&gt;0),COUNT(J$6:J140)+1,"")</f>
        <v/>
      </c>
      <c r="K141" s="130" t="str">
        <f aca="false">IF(OR(SUM(PROCESO!M168:M171)&gt;0,SUM(PROCESO!N168:N171)&gt;0),PROCESO!A168&amp;IF(COUNTIF(PROCESO!$A$6:A167,PROCESO!A168)&gt;0," (Ped."&amp;(COUNTIF(PROCESO!$A$6:A167,PROCESO!A168)+1)&amp;")",""),"")</f>
        <v/>
      </c>
      <c r="L141" s="130" t="str">
        <f aca="false">IF(OR(SUM(PROCESO!M168:M171)&gt;0,SUM(PROCESO!N168:N171)&gt;0),"REPROCESO (devolución)","")</f>
        <v/>
      </c>
      <c r="M141" s="130" t="str">
        <f aca="false">IF(OR(SUM(PROCESO!M168:M171)&gt;0,SUM(PROCESO!N168:N171)&gt;0),SUM(PROCESO!N168:N171),"")</f>
        <v/>
      </c>
      <c r="N141" s="130" t="str">
        <f aca="false">""</f>
        <v/>
      </c>
      <c r="O141" s="130" t="str">
        <f aca="false">IF(OR(SUM(PROCESO!M168:M171)&gt;0,SUM(PROCESO!N168:N171)&gt;0),IF(SUM(PROCESO!M168:M171)&gt;0,SUM(PROCESO!M168:M171)&amp;" jabas devueltas · merma "&amp;TEXT((PROCESO!M168*15+PROCESO!M169*18+PROCESO!M170*17+PROCESO!M171*17)-SUM(PROCESO!N168:N171),"+#,##0;-#,##0;0")&amp;" kg",""),"")</f>
        <v/>
      </c>
      <c r="P141" s="130" t="n">
        <f aca="false">P140+N(M141)-N(N141)</f>
        <v>5288.5</v>
      </c>
      <c r="Q141" s="130"/>
      <c r="R141" s="130"/>
      <c r="S141" s="130"/>
      <c r="T141" s="130"/>
    </row>
    <row r="142" customFormat="false" ht="15" hidden="false" customHeight="false" outlineLevel="0" collapsed="false">
      <c r="A142" s="135" t="str">
        <f aca="false">IFERROR(INDEX(K$6:K$201,MATCH(ROW()-5,J$6:J$201,0)),"")</f>
        <v/>
      </c>
      <c r="B142" s="135" t="str">
        <f aca="false">IFERROR(INDEX(L$6:L$201,MATCH(ROW()-5,J$6:J$201,0)),"")</f>
        <v/>
      </c>
      <c r="C142" s="136" t="str">
        <f aca="false">IFERROR(INDEX(M$6:M$201,MATCH(ROW()-5,J$6:J$201,0)),"")</f>
        <v/>
      </c>
      <c r="D142" s="136" t="str">
        <f aca="false">IFERROR(INDEX(N$6:N$201,MATCH(ROW()-5,J$6:J$201,0)),"")</f>
        <v/>
      </c>
      <c r="E142" s="135" t="str">
        <f aca="false">IFERROR(INDEX(O$6:O$201,MATCH(ROW()-5,J$6:J$201,0)),"")</f>
        <v/>
      </c>
      <c r="F142" s="136" t="str">
        <f aca="false">IFERROR(INDEX(P$6:P$201,MATCH(ROW()-5,J$6:J$201,0)),"")</f>
        <v/>
      </c>
      <c r="G142" s="130"/>
      <c r="H142" s="130"/>
      <c r="I142" s="130"/>
      <c r="J142" s="130" t="str">
        <f aca="false">IF(PROCESO!D174&gt;0,COUNT(J$6:J141)+1,"")</f>
        <v/>
      </c>
      <c r="K142" s="130" t="str">
        <f aca="false">IF(PROCESO!D174&gt;0,PROCESO!A174&amp;IF(COUNTIF(PROCESO!$A$6:A173,PROCESO!A174)&gt;0," (Ped."&amp;(COUNTIF(PROCESO!$A$6:A173,PROCESO!A174)+1)&amp;")",""),"")</f>
        <v/>
      </c>
      <c r="L142" s="130" t="str">
        <f aca="false">IF(PROCESO!D174&gt;0,"INGRESO (compra)","")</f>
        <v/>
      </c>
      <c r="M142" s="130" t="str">
        <f aca="false">IF(PROCESO!D174&gt;0,PROCESO!D174,"")</f>
        <v/>
      </c>
      <c r="N142" s="130" t="str">
        <f aca="false">""</f>
        <v/>
      </c>
      <c r="O142" s="130" t="str">
        <f aca="false">IF(PROCESO!D174&gt;0,PROCESO!B174&amp;" sacos x "&amp;PROCESO!C174&amp;" kg","")</f>
        <v/>
      </c>
      <c r="P142" s="130" t="n">
        <f aca="false">P141+N(M142)-N(N142)</f>
        <v>5288.5</v>
      </c>
      <c r="Q142" s="130"/>
      <c r="R142" s="130"/>
      <c r="S142" s="130"/>
      <c r="T142" s="130"/>
    </row>
    <row r="143" customFormat="false" ht="15" hidden="false" customHeight="false" outlineLevel="0" collapsed="false">
      <c r="A143" s="135" t="str">
        <f aca="false">IFERROR(INDEX(K$6:K$201,MATCH(ROW()-5,J$6:J$201,0)),"")</f>
        <v/>
      </c>
      <c r="B143" s="135" t="str">
        <f aca="false">IFERROR(INDEX(L$6:L$201,MATCH(ROW()-5,J$6:J$201,0)),"")</f>
        <v/>
      </c>
      <c r="C143" s="136" t="str">
        <f aca="false">IFERROR(INDEX(M$6:M$201,MATCH(ROW()-5,J$6:J$201,0)),"")</f>
        <v/>
      </c>
      <c r="D143" s="136" t="str">
        <f aca="false">IFERROR(INDEX(N$6:N$201,MATCH(ROW()-5,J$6:J$201,0)),"")</f>
        <v/>
      </c>
      <c r="E143" s="135" t="str">
        <f aca="false">IFERROR(INDEX(O$6:O$201,MATCH(ROW()-5,J$6:J$201,0)),"")</f>
        <v/>
      </c>
      <c r="F143" s="136" t="str">
        <f aca="false">IFERROR(INDEX(P$6:P$201,MATCH(ROW()-5,J$6:J$201,0)),"")</f>
        <v/>
      </c>
      <c r="G143" s="130"/>
      <c r="H143" s="130"/>
      <c r="I143" s="130"/>
      <c r="J143" s="130" t="str">
        <f aca="false">IF(N(PROCESO!H178)&gt;0,COUNT(J$6:J142)+1,"")</f>
        <v/>
      </c>
      <c r="K143" s="130" t="str">
        <f aca="false">IF(N(PROCESO!H178)&gt;0,PROCESO!A174&amp;IF(COUNTIF(PROCESO!$A$6:A173,PROCESO!A174)&gt;0," (Ped."&amp;(COUNTIF(PROCESO!$A$6:A173,PROCESO!A174)+1)&amp;")",""),"")</f>
        <v/>
      </c>
      <c r="L143" s="130" t="str">
        <f aca="false">IF(N(PROCESO!H178)&gt;0,"CHANCHO (proceso)","")</f>
        <v/>
      </c>
      <c r="M143" s="130" t="str">
        <f aca="false">""</f>
        <v/>
      </c>
      <c r="N143" s="130" t="str">
        <f aca="false">IF(N(PROCESO!H178)&gt;0,N(PROCESO!H178),"")</f>
        <v/>
      </c>
      <c r="O143" s="130" t="str">
        <f aca="false">IF(N(PROCESO!H178)&gt;0,PROCESO!G178&amp;" sacos x 95 kg","")</f>
        <v/>
      </c>
      <c r="P143" s="130" t="n">
        <f aca="false">P142+N(M143)-N(N143)</f>
        <v>5288.5</v>
      </c>
      <c r="Q143" s="130"/>
      <c r="R143" s="130"/>
      <c r="S143" s="130"/>
      <c r="T143" s="130"/>
    </row>
    <row r="144" customFormat="false" ht="15" hidden="false" customHeight="false" outlineLevel="0" collapsed="false">
      <c r="A144" s="135" t="str">
        <f aca="false">IFERROR(INDEX(K$6:K$201,MATCH(ROW()-5,J$6:J$201,0)),"")</f>
        <v/>
      </c>
      <c r="B144" s="135" t="str">
        <f aca="false">IFERROR(INDEX(L$6:L$201,MATCH(ROW()-5,J$6:J$201,0)),"")</f>
        <v/>
      </c>
      <c r="C144" s="136" t="str">
        <f aca="false">IFERROR(INDEX(M$6:M$201,MATCH(ROW()-5,J$6:J$201,0)),"")</f>
        <v/>
      </c>
      <c r="D144" s="136" t="str">
        <f aca="false">IFERROR(INDEX(N$6:N$201,MATCH(ROW()-5,J$6:J$201,0)),"")</f>
        <v/>
      </c>
      <c r="E144" s="135" t="str">
        <f aca="false">IFERROR(INDEX(O$6:O$201,MATCH(ROW()-5,J$6:J$201,0)),"")</f>
        <v/>
      </c>
      <c r="F144" s="136" t="str">
        <f aca="false">IFERROR(INDEX(P$6:P$201,MATCH(ROW()-5,J$6:J$201,0)),"")</f>
        <v/>
      </c>
      <c r="G144" s="130"/>
      <c r="H144" s="130"/>
      <c r="I144" s="130"/>
      <c r="J144" s="130" t="str">
        <f aca="false">IF(N(PROCESO!H179)&gt;0,COUNT(J$6:J143)+1,"")</f>
        <v/>
      </c>
      <c r="K144" s="130" t="str">
        <f aca="false">IF(N(PROCESO!H179)&gt;0,PROCESO!A174&amp;IF(COUNTIF(PROCESO!$A$6:A173,PROCESO!A174)&gt;0," (Ped."&amp;(COUNTIF(PROCESO!$A$6:A173,PROCESO!A174)+1)&amp;")",""),"")</f>
        <v/>
      </c>
      <c r="L144" s="130" t="str">
        <f aca="false">IF(N(PROCESO!H179)&gt;0,"MALOGRADO","")</f>
        <v/>
      </c>
      <c r="M144" s="130" t="str">
        <f aca="false">""</f>
        <v/>
      </c>
      <c r="N144" s="130" t="str">
        <f aca="false">IF(N(PROCESO!H179)&gt;0,N(PROCESO!H179),"")</f>
        <v/>
      </c>
      <c r="O144" s="130" t="str">
        <f aca="false">""</f>
        <v/>
      </c>
      <c r="P144" s="130" t="n">
        <f aca="false">P143+N(M144)-N(N144)</f>
        <v>5288.5</v>
      </c>
      <c r="Q144" s="130"/>
      <c r="R144" s="130"/>
      <c r="S144" s="130"/>
      <c r="T144" s="130"/>
    </row>
    <row r="145" customFormat="false" ht="15" hidden="false" customHeight="false" outlineLevel="0" collapsed="false">
      <c r="A145" s="135" t="str">
        <f aca="false">IFERROR(INDEX(K$6:K$201,MATCH(ROW()-5,J$6:J$201,0)),"")</f>
        <v/>
      </c>
      <c r="B145" s="135" t="str">
        <f aca="false">IFERROR(INDEX(L$6:L$201,MATCH(ROW()-5,J$6:J$201,0)),"")</f>
        <v/>
      </c>
      <c r="C145" s="136" t="str">
        <f aca="false">IFERROR(INDEX(M$6:M$201,MATCH(ROW()-5,J$6:J$201,0)),"")</f>
        <v/>
      </c>
      <c r="D145" s="136" t="str">
        <f aca="false">IFERROR(INDEX(N$6:N$201,MATCH(ROW()-5,J$6:J$201,0)),"")</f>
        <v/>
      </c>
      <c r="E145" s="135" t="str">
        <f aca="false">IFERROR(INDEX(O$6:O$201,MATCH(ROW()-5,J$6:J$201,0)),"")</f>
        <v/>
      </c>
      <c r="F145" s="136" t="str">
        <f aca="false">IFERROR(INDEX(P$6:P$201,MATCH(ROW()-5,J$6:J$201,0)),"")</f>
        <v/>
      </c>
      <c r="G145" s="130"/>
      <c r="H145" s="130"/>
      <c r="I145" s="130"/>
      <c r="J145" s="130" t="str">
        <f aca="false">IF(IF(PROCESO!J174&lt;&gt;"",PROCESO!J174,IF(PROCESO!J175&lt;&gt;"",PROCESO!J175,IF(PROCESO!J176&lt;&gt;"",PROCESO!J176,IF(PROCESO!J177&lt;&gt;"",PROCESO!J177,""))))&lt;&gt;"",COUNT(J$6:J144)+1,"")</f>
        <v/>
      </c>
      <c r="K145" s="130" t="str">
        <f aca="false">IF(IF(PROCESO!J174&lt;&gt;"",PROCESO!J174,IF(PROCESO!J175&lt;&gt;"",PROCESO!J175,IF(PROCESO!J176&lt;&gt;"",PROCESO!J176,IF(PROCESO!J177&lt;&gt;"",PROCESO!J177,""))))&lt;&gt;"",PROCESO!A174&amp;IF(COUNTIF(PROCESO!$A$6:A173,PROCESO!A174)&gt;0," (Ped."&amp;(COUNTIF(PROCESO!$A$6:A173,PROCESO!A174)+1)&amp;")",""),"")</f>
        <v/>
      </c>
      <c r="L145" s="130" t="str">
        <f aca="false">IF(IF(PROCESO!J174&lt;&gt;"",PROCESO!J174,IF(PROCESO!J175&lt;&gt;"",PROCESO!J175,IF(PROCESO!J176&lt;&gt;"",PROCESO!J176,IF(PROCESO!J177&lt;&gt;"",PROCESO!J177,""))))&lt;&gt;"","ENVÍO Guía "&amp;IF(LEFT(IF(PROCESO!J174&lt;&gt;"",PROCESO!J174,IF(PROCESO!J175&lt;&gt;"",PROCESO!J175,IF(PROCESO!J176&lt;&gt;"",PROCESO!J176,IF(PROCESO!J177&lt;&gt;"",PROCESO!J177,"")))),2)="G-",MID(IF(PROCESO!J174&lt;&gt;"",PROCESO!J174,IF(PROCESO!J175&lt;&gt;"",PROCESO!J175,IF(PROCESO!J176&lt;&gt;"",PROCESO!J176,IF(PROCESO!J177&lt;&gt;"",PROCESO!J177,"")))),3,99),IF(PROCESO!J174&lt;&gt;"",PROCESO!J174,IF(PROCESO!J175&lt;&gt;"",PROCESO!J175,IF(PROCESO!J176&lt;&gt;"",PROCESO!J176,IF(PROCESO!J177&lt;&gt;"",PROCESO!J177,""))))),"")</f>
        <v/>
      </c>
      <c r="M145" s="130" t="str">
        <f aca="false">""</f>
        <v/>
      </c>
      <c r="N145" s="130" t="str">
        <f aca="false">IF(IF(PROCESO!J174&lt;&gt;"",PROCESO!J174,IF(PROCESO!J175&lt;&gt;"",PROCESO!J175,IF(PROCESO!J176&lt;&gt;"",PROCESO!J176,IF(PROCESO!J177&lt;&gt;"",PROCESO!J177,""))))&lt;&gt;"",SUMIF(PROCESO!J174:J177,IF(PROCESO!J174&lt;&gt;"",PROCESO!J174,IF(PROCESO!J175&lt;&gt;"",PROCESO!J175,IF(PROCESO!J176&lt;&gt;"",PROCESO!J176,IF(PROCESO!J177&lt;&gt;"",PROCESO!J177,"")))),PROCESO!L174:L177),"")</f>
        <v/>
      </c>
      <c r="O145" s="130" t="str">
        <f aca="false">IF(IF(PROCESO!J174&lt;&gt;"",PROCESO!J174,IF(PROCESO!J175&lt;&gt;"",PROCESO!J175,IF(PROCESO!J176&lt;&gt;"",PROCESO!J176,IF(PROCESO!J177&lt;&gt;"",PROCESO!J177,""))))&lt;&gt;"","G-"&amp;IF(LEFT(IF(PROCESO!J174&lt;&gt;"",PROCESO!J174,IF(PROCESO!J175&lt;&gt;"",PROCESO!J175,IF(PROCESO!J176&lt;&gt;"",PROCESO!J176,IF(PROCESO!J177&lt;&gt;"",PROCESO!J177,"")))),2)="G-",MID(IF(PROCESO!J174&lt;&gt;"",PROCESO!J174,IF(PROCESO!J175&lt;&gt;"",PROCESO!J175,IF(PROCESO!J176&lt;&gt;"",PROCESO!J176,IF(PROCESO!J177&lt;&gt;"",PROCESO!J177,"")))),3,99),IF(PROCESO!J174&lt;&gt;"",PROCESO!J174,IF(PROCESO!J175&lt;&gt;"",PROCESO!J175,IF(PROCESO!J176&lt;&gt;"",PROCESO!J176,IF(PROCESO!J177&lt;&gt;"",PROCESO!J177,""))))),"")</f>
        <v/>
      </c>
      <c r="P145" s="130" t="n">
        <f aca="false">P144+N(M145)-N(N145)</f>
        <v>5288.5</v>
      </c>
      <c r="Q145" s="130"/>
      <c r="R145" s="130"/>
      <c r="S145" s="130"/>
      <c r="T145" s="130"/>
    </row>
    <row r="146" customFormat="false" ht="15" hidden="false" customHeight="false" outlineLevel="0" collapsed="false">
      <c r="A146" s="135" t="str">
        <f aca="false">IFERROR(INDEX(K$6:K$201,MATCH(ROW()-5,J$6:J$201,0)),"")</f>
        <v/>
      </c>
      <c r="B146" s="135" t="str">
        <f aca="false">IFERROR(INDEX(L$6:L$201,MATCH(ROW()-5,J$6:J$201,0)),"")</f>
        <v/>
      </c>
      <c r="C146" s="136" t="str">
        <f aca="false">IFERROR(INDEX(M$6:M$201,MATCH(ROW()-5,J$6:J$201,0)),"")</f>
        <v/>
      </c>
      <c r="D146" s="136" t="str">
        <f aca="false">IFERROR(INDEX(N$6:N$201,MATCH(ROW()-5,J$6:J$201,0)),"")</f>
        <v/>
      </c>
      <c r="E146" s="135" t="str">
        <f aca="false">IFERROR(INDEX(O$6:O$201,MATCH(ROW()-5,J$6:J$201,0)),"")</f>
        <v/>
      </c>
      <c r="F146" s="136" t="str">
        <f aca="false">IFERROR(INDEX(P$6:P$201,MATCH(ROW()-5,J$6:J$201,0)),"")</f>
        <v/>
      </c>
      <c r="G146" s="130"/>
      <c r="H146" s="130"/>
      <c r="I146" s="130"/>
      <c r="J146" s="130" t="str">
        <f aca="false">IF(OR(SUM(PROCESO!M174:M177)&gt;0,SUM(PROCESO!N174:N177)&gt;0),COUNT(J$6:J145)+1,"")</f>
        <v/>
      </c>
      <c r="K146" s="130" t="str">
        <f aca="false">IF(OR(SUM(PROCESO!M174:M177)&gt;0,SUM(PROCESO!N174:N177)&gt;0),PROCESO!A174&amp;IF(COUNTIF(PROCESO!$A$6:A173,PROCESO!A174)&gt;0," (Ped."&amp;(COUNTIF(PROCESO!$A$6:A173,PROCESO!A174)+1)&amp;")",""),"")</f>
        <v/>
      </c>
      <c r="L146" s="130" t="str">
        <f aca="false">IF(OR(SUM(PROCESO!M174:M177)&gt;0,SUM(PROCESO!N174:N177)&gt;0),"REPROCESO (devolución)","")</f>
        <v/>
      </c>
      <c r="M146" s="130" t="str">
        <f aca="false">IF(OR(SUM(PROCESO!M174:M177)&gt;0,SUM(PROCESO!N174:N177)&gt;0),SUM(PROCESO!N174:N177),"")</f>
        <v/>
      </c>
      <c r="N146" s="130" t="str">
        <f aca="false">""</f>
        <v/>
      </c>
      <c r="O146" s="130" t="str">
        <f aca="false">IF(OR(SUM(PROCESO!M174:M177)&gt;0,SUM(PROCESO!N174:N177)&gt;0),IF(SUM(PROCESO!M174:M177)&gt;0,SUM(PROCESO!M174:M177)&amp;" jabas devueltas · merma "&amp;TEXT((PROCESO!M174*15+PROCESO!M175*18+PROCESO!M176*17+PROCESO!M177*17)-SUM(PROCESO!N174:N177),"+#,##0;-#,##0;0")&amp;" kg",""),"")</f>
        <v/>
      </c>
      <c r="P146" s="130" t="n">
        <f aca="false">P145+N(M146)-N(N146)</f>
        <v>5288.5</v>
      </c>
      <c r="Q146" s="130"/>
      <c r="R146" s="130"/>
      <c r="S146" s="130"/>
      <c r="T146" s="130"/>
    </row>
    <row r="147" customFormat="false" ht="15" hidden="false" customHeight="false" outlineLevel="0" collapsed="false">
      <c r="A147" s="135" t="str">
        <f aca="false">IFERROR(INDEX(K$6:K$201,MATCH(ROW()-5,J$6:J$201,0)),"")</f>
        <v/>
      </c>
      <c r="B147" s="135" t="str">
        <f aca="false">IFERROR(INDEX(L$6:L$201,MATCH(ROW()-5,J$6:J$201,0)),"")</f>
        <v/>
      </c>
      <c r="C147" s="136" t="str">
        <f aca="false">IFERROR(INDEX(M$6:M$201,MATCH(ROW()-5,J$6:J$201,0)),"")</f>
        <v/>
      </c>
      <c r="D147" s="136" t="str">
        <f aca="false">IFERROR(INDEX(N$6:N$201,MATCH(ROW()-5,J$6:J$201,0)),"")</f>
        <v/>
      </c>
      <c r="E147" s="135" t="str">
        <f aca="false">IFERROR(INDEX(O$6:O$201,MATCH(ROW()-5,J$6:J$201,0)),"")</f>
        <v/>
      </c>
      <c r="F147" s="136" t="str">
        <f aca="false">IFERROR(INDEX(P$6:P$201,MATCH(ROW()-5,J$6:J$201,0)),"")</f>
        <v/>
      </c>
      <c r="G147" s="130"/>
      <c r="H147" s="130"/>
      <c r="I147" s="130"/>
      <c r="J147" s="130" t="str">
        <f aca="false">IF(PROCESO!D180&gt;0,COUNT(J$6:J146)+1,"")</f>
        <v/>
      </c>
      <c r="K147" s="130" t="str">
        <f aca="false">IF(PROCESO!D180&gt;0,PROCESO!A180&amp;IF(COUNTIF(PROCESO!$A$6:A179,PROCESO!A180)&gt;0," (Ped."&amp;(COUNTIF(PROCESO!$A$6:A179,PROCESO!A180)+1)&amp;")",""),"")</f>
        <v/>
      </c>
      <c r="L147" s="130" t="str">
        <f aca="false">IF(PROCESO!D180&gt;0,"INGRESO (compra)","")</f>
        <v/>
      </c>
      <c r="M147" s="130" t="str">
        <f aca="false">IF(PROCESO!D180&gt;0,PROCESO!D180,"")</f>
        <v/>
      </c>
      <c r="N147" s="130" t="str">
        <f aca="false">""</f>
        <v/>
      </c>
      <c r="O147" s="130" t="str">
        <f aca="false">IF(PROCESO!D180&gt;0,PROCESO!B180&amp;" sacos x "&amp;PROCESO!C180&amp;" kg","")</f>
        <v/>
      </c>
      <c r="P147" s="130" t="n">
        <f aca="false">P146+N(M147)-N(N147)</f>
        <v>5288.5</v>
      </c>
      <c r="Q147" s="130"/>
      <c r="R147" s="130"/>
      <c r="S147" s="130"/>
      <c r="T147" s="130"/>
    </row>
    <row r="148" customFormat="false" ht="15" hidden="false" customHeight="false" outlineLevel="0" collapsed="false">
      <c r="A148" s="135" t="str">
        <f aca="false">IFERROR(INDEX(K$6:K$201,MATCH(ROW()-5,J$6:J$201,0)),"")</f>
        <v/>
      </c>
      <c r="B148" s="135" t="str">
        <f aca="false">IFERROR(INDEX(L$6:L$201,MATCH(ROW()-5,J$6:J$201,0)),"")</f>
        <v/>
      </c>
      <c r="C148" s="136" t="str">
        <f aca="false">IFERROR(INDEX(M$6:M$201,MATCH(ROW()-5,J$6:J$201,0)),"")</f>
        <v/>
      </c>
      <c r="D148" s="136" t="str">
        <f aca="false">IFERROR(INDEX(N$6:N$201,MATCH(ROW()-5,J$6:J$201,0)),"")</f>
        <v/>
      </c>
      <c r="E148" s="135" t="str">
        <f aca="false">IFERROR(INDEX(O$6:O$201,MATCH(ROW()-5,J$6:J$201,0)),"")</f>
        <v/>
      </c>
      <c r="F148" s="136" t="str">
        <f aca="false">IFERROR(INDEX(P$6:P$201,MATCH(ROW()-5,J$6:J$201,0)),"")</f>
        <v/>
      </c>
      <c r="G148" s="130"/>
      <c r="H148" s="130"/>
      <c r="I148" s="130"/>
      <c r="J148" s="130" t="str">
        <f aca="false">IF(N(PROCESO!H184)&gt;0,COUNT(J$6:J147)+1,"")</f>
        <v/>
      </c>
      <c r="K148" s="130" t="str">
        <f aca="false">IF(N(PROCESO!H184)&gt;0,PROCESO!A180&amp;IF(COUNTIF(PROCESO!$A$6:A179,PROCESO!A180)&gt;0," (Ped."&amp;(COUNTIF(PROCESO!$A$6:A179,PROCESO!A180)+1)&amp;")",""),"")</f>
        <v/>
      </c>
      <c r="L148" s="130" t="str">
        <f aca="false">IF(N(PROCESO!H184)&gt;0,"CHANCHO (proceso)","")</f>
        <v/>
      </c>
      <c r="M148" s="130" t="str">
        <f aca="false">""</f>
        <v/>
      </c>
      <c r="N148" s="130" t="str">
        <f aca="false">IF(N(PROCESO!H184)&gt;0,N(PROCESO!H184),"")</f>
        <v/>
      </c>
      <c r="O148" s="130" t="str">
        <f aca="false">IF(N(PROCESO!H184)&gt;0,PROCESO!G184&amp;" sacos x 95 kg","")</f>
        <v/>
      </c>
      <c r="P148" s="130" t="n">
        <f aca="false">P147+N(M148)-N(N148)</f>
        <v>5288.5</v>
      </c>
      <c r="Q148" s="130"/>
      <c r="R148" s="130"/>
      <c r="S148" s="130"/>
      <c r="T148" s="130"/>
    </row>
    <row r="149" customFormat="false" ht="15" hidden="false" customHeight="false" outlineLevel="0" collapsed="false">
      <c r="A149" s="135" t="str">
        <f aca="false">IFERROR(INDEX(K$6:K$201,MATCH(ROW()-5,J$6:J$201,0)),"")</f>
        <v/>
      </c>
      <c r="B149" s="135" t="str">
        <f aca="false">IFERROR(INDEX(L$6:L$201,MATCH(ROW()-5,J$6:J$201,0)),"")</f>
        <v/>
      </c>
      <c r="C149" s="136" t="str">
        <f aca="false">IFERROR(INDEX(M$6:M$201,MATCH(ROW()-5,J$6:J$201,0)),"")</f>
        <v/>
      </c>
      <c r="D149" s="136" t="str">
        <f aca="false">IFERROR(INDEX(N$6:N$201,MATCH(ROW()-5,J$6:J$201,0)),"")</f>
        <v/>
      </c>
      <c r="E149" s="135" t="str">
        <f aca="false">IFERROR(INDEX(O$6:O$201,MATCH(ROW()-5,J$6:J$201,0)),"")</f>
        <v/>
      </c>
      <c r="F149" s="136" t="str">
        <f aca="false">IFERROR(INDEX(P$6:P$201,MATCH(ROW()-5,J$6:J$201,0)),"")</f>
        <v/>
      </c>
      <c r="G149" s="130"/>
      <c r="H149" s="130"/>
      <c r="I149" s="130"/>
      <c r="J149" s="130" t="str">
        <f aca="false">IF(N(PROCESO!H185)&gt;0,COUNT(J$6:J148)+1,"")</f>
        <v/>
      </c>
      <c r="K149" s="130" t="str">
        <f aca="false">IF(N(PROCESO!H185)&gt;0,PROCESO!A180&amp;IF(COUNTIF(PROCESO!$A$6:A179,PROCESO!A180)&gt;0," (Ped."&amp;(COUNTIF(PROCESO!$A$6:A179,PROCESO!A180)+1)&amp;")",""),"")</f>
        <v/>
      </c>
      <c r="L149" s="130" t="str">
        <f aca="false">IF(N(PROCESO!H185)&gt;0,"MALOGRADO","")</f>
        <v/>
      </c>
      <c r="M149" s="130" t="str">
        <f aca="false">""</f>
        <v/>
      </c>
      <c r="N149" s="130" t="str">
        <f aca="false">IF(N(PROCESO!H185)&gt;0,N(PROCESO!H185),"")</f>
        <v/>
      </c>
      <c r="O149" s="130" t="str">
        <f aca="false">""</f>
        <v/>
      </c>
      <c r="P149" s="130" t="n">
        <f aca="false">P148+N(M149)-N(N149)</f>
        <v>5288.5</v>
      </c>
      <c r="Q149" s="130"/>
      <c r="R149" s="130"/>
      <c r="S149" s="130"/>
      <c r="T149" s="130"/>
    </row>
    <row r="150" customFormat="false" ht="15" hidden="false" customHeight="false" outlineLevel="0" collapsed="false">
      <c r="A150" s="135" t="str">
        <f aca="false">IFERROR(INDEX(K$6:K$201,MATCH(ROW()-5,J$6:J$201,0)),"")</f>
        <v/>
      </c>
      <c r="B150" s="135" t="str">
        <f aca="false">IFERROR(INDEX(L$6:L$201,MATCH(ROW()-5,J$6:J$201,0)),"")</f>
        <v/>
      </c>
      <c r="C150" s="136" t="str">
        <f aca="false">IFERROR(INDEX(M$6:M$201,MATCH(ROW()-5,J$6:J$201,0)),"")</f>
        <v/>
      </c>
      <c r="D150" s="136" t="str">
        <f aca="false">IFERROR(INDEX(N$6:N$201,MATCH(ROW()-5,J$6:J$201,0)),"")</f>
        <v/>
      </c>
      <c r="E150" s="135" t="str">
        <f aca="false">IFERROR(INDEX(O$6:O$201,MATCH(ROW()-5,J$6:J$201,0)),"")</f>
        <v/>
      </c>
      <c r="F150" s="136" t="str">
        <f aca="false">IFERROR(INDEX(P$6:P$201,MATCH(ROW()-5,J$6:J$201,0)),"")</f>
        <v/>
      </c>
      <c r="G150" s="130"/>
      <c r="H150" s="130"/>
      <c r="I150" s="130"/>
      <c r="J150" s="130" t="str">
        <f aca="false">IF(IF(PROCESO!J180&lt;&gt;"",PROCESO!J180,IF(PROCESO!J181&lt;&gt;"",PROCESO!J181,IF(PROCESO!J182&lt;&gt;"",PROCESO!J182,IF(PROCESO!J183&lt;&gt;"",PROCESO!J183,""))))&lt;&gt;"",COUNT(J$6:J149)+1,"")</f>
        <v/>
      </c>
      <c r="K150" s="130" t="str">
        <f aca="false">IF(IF(PROCESO!J180&lt;&gt;"",PROCESO!J180,IF(PROCESO!J181&lt;&gt;"",PROCESO!J181,IF(PROCESO!J182&lt;&gt;"",PROCESO!J182,IF(PROCESO!J183&lt;&gt;"",PROCESO!J183,""))))&lt;&gt;"",PROCESO!A180&amp;IF(COUNTIF(PROCESO!$A$6:A179,PROCESO!A180)&gt;0," (Ped."&amp;(COUNTIF(PROCESO!$A$6:A179,PROCESO!A180)+1)&amp;")",""),"")</f>
        <v/>
      </c>
      <c r="L150" s="130" t="str">
        <f aca="false">IF(IF(PROCESO!J180&lt;&gt;"",PROCESO!J180,IF(PROCESO!J181&lt;&gt;"",PROCESO!J181,IF(PROCESO!J182&lt;&gt;"",PROCESO!J182,IF(PROCESO!J183&lt;&gt;"",PROCESO!J183,""))))&lt;&gt;"","ENVÍO Guía "&amp;IF(LEFT(IF(PROCESO!J180&lt;&gt;"",PROCESO!J180,IF(PROCESO!J181&lt;&gt;"",PROCESO!J181,IF(PROCESO!J182&lt;&gt;"",PROCESO!J182,IF(PROCESO!J183&lt;&gt;"",PROCESO!J183,"")))),2)="G-",MID(IF(PROCESO!J180&lt;&gt;"",PROCESO!J180,IF(PROCESO!J181&lt;&gt;"",PROCESO!J181,IF(PROCESO!J182&lt;&gt;"",PROCESO!J182,IF(PROCESO!J183&lt;&gt;"",PROCESO!J183,"")))),3,99),IF(PROCESO!J180&lt;&gt;"",PROCESO!J180,IF(PROCESO!J181&lt;&gt;"",PROCESO!J181,IF(PROCESO!J182&lt;&gt;"",PROCESO!J182,IF(PROCESO!J183&lt;&gt;"",PROCESO!J183,""))))),"")</f>
        <v/>
      </c>
      <c r="M150" s="130" t="str">
        <f aca="false">""</f>
        <v/>
      </c>
      <c r="N150" s="130" t="str">
        <f aca="false">IF(IF(PROCESO!J180&lt;&gt;"",PROCESO!J180,IF(PROCESO!J181&lt;&gt;"",PROCESO!J181,IF(PROCESO!J182&lt;&gt;"",PROCESO!J182,IF(PROCESO!J183&lt;&gt;"",PROCESO!J183,""))))&lt;&gt;"",SUMIF(PROCESO!J180:J183,IF(PROCESO!J180&lt;&gt;"",PROCESO!J180,IF(PROCESO!J181&lt;&gt;"",PROCESO!J181,IF(PROCESO!J182&lt;&gt;"",PROCESO!J182,IF(PROCESO!J183&lt;&gt;"",PROCESO!J183,"")))),PROCESO!L180:L183),"")</f>
        <v/>
      </c>
      <c r="O150" s="130" t="str">
        <f aca="false">IF(IF(PROCESO!J180&lt;&gt;"",PROCESO!J180,IF(PROCESO!J181&lt;&gt;"",PROCESO!J181,IF(PROCESO!J182&lt;&gt;"",PROCESO!J182,IF(PROCESO!J183&lt;&gt;"",PROCESO!J183,""))))&lt;&gt;"","G-"&amp;IF(LEFT(IF(PROCESO!J180&lt;&gt;"",PROCESO!J180,IF(PROCESO!J181&lt;&gt;"",PROCESO!J181,IF(PROCESO!J182&lt;&gt;"",PROCESO!J182,IF(PROCESO!J183&lt;&gt;"",PROCESO!J183,"")))),2)="G-",MID(IF(PROCESO!J180&lt;&gt;"",PROCESO!J180,IF(PROCESO!J181&lt;&gt;"",PROCESO!J181,IF(PROCESO!J182&lt;&gt;"",PROCESO!J182,IF(PROCESO!J183&lt;&gt;"",PROCESO!J183,"")))),3,99),IF(PROCESO!J180&lt;&gt;"",PROCESO!J180,IF(PROCESO!J181&lt;&gt;"",PROCESO!J181,IF(PROCESO!J182&lt;&gt;"",PROCESO!J182,IF(PROCESO!J183&lt;&gt;"",PROCESO!J183,""))))),"")</f>
        <v/>
      </c>
      <c r="P150" s="130" t="n">
        <f aca="false">P149+N(M150)-N(N150)</f>
        <v>5288.5</v>
      </c>
      <c r="Q150" s="130"/>
      <c r="R150" s="130"/>
      <c r="S150" s="130"/>
      <c r="T150" s="130"/>
    </row>
    <row r="151" customFormat="false" ht="15" hidden="false" customHeight="false" outlineLevel="0" collapsed="false">
      <c r="A151" s="135" t="str">
        <f aca="false">IFERROR(INDEX(K$6:K$201,MATCH(ROW()-5,J$6:J$201,0)),"")</f>
        <v/>
      </c>
      <c r="B151" s="135" t="str">
        <f aca="false">IFERROR(INDEX(L$6:L$201,MATCH(ROW()-5,J$6:J$201,0)),"")</f>
        <v/>
      </c>
      <c r="C151" s="136" t="str">
        <f aca="false">IFERROR(INDEX(M$6:M$201,MATCH(ROW()-5,J$6:J$201,0)),"")</f>
        <v/>
      </c>
      <c r="D151" s="136" t="str">
        <f aca="false">IFERROR(INDEX(N$6:N$201,MATCH(ROW()-5,J$6:J$201,0)),"")</f>
        <v/>
      </c>
      <c r="E151" s="135" t="str">
        <f aca="false">IFERROR(INDEX(O$6:O$201,MATCH(ROW()-5,J$6:J$201,0)),"")</f>
        <v/>
      </c>
      <c r="F151" s="136" t="str">
        <f aca="false">IFERROR(INDEX(P$6:P$201,MATCH(ROW()-5,J$6:J$201,0)),"")</f>
        <v/>
      </c>
      <c r="G151" s="130"/>
      <c r="H151" s="130"/>
      <c r="I151" s="130"/>
      <c r="J151" s="130" t="str">
        <f aca="false">IF(OR(SUM(PROCESO!M180:M183)&gt;0,SUM(PROCESO!N180:N183)&gt;0),COUNT(J$6:J150)+1,"")</f>
        <v/>
      </c>
      <c r="K151" s="130" t="str">
        <f aca="false">IF(OR(SUM(PROCESO!M180:M183)&gt;0,SUM(PROCESO!N180:N183)&gt;0),PROCESO!A180&amp;IF(COUNTIF(PROCESO!$A$6:A179,PROCESO!A180)&gt;0," (Ped."&amp;(COUNTIF(PROCESO!$A$6:A179,PROCESO!A180)+1)&amp;")",""),"")</f>
        <v/>
      </c>
      <c r="L151" s="130" t="str">
        <f aca="false">IF(OR(SUM(PROCESO!M180:M183)&gt;0,SUM(PROCESO!N180:N183)&gt;0),"REPROCESO (devolución)","")</f>
        <v/>
      </c>
      <c r="M151" s="130" t="str">
        <f aca="false">IF(OR(SUM(PROCESO!M180:M183)&gt;0,SUM(PROCESO!N180:N183)&gt;0),SUM(PROCESO!N180:N183),"")</f>
        <v/>
      </c>
      <c r="N151" s="130" t="str">
        <f aca="false">""</f>
        <v/>
      </c>
      <c r="O151" s="130" t="str">
        <f aca="false">IF(OR(SUM(PROCESO!M180:M183)&gt;0,SUM(PROCESO!N180:N183)&gt;0),IF(SUM(PROCESO!M180:M183)&gt;0,SUM(PROCESO!M180:M183)&amp;" jabas devueltas · merma "&amp;TEXT((PROCESO!M180*15+PROCESO!M181*18+PROCESO!M182*17+PROCESO!M183*17)-SUM(PROCESO!N180:N183),"+#,##0;-#,##0;0")&amp;" kg",""),"")</f>
        <v/>
      </c>
      <c r="P151" s="130" t="n">
        <f aca="false">P150+N(M151)-N(N151)</f>
        <v>5288.5</v>
      </c>
      <c r="Q151" s="130"/>
      <c r="R151" s="130"/>
      <c r="S151" s="130"/>
      <c r="T151" s="130"/>
    </row>
    <row r="152" customFormat="false" ht="15" hidden="false" customHeight="false" outlineLevel="0" collapsed="false">
      <c r="A152" s="135" t="str">
        <f aca="false">IFERROR(INDEX(K$6:K$201,MATCH(ROW()-5,J$6:J$201,0)),"")</f>
        <v/>
      </c>
      <c r="B152" s="135" t="str">
        <f aca="false">IFERROR(INDEX(L$6:L$201,MATCH(ROW()-5,J$6:J$201,0)),"")</f>
        <v/>
      </c>
      <c r="C152" s="136" t="str">
        <f aca="false">IFERROR(INDEX(M$6:M$201,MATCH(ROW()-5,J$6:J$201,0)),"")</f>
        <v/>
      </c>
      <c r="D152" s="136" t="str">
        <f aca="false">IFERROR(INDEX(N$6:N$201,MATCH(ROW()-5,J$6:J$201,0)),"")</f>
        <v/>
      </c>
      <c r="E152" s="135" t="str">
        <f aca="false">IFERROR(INDEX(O$6:O$201,MATCH(ROW()-5,J$6:J$201,0)),"")</f>
        <v/>
      </c>
      <c r="F152" s="136" t="str">
        <f aca="false">IFERROR(INDEX(P$6:P$201,MATCH(ROW()-5,J$6:J$201,0)),"")</f>
        <v/>
      </c>
      <c r="G152" s="130"/>
      <c r="H152" s="130"/>
      <c r="I152" s="130"/>
      <c r="J152" s="130" t="str">
        <f aca="false">IF(PROCESO!D186&gt;0,COUNT(J$6:J151)+1,"")</f>
        <v/>
      </c>
      <c r="K152" s="130" t="str">
        <f aca="false">IF(PROCESO!D186&gt;0,PROCESO!A186&amp;IF(COUNTIF(PROCESO!$A$6:A185,PROCESO!A186)&gt;0," (Ped."&amp;(COUNTIF(PROCESO!$A$6:A185,PROCESO!A186)+1)&amp;")",""),"")</f>
        <v/>
      </c>
      <c r="L152" s="130" t="str">
        <f aca="false">IF(PROCESO!D186&gt;0,"INGRESO (compra)","")</f>
        <v/>
      </c>
      <c r="M152" s="130" t="str">
        <f aca="false">IF(PROCESO!D186&gt;0,PROCESO!D186,"")</f>
        <v/>
      </c>
      <c r="N152" s="130" t="str">
        <f aca="false">""</f>
        <v/>
      </c>
      <c r="O152" s="130" t="str">
        <f aca="false">IF(PROCESO!D186&gt;0,PROCESO!B186&amp;" sacos x "&amp;PROCESO!C186&amp;" kg","")</f>
        <v/>
      </c>
      <c r="P152" s="130" t="n">
        <f aca="false">P151+N(M152)-N(N152)</f>
        <v>5288.5</v>
      </c>
      <c r="Q152" s="130"/>
      <c r="R152" s="130"/>
      <c r="S152" s="130"/>
      <c r="T152" s="130"/>
    </row>
    <row r="153" customFormat="false" ht="15" hidden="false" customHeight="false" outlineLevel="0" collapsed="false">
      <c r="A153" s="135" t="str">
        <f aca="false">IFERROR(INDEX(K$6:K$201,MATCH(ROW()-5,J$6:J$201,0)),"")</f>
        <v/>
      </c>
      <c r="B153" s="135" t="str">
        <f aca="false">IFERROR(INDEX(L$6:L$201,MATCH(ROW()-5,J$6:J$201,0)),"")</f>
        <v/>
      </c>
      <c r="C153" s="136" t="str">
        <f aca="false">IFERROR(INDEX(M$6:M$201,MATCH(ROW()-5,J$6:J$201,0)),"")</f>
        <v/>
      </c>
      <c r="D153" s="136" t="str">
        <f aca="false">IFERROR(INDEX(N$6:N$201,MATCH(ROW()-5,J$6:J$201,0)),"")</f>
        <v/>
      </c>
      <c r="E153" s="135" t="str">
        <f aca="false">IFERROR(INDEX(O$6:O$201,MATCH(ROW()-5,J$6:J$201,0)),"")</f>
        <v/>
      </c>
      <c r="F153" s="136" t="str">
        <f aca="false">IFERROR(INDEX(P$6:P$201,MATCH(ROW()-5,J$6:J$201,0)),"")</f>
        <v/>
      </c>
      <c r="G153" s="130"/>
      <c r="H153" s="130"/>
      <c r="I153" s="130"/>
      <c r="J153" s="130" t="str">
        <f aca="false">IF(N(PROCESO!H190)&gt;0,COUNT(J$6:J152)+1,"")</f>
        <v/>
      </c>
      <c r="K153" s="130" t="str">
        <f aca="false">IF(N(PROCESO!H190)&gt;0,PROCESO!A186&amp;IF(COUNTIF(PROCESO!$A$6:A185,PROCESO!A186)&gt;0," (Ped."&amp;(COUNTIF(PROCESO!$A$6:A185,PROCESO!A186)+1)&amp;")",""),"")</f>
        <v/>
      </c>
      <c r="L153" s="130" t="str">
        <f aca="false">IF(N(PROCESO!H190)&gt;0,"CHANCHO (proceso)","")</f>
        <v/>
      </c>
      <c r="M153" s="130" t="str">
        <f aca="false">""</f>
        <v/>
      </c>
      <c r="N153" s="130" t="str">
        <f aca="false">IF(N(PROCESO!H190)&gt;0,N(PROCESO!H190),"")</f>
        <v/>
      </c>
      <c r="O153" s="130" t="str">
        <f aca="false">IF(N(PROCESO!H190)&gt;0,PROCESO!G190&amp;" sacos x 95 kg","")</f>
        <v/>
      </c>
      <c r="P153" s="130" t="n">
        <f aca="false">P152+N(M153)-N(N153)</f>
        <v>5288.5</v>
      </c>
      <c r="Q153" s="130"/>
      <c r="R153" s="130"/>
      <c r="S153" s="130"/>
      <c r="T153" s="130"/>
    </row>
    <row r="154" customFormat="false" ht="15" hidden="false" customHeight="false" outlineLevel="0" collapsed="false">
      <c r="A154" s="135" t="str">
        <f aca="false">IFERROR(INDEX(K$6:K$201,MATCH(ROW()-5,J$6:J$201,0)),"")</f>
        <v/>
      </c>
      <c r="B154" s="135" t="str">
        <f aca="false">IFERROR(INDEX(L$6:L$201,MATCH(ROW()-5,J$6:J$201,0)),"")</f>
        <v/>
      </c>
      <c r="C154" s="136" t="str">
        <f aca="false">IFERROR(INDEX(M$6:M$201,MATCH(ROW()-5,J$6:J$201,0)),"")</f>
        <v/>
      </c>
      <c r="D154" s="136" t="str">
        <f aca="false">IFERROR(INDEX(N$6:N$201,MATCH(ROW()-5,J$6:J$201,0)),"")</f>
        <v/>
      </c>
      <c r="E154" s="135" t="str">
        <f aca="false">IFERROR(INDEX(O$6:O$201,MATCH(ROW()-5,J$6:J$201,0)),"")</f>
        <v/>
      </c>
      <c r="F154" s="136" t="str">
        <f aca="false">IFERROR(INDEX(P$6:P$201,MATCH(ROW()-5,J$6:J$201,0)),"")</f>
        <v/>
      </c>
      <c r="G154" s="130"/>
      <c r="H154" s="130"/>
      <c r="I154" s="130"/>
      <c r="J154" s="130" t="str">
        <f aca="false">IF(N(PROCESO!H191)&gt;0,COUNT(J$6:J153)+1,"")</f>
        <v/>
      </c>
      <c r="K154" s="130" t="str">
        <f aca="false">IF(N(PROCESO!H191)&gt;0,PROCESO!A186&amp;IF(COUNTIF(PROCESO!$A$6:A185,PROCESO!A186)&gt;0," (Ped."&amp;(COUNTIF(PROCESO!$A$6:A185,PROCESO!A186)+1)&amp;")",""),"")</f>
        <v/>
      </c>
      <c r="L154" s="130" t="str">
        <f aca="false">IF(N(PROCESO!H191)&gt;0,"MALOGRADO","")</f>
        <v/>
      </c>
      <c r="M154" s="130" t="str">
        <f aca="false">""</f>
        <v/>
      </c>
      <c r="N154" s="130" t="str">
        <f aca="false">IF(N(PROCESO!H191)&gt;0,N(PROCESO!H191),"")</f>
        <v/>
      </c>
      <c r="O154" s="130" t="str">
        <f aca="false">""</f>
        <v/>
      </c>
      <c r="P154" s="130" t="n">
        <f aca="false">P153+N(M154)-N(N154)</f>
        <v>5288.5</v>
      </c>
      <c r="Q154" s="130"/>
      <c r="R154" s="130"/>
      <c r="S154" s="130"/>
      <c r="T154" s="130"/>
    </row>
    <row r="155" customFormat="false" ht="15" hidden="false" customHeight="false" outlineLevel="0" collapsed="false">
      <c r="A155" s="135" t="str">
        <f aca="false">IFERROR(INDEX(K$6:K$201,MATCH(ROW()-5,J$6:J$201,0)),"")</f>
        <v/>
      </c>
      <c r="B155" s="135" t="str">
        <f aca="false">IFERROR(INDEX(L$6:L$201,MATCH(ROW()-5,J$6:J$201,0)),"")</f>
        <v/>
      </c>
      <c r="C155" s="136" t="str">
        <f aca="false">IFERROR(INDEX(M$6:M$201,MATCH(ROW()-5,J$6:J$201,0)),"")</f>
        <v/>
      </c>
      <c r="D155" s="136" t="str">
        <f aca="false">IFERROR(INDEX(N$6:N$201,MATCH(ROW()-5,J$6:J$201,0)),"")</f>
        <v/>
      </c>
      <c r="E155" s="135" t="str">
        <f aca="false">IFERROR(INDEX(O$6:O$201,MATCH(ROW()-5,J$6:J$201,0)),"")</f>
        <v/>
      </c>
      <c r="F155" s="136" t="str">
        <f aca="false">IFERROR(INDEX(P$6:P$201,MATCH(ROW()-5,J$6:J$201,0)),"")</f>
        <v/>
      </c>
      <c r="G155" s="130"/>
      <c r="H155" s="130"/>
      <c r="I155" s="130"/>
      <c r="J155" s="130" t="str">
        <f aca="false">IF(IF(PROCESO!J186&lt;&gt;"",PROCESO!J186,IF(PROCESO!J187&lt;&gt;"",PROCESO!J187,IF(PROCESO!J188&lt;&gt;"",PROCESO!J188,IF(PROCESO!J189&lt;&gt;"",PROCESO!J189,""))))&lt;&gt;"",COUNT(J$6:J154)+1,"")</f>
        <v/>
      </c>
      <c r="K155" s="130" t="str">
        <f aca="false">IF(IF(PROCESO!J186&lt;&gt;"",PROCESO!J186,IF(PROCESO!J187&lt;&gt;"",PROCESO!J187,IF(PROCESO!J188&lt;&gt;"",PROCESO!J188,IF(PROCESO!J189&lt;&gt;"",PROCESO!J189,""))))&lt;&gt;"",PROCESO!A186&amp;IF(COUNTIF(PROCESO!$A$6:A185,PROCESO!A186)&gt;0," (Ped."&amp;(COUNTIF(PROCESO!$A$6:A185,PROCESO!A186)+1)&amp;")",""),"")</f>
        <v/>
      </c>
      <c r="L155" s="130" t="str">
        <f aca="false">IF(IF(PROCESO!J186&lt;&gt;"",PROCESO!J186,IF(PROCESO!J187&lt;&gt;"",PROCESO!J187,IF(PROCESO!J188&lt;&gt;"",PROCESO!J188,IF(PROCESO!J189&lt;&gt;"",PROCESO!J189,""))))&lt;&gt;"","ENVÍO Guía "&amp;IF(LEFT(IF(PROCESO!J186&lt;&gt;"",PROCESO!J186,IF(PROCESO!J187&lt;&gt;"",PROCESO!J187,IF(PROCESO!J188&lt;&gt;"",PROCESO!J188,IF(PROCESO!J189&lt;&gt;"",PROCESO!J189,"")))),2)="G-",MID(IF(PROCESO!J186&lt;&gt;"",PROCESO!J186,IF(PROCESO!J187&lt;&gt;"",PROCESO!J187,IF(PROCESO!J188&lt;&gt;"",PROCESO!J188,IF(PROCESO!J189&lt;&gt;"",PROCESO!J189,"")))),3,99),IF(PROCESO!J186&lt;&gt;"",PROCESO!J186,IF(PROCESO!J187&lt;&gt;"",PROCESO!J187,IF(PROCESO!J188&lt;&gt;"",PROCESO!J188,IF(PROCESO!J189&lt;&gt;"",PROCESO!J189,""))))),"")</f>
        <v/>
      </c>
      <c r="M155" s="130" t="str">
        <f aca="false">""</f>
        <v/>
      </c>
      <c r="N155" s="130" t="str">
        <f aca="false">IF(IF(PROCESO!J186&lt;&gt;"",PROCESO!J186,IF(PROCESO!J187&lt;&gt;"",PROCESO!J187,IF(PROCESO!J188&lt;&gt;"",PROCESO!J188,IF(PROCESO!J189&lt;&gt;"",PROCESO!J189,""))))&lt;&gt;"",SUMIF(PROCESO!J186:J189,IF(PROCESO!J186&lt;&gt;"",PROCESO!J186,IF(PROCESO!J187&lt;&gt;"",PROCESO!J187,IF(PROCESO!J188&lt;&gt;"",PROCESO!J188,IF(PROCESO!J189&lt;&gt;"",PROCESO!J189,"")))),PROCESO!L186:L189),"")</f>
        <v/>
      </c>
      <c r="O155" s="130" t="str">
        <f aca="false">IF(IF(PROCESO!J186&lt;&gt;"",PROCESO!J186,IF(PROCESO!J187&lt;&gt;"",PROCESO!J187,IF(PROCESO!J188&lt;&gt;"",PROCESO!J188,IF(PROCESO!J189&lt;&gt;"",PROCESO!J189,""))))&lt;&gt;"","G-"&amp;IF(LEFT(IF(PROCESO!J186&lt;&gt;"",PROCESO!J186,IF(PROCESO!J187&lt;&gt;"",PROCESO!J187,IF(PROCESO!J188&lt;&gt;"",PROCESO!J188,IF(PROCESO!J189&lt;&gt;"",PROCESO!J189,"")))),2)="G-",MID(IF(PROCESO!J186&lt;&gt;"",PROCESO!J186,IF(PROCESO!J187&lt;&gt;"",PROCESO!J187,IF(PROCESO!J188&lt;&gt;"",PROCESO!J188,IF(PROCESO!J189&lt;&gt;"",PROCESO!J189,"")))),3,99),IF(PROCESO!J186&lt;&gt;"",PROCESO!J186,IF(PROCESO!J187&lt;&gt;"",PROCESO!J187,IF(PROCESO!J188&lt;&gt;"",PROCESO!J188,IF(PROCESO!J189&lt;&gt;"",PROCESO!J189,""))))),"")</f>
        <v/>
      </c>
      <c r="P155" s="130" t="n">
        <f aca="false">P154+N(M155)-N(N155)</f>
        <v>5288.5</v>
      </c>
      <c r="Q155" s="130"/>
      <c r="R155" s="130"/>
      <c r="S155" s="130"/>
      <c r="T155" s="130"/>
    </row>
    <row r="156" customFormat="false" ht="15" hidden="false" customHeight="false" outlineLevel="0" collapsed="false">
      <c r="A156" s="135" t="str">
        <f aca="false">IFERROR(INDEX(K$6:K$201,MATCH(ROW()-5,J$6:J$201,0)),"")</f>
        <v/>
      </c>
      <c r="B156" s="135" t="str">
        <f aca="false">IFERROR(INDEX(L$6:L$201,MATCH(ROW()-5,J$6:J$201,0)),"")</f>
        <v/>
      </c>
      <c r="C156" s="136" t="str">
        <f aca="false">IFERROR(INDEX(M$6:M$201,MATCH(ROW()-5,J$6:J$201,0)),"")</f>
        <v/>
      </c>
      <c r="D156" s="136" t="str">
        <f aca="false">IFERROR(INDEX(N$6:N$201,MATCH(ROW()-5,J$6:J$201,0)),"")</f>
        <v/>
      </c>
      <c r="E156" s="135" t="str">
        <f aca="false">IFERROR(INDEX(O$6:O$201,MATCH(ROW()-5,J$6:J$201,0)),"")</f>
        <v/>
      </c>
      <c r="F156" s="136" t="str">
        <f aca="false">IFERROR(INDEX(P$6:P$201,MATCH(ROW()-5,J$6:J$201,0)),"")</f>
        <v/>
      </c>
      <c r="G156" s="130"/>
      <c r="H156" s="130"/>
      <c r="I156" s="130"/>
      <c r="J156" s="130" t="str">
        <f aca="false">IF(OR(SUM(PROCESO!M186:M189)&gt;0,SUM(PROCESO!N186:N189)&gt;0),COUNT(J$6:J155)+1,"")</f>
        <v/>
      </c>
      <c r="K156" s="130" t="str">
        <f aca="false">IF(OR(SUM(PROCESO!M186:M189)&gt;0,SUM(PROCESO!N186:N189)&gt;0),PROCESO!A186&amp;IF(COUNTIF(PROCESO!$A$6:A185,PROCESO!A186)&gt;0," (Ped."&amp;(COUNTIF(PROCESO!$A$6:A185,PROCESO!A186)+1)&amp;")",""),"")</f>
        <v/>
      </c>
      <c r="L156" s="130" t="str">
        <f aca="false">IF(OR(SUM(PROCESO!M186:M189)&gt;0,SUM(PROCESO!N186:N189)&gt;0),"REPROCESO (devolución)","")</f>
        <v/>
      </c>
      <c r="M156" s="130" t="str">
        <f aca="false">IF(OR(SUM(PROCESO!M186:M189)&gt;0,SUM(PROCESO!N186:N189)&gt;0),SUM(PROCESO!N186:N189),"")</f>
        <v/>
      </c>
      <c r="N156" s="130" t="str">
        <f aca="false">""</f>
        <v/>
      </c>
      <c r="O156" s="130" t="str">
        <f aca="false">IF(OR(SUM(PROCESO!M186:M189)&gt;0,SUM(PROCESO!N186:N189)&gt;0),IF(SUM(PROCESO!M186:M189)&gt;0,SUM(PROCESO!M186:M189)&amp;" jabas devueltas · merma "&amp;TEXT((PROCESO!M186*15+PROCESO!M187*18+PROCESO!M188*17+PROCESO!M189*17)-SUM(PROCESO!N186:N189),"+#,##0;-#,##0;0")&amp;" kg",""),"")</f>
        <v/>
      </c>
      <c r="P156" s="130" t="n">
        <f aca="false">P155+N(M156)-N(N156)</f>
        <v>5288.5</v>
      </c>
      <c r="Q156" s="130"/>
      <c r="R156" s="130"/>
      <c r="S156" s="130"/>
      <c r="T156" s="130"/>
    </row>
    <row r="157" customFormat="false" ht="15" hidden="false" customHeight="false" outlineLevel="0" collapsed="false">
      <c r="A157" s="135" t="str">
        <f aca="false">IFERROR(INDEX(K$6:K$201,MATCH(ROW()-5,J$6:J$201,0)),"")</f>
        <v/>
      </c>
      <c r="B157" s="135" t="str">
        <f aca="false">IFERROR(INDEX(L$6:L$201,MATCH(ROW()-5,J$6:J$201,0)),"")</f>
        <v/>
      </c>
      <c r="C157" s="136" t="str">
        <f aca="false">IFERROR(INDEX(M$6:M$201,MATCH(ROW()-5,J$6:J$201,0)),"")</f>
        <v/>
      </c>
      <c r="D157" s="136" t="str">
        <f aca="false">IFERROR(INDEX(N$6:N$201,MATCH(ROW()-5,J$6:J$201,0)),"")</f>
        <v/>
      </c>
      <c r="E157" s="135" t="str">
        <f aca="false">IFERROR(INDEX(O$6:O$201,MATCH(ROW()-5,J$6:J$201,0)),"")</f>
        <v/>
      </c>
      <c r="F157" s="136" t="str">
        <f aca="false">IFERROR(INDEX(P$6:P$201,MATCH(ROW()-5,J$6:J$201,0)),"")</f>
        <v/>
      </c>
      <c r="G157" s="130"/>
      <c r="H157" s="130"/>
      <c r="I157" s="130"/>
      <c r="J157" s="130" t="str">
        <f aca="false">IF(PROCESO!D192&gt;0,COUNT(J$6:J156)+1,"")</f>
        <v/>
      </c>
      <c r="K157" s="130" t="str">
        <f aca="false">IF(PROCESO!D192&gt;0,PROCESO!A192&amp;IF(COUNTIF(PROCESO!$A$6:A191,PROCESO!A192)&gt;0," (Ped."&amp;(COUNTIF(PROCESO!$A$6:A191,PROCESO!A192)+1)&amp;")",""),"")</f>
        <v/>
      </c>
      <c r="L157" s="130" t="str">
        <f aca="false">IF(PROCESO!D192&gt;0,"INGRESO (compra)","")</f>
        <v/>
      </c>
      <c r="M157" s="130" t="str">
        <f aca="false">IF(PROCESO!D192&gt;0,PROCESO!D192,"")</f>
        <v/>
      </c>
      <c r="N157" s="130" t="str">
        <f aca="false">""</f>
        <v/>
      </c>
      <c r="O157" s="130" t="str">
        <f aca="false">IF(PROCESO!D192&gt;0,PROCESO!B192&amp;" sacos x "&amp;PROCESO!C192&amp;" kg","")</f>
        <v/>
      </c>
      <c r="P157" s="130" t="n">
        <f aca="false">P156+N(M157)-N(N157)</f>
        <v>5288.5</v>
      </c>
      <c r="Q157" s="130"/>
      <c r="R157" s="130"/>
      <c r="S157" s="130"/>
      <c r="T157" s="130"/>
    </row>
    <row r="158" customFormat="false" ht="15" hidden="false" customHeight="false" outlineLevel="0" collapsed="false">
      <c r="A158" s="135" t="str">
        <f aca="false">IFERROR(INDEX(K$6:K$201,MATCH(ROW()-5,J$6:J$201,0)),"")</f>
        <v/>
      </c>
      <c r="B158" s="135" t="str">
        <f aca="false">IFERROR(INDEX(L$6:L$201,MATCH(ROW()-5,J$6:J$201,0)),"")</f>
        <v/>
      </c>
      <c r="C158" s="136" t="str">
        <f aca="false">IFERROR(INDEX(M$6:M$201,MATCH(ROW()-5,J$6:J$201,0)),"")</f>
        <v/>
      </c>
      <c r="D158" s="136" t="str">
        <f aca="false">IFERROR(INDEX(N$6:N$201,MATCH(ROW()-5,J$6:J$201,0)),"")</f>
        <v/>
      </c>
      <c r="E158" s="135" t="str">
        <f aca="false">IFERROR(INDEX(O$6:O$201,MATCH(ROW()-5,J$6:J$201,0)),"")</f>
        <v/>
      </c>
      <c r="F158" s="136" t="str">
        <f aca="false">IFERROR(INDEX(P$6:P$201,MATCH(ROW()-5,J$6:J$201,0)),"")</f>
        <v/>
      </c>
      <c r="G158" s="130"/>
      <c r="H158" s="130"/>
      <c r="I158" s="130"/>
      <c r="J158" s="130" t="str">
        <f aca="false">IF(N(PROCESO!H196)&gt;0,COUNT(J$6:J157)+1,"")</f>
        <v/>
      </c>
      <c r="K158" s="130" t="str">
        <f aca="false">IF(N(PROCESO!H196)&gt;0,PROCESO!A192&amp;IF(COUNTIF(PROCESO!$A$6:A191,PROCESO!A192)&gt;0," (Ped."&amp;(COUNTIF(PROCESO!$A$6:A191,PROCESO!A192)+1)&amp;")",""),"")</f>
        <v/>
      </c>
      <c r="L158" s="130" t="str">
        <f aca="false">IF(N(PROCESO!H196)&gt;0,"CHANCHO (proceso)","")</f>
        <v/>
      </c>
      <c r="M158" s="130" t="str">
        <f aca="false">""</f>
        <v/>
      </c>
      <c r="N158" s="130" t="str">
        <f aca="false">IF(N(PROCESO!H196)&gt;0,N(PROCESO!H196),"")</f>
        <v/>
      </c>
      <c r="O158" s="130" t="str">
        <f aca="false">IF(N(PROCESO!H196)&gt;0,PROCESO!G196&amp;" sacos x 95 kg","")</f>
        <v/>
      </c>
      <c r="P158" s="130" t="n">
        <f aca="false">P157+N(M158)-N(N158)</f>
        <v>5288.5</v>
      </c>
      <c r="Q158" s="130"/>
      <c r="R158" s="130"/>
      <c r="S158" s="130"/>
      <c r="T158" s="130"/>
    </row>
    <row r="159" customFormat="false" ht="15" hidden="false" customHeight="false" outlineLevel="0" collapsed="false">
      <c r="A159" s="135" t="str">
        <f aca="false">IFERROR(INDEX(K$6:K$201,MATCH(ROW()-5,J$6:J$201,0)),"")</f>
        <v/>
      </c>
      <c r="B159" s="135" t="str">
        <f aca="false">IFERROR(INDEX(L$6:L$201,MATCH(ROW()-5,J$6:J$201,0)),"")</f>
        <v/>
      </c>
      <c r="C159" s="136" t="str">
        <f aca="false">IFERROR(INDEX(M$6:M$201,MATCH(ROW()-5,J$6:J$201,0)),"")</f>
        <v/>
      </c>
      <c r="D159" s="136" t="str">
        <f aca="false">IFERROR(INDEX(N$6:N$201,MATCH(ROW()-5,J$6:J$201,0)),"")</f>
        <v/>
      </c>
      <c r="E159" s="135" t="str">
        <f aca="false">IFERROR(INDEX(O$6:O$201,MATCH(ROW()-5,J$6:J$201,0)),"")</f>
        <v/>
      </c>
      <c r="F159" s="136" t="str">
        <f aca="false">IFERROR(INDEX(P$6:P$201,MATCH(ROW()-5,J$6:J$201,0)),"")</f>
        <v/>
      </c>
      <c r="G159" s="130"/>
      <c r="H159" s="130"/>
      <c r="I159" s="130"/>
      <c r="J159" s="130" t="str">
        <f aca="false">IF(N(PROCESO!H197)&gt;0,COUNT(J$6:J158)+1,"")</f>
        <v/>
      </c>
      <c r="K159" s="130" t="str">
        <f aca="false">IF(N(PROCESO!H197)&gt;0,PROCESO!A192&amp;IF(COUNTIF(PROCESO!$A$6:A191,PROCESO!A192)&gt;0," (Ped."&amp;(COUNTIF(PROCESO!$A$6:A191,PROCESO!A192)+1)&amp;")",""),"")</f>
        <v/>
      </c>
      <c r="L159" s="130" t="str">
        <f aca="false">IF(N(PROCESO!H197)&gt;0,"MALOGRADO","")</f>
        <v/>
      </c>
      <c r="M159" s="130" t="str">
        <f aca="false">""</f>
        <v/>
      </c>
      <c r="N159" s="130" t="str">
        <f aca="false">IF(N(PROCESO!H197)&gt;0,N(PROCESO!H197),"")</f>
        <v/>
      </c>
      <c r="O159" s="130" t="str">
        <f aca="false">""</f>
        <v/>
      </c>
      <c r="P159" s="130" t="n">
        <f aca="false">P158+N(M159)-N(N159)</f>
        <v>5288.5</v>
      </c>
      <c r="Q159" s="130"/>
      <c r="R159" s="130"/>
      <c r="S159" s="130"/>
      <c r="T159" s="130"/>
    </row>
    <row r="160" customFormat="false" ht="15" hidden="false" customHeight="false" outlineLevel="0" collapsed="false">
      <c r="A160" s="135" t="str">
        <f aca="false">IFERROR(INDEX(K$6:K$201,MATCH(ROW()-5,J$6:J$201,0)),"")</f>
        <v/>
      </c>
      <c r="B160" s="135" t="str">
        <f aca="false">IFERROR(INDEX(L$6:L$201,MATCH(ROW()-5,J$6:J$201,0)),"")</f>
        <v/>
      </c>
      <c r="C160" s="136" t="str">
        <f aca="false">IFERROR(INDEX(M$6:M$201,MATCH(ROW()-5,J$6:J$201,0)),"")</f>
        <v/>
      </c>
      <c r="D160" s="136" t="str">
        <f aca="false">IFERROR(INDEX(N$6:N$201,MATCH(ROW()-5,J$6:J$201,0)),"")</f>
        <v/>
      </c>
      <c r="E160" s="135" t="str">
        <f aca="false">IFERROR(INDEX(O$6:O$201,MATCH(ROW()-5,J$6:J$201,0)),"")</f>
        <v/>
      </c>
      <c r="F160" s="136" t="str">
        <f aca="false">IFERROR(INDEX(P$6:P$201,MATCH(ROW()-5,J$6:J$201,0)),"")</f>
        <v/>
      </c>
      <c r="G160" s="130"/>
      <c r="H160" s="130"/>
      <c r="I160" s="130"/>
      <c r="J160" s="130" t="str">
        <f aca="false">IF(IF(PROCESO!J192&lt;&gt;"",PROCESO!J192,IF(PROCESO!J193&lt;&gt;"",PROCESO!J193,IF(PROCESO!J194&lt;&gt;"",PROCESO!J194,IF(PROCESO!J195&lt;&gt;"",PROCESO!J195,""))))&lt;&gt;"",COUNT(J$6:J159)+1,"")</f>
        <v/>
      </c>
      <c r="K160" s="130" t="str">
        <f aca="false">IF(IF(PROCESO!J192&lt;&gt;"",PROCESO!J192,IF(PROCESO!J193&lt;&gt;"",PROCESO!J193,IF(PROCESO!J194&lt;&gt;"",PROCESO!J194,IF(PROCESO!J195&lt;&gt;"",PROCESO!J195,""))))&lt;&gt;"",PROCESO!A192&amp;IF(COUNTIF(PROCESO!$A$6:A191,PROCESO!A192)&gt;0," (Ped."&amp;(COUNTIF(PROCESO!$A$6:A191,PROCESO!A192)+1)&amp;")",""),"")</f>
        <v/>
      </c>
      <c r="L160" s="130" t="str">
        <f aca="false">IF(IF(PROCESO!J192&lt;&gt;"",PROCESO!J192,IF(PROCESO!J193&lt;&gt;"",PROCESO!J193,IF(PROCESO!J194&lt;&gt;"",PROCESO!J194,IF(PROCESO!J195&lt;&gt;"",PROCESO!J195,""))))&lt;&gt;"","ENVÍO Guía "&amp;IF(LEFT(IF(PROCESO!J192&lt;&gt;"",PROCESO!J192,IF(PROCESO!J193&lt;&gt;"",PROCESO!J193,IF(PROCESO!J194&lt;&gt;"",PROCESO!J194,IF(PROCESO!J195&lt;&gt;"",PROCESO!J195,"")))),2)="G-",MID(IF(PROCESO!J192&lt;&gt;"",PROCESO!J192,IF(PROCESO!J193&lt;&gt;"",PROCESO!J193,IF(PROCESO!J194&lt;&gt;"",PROCESO!J194,IF(PROCESO!J195&lt;&gt;"",PROCESO!J195,"")))),3,99),IF(PROCESO!J192&lt;&gt;"",PROCESO!J192,IF(PROCESO!J193&lt;&gt;"",PROCESO!J193,IF(PROCESO!J194&lt;&gt;"",PROCESO!J194,IF(PROCESO!J195&lt;&gt;"",PROCESO!J195,""))))),"")</f>
        <v/>
      </c>
      <c r="M160" s="130" t="str">
        <f aca="false">""</f>
        <v/>
      </c>
      <c r="N160" s="130" t="str">
        <f aca="false">IF(IF(PROCESO!J192&lt;&gt;"",PROCESO!J192,IF(PROCESO!J193&lt;&gt;"",PROCESO!J193,IF(PROCESO!J194&lt;&gt;"",PROCESO!J194,IF(PROCESO!J195&lt;&gt;"",PROCESO!J195,""))))&lt;&gt;"",SUMIF(PROCESO!J192:J195,IF(PROCESO!J192&lt;&gt;"",PROCESO!J192,IF(PROCESO!J193&lt;&gt;"",PROCESO!J193,IF(PROCESO!J194&lt;&gt;"",PROCESO!J194,IF(PROCESO!J195&lt;&gt;"",PROCESO!J195,"")))),PROCESO!L192:L195),"")</f>
        <v/>
      </c>
      <c r="O160" s="130" t="str">
        <f aca="false">IF(IF(PROCESO!J192&lt;&gt;"",PROCESO!J192,IF(PROCESO!J193&lt;&gt;"",PROCESO!J193,IF(PROCESO!J194&lt;&gt;"",PROCESO!J194,IF(PROCESO!J195&lt;&gt;"",PROCESO!J195,""))))&lt;&gt;"","G-"&amp;IF(LEFT(IF(PROCESO!J192&lt;&gt;"",PROCESO!J192,IF(PROCESO!J193&lt;&gt;"",PROCESO!J193,IF(PROCESO!J194&lt;&gt;"",PROCESO!J194,IF(PROCESO!J195&lt;&gt;"",PROCESO!J195,"")))),2)="G-",MID(IF(PROCESO!J192&lt;&gt;"",PROCESO!J192,IF(PROCESO!J193&lt;&gt;"",PROCESO!J193,IF(PROCESO!J194&lt;&gt;"",PROCESO!J194,IF(PROCESO!J195&lt;&gt;"",PROCESO!J195,"")))),3,99),IF(PROCESO!J192&lt;&gt;"",PROCESO!J192,IF(PROCESO!J193&lt;&gt;"",PROCESO!J193,IF(PROCESO!J194&lt;&gt;"",PROCESO!J194,IF(PROCESO!J195&lt;&gt;"",PROCESO!J195,""))))),"")</f>
        <v/>
      </c>
      <c r="P160" s="130" t="n">
        <f aca="false">P159+N(M160)-N(N160)</f>
        <v>5288.5</v>
      </c>
      <c r="Q160" s="130"/>
      <c r="R160" s="130"/>
      <c r="S160" s="130"/>
      <c r="T160" s="130"/>
    </row>
    <row r="161" customFormat="false" ht="15" hidden="false" customHeight="false" outlineLevel="0" collapsed="false">
      <c r="A161" s="135" t="str">
        <f aca="false">IFERROR(INDEX(K$6:K$201,MATCH(ROW()-5,J$6:J$201,0)),"")</f>
        <v/>
      </c>
      <c r="B161" s="135" t="str">
        <f aca="false">IFERROR(INDEX(L$6:L$201,MATCH(ROW()-5,J$6:J$201,0)),"")</f>
        <v/>
      </c>
      <c r="C161" s="136" t="str">
        <f aca="false">IFERROR(INDEX(M$6:M$201,MATCH(ROW()-5,J$6:J$201,0)),"")</f>
        <v/>
      </c>
      <c r="D161" s="136" t="str">
        <f aca="false">IFERROR(INDEX(N$6:N$201,MATCH(ROW()-5,J$6:J$201,0)),"")</f>
        <v/>
      </c>
      <c r="E161" s="135" t="str">
        <f aca="false">IFERROR(INDEX(O$6:O$201,MATCH(ROW()-5,J$6:J$201,0)),"")</f>
        <v/>
      </c>
      <c r="F161" s="136" t="str">
        <f aca="false">IFERROR(INDEX(P$6:P$201,MATCH(ROW()-5,J$6:J$201,0)),"")</f>
        <v/>
      </c>
      <c r="G161" s="130"/>
      <c r="H161" s="130"/>
      <c r="I161" s="130"/>
      <c r="J161" s="130" t="str">
        <f aca="false">IF(OR(SUM(PROCESO!M192:M195)&gt;0,SUM(PROCESO!N192:N195)&gt;0),COUNT(J$6:J160)+1,"")</f>
        <v/>
      </c>
      <c r="K161" s="130" t="str">
        <f aca="false">IF(OR(SUM(PROCESO!M192:M195)&gt;0,SUM(PROCESO!N192:N195)&gt;0),PROCESO!A192&amp;IF(COUNTIF(PROCESO!$A$6:A191,PROCESO!A192)&gt;0," (Ped."&amp;(COUNTIF(PROCESO!$A$6:A191,PROCESO!A192)+1)&amp;")",""),"")</f>
        <v/>
      </c>
      <c r="L161" s="130" t="str">
        <f aca="false">IF(OR(SUM(PROCESO!M192:M195)&gt;0,SUM(PROCESO!N192:N195)&gt;0),"REPROCESO (devolución)","")</f>
        <v/>
      </c>
      <c r="M161" s="130" t="str">
        <f aca="false">IF(OR(SUM(PROCESO!M192:M195)&gt;0,SUM(PROCESO!N192:N195)&gt;0),SUM(PROCESO!N192:N195),"")</f>
        <v/>
      </c>
      <c r="N161" s="130" t="str">
        <f aca="false">""</f>
        <v/>
      </c>
      <c r="O161" s="130" t="str">
        <f aca="false">IF(OR(SUM(PROCESO!M192:M195)&gt;0,SUM(PROCESO!N192:N195)&gt;0),IF(SUM(PROCESO!M192:M195)&gt;0,SUM(PROCESO!M192:M195)&amp;" jabas devueltas · merma "&amp;TEXT((PROCESO!M192*15+PROCESO!M193*18+PROCESO!M194*17+PROCESO!M195*17)-SUM(PROCESO!N192:N195),"+#,##0;-#,##0;0")&amp;" kg",""),"")</f>
        <v/>
      </c>
      <c r="P161" s="130" t="n">
        <f aca="false">P160+N(M161)-N(N161)</f>
        <v>5288.5</v>
      </c>
      <c r="Q161" s="130"/>
      <c r="R161" s="130"/>
      <c r="S161" s="130"/>
      <c r="T161" s="130"/>
    </row>
    <row r="162" customFormat="false" ht="15" hidden="false" customHeight="false" outlineLevel="0" collapsed="false">
      <c r="A162" s="135" t="str">
        <f aca="false">IFERROR(INDEX(K$6:K$201,MATCH(ROW()-5,J$6:J$201,0)),"")</f>
        <v/>
      </c>
      <c r="B162" s="135" t="str">
        <f aca="false">IFERROR(INDEX(L$6:L$201,MATCH(ROW()-5,J$6:J$201,0)),"")</f>
        <v/>
      </c>
      <c r="C162" s="136" t="str">
        <f aca="false">IFERROR(INDEX(M$6:M$201,MATCH(ROW()-5,J$6:J$201,0)),"")</f>
        <v/>
      </c>
      <c r="D162" s="136" t="str">
        <f aca="false">IFERROR(INDEX(N$6:N$201,MATCH(ROW()-5,J$6:J$201,0)),"")</f>
        <v/>
      </c>
      <c r="E162" s="135" t="str">
        <f aca="false">IFERROR(INDEX(O$6:O$201,MATCH(ROW()-5,J$6:J$201,0)),"")</f>
        <v/>
      </c>
      <c r="F162" s="136" t="str">
        <f aca="false">IFERROR(INDEX(P$6:P$201,MATCH(ROW()-5,J$6:J$201,0)),"")</f>
        <v/>
      </c>
      <c r="G162" s="130"/>
      <c r="H162" s="130"/>
      <c r="I162" s="130"/>
      <c r="J162" s="130" t="str">
        <f aca="false">IF(PROCESO!D198&gt;0,COUNT(J$6:J161)+1,"")</f>
        <v/>
      </c>
      <c r="K162" s="130" t="str">
        <f aca="false">IF(PROCESO!D198&gt;0,PROCESO!A198&amp;IF(COUNTIF(PROCESO!$A$6:A197,PROCESO!A198)&gt;0," (Ped."&amp;(COUNTIF(PROCESO!$A$6:A197,PROCESO!A198)+1)&amp;")",""),"")</f>
        <v/>
      </c>
      <c r="L162" s="130" t="str">
        <f aca="false">IF(PROCESO!D198&gt;0,"INGRESO (compra)","")</f>
        <v/>
      </c>
      <c r="M162" s="130" t="str">
        <f aca="false">IF(PROCESO!D198&gt;0,PROCESO!D198,"")</f>
        <v/>
      </c>
      <c r="N162" s="130" t="str">
        <f aca="false">""</f>
        <v/>
      </c>
      <c r="O162" s="130" t="str">
        <f aca="false">IF(PROCESO!D198&gt;0,PROCESO!B198&amp;" sacos x "&amp;PROCESO!C198&amp;" kg","")</f>
        <v/>
      </c>
      <c r="P162" s="130" t="n">
        <f aca="false">P161+N(M162)-N(N162)</f>
        <v>5288.5</v>
      </c>
      <c r="Q162" s="130"/>
      <c r="R162" s="130"/>
      <c r="S162" s="130"/>
      <c r="T162" s="130"/>
    </row>
    <row r="163" customFormat="false" ht="15" hidden="false" customHeight="false" outlineLevel="0" collapsed="false">
      <c r="A163" s="135" t="str">
        <f aca="false">IFERROR(INDEX(K$6:K$201,MATCH(ROW()-5,J$6:J$201,0)),"")</f>
        <v/>
      </c>
      <c r="B163" s="135" t="str">
        <f aca="false">IFERROR(INDEX(L$6:L$201,MATCH(ROW()-5,J$6:J$201,0)),"")</f>
        <v/>
      </c>
      <c r="C163" s="136" t="str">
        <f aca="false">IFERROR(INDEX(M$6:M$201,MATCH(ROW()-5,J$6:J$201,0)),"")</f>
        <v/>
      </c>
      <c r="D163" s="136" t="str">
        <f aca="false">IFERROR(INDEX(N$6:N$201,MATCH(ROW()-5,J$6:J$201,0)),"")</f>
        <v/>
      </c>
      <c r="E163" s="135" t="str">
        <f aca="false">IFERROR(INDEX(O$6:O$201,MATCH(ROW()-5,J$6:J$201,0)),"")</f>
        <v/>
      </c>
      <c r="F163" s="136" t="str">
        <f aca="false">IFERROR(INDEX(P$6:P$201,MATCH(ROW()-5,J$6:J$201,0)),"")</f>
        <v/>
      </c>
      <c r="G163" s="130"/>
      <c r="H163" s="130"/>
      <c r="I163" s="130"/>
      <c r="J163" s="130" t="str">
        <f aca="false">IF(N(PROCESO!H202)&gt;0,COUNT(J$6:J162)+1,"")</f>
        <v/>
      </c>
      <c r="K163" s="130" t="str">
        <f aca="false">IF(N(PROCESO!H202)&gt;0,PROCESO!A198&amp;IF(COUNTIF(PROCESO!$A$6:A197,PROCESO!A198)&gt;0," (Ped."&amp;(COUNTIF(PROCESO!$A$6:A197,PROCESO!A198)+1)&amp;")",""),"")</f>
        <v/>
      </c>
      <c r="L163" s="130" t="str">
        <f aca="false">IF(N(PROCESO!H202)&gt;0,"CHANCHO (proceso)","")</f>
        <v/>
      </c>
      <c r="M163" s="130" t="str">
        <f aca="false">""</f>
        <v/>
      </c>
      <c r="N163" s="130" t="str">
        <f aca="false">IF(N(PROCESO!H202)&gt;0,N(PROCESO!H202),"")</f>
        <v/>
      </c>
      <c r="O163" s="130" t="str">
        <f aca="false">IF(N(PROCESO!H202)&gt;0,PROCESO!G202&amp;" sacos x 95 kg","")</f>
        <v/>
      </c>
      <c r="P163" s="130" t="n">
        <f aca="false">P162+N(M163)-N(N163)</f>
        <v>5288.5</v>
      </c>
      <c r="Q163" s="130"/>
      <c r="R163" s="130"/>
      <c r="S163" s="130"/>
      <c r="T163" s="130"/>
    </row>
    <row r="164" customFormat="false" ht="15" hidden="false" customHeight="false" outlineLevel="0" collapsed="false">
      <c r="A164" s="135" t="str">
        <f aca="false">IFERROR(INDEX(K$6:K$201,MATCH(ROW()-5,J$6:J$201,0)),"")</f>
        <v/>
      </c>
      <c r="B164" s="135" t="str">
        <f aca="false">IFERROR(INDEX(L$6:L$201,MATCH(ROW()-5,J$6:J$201,0)),"")</f>
        <v/>
      </c>
      <c r="C164" s="136" t="str">
        <f aca="false">IFERROR(INDEX(M$6:M$201,MATCH(ROW()-5,J$6:J$201,0)),"")</f>
        <v/>
      </c>
      <c r="D164" s="136" t="str">
        <f aca="false">IFERROR(INDEX(N$6:N$201,MATCH(ROW()-5,J$6:J$201,0)),"")</f>
        <v/>
      </c>
      <c r="E164" s="135" t="str">
        <f aca="false">IFERROR(INDEX(O$6:O$201,MATCH(ROW()-5,J$6:J$201,0)),"")</f>
        <v/>
      </c>
      <c r="F164" s="136" t="str">
        <f aca="false">IFERROR(INDEX(P$6:P$201,MATCH(ROW()-5,J$6:J$201,0)),"")</f>
        <v/>
      </c>
      <c r="G164" s="130"/>
      <c r="H164" s="130"/>
      <c r="I164" s="130"/>
      <c r="J164" s="130" t="str">
        <f aca="false">IF(N(PROCESO!H203)&gt;0,COUNT(J$6:J163)+1,"")</f>
        <v/>
      </c>
      <c r="K164" s="130" t="str">
        <f aca="false">IF(N(PROCESO!H203)&gt;0,PROCESO!A198&amp;IF(COUNTIF(PROCESO!$A$6:A197,PROCESO!A198)&gt;0," (Ped."&amp;(COUNTIF(PROCESO!$A$6:A197,PROCESO!A198)+1)&amp;")",""),"")</f>
        <v/>
      </c>
      <c r="L164" s="130" t="str">
        <f aca="false">IF(N(PROCESO!H203)&gt;0,"MALOGRADO","")</f>
        <v/>
      </c>
      <c r="M164" s="130" t="str">
        <f aca="false">""</f>
        <v/>
      </c>
      <c r="N164" s="130" t="str">
        <f aca="false">IF(N(PROCESO!H203)&gt;0,N(PROCESO!H203),"")</f>
        <v/>
      </c>
      <c r="O164" s="130" t="str">
        <f aca="false">""</f>
        <v/>
      </c>
      <c r="P164" s="130" t="n">
        <f aca="false">P163+N(M164)-N(N164)</f>
        <v>5288.5</v>
      </c>
      <c r="Q164" s="130"/>
      <c r="R164" s="130"/>
      <c r="S164" s="130"/>
      <c r="T164" s="130"/>
    </row>
    <row r="165" customFormat="false" ht="15" hidden="false" customHeight="false" outlineLevel="0" collapsed="false">
      <c r="A165" s="135" t="str">
        <f aca="false">IFERROR(INDEX(K$6:K$201,MATCH(ROW()-5,J$6:J$201,0)),"")</f>
        <v/>
      </c>
      <c r="B165" s="135" t="str">
        <f aca="false">IFERROR(INDEX(L$6:L$201,MATCH(ROW()-5,J$6:J$201,0)),"")</f>
        <v/>
      </c>
      <c r="C165" s="136" t="str">
        <f aca="false">IFERROR(INDEX(M$6:M$201,MATCH(ROW()-5,J$6:J$201,0)),"")</f>
        <v/>
      </c>
      <c r="D165" s="136" t="str">
        <f aca="false">IFERROR(INDEX(N$6:N$201,MATCH(ROW()-5,J$6:J$201,0)),"")</f>
        <v/>
      </c>
      <c r="E165" s="135" t="str">
        <f aca="false">IFERROR(INDEX(O$6:O$201,MATCH(ROW()-5,J$6:J$201,0)),"")</f>
        <v/>
      </c>
      <c r="F165" s="136" t="str">
        <f aca="false">IFERROR(INDEX(P$6:P$201,MATCH(ROW()-5,J$6:J$201,0)),"")</f>
        <v/>
      </c>
      <c r="G165" s="130"/>
      <c r="H165" s="130"/>
      <c r="I165" s="130"/>
      <c r="J165" s="130" t="str">
        <f aca="false">IF(IF(PROCESO!J198&lt;&gt;"",PROCESO!J198,IF(PROCESO!J199&lt;&gt;"",PROCESO!J199,IF(PROCESO!J200&lt;&gt;"",PROCESO!J200,IF(PROCESO!J201&lt;&gt;"",PROCESO!J201,""))))&lt;&gt;"",COUNT(J$6:J164)+1,"")</f>
        <v/>
      </c>
      <c r="K165" s="130" t="str">
        <f aca="false">IF(IF(PROCESO!J198&lt;&gt;"",PROCESO!J198,IF(PROCESO!J199&lt;&gt;"",PROCESO!J199,IF(PROCESO!J200&lt;&gt;"",PROCESO!J200,IF(PROCESO!J201&lt;&gt;"",PROCESO!J201,""))))&lt;&gt;"",PROCESO!A198&amp;IF(COUNTIF(PROCESO!$A$6:A197,PROCESO!A198)&gt;0," (Ped."&amp;(COUNTIF(PROCESO!$A$6:A197,PROCESO!A198)+1)&amp;")",""),"")</f>
        <v/>
      </c>
      <c r="L165" s="130" t="str">
        <f aca="false">IF(IF(PROCESO!J198&lt;&gt;"",PROCESO!J198,IF(PROCESO!J199&lt;&gt;"",PROCESO!J199,IF(PROCESO!J200&lt;&gt;"",PROCESO!J200,IF(PROCESO!J201&lt;&gt;"",PROCESO!J201,""))))&lt;&gt;"","ENVÍO Guía "&amp;IF(LEFT(IF(PROCESO!J198&lt;&gt;"",PROCESO!J198,IF(PROCESO!J199&lt;&gt;"",PROCESO!J199,IF(PROCESO!J200&lt;&gt;"",PROCESO!J200,IF(PROCESO!J201&lt;&gt;"",PROCESO!J201,"")))),2)="G-",MID(IF(PROCESO!J198&lt;&gt;"",PROCESO!J198,IF(PROCESO!J199&lt;&gt;"",PROCESO!J199,IF(PROCESO!J200&lt;&gt;"",PROCESO!J200,IF(PROCESO!J201&lt;&gt;"",PROCESO!J201,"")))),3,99),IF(PROCESO!J198&lt;&gt;"",PROCESO!J198,IF(PROCESO!J199&lt;&gt;"",PROCESO!J199,IF(PROCESO!J200&lt;&gt;"",PROCESO!J200,IF(PROCESO!J201&lt;&gt;"",PROCESO!J201,""))))),"")</f>
        <v/>
      </c>
      <c r="M165" s="130" t="str">
        <f aca="false">""</f>
        <v/>
      </c>
      <c r="N165" s="130" t="str">
        <f aca="false">IF(IF(PROCESO!J198&lt;&gt;"",PROCESO!J198,IF(PROCESO!J199&lt;&gt;"",PROCESO!J199,IF(PROCESO!J200&lt;&gt;"",PROCESO!J200,IF(PROCESO!J201&lt;&gt;"",PROCESO!J201,""))))&lt;&gt;"",SUMIF(PROCESO!J198:J201,IF(PROCESO!J198&lt;&gt;"",PROCESO!J198,IF(PROCESO!J199&lt;&gt;"",PROCESO!J199,IF(PROCESO!J200&lt;&gt;"",PROCESO!J200,IF(PROCESO!J201&lt;&gt;"",PROCESO!J201,"")))),PROCESO!L198:L201),"")</f>
        <v/>
      </c>
      <c r="O165" s="130" t="str">
        <f aca="false">IF(IF(PROCESO!J198&lt;&gt;"",PROCESO!J198,IF(PROCESO!J199&lt;&gt;"",PROCESO!J199,IF(PROCESO!J200&lt;&gt;"",PROCESO!J200,IF(PROCESO!J201&lt;&gt;"",PROCESO!J201,""))))&lt;&gt;"","G-"&amp;IF(LEFT(IF(PROCESO!J198&lt;&gt;"",PROCESO!J198,IF(PROCESO!J199&lt;&gt;"",PROCESO!J199,IF(PROCESO!J200&lt;&gt;"",PROCESO!J200,IF(PROCESO!J201&lt;&gt;"",PROCESO!J201,"")))),2)="G-",MID(IF(PROCESO!J198&lt;&gt;"",PROCESO!J198,IF(PROCESO!J199&lt;&gt;"",PROCESO!J199,IF(PROCESO!J200&lt;&gt;"",PROCESO!J200,IF(PROCESO!J201&lt;&gt;"",PROCESO!J201,"")))),3,99),IF(PROCESO!J198&lt;&gt;"",PROCESO!J198,IF(PROCESO!J199&lt;&gt;"",PROCESO!J199,IF(PROCESO!J200&lt;&gt;"",PROCESO!J200,IF(PROCESO!J201&lt;&gt;"",PROCESO!J201,""))))),"")</f>
        <v/>
      </c>
      <c r="P165" s="130" t="n">
        <f aca="false">P164+N(M165)-N(N165)</f>
        <v>5288.5</v>
      </c>
      <c r="Q165" s="130"/>
      <c r="R165" s="130"/>
      <c r="S165" s="130"/>
      <c r="T165" s="130"/>
    </row>
    <row r="166" customFormat="false" ht="15" hidden="false" customHeight="false" outlineLevel="0" collapsed="false">
      <c r="A166" s="135" t="str">
        <f aca="false">IFERROR(INDEX(K$6:K$201,MATCH(ROW()-5,J$6:J$201,0)),"")</f>
        <v/>
      </c>
      <c r="B166" s="135" t="str">
        <f aca="false">IFERROR(INDEX(L$6:L$201,MATCH(ROW()-5,J$6:J$201,0)),"")</f>
        <v/>
      </c>
      <c r="C166" s="136" t="str">
        <f aca="false">IFERROR(INDEX(M$6:M$201,MATCH(ROW()-5,J$6:J$201,0)),"")</f>
        <v/>
      </c>
      <c r="D166" s="136" t="str">
        <f aca="false">IFERROR(INDEX(N$6:N$201,MATCH(ROW()-5,J$6:J$201,0)),"")</f>
        <v/>
      </c>
      <c r="E166" s="135" t="str">
        <f aca="false">IFERROR(INDEX(O$6:O$201,MATCH(ROW()-5,J$6:J$201,0)),"")</f>
        <v/>
      </c>
      <c r="F166" s="136" t="str">
        <f aca="false">IFERROR(INDEX(P$6:P$201,MATCH(ROW()-5,J$6:J$201,0)),"")</f>
        <v/>
      </c>
      <c r="G166" s="130"/>
      <c r="H166" s="130"/>
      <c r="I166" s="130"/>
      <c r="J166" s="130" t="str">
        <f aca="false">IF(OR(SUM(PROCESO!M198:M201)&gt;0,SUM(PROCESO!N198:N201)&gt;0),COUNT(J$6:J165)+1,"")</f>
        <v/>
      </c>
      <c r="K166" s="130" t="str">
        <f aca="false">IF(OR(SUM(PROCESO!M198:M201)&gt;0,SUM(PROCESO!N198:N201)&gt;0),PROCESO!A198&amp;IF(COUNTIF(PROCESO!$A$6:A197,PROCESO!A198)&gt;0," (Ped."&amp;(COUNTIF(PROCESO!$A$6:A197,PROCESO!A198)+1)&amp;")",""),"")</f>
        <v/>
      </c>
      <c r="L166" s="130" t="str">
        <f aca="false">IF(OR(SUM(PROCESO!M198:M201)&gt;0,SUM(PROCESO!N198:N201)&gt;0),"REPROCESO (devolución)","")</f>
        <v/>
      </c>
      <c r="M166" s="130" t="str">
        <f aca="false">IF(OR(SUM(PROCESO!M198:M201)&gt;0,SUM(PROCESO!N198:N201)&gt;0),SUM(PROCESO!N198:N201),"")</f>
        <v/>
      </c>
      <c r="N166" s="130" t="str">
        <f aca="false">""</f>
        <v/>
      </c>
      <c r="O166" s="130" t="str">
        <f aca="false">IF(OR(SUM(PROCESO!M198:M201)&gt;0,SUM(PROCESO!N198:N201)&gt;0),IF(SUM(PROCESO!M198:M201)&gt;0,SUM(PROCESO!M198:M201)&amp;" jabas devueltas · merma "&amp;TEXT((PROCESO!M198*15+PROCESO!M199*18+PROCESO!M200*17+PROCESO!M201*17)-SUM(PROCESO!N198:N201),"+#,##0;-#,##0;0")&amp;" kg",""),"")</f>
        <v/>
      </c>
      <c r="P166" s="130" t="n">
        <f aca="false">P165+N(M166)-N(N166)</f>
        <v>5288.5</v>
      </c>
      <c r="Q166" s="130"/>
      <c r="R166" s="130"/>
      <c r="S166" s="130"/>
      <c r="T166" s="130"/>
    </row>
    <row r="167" customFormat="false" ht="15" hidden="false" customHeight="false" outlineLevel="0" collapsed="false">
      <c r="A167" s="135" t="str">
        <f aca="false">IFERROR(INDEX(K$6:K$201,MATCH(ROW()-5,J$6:J$201,0)),"")</f>
        <v/>
      </c>
      <c r="B167" s="135" t="str">
        <f aca="false">IFERROR(INDEX(L$6:L$201,MATCH(ROW()-5,J$6:J$201,0)),"")</f>
        <v/>
      </c>
      <c r="C167" s="136" t="str">
        <f aca="false">IFERROR(INDEX(M$6:M$201,MATCH(ROW()-5,J$6:J$201,0)),"")</f>
        <v/>
      </c>
      <c r="D167" s="136" t="str">
        <f aca="false">IFERROR(INDEX(N$6:N$201,MATCH(ROW()-5,J$6:J$201,0)),"")</f>
        <v/>
      </c>
      <c r="E167" s="135" t="str">
        <f aca="false">IFERROR(INDEX(O$6:O$201,MATCH(ROW()-5,J$6:J$201,0)),"")</f>
        <v/>
      </c>
      <c r="F167" s="136" t="str">
        <f aca="false">IFERROR(INDEX(P$6:P$201,MATCH(ROW()-5,J$6:J$201,0)),"")</f>
        <v/>
      </c>
      <c r="G167" s="130"/>
      <c r="H167" s="130"/>
      <c r="I167" s="130"/>
      <c r="J167" s="130" t="str">
        <f aca="false">IF(PROCESO!D204&gt;0,COUNT(J$6:J166)+1,"")</f>
        <v/>
      </c>
      <c r="K167" s="130" t="str">
        <f aca="false">IF(PROCESO!D204&gt;0,PROCESO!A204&amp;IF(COUNTIF(PROCESO!$A$6:A203,PROCESO!A204)&gt;0," (Ped."&amp;(COUNTIF(PROCESO!$A$6:A203,PROCESO!A204)+1)&amp;")",""),"")</f>
        <v/>
      </c>
      <c r="L167" s="130" t="str">
        <f aca="false">IF(PROCESO!D204&gt;0,"INGRESO (compra)","")</f>
        <v/>
      </c>
      <c r="M167" s="130" t="str">
        <f aca="false">IF(PROCESO!D204&gt;0,PROCESO!D204,"")</f>
        <v/>
      </c>
      <c r="N167" s="130" t="str">
        <f aca="false">""</f>
        <v/>
      </c>
      <c r="O167" s="130" t="str">
        <f aca="false">IF(PROCESO!D204&gt;0,PROCESO!B204&amp;" sacos x "&amp;PROCESO!C204&amp;" kg","")</f>
        <v/>
      </c>
      <c r="P167" s="130" t="n">
        <f aca="false">P166+N(M167)-N(N167)</f>
        <v>5288.5</v>
      </c>
      <c r="Q167" s="130"/>
      <c r="R167" s="130"/>
      <c r="S167" s="130"/>
      <c r="T167" s="130"/>
    </row>
    <row r="168" customFormat="false" ht="15" hidden="false" customHeight="false" outlineLevel="0" collapsed="false">
      <c r="A168" s="135" t="str">
        <f aca="false">IFERROR(INDEX(K$6:K$201,MATCH(ROW()-5,J$6:J$201,0)),"")</f>
        <v/>
      </c>
      <c r="B168" s="135" t="str">
        <f aca="false">IFERROR(INDEX(L$6:L$201,MATCH(ROW()-5,J$6:J$201,0)),"")</f>
        <v/>
      </c>
      <c r="C168" s="136" t="str">
        <f aca="false">IFERROR(INDEX(M$6:M$201,MATCH(ROW()-5,J$6:J$201,0)),"")</f>
        <v/>
      </c>
      <c r="D168" s="136" t="str">
        <f aca="false">IFERROR(INDEX(N$6:N$201,MATCH(ROW()-5,J$6:J$201,0)),"")</f>
        <v/>
      </c>
      <c r="E168" s="135" t="str">
        <f aca="false">IFERROR(INDEX(O$6:O$201,MATCH(ROW()-5,J$6:J$201,0)),"")</f>
        <v/>
      </c>
      <c r="F168" s="136" t="str">
        <f aca="false">IFERROR(INDEX(P$6:P$201,MATCH(ROW()-5,J$6:J$201,0)),"")</f>
        <v/>
      </c>
      <c r="G168" s="130"/>
      <c r="H168" s="130"/>
      <c r="I168" s="130"/>
      <c r="J168" s="130" t="str">
        <f aca="false">IF(N(PROCESO!H208)&gt;0,COUNT(J$6:J167)+1,"")</f>
        <v/>
      </c>
      <c r="K168" s="130" t="str">
        <f aca="false">IF(N(PROCESO!H208)&gt;0,PROCESO!A204&amp;IF(COUNTIF(PROCESO!$A$6:A203,PROCESO!A204)&gt;0," (Ped."&amp;(COUNTIF(PROCESO!$A$6:A203,PROCESO!A204)+1)&amp;")",""),"")</f>
        <v/>
      </c>
      <c r="L168" s="130" t="str">
        <f aca="false">IF(N(PROCESO!H208)&gt;0,"CHANCHO (proceso)","")</f>
        <v/>
      </c>
      <c r="M168" s="130" t="str">
        <f aca="false">""</f>
        <v/>
      </c>
      <c r="N168" s="130" t="str">
        <f aca="false">IF(N(PROCESO!H208)&gt;0,N(PROCESO!H208),"")</f>
        <v/>
      </c>
      <c r="O168" s="130" t="str">
        <f aca="false">IF(N(PROCESO!H208)&gt;0,PROCESO!G208&amp;" sacos x 95 kg","")</f>
        <v/>
      </c>
      <c r="P168" s="130" t="n">
        <f aca="false">P167+N(M168)-N(N168)</f>
        <v>5288.5</v>
      </c>
      <c r="Q168" s="130"/>
      <c r="R168" s="130"/>
      <c r="S168" s="130"/>
      <c r="T168" s="130"/>
    </row>
    <row r="169" customFormat="false" ht="15" hidden="false" customHeight="false" outlineLevel="0" collapsed="false">
      <c r="A169" s="135" t="str">
        <f aca="false">IFERROR(INDEX(K$6:K$201,MATCH(ROW()-5,J$6:J$201,0)),"")</f>
        <v/>
      </c>
      <c r="B169" s="135" t="str">
        <f aca="false">IFERROR(INDEX(L$6:L$201,MATCH(ROW()-5,J$6:J$201,0)),"")</f>
        <v/>
      </c>
      <c r="C169" s="136" t="str">
        <f aca="false">IFERROR(INDEX(M$6:M$201,MATCH(ROW()-5,J$6:J$201,0)),"")</f>
        <v/>
      </c>
      <c r="D169" s="136" t="str">
        <f aca="false">IFERROR(INDEX(N$6:N$201,MATCH(ROW()-5,J$6:J$201,0)),"")</f>
        <v/>
      </c>
      <c r="E169" s="135" t="str">
        <f aca="false">IFERROR(INDEX(O$6:O$201,MATCH(ROW()-5,J$6:J$201,0)),"")</f>
        <v/>
      </c>
      <c r="F169" s="136" t="str">
        <f aca="false">IFERROR(INDEX(P$6:P$201,MATCH(ROW()-5,J$6:J$201,0)),"")</f>
        <v/>
      </c>
      <c r="G169" s="130"/>
      <c r="H169" s="130"/>
      <c r="I169" s="130"/>
      <c r="J169" s="130" t="str">
        <f aca="false">IF(N(PROCESO!H209)&gt;0,COUNT(J$6:J168)+1,"")</f>
        <v/>
      </c>
      <c r="K169" s="130" t="str">
        <f aca="false">IF(N(PROCESO!H209)&gt;0,PROCESO!A204&amp;IF(COUNTIF(PROCESO!$A$6:A203,PROCESO!A204)&gt;0," (Ped."&amp;(COUNTIF(PROCESO!$A$6:A203,PROCESO!A204)+1)&amp;")",""),"")</f>
        <v/>
      </c>
      <c r="L169" s="130" t="str">
        <f aca="false">IF(N(PROCESO!H209)&gt;0,"MALOGRADO","")</f>
        <v/>
      </c>
      <c r="M169" s="130" t="str">
        <f aca="false">""</f>
        <v/>
      </c>
      <c r="N169" s="130" t="str">
        <f aca="false">IF(N(PROCESO!H209)&gt;0,N(PROCESO!H209),"")</f>
        <v/>
      </c>
      <c r="O169" s="130" t="str">
        <f aca="false">""</f>
        <v/>
      </c>
      <c r="P169" s="130" t="n">
        <f aca="false">P168+N(M169)-N(N169)</f>
        <v>5288.5</v>
      </c>
      <c r="Q169" s="130"/>
      <c r="R169" s="130"/>
      <c r="S169" s="130"/>
      <c r="T169" s="130"/>
    </row>
    <row r="170" customFormat="false" ht="15" hidden="false" customHeight="false" outlineLevel="0" collapsed="false">
      <c r="A170" s="135" t="str">
        <f aca="false">IFERROR(INDEX(K$6:K$201,MATCH(ROW()-5,J$6:J$201,0)),"")</f>
        <v/>
      </c>
      <c r="B170" s="135" t="str">
        <f aca="false">IFERROR(INDEX(L$6:L$201,MATCH(ROW()-5,J$6:J$201,0)),"")</f>
        <v/>
      </c>
      <c r="C170" s="136" t="str">
        <f aca="false">IFERROR(INDEX(M$6:M$201,MATCH(ROW()-5,J$6:J$201,0)),"")</f>
        <v/>
      </c>
      <c r="D170" s="136" t="str">
        <f aca="false">IFERROR(INDEX(N$6:N$201,MATCH(ROW()-5,J$6:J$201,0)),"")</f>
        <v/>
      </c>
      <c r="E170" s="135" t="str">
        <f aca="false">IFERROR(INDEX(O$6:O$201,MATCH(ROW()-5,J$6:J$201,0)),"")</f>
        <v/>
      </c>
      <c r="F170" s="136" t="str">
        <f aca="false">IFERROR(INDEX(P$6:P$201,MATCH(ROW()-5,J$6:J$201,0)),"")</f>
        <v/>
      </c>
      <c r="G170" s="130"/>
      <c r="H170" s="130"/>
      <c r="I170" s="130"/>
      <c r="J170" s="130" t="str">
        <f aca="false">IF(IF(PROCESO!J204&lt;&gt;"",PROCESO!J204,IF(PROCESO!J205&lt;&gt;"",PROCESO!J205,IF(PROCESO!J206&lt;&gt;"",PROCESO!J206,IF(PROCESO!J207&lt;&gt;"",PROCESO!J207,""))))&lt;&gt;"",COUNT(J$6:J169)+1,"")</f>
        <v/>
      </c>
      <c r="K170" s="130" t="str">
        <f aca="false">IF(IF(PROCESO!J204&lt;&gt;"",PROCESO!J204,IF(PROCESO!J205&lt;&gt;"",PROCESO!J205,IF(PROCESO!J206&lt;&gt;"",PROCESO!J206,IF(PROCESO!J207&lt;&gt;"",PROCESO!J207,""))))&lt;&gt;"",PROCESO!A204&amp;IF(COUNTIF(PROCESO!$A$6:A203,PROCESO!A204)&gt;0," (Ped."&amp;(COUNTIF(PROCESO!$A$6:A203,PROCESO!A204)+1)&amp;")",""),"")</f>
        <v/>
      </c>
      <c r="L170" s="130" t="str">
        <f aca="false">IF(IF(PROCESO!J204&lt;&gt;"",PROCESO!J204,IF(PROCESO!J205&lt;&gt;"",PROCESO!J205,IF(PROCESO!J206&lt;&gt;"",PROCESO!J206,IF(PROCESO!J207&lt;&gt;"",PROCESO!J207,""))))&lt;&gt;"","ENVÍO Guía "&amp;IF(LEFT(IF(PROCESO!J204&lt;&gt;"",PROCESO!J204,IF(PROCESO!J205&lt;&gt;"",PROCESO!J205,IF(PROCESO!J206&lt;&gt;"",PROCESO!J206,IF(PROCESO!J207&lt;&gt;"",PROCESO!J207,"")))),2)="G-",MID(IF(PROCESO!J204&lt;&gt;"",PROCESO!J204,IF(PROCESO!J205&lt;&gt;"",PROCESO!J205,IF(PROCESO!J206&lt;&gt;"",PROCESO!J206,IF(PROCESO!J207&lt;&gt;"",PROCESO!J207,"")))),3,99),IF(PROCESO!J204&lt;&gt;"",PROCESO!J204,IF(PROCESO!J205&lt;&gt;"",PROCESO!J205,IF(PROCESO!J206&lt;&gt;"",PROCESO!J206,IF(PROCESO!J207&lt;&gt;"",PROCESO!J207,""))))),"")</f>
        <v/>
      </c>
      <c r="M170" s="130" t="str">
        <f aca="false">""</f>
        <v/>
      </c>
      <c r="N170" s="130" t="str">
        <f aca="false">IF(IF(PROCESO!J204&lt;&gt;"",PROCESO!J204,IF(PROCESO!J205&lt;&gt;"",PROCESO!J205,IF(PROCESO!J206&lt;&gt;"",PROCESO!J206,IF(PROCESO!J207&lt;&gt;"",PROCESO!J207,""))))&lt;&gt;"",SUMIF(PROCESO!J204:J207,IF(PROCESO!J204&lt;&gt;"",PROCESO!J204,IF(PROCESO!J205&lt;&gt;"",PROCESO!J205,IF(PROCESO!J206&lt;&gt;"",PROCESO!J206,IF(PROCESO!J207&lt;&gt;"",PROCESO!J207,"")))),PROCESO!L204:L207),"")</f>
        <v/>
      </c>
      <c r="O170" s="130" t="str">
        <f aca="false">IF(IF(PROCESO!J204&lt;&gt;"",PROCESO!J204,IF(PROCESO!J205&lt;&gt;"",PROCESO!J205,IF(PROCESO!J206&lt;&gt;"",PROCESO!J206,IF(PROCESO!J207&lt;&gt;"",PROCESO!J207,""))))&lt;&gt;"","G-"&amp;IF(LEFT(IF(PROCESO!J204&lt;&gt;"",PROCESO!J204,IF(PROCESO!J205&lt;&gt;"",PROCESO!J205,IF(PROCESO!J206&lt;&gt;"",PROCESO!J206,IF(PROCESO!J207&lt;&gt;"",PROCESO!J207,"")))),2)="G-",MID(IF(PROCESO!J204&lt;&gt;"",PROCESO!J204,IF(PROCESO!J205&lt;&gt;"",PROCESO!J205,IF(PROCESO!J206&lt;&gt;"",PROCESO!J206,IF(PROCESO!J207&lt;&gt;"",PROCESO!J207,"")))),3,99),IF(PROCESO!J204&lt;&gt;"",PROCESO!J204,IF(PROCESO!J205&lt;&gt;"",PROCESO!J205,IF(PROCESO!J206&lt;&gt;"",PROCESO!J206,IF(PROCESO!J207&lt;&gt;"",PROCESO!J207,""))))),"")</f>
        <v/>
      </c>
      <c r="P170" s="130" t="n">
        <f aca="false">P169+N(M170)-N(N170)</f>
        <v>5288.5</v>
      </c>
      <c r="Q170" s="130"/>
      <c r="R170" s="130"/>
      <c r="S170" s="130"/>
      <c r="T170" s="130"/>
    </row>
    <row r="171" customFormat="false" ht="15" hidden="false" customHeight="false" outlineLevel="0" collapsed="false">
      <c r="A171" s="135" t="str">
        <f aca="false">IFERROR(INDEX(K$6:K$201,MATCH(ROW()-5,J$6:J$201,0)),"")</f>
        <v/>
      </c>
      <c r="B171" s="135" t="str">
        <f aca="false">IFERROR(INDEX(L$6:L$201,MATCH(ROW()-5,J$6:J$201,0)),"")</f>
        <v/>
      </c>
      <c r="C171" s="136" t="str">
        <f aca="false">IFERROR(INDEX(M$6:M$201,MATCH(ROW()-5,J$6:J$201,0)),"")</f>
        <v/>
      </c>
      <c r="D171" s="136" t="str">
        <f aca="false">IFERROR(INDEX(N$6:N$201,MATCH(ROW()-5,J$6:J$201,0)),"")</f>
        <v/>
      </c>
      <c r="E171" s="135" t="str">
        <f aca="false">IFERROR(INDEX(O$6:O$201,MATCH(ROW()-5,J$6:J$201,0)),"")</f>
        <v/>
      </c>
      <c r="F171" s="136" t="str">
        <f aca="false">IFERROR(INDEX(P$6:P$201,MATCH(ROW()-5,J$6:J$201,0)),"")</f>
        <v/>
      </c>
      <c r="G171" s="130"/>
      <c r="H171" s="130"/>
      <c r="I171" s="130"/>
      <c r="J171" s="130" t="str">
        <f aca="false">IF(OR(SUM(PROCESO!M204:M207)&gt;0,SUM(PROCESO!N204:N207)&gt;0),COUNT(J$6:J170)+1,"")</f>
        <v/>
      </c>
      <c r="K171" s="130" t="str">
        <f aca="false">IF(OR(SUM(PROCESO!M204:M207)&gt;0,SUM(PROCESO!N204:N207)&gt;0),PROCESO!A204&amp;IF(COUNTIF(PROCESO!$A$6:A203,PROCESO!A204)&gt;0," (Ped."&amp;(COUNTIF(PROCESO!$A$6:A203,PROCESO!A204)+1)&amp;")",""),"")</f>
        <v/>
      </c>
      <c r="L171" s="130" t="str">
        <f aca="false">IF(OR(SUM(PROCESO!M204:M207)&gt;0,SUM(PROCESO!N204:N207)&gt;0),"REPROCESO (devolución)","")</f>
        <v/>
      </c>
      <c r="M171" s="130" t="str">
        <f aca="false">IF(OR(SUM(PROCESO!M204:M207)&gt;0,SUM(PROCESO!N204:N207)&gt;0),SUM(PROCESO!N204:N207),"")</f>
        <v/>
      </c>
      <c r="N171" s="130" t="str">
        <f aca="false">""</f>
        <v/>
      </c>
      <c r="O171" s="130" t="str">
        <f aca="false">IF(OR(SUM(PROCESO!M204:M207)&gt;0,SUM(PROCESO!N204:N207)&gt;0),IF(SUM(PROCESO!M204:M207)&gt;0,SUM(PROCESO!M204:M207)&amp;" jabas devueltas · merma "&amp;TEXT((PROCESO!M204*15+PROCESO!M205*18+PROCESO!M206*17+PROCESO!M207*17)-SUM(PROCESO!N204:N207),"+#,##0;-#,##0;0")&amp;" kg",""),"")</f>
        <v/>
      </c>
      <c r="P171" s="130" t="n">
        <f aca="false">P170+N(M171)-N(N171)</f>
        <v>5288.5</v>
      </c>
      <c r="Q171" s="130"/>
      <c r="R171" s="130"/>
      <c r="S171" s="130"/>
      <c r="T171" s="130"/>
    </row>
    <row r="172" customFormat="false" ht="15" hidden="false" customHeight="false" outlineLevel="0" collapsed="false">
      <c r="A172" s="135" t="str">
        <f aca="false">IFERROR(INDEX(K$6:K$201,MATCH(ROW()-5,J$6:J$201,0)),"")</f>
        <v/>
      </c>
      <c r="B172" s="135" t="str">
        <f aca="false">IFERROR(INDEX(L$6:L$201,MATCH(ROW()-5,J$6:J$201,0)),"")</f>
        <v/>
      </c>
      <c r="C172" s="136" t="str">
        <f aca="false">IFERROR(INDEX(M$6:M$201,MATCH(ROW()-5,J$6:J$201,0)),"")</f>
        <v/>
      </c>
      <c r="D172" s="136" t="str">
        <f aca="false">IFERROR(INDEX(N$6:N$201,MATCH(ROW()-5,J$6:J$201,0)),"")</f>
        <v/>
      </c>
      <c r="E172" s="135" t="str">
        <f aca="false">IFERROR(INDEX(O$6:O$201,MATCH(ROW()-5,J$6:J$201,0)),"")</f>
        <v/>
      </c>
      <c r="F172" s="136" t="str">
        <f aca="false">IFERROR(INDEX(P$6:P$201,MATCH(ROW()-5,J$6:J$201,0)),"")</f>
        <v/>
      </c>
      <c r="G172" s="130"/>
      <c r="H172" s="130"/>
      <c r="I172" s="130"/>
      <c r="J172" s="130" t="str">
        <f aca="false">IF(PROCESO!D210&gt;0,COUNT(J$6:J171)+1,"")</f>
        <v/>
      </c>
      <c r="K172" s="130" t="str">
        <f aca="false">IF(PROCESO!D210&gt;0,PROCESO!A210&amp;IF(COUNTIF(PROCESO!$A$6:A209,PROCESO!A210)&gt;0," (Ped."&amp;(COUNTIF(PROCESO!$A$6:A209,PROCESO!A210)+1)&amp;")",""),"")</f>
        <v/>
      </c>
      <c r="L172" s="130" t="str">
        <f aca="false">IF(PROCESO!D210&gt;0,"INGRESO (compra)","")</f>
        <v/>
      </c>
      <c r="M172" s="130" t="str">
        <f aca="false">IF(PROCESO!D210&gt;0,PROCESO!D210,"")</f>
        <v/>
      </c>
      <c r="N172" s="130" t="str">
        <f aca="false">""</f>
        <v/>
      </c>
      <c r="O172" s="130" t="str">
        <f aca="false">IF(PROCESO!D210&gt;0,PROCESO!B210&amp;" sacos x "&amp;PROCESO!C210&amp;" kg","")</f>
        <v/>
      </c>
      <c r="P172" s="130" t="n">
        <f aca="false">P171+N(M172)-N(N172)</f>
        <v>5288.5</v>
      </c>
      <c r="Q172" s="130"/>
      <c r="R172" s="130"/>
      <c r="S172" s="130"/>
      <c r="T172" s="130"/>
    </row>
    <row r="173" customFormat="false" ht="15" hidden="false" customHeight="false" outlineLevel="0" collapsed="false">
      <c r="A173" s="135" t="str">
        <f aca="false">IFERROR(INDEX(K$6:K$201,MATCH(ROW()-5,J$6:J$201,0)),"")</f>
        <v/>
      </c>
      <c r="B173" s="135" t="str">
        <f aca="false">IFERROR(INDEX(L$6:L$201,MATCH(ROW()-5,J$6:J$201,0)),"")</f>
        <v/>
      </c>
      <c r="C173" s="136" t="str">
        <f aca="false">IFERROR(INDEX(M$6:M$201,MATCH(ROW()-5,J$6:J$201,0)),"")</f>
        <v/>
      </c>
      <c r="D173" s="136" t="str">
        <f aca="false">IFERROR(INDEX(N$6:N$201,MATCH(ROW()-5,J$6:J$201,0)),"")</f>
        <v/>
      </c>
      <c r="E173" s="135" t="str">
        <f aca="false">IFERROR(INDEX(O$6:O$201,MATCH(ROW()-5,J$6:J$201,0)),"")</f>
        <v/>
      </c>
      <c r="F173" s="136" t="str">
        <f aca="false">IFERROR(INDEX(P$6:P$201,MATCH(ROW()-5,J$6:J$201,0)),"")</f>
        <v/>
      </c>
      <c r="G173" s="130"/>
      <c r="H173" s="130"/>
      <c r="I173" s="130"/>
      <c r="J173" s="130" t="str">
        <f aca="false">IF(N(PROCESO!H214)&gt;0,COUNT(J$6:J172)+1,"")</f>
        <v/>
      </c>
      <c r="K173" s="130" t="str">
        <f aca="false">IF(N(PROCESO!H214)&gt;0,PROCESO!A210&amp;IF(COUNTIF(PROCESO!$A$6:A209,PROCESO!A210)&gt;0," (Ped."&amp;(COUNTIF(PROCESO!$A$6:A209,PROCESO!A210)+1)&amp;")",""),"")</f>
        <v/>
      </c>
      <c r="L173" s="130" t="str">
        <f aca="false">IF(N(PROCESO!H214)&gt;0,"CHANCHO (proceso)","")</f>
        <v/>
      </c>
      <c r="M173" s="130" t="str">
        <f aca="false">""</f>
        <v/>
      </c>
      <c r="N173" s="130" t="str">
        <f aca="false">IF(N(PROCESO!H214)&gt;0,N(PROCESO!H214),"")</f>
        <v/>
      </c>
      <c r="O173" s="130" t="str">
        <f aca="false">IF(N(PROCESO!H214)&gt;0,PROCESO!G214&amp;" sacos x 95 kg","")</f>
        <v/>
      </c>
      <c r="P173" s="130" t="n">
        <f aca="false">P172+N(M173)-N(N173)</f>
        <v>5288.5</v>
      </c>
      <c r="Q173" s="130"/>
      <c r="R173" s="130"/>
      <c r="S173" s="130"/>
      <c r="T173" s="130"/>
    </row>
    <row r="174" customFormat="false" ht="15" hidden="false" customHeight="false" outlineLevel="0" collapsed="false">
      <c r="A174" s="135" t="str">
        <f aca="false">IFERROR(INDEX(K$6:K$201,MATCH(ROW()-5,J$6:J$201,0)),"")</f>
        <v/>
      </c>
      <c r="B174" s="135" t="str">
        <f aca="false">IFERROR(INDEX(L$6:L$201,MATCH(ROW()-5,J$6:J$201,0)),"")</f>
        <v/>
      </c>
      <c r="C174" s="136" t="str">
        <f aca="false">IFERROR(INDEX(M$6:M$201,MATCH(ROW()-5,J$6:J$201,0)),"")</f>
        <v/>
      </c>
      <c r="D174" s="136" t="str">
        <f aca="false">IFERROR(INDEX(N$6:N$201,MATCH(ROW()-5,J$6:J$201,0)),"")</f>
        <v/>
      </c>
      <c r="E174" s="135" t="str">
        <f aca="false">IFERROR(INDEX(O$6:O$201,MATCH(ROW()-5,J$6:J$201,0)),"")</f>
        <v/>
      </c>
      <c r="F174" s="136" t="str">
        <f aca="false">IFERROR(INDEX(P$6:P$201,MATCH(ROW()-5,J$6:J$201,0)),"")</f>
        <v/>
      </c>
      <c r="G174" s="130"/>
      <c r="H174" s="130"/>
      <c r="I174" s="130"/>
      <c r="J174" s="130" t="str">
        <f aca="false">IF(N(PROCESO!H215)&gt;0,COUNT(J$6:J173)+1,"")</f>
        <v/>
      </c>
      <c r="K174" s="130" t="str">
        <f aca="false">IF(N(PROCESO!H215)&gt;0,PROCESO!A210&amp;IF(COUNTIF(PROCESO!$A$6:A209,PROCESO!A210)&gt;0," (Ped."&amp;(COUNTIF(PROCESO!$A$6:A209,PROCESO!A210)+1)&amp;")",""),"")</f>
        <v/>
      </c>
      <c r="L174" s="130" t="str">
        <f aca="false">IF(N(PROCESO!H215)&gt;0,"MALOGRADO","")</f>
        <v/>
      </c>
      <c r="M174" s="130" t="str">
        <f aca="false">""</f>
        <v/>
      </c>
      <c r="N174" s="130" t="str">
        <f aca="false">IF(N(PROCESO!H215)&gt;0,N(PROCESO!H215),"")</f>
        <v/>
      </c>
      <c r="O174" s="130" t="str">
        <f aca="false">""</f>
        <v/>
      </c>
      <c r="P174" s="130" t="n">
        <f aca="false">P173+N(M174)-N(N174)</f>
        <v>5288.5</v>
      </c>
      <c r="Q174" s="130"/>
      <c r="R174" s="130"/>
      <c r="S174" s="130"/>
      <c r="T174" s="130"/>
    </row>
    <row r="175" customFormat="false" ht="15" hidden="false" customHeight="false" outlineLevel="0" collapsed="false">
      <c r="A175" s="135" t="str">
        <f aca="false">IFERROR(INDEX(K$6:K$201,MATCH(ROW()-5,J$6:J$201,0)),"")</f>
        <v/>
      </c>
      <c r="B175" s="135" t="str">
        <f aca="false">IFERROR(INDEX(L$6:L$201,MATCH(ROW()-5,J$6:J$201,0)),"")</f>
        <v/>
      </c>
      <c r="C175" s="136" t="str">
        <f aca="false">IFERROR(INDEX(M$6:M$201,MATCH(ROW()-5,J$6:J$201,0)),"")</f>
        <v/>
      </c>
      <c r="D175" s="136" t="str">
        <f aca="false">IFERROR(INDEX(N$6:N$201,MATCH(ROW()-5,J$6:J$201,0)),"")</f>
        <v/>
      </c>
      <c r="E175" s="135" t="str">
        <f aca="false">IFERROR(INDEX(O$6:O$201,MATCH(ROW()-5,J$6:J$201,0)),"")</f>
        <v/>
      </c>
      <c r="F175" s="136" t="str">
        <f aca="false">IFERROR(INDEX(P$6:P$201,MATCH(ROW()-5,J$6:J$201,0)),"")</f>
        <v/>
      </c>
      <c r="G175" s="130"/>
      <c r="H175" s="130"/>
      <c r="I175" s="130"/>
      <c r="J175" s="130" t="str">
        <f aca="false">IF(IF(PROCESO!J210&lt;&gt;"",PROCESO!J210,IF(PROCESO!J211&lt;&gt;"",PROCESO!J211,IF(PROCESO!J212&lt;&gt;"",PROCESO!J212,IF(PROCESO!J213&lt;&gt;"",PROCESO!J213,""))))&lt;&gt;"",COUNT(J$6:J174)+1,"")</f>
        <v/>
      </c>
      <c r="K175" s="130" t="str">
        <f aca="false">IF(IF(PROCESO!J210&lt;&gt;"",PROCESO!J210,IF(PROCESO!J211&lt;&gt;"",PROCESO!J211,IF(PROCESO!J212&lt;&gt;"",PROCESO!J212,IF(PROCESO!J213&lt;&gt;"",PROCESO!J213,""))))&lt;&gt;"",PROCESO!A210&amp;IF(COUNTIF(PROCESO!$A$6:A209,PROCESO!A210)&gt;0," (Ped."&amp;(COUNTIF(PROCESO!$A$6:A209,PROCESO!A210)+1)&amp;")",""),"")</f>
        <v/>
      </c>
      <c r="L175" s="130" t="str">
        <f aca="false">IF(IF(PROCESO!J210&lt;&gt;"",PROCESO!J210,IF(PROCESO!J211&lt;&gt;"",PROCESO!J211,IF(PROCESO!J212&lt;&gt;"",PROCESO!J212,IF(PROCESO!J213&lt;&gt;"",PROCESO!J213,""))))&lt;&gt;"","ENVÍO Guía "&amp;IF(LEFT(IF(PROCESO!J210&lt;&gt;"",PROCESO!J210,IF(PROCESO!J211&lt;&gt;"",PROCESO!J211,IF(PROCESO!J212&lt;&gt;"",PROCESO!J212,IF(PROCESO!J213&lt;&gt;"",PROCESO!J213,"")))),2)="G-",MID(IF(PROCESO!J210&lt;&gt;"",PROCESO!J210,IF(PROCESO!J211&lt;&gt;"",PROCESO!J211,IF(PROCESO!J212&lt;&gt;"",PROCESO!J212,IF(PROCESO!J213&lt;&gt;"",PROCESO!J213,"")))),3,99),IF(PROCESO!J210&lt;&gt;"",PROCESO!J210,IF(PROCESO!J211&lt;&gt;"",PROCESO!J211,IF(PROCESO!J212&lt;&gt;"",PROCESO!J212,IF(PROCESO!J213&lt;&gt;"",PROCESO!J213,""))))),"")</f>
        <v/>
      </c>
      <c r="M175" s="130" t="str">
        <f aca="false">""</f>
        <v/>
      </c>
      <c r="N175" s="130" t="str">
        <f aca="false">IF(IF(PROCESO!J210&lt;&gt;"",PROCESO!J210,IF(PROCESO!J211&lt;&gt;"",PROCESO!J211,IF(PROCESO!J212&lt;&gt;"",PROCESO!J212,IF(PROCESO!J213&lt;&gt;"",PROCESO!J213,""))))&lt;&gt;"",SUMIF(PROCESO!J210:J213,IF(PROCESO!J210&lt;&gt;"",PROCESO!J210,IF(PROCESO!J211&lt;&gt;"",PROCESO!J211,IF(PROCESO!J212&lt;&gt;"",PROCESO!J212,IF(PROCESO!J213&lt;&gt;"",PROCESO!J213,"")))),PROCESO!L210:L213),"")</f>
        <v/>
      </c>
      <c r="O175" s="130" t="str">
        <f aca="false">IF(IF(PROCESO!J210&lt;&gt;"",PROCESO!J210,IF(PROCESO!J211&lt;&gt;"",PROCESO!J211,IF(PROCESO!J212&lt;&gt;"",PROCESO!J212,IF(PROCESO!J213&lt;&gt;"",PROCESO!J213,""))))&lt;&gt;"","G-"&amp;IF(LEFT(IF(PROCESO!J210&lt;&gt;"",PROCESO!J210,IF(PROCESO!J211&lt;&gt;"",PROCESO!J211,IF(PROCESO!J212&lt;&gt;"",PROCESO!J212,IF(PROCESO!J213&lt;&gt;"",PROCESO!J213,"")))),2)="G-",MID(IF(PROCESO!J210&lt;&gt;"",PROCESO!J210,IF(PROCESO!J211&lt;&gt;"",PROCESO!J211,IF(PROCESO!J212&lt;&gt;"",PROCESO!J212,IF(PROCESO!J213&lt;&gt;"",PROCESO!J213,"")))),3,99),IF(PROCESO!J210&lt;&gt;"",PROCESO!J210,IF(PROCESO!J211&lt;&gt;"",PROCESO!J211,IF(PROCESO!J212&lt;&gt;"",PROCESO!J212,IF(PROCESO!J213&lt;&gt;"",PROCESO!J213,""))))),"")</f>
        <v/>
      </c>
      <c r="P175" s="130" t="n">
        <f aca="false">P174+N(M175)-N(N175)</f>
        <v>5288.5</v>
      </c>
      <c r="Q175" s="130"/>
      <c r="R175" s="130"/>
      <c r="S175" s="130"/>
      <c r="T175" s="130"/>
    </row>
    <row r="176" customFormat="false" ht="15" hidden="false" customHeight="false" outlineLevel="0" collapsed="false">
      <c r="A176" s="135" t="str">
        <f aca="false">IFERROR(INDEX(K$6:K$201,MATCH(ROW()-5,J$6:J$201,0)),"")</f>
        <v/>
      </c>
      <c r="B176" s="135" t="str">
        <f aca="false">IFERROR(INDEX(L$6:L$201,MATCH(ROW()-5,J$6:J$201,0)),"")</f>
        <v/>
      </c>
      <c r="C176" s="136" t="str">
        <f aca="false">IFERROR(INDEX(M$6:M$201,MATCH(ROW()-5,J$6:J$201,0)),"")</f>
        <v/>
      </c>
      <c r="D176" s="136" t="str">
        <f aca="false">IFERROR(INDEX(N$6:N$201,MATCH(ROW()-5,J$6:J$201,0)),"")</f>
        <v/>
      </c>
      <c r="E176" s="135" t="str">
        <f aca="false">IFERROR(INDEX(O$6:O$201,MATCH(ROW()-5,J$6:J$201,0)),"")</f>
        <v/>
      </c>
      <c r="F176" s="136" t="str">
        <f aca="false">IFERROR(INDEX(P$6:P$201,MATCH(ROW()-5,J$6:J$201,0)),"")</f>
        <v/>
      </c>
      <c r="G176" s="130"/>
      <c r="H176" s="130"/>
      <c r="I176" s="130"/>
      <c r="J176" s="130" t="str">
        <f aca="false">IF(OR(SUM(PROCESO!M210:M213)&gt;0,SUM(PROCESO!N210:N213)&gt;0),COUNT(J$6:J175)+1,"")</f>
        <v/>
      </c>
      <c r="K176" s="130" t="str">
        <f aca="false">IF(OR(SUM(PROCESO!M210:M213)&gt;0,SUM(PROCESO!N210:N213)&gt;0),PROCESO!A210&amp;IF(COUNTIF(PROCESO!$A$6:A209,PROCESO!A210)&gt;0," (Ped."&amp;(COUNTIF(PROCESO!$A$6:A209,PROCESO!A210)+1)&amp;")",""),"")</f>
        <v/>
      </c>
      <c r="L176" s="130" t="str">
        <f aca="false">IF(OR(SUM(PROCESO!M210:M213)&gt;0,SUM(PROCESO!N210:N213)&gt;0),"REPROCESO (devolución)","")</f>
        <v/>
      </c>
      <c r="M176" s="130" t="str">
        <f aca="false">IF(OR(SUM(PROCESO!M210:M213)&gt;0,SUM(PROCESO!N210:N213)&gt;0),SUM(PROCESO!N210:N213),"")</f>
        <v/>
      </c>
      <c r="N176" s="130" t="str">
        <f aca="false">""</f>
        <v/>
      </c>
      <c r="O176" s="130" t="str">
        <f aca="false">IF(OR(SUM(PROCESO!M210:M213)&gt;0,SUM(PROCESO!N210:N213)&gt;0),IF(SUM(PROCESO!M210:M213)&gt;0,SUM(PROCESO!M210:M213)&amp;" jabas devueltas · merma "&amp;TEXT((PROCESO!M210*15+PROCESO!M211*18+PROCESO!M212*17+PROCESO!M213*17)-SUM(PROCESO!N210:N213),"+#,##0;-#,##0;0")&amp;" kg",""),"")</f>
        <v/>
      </c>
      <c r="P176" s="130" t="n">
        <f aca="false">P175+N(M176)-N(N176)</f>
        <v>5288.5</v>
      </c>
      <c r="Q176" s="130"/>
      <c r="R176" s="130"/>
      <c r="S176" s="130"/>
      <c r="T176" s="130"/>
    </row>
    <row r="177" customFormat="false" ht="15" hidden="false" customHeight="false" outlineLevel="0" collapsed="false">
      <c r="A177" s="135" t="str">
        <f aca="false">IFERROR(INDEX(K$6:K$201,MATCH(ROW()-5,J$6:J$201,0)),"")</f>
        <v/>
      </c>
      <c r="B177" s="135" t="str">
        <f aca="false">IFERROR(INDEX(L$6:L$201,MATCH(ROW()-5,J$6:J$201,0)),"")</f>
        <v/>
      </c>
      <c r="C177" s="136" t="str">
        <f aca="false">IFERROR(INDEX(M$6:M$201,MATCH(ROW()-5,J$6:J$201,0)),"")</f>
        <v/>
      </c>
      <c r="D177" s="136" t="str">
        <f aca="false">IFERROR(INDEX(N$6:N$201,MATCH(ROW()-5,J$6:J$201,0)),"")</f>
        <v/>
      </c>
      <c r="E177" s="135" t="str">
        <f aca="false">IFERROR(INDEX(O$6:O$201,MATCH(ROW()-5,J$6:J$201,0)),"")</f>
        <v/>
      </c>
      <c r="F177" s="136" t="str">
        <f aca="false">IFERROR(INDEX(P$6:P$201,MATCH(ROW()-5,J$6:J$201,0)),"")</f>
        <v/>
      </c>
      <c r="G177" s="130"/>
      <c r="H177" s="130"/>
      <c r="I177" s="130"/>
      <c r="J177" s="130" t="str">
        <f aca="false">IF(PROCESO!D216&gt;0,COUNT(J$6:J176)+1,"")</f>
        <v/>
      </c>
      <c r="K177" s="130" t="str">
        <f aca="false">IF(PROCESO!D216&gt;0,PROCESO!A216&amp;IF(COUNTIF(PROCESO!$A$6:A215,PROCESO!A216)&gt;0," (Ped."&amp;(COUNTIF(PROCESO!$A$6:A215,PROCESO!A216)+1)&amp;")",""),"")</f>
        <v/>
      </c>
      <c r="L177" s="130" t="str">
        <f aca="false">IF(PROCESO!D216&gt;0,"INGRESO (compra)","")</f>
        <v/>
      </c>
      <c r="M177" s="130" t="str">
        <f aca="false">IF(PROCESO!D216&gt;0,PROCESO!D216,"")</f>
        <v/>
      </c>
      <c r="N177" s="130" t="str">
        <f aca="false">""</f>
        <v/>
      </c>
      <c r="O177" s="130" t="str">
        <f aca="false">IF(PROCESO!D216&gt;0,PROCESO!B216&amp;" sacos x "&amp;PROCESO!C216&amp;" kg","")</f>
        <v/>
      </c>
      <c r="P177" s="130" t="n">
        <f aca="false">P176+N(M177)-N(N177)</f>
        <v>5288.5</v>
      </c>
      <c r="Q177" s="130"/>
      <c r="R177" s="130"/>
      <c r="S177" s="130"/>
      <c r="T177" s="130"/>
    </row>
    <row r="178" customFormat="false" ht="15" hidden="false" customHeight="false" outlineLevel="0" collapsed="false">
      <c r="A178" s="135" t="str">
        <f aca="false">IFERROR(INDEX(K$6:K$201,MATCH(ROW()-5,J$6:J$201,0)),"")</f>
        <v/>
      </c>
      <c r="B178" s="135" t="str">
        <f aca="false">IFERROR(INDEX(L$6:L$201,MATCH(ROW()-5,J$6:J$201,0)),"")</f>
        <v/>
      </c>
      <c r="C178" s="136" t="str">
        <f aca="false">IFERROR(INDEX(M$6:M$201,MATCH(ROW()-5,J$6:J$201,0)),"")</f>
        <v/>
      </c>
      <c r="D178" s="136" t="str">
        <f aca="false">IFERROR(INDEX(N$6:N$201,MATCH(ROW()-5,J$6:J$201,0)),"")</f>
        <v/>
      </c>
      <c r="E178" s="135" t="str">
        <f aca="false">IFERROR(INDEX(O$6:O$201,MATCH(ROW()-5,J$6:J$201,0)),"")</f>
        <v/>
      </c>
      <c r="F178" s="136" t="str">
        <f aca="false">IFERROR(INDEX(P$6:P$201,MATCH(ROW()-5,J$6:J$201,0)),"")</f>
        <v/>
      </c>
      <c r="G178" s="130"/>
      <c r="H178" s="130"/>
      <c r="I178" s="130"/>
      <c r="J178" s="130" t="str">
        <f aca="false">IF(N(PROCESO!H220)&gt;0,COUNT(J$6:J177)+1,"")</f>
        <v/>
      </c>
      <c r="K178" s="130" t="str">
        <f aca="false">IF(N(PROCESO!H220)&gt;0,PROCESO!A216&amp;IF(COUNTIF(PROCESO!$A$6:A215,PROCESO!A216)&gt;0," (Ped."&amp;(COUNTIF(PROCESO!$A$6:A215,PROCESO!A216)+1)&amp;")",""),"")</f>
        <v/>
      </c>
      <c r="L178" s="130" t="str">
        <f aca="false">IF(N(PROCESO!H220)&gt;0,"CHANCHO (proceso)","")</f>
        <v/>
      </c>
      <c r="M178" s="130" t="str">
        <f aca="false">""</f>
        <v/>
      </c>
      <c r="N178" s="130" t="str">
        <f aca="false">IF(N(PROCESO!H220)&gt;0,N(PROCESO!H220),"")</f>
        <v/>
      </c>
      <c r="O178" s="130" t="str">
        <f aca="false">IF(N(PROCESO!H220)&gt;0,PROCESO!G220&amp;" sacos x 95 kg","")</f>
        <v/>
      </c>
      <c r="P178" s="130" t="n">
        <f aca="false">P177+N(M178)-N(N178)</f>
        <v>5288.5</v>
      </c>
      <c r="Q178" s="130"/>
      <c r="R178" s="130"/>
      <c r="S178" s="130"/>
      <c r="T178" s="130"/>
    </row>
    <row r="179" customFormat="false" ht="15" hidden="false" customHeight="false" outlineLevel="0" collapsed="false">
      <c r="A179" s="135" t="str">
        <f aca="false">IFERROR(INDEX(K$6:K$201,MATCH(ROW()-5,J$6:J$201,0)),"")</f>
        <v/>
      </c>
      <c r="B179" s="135" t="str">
        <f aca="false">IFERROR(INDEX(L$6:L$201,MATCH(ROW()-5,J$6:J$201,0)),"")</f>
        <v/>
      </c>
      <c r="C179" s="136" t="str">
        <f aca="false">IFERROR(INDEX(M$6:M$201,MATCH(ROW()-5,J$6:J$201,0)),"")</f>
        <v/>
      </c>
      <c r="D179" s="136" t="str">
        <f aca="false">IFERROR(INDEX(N$6:N$201,MATCH(ROW()-5,J$6:J$201,0)),"")</f>
        <v/>
      </c>
      <c r="E179" s="135" t="str">
        <f aca="false">IFERROR(INDEX(O$6:O$201,MATCH(ROW()-5,J$6:J$201,0)),"")</f>
        <v/>
      </c>
      <c r="F179" s="136" t="str">
        <f aca="false">IFERROR(INDEX(P$6:P$201,MATCH(ROW()-5,J$6:J$201,0)),"")</f>
        <v/>
      </c>
      <c r="G179" s="130"/>
      <c r="H179" s="130"/>
      <c r="I179" s="130"/>
      <c r="J179" s="130" t="str">
        <f aca="false">IF(N(PROCESO!H221)&gt;0,COUNT(J$6:J178)+1,"")</f>
        <v/>
      </c>
      <c r="K179" s="130" t="str">
        <f aca="false">IF(N(PROCESO!H221)&gt;0,PROCESO!A216&amp;IF(COUNTIF(PROCESO!$A$6:A215,PROCESO!A216)&gt;0," (Ped."&amp;(COUNTIF(PROCESO!$A$6:A215,PROCESO!A216)+1)&amp;")",""),"")</f>
        <v/>
      </c>
      <c r="L179" s="130" t="str">
        <f aca="false">IF(N(PROCESO!H221)&gt;0,"MALOGRADO","")</f>
        <v/>
      </c>
      <c r="M179" s="130" t="str">
        <f aca="false">""</f>
        <v/>
      </c>
      <c r="N179" s="130" t="str">
        <f aca="false">IF(N(PROCESO!H221)&gt;0,N(PROCESO!H221),"")</f>
        <v/>
      </c>
      <c r="O179" s="130" t="str">
        <f aca="false">""</f>
        <v/>
      </c>
      <c r="P179" s="130" t="n">
        <f aca="false">P178+N(M179)-N(N179)</f>
        <v>5288.5</v>
      </c>
      <c r="Q179" s="130"/>
      <c r="R179" s="130"/>
      <c r="S179" s="130"/>
      <c r="T179" s="130"/>
    </row>
    <row r="180" customFormat="false" ht="15" hidden="false" customHeight="false" outlineLevel="0" collapsed="false">
      <c r="A180" s="135" t="str">
        <f aca="false">IFERROR(INDEX(K$6:K$201,MATCH(ROW()-5,J$6:J$201,0)),"")</f>
        <v/>
      </c>
      <c r="B180" s="135" t="str">
        <f aca="false">IFERROR(INDEX(L$6:L$201,MATCH(ROW()-5,J$6:J$201,0)),"")</f>
        <v/>
      </c>
      <c r="C180" s="136" t="str">
        <f aca="false">IFERROR(INDEX(M$6:M$201,MATCH(ROW()-5,J$6:J$201,0)),"")</f>
        <v/>
      </c>
      <c r="D180" s="136" t="str">
        <f aca="false">IFERROR(INDEX(N$6:N$201,MATCH(ROW()-5,J$6:J$201,0)),"")</f>
        <v/>
      </c>
      <c r="E180" s="135" t="str">
        <f aca="false">IFERROR(INDEX(O$6:O$201,MATCH(ROW()-5,J$6:J$201,0)),"")</f>
        <v/>
      </c>
      <c r="F180" s="136" t="str">
        <f aca="false">IFERROR(INDEX(P$6:P$201,MATCH(ROW()-5,J$6:J$201,0)),"")</f>
        <v/>
      </c>
      <c r="G180" s="130"/>
      <c r="H180" s="130"/>
      <c r="I180" s="130"/>
      <c r="J180" s="130" t="str">
        <f aca="false">IF(IF(PROCESO!J216&lt;&gt;"",PROCESO!J216,IF(PROCESO!J217&lt;&gt;"",PROCESO!J217,IF(PROCESO!J218&lt;&gt;"",PROCESO!J218,IF(PROCESO!J219&lt;&gt;"",PROCESO!J219,""))))&lt;&gt;"",COUNT(J$6:J179)+1,"")</f>
        <v/>
      </c>
      <c r="K180" s="130" t="str">
        <f aca="false">IF(IF(PROCESO!J216&lt;&gt;"",PROCESO!J216,IF(PROCESO!J217&lt;&gt;"",PROCESO!J217,IF(PROCESO!J218&lt;&gt;"",PROCESO!J218,IF(PROCESO!J219&lt;&gt;"",PROCESO!J219,""))))&lt;&gt;"",PROCESO!A216&amp;IF(COUNTIF(PROCESO!$A$6:A215,PROCESO!A216)&gt;0," (Ped."&amp;(COUNTIF(PROCESO!$A$6:A215,PROCESO!A216)+1)&amp;")",""),"")</f>
        <v/>
      </c>
      <c r="L180" s="130" t="str">
        <f aca="false">IF(IF(PROCESO!J216&lt;&gt;"",PROCESO!J216,IF(PROCESO!J217&lt;&gt;"",PROCESO!J217,IF(PROCESO!J218&lt;&gt;"",PROCESO!J218,IF(PROCESO!J219&lt;&gt;"",PROCESO!J219,""))))&lt;&gt;"","ENVÍO Guía "&amp;IF(LEFT(IF(PROCESO!J216&lt;&gt;"",PROCESO!J216,IF(PROCESO!J217&lt;&gt;"",PROCESO!J217,IF(PROCESO!J218&lt;&gt;"",PROCESO!J218,IF(PROCESO!J219&lt;&gt;"",PROCESO!J219,"")))),2)="G-",MID(IF(PROCESO!J216&lt;&gt;"",PROCESO!J216,IF(PROCESO!J217&lt;&gt;"",PROCESO!J217,IF(PROCESO!J218&lt;&gt;"",PROCESO!J218,IF(PROCESO!J219&lt;&gt;"",PROCESO!J219,"")))),3,99),IF(PROCESO!J216&lt;&gt;"",PROCESO!J216,IF(PROCESO!J217&lt;&gt;"",PROCESO!J217,IF(PROCESO!J218&lt;&gt;"",PROCESO!J218,IF(PROCESO!J219&lt;&gt;"",PROCESO!J219,""))))),"")</f>
        <v/>
      </c>
      <c r="M180" s="130" t="str">
        <f aca="false">""</f>
        <v/>
      </c>
      <c r="N180" s="130" t="str">
        <f aca="false">IF(IF(PROCESO!J216&lt;&gt;"",PROCESO!J216,IF(PROCESO!J217&lt;&gt;"",PROCESO!J217,IF(PROCESO!J218&lt;&gt;"",PROCESO!J218,IF(PROCESO!J219&lt;&gt;"",PROCESO!J219,""))))&lt;&gt;"",SUMIF(PROCESO!J216:J219,IF(PROCESO!J216&lt;&gt;"",PROCESO!J216,IF(PROCESO!J217&lt;&gt;"",PROCESO!J217,IF(PROCESO!J218&lt;&gt;"",PROCESO!J218,IF(PROCESO!J219&lt;&gt;"",PROCESO!J219,"")))),PROCESO!L216:L219),"")</f>
        <v/>
      </c>
      <c r="O180" s="130" t="str">
        <f aca="false">IF(IF(PROCESO!J216&lt;&gt;"",PROCESO!J216,IF(PROCESO!J217&lt;&gt;"",PROCESO!J217,IF(PROCESO!J218&lt;&gt;"",PROCESO!J218,IF(PROCESO!J219&lt;&gt;"",PROCESO!J219,""))))&lt;&gt;"","G-"&amp;IF(LEFT(IF(PROCESO!J216&lt;&gt;"",PROCESO!J216,IF(PROCESO!J217&lt;&gt;"",PROCESO!J217,IF(PROCESO!J218&lt;&gt;"",PROCESO!J218,IF(PROCESO!J219&lt;&gt;"",PROCESO!J219,"")))),2)="G-",MID(IF(PROCESO!J216&lt;&gt;"",PROCESO!J216,IF(PROCESO!J217&lt;&gt;"",PROCESO!J217,IF(PROCESO!J218&lt;&gt;"",PROCESO!J218,IF(PROCESO!J219&lt;&gt;"",PROCESO!J219,"")))),3,99),IF(PROCESO!J216&lt;&gt;"",PROCESO!J216,IF(PROCESO!J217&lt;&gt;"",PROCESO!J217,IF(PROCESO!J218&lt;&gt;"",PROCESO!J218,IF(PROCESO!J219&lt;&gt;"",PROCESO!J219,""))))),"")</f>
        <v/>
      </c>
      <c r="P180" s="130" t="n">
        <f aca="false">P179+N(M180)-N(N180)</f>
        <v>5288.5</v>
      </c>
      <c r="Q180" s="130"/>
      <c r="R180" s="130"/>
      <c r="S180" s="130"/>
      <c r="T180" s="130"/>
    </row>
    <row r="181" customFormat="false" ht="15" hidden="false" customHeight="false" outlineLevel="0" collapsed="false">
      <c r="A181" s="135" t="str">
        <f aca="false">IFERROR(INDEX(K$6:K$201,MATCH(ROW()-5,J$6:J$201,0)),"")</f>
        <v/>
      </c>
      <c r="B181" s="135" t="str">
        <f aca="false">IFERROR(INDEX(L$6:L$201,MATCH(ROW()-5,J$6:J$201,0)),"")</f>
        <v/>
      </c>
      <c r="C181" s="136" t="str">
        <f aca="false">IFERROR(INDEX(M$6:M$201,MATCH(ROW()-5,J$6:J$201,0)),"")</f>
        <v/>
      </c>
      <c r="D181" s="136" t="str">
        <f aca="false">IFERROR(INDEX(N$6:N$201,MATCH(ROW()-5,J$6:J$201,0)),"")</f>
        <v/>
      </c>
      <c r="E181" s="135" t="str">
        <f aca="false">IFERROR(INDEX(O$6:O$201,MATCH(ROW()-5,J$6:J$201,0)),"")</f>
        <v/>
      </c>
      <c r="F181" s="136" t="str">
        <f aca="false">IFERROR(INDEX(P$6:P$201,MATCH(ROW()-5,J$6:J$201,0)),"")</f>
        <v/>
      </c>
      <c r="G181" s="130"/>
      <c r="H181" s="130"/>
      <c r="I181" s="130"/>
      <c r="J181" s="130" t="str">
        <f aca="false">IF(OR(SUM(PROCESO!M216:M219)&gt;0,SUM(PROCESO!N216:N219)&gt;0),COUNT(J$6:J180)+1,"")</f>
        <v/>
      </c>
      <c r="K181" s="130" t="str">
        <f aca="false">IF(OR(SUM(PROCESO!M216:M219)&gt;0,SUM(PROCESO!N216:N219)&gt;0),PROCESO!A216&amp;IF(COUNTIF(PROCESO!$A$6:A215,PROCESO!A216)&gt;0," (Ped."&amp;(COUNTIF(PROCESO!$A$6:A215,PROCESO!A216)+1)&amp;")",""),"")</f>
        <v/>
      </c>
      <c r="L181" s="130" t="str">
        <f aca="false">IF(OR(SUM(PROCESO!M216:M219)&gt;0,SUM(PROCESO!N216:N219)&gt;0),"REPROCESO (devolución)","")</f>
        <v/>
      </c>
      <c r="M181" s="130" t="str">
        <f aca="false">IF(OR(SUM(PROCESO!M216:M219)&gt;0,SUM(PROCESO!N216:N219)&gt;0),SUM(PROCESO!N216:N219),"")</f>
        <v/>
      </c>
      <c r="N181" s="130" t="str">
        <f aca="false">""</f>
        <v/>
      </c>
      <c r="O181" s="130" t="str">
        <f aca="false">IF(OR(SUM(PROCESO!M216:M219)&gt;0,SUM(PROCESO!N216:N219)&gt;0),IF(SUM(PROCESO!M216:M219)&gt;0,SUM(PROCESO!M216:M219)&amp;" jabas devueltas · merma "&amp;TEXT((PROCESO!M216*15+PROCESO!M217*18+PROCESO!M218*17+PROCESO!M219*17)-SUM(PROCESO!N216:N219),"+#,##0;-#,##0;0")&amp;" kg",""),"")</f>
        <v/>
      </c>
      <c r="P181" s="130" t="n">
        <f aca="false">P180+N(M181)-N(N181)</f>
        <v>5288.5</v>
      </c>
      <c r="Q181" s="130"/>
      <c r="R181" s="130"/>
      <c r="S181" s="130"/>
      <c r="T181" s="130"/>
    </row>
    <row r="182" customFormat="false" ht="15" hidden="false" customHeight="false" outlineLevel="0" collapsed="false">
      <c r="A182" s="135" t="str">
        <f aca="false">IFERROR(INDEX(K$6:K$201,MATCH(ROW()-5,J$6:J$201,0)),"")</f>
        <v/>
      </c>
      <c r="B182" s="135" t="str">
        <f aca="false">IFERROR(INDEX(L$6:L$201,MATCH(ROW()-5,J$6:J$201,0)),"")</f>
        <v/>
      </c>
      <c r="C182" s="136" t="str">
        <f aca="false">IFERROR(INDEX(M$6:M$201,MATCH(ROW()-5,J$6:J$201,0)),"")</f>
        <v/>
      </c>
      <c r="D182" s="136" t="str">
        <f aca="false">IFERROR(INDEX(N$6:N$201,MATCH(ROW()-5,J$6:J$201,0)),"")</f>
        <v/>
      </c>
      <c r="E182" s="135" t="str">
        <f aca="false">IFERROR(INDEX(O$6:O$201,MATCH(ROW()-5,J$6:J$201,0)),"")</f>
        <v/>
      </c>
      <c r="F182" s="136" t="str">
        <f aca="false">IFERROR(INDEX(P$6:P$201,MATCH(ROW()-5,J$6:J$201,0)),"")</f>
        <v/>
      </c>
      <c r="G182" s="130"/>
      <c r="H182" s="130"/>
      <c r="I182" s="130"/>
      <c r="J182" s="130" t="str">
        <f aca="false">IF(PROCESO!D222&gt;0,COUNT(J$6:J181)+1,"")</f>
        <v/>
      </c>
      <c r="K182" s="130" t="str">
        <f aca="false">IF(PROCESO!D222&gt;0,PROCESO!A222&amp;IF(COUNTIF(PROCESO!$A$6:A221,PROCESO!A222)&gt;0," (Ped."&amp;(COUNTIF(PROCESO!$A$6:A221,PROCESO!A222)+1)&amp;")",""),"")</f>
        <v/>
      </c>
      <c r="L182" s="130" t="str">
        <f aca="false">IF(PROCESO!D222&gt;0,"INGRESO (compra)","")</f>
        <v/>
      </c>
      <c r="M182" s="130" t="str">
        <f aca="false">IF(PROCESO!D222&gt;0,PROCESO!D222,"")</f>
        <v/>
      </c>
      <c r="N182" s="130" t="str">
        <f aca="false">""</f>
        <v/>
      </c>
      <c r="O182" s="130" t="str">
        <f aca="false">IF(PROCESO!D222&gt;0,PROCESO!B222&amp;" sacos x "&amp;PROCESO!C222&amp;" kg","")</f>
        <v/>
      </c>
      <c r="P182" s="130" t="n">
        <f aca="false">P181+N(M182)-N(N182)</f>
        <v>5288.5</v>
      </c>
      <c r="Q182" s="130"/>
      <c r="R182" s="130"/>
      <c r="S182" s="130"/>
      <c r="T182" s="130"/>
    </row>
    <row r="183" customFormat="false" ht="15" hidden="false" customHeight="false" outlineLevel="0" collapsed="false">
      <c r="A183" s="135" t="str">
        <f aca="false">IFERROR(INDEX(K$6:K$201,MATCH(ROW()-5,J$6:J$201,0)),"")</f>
        <v/>
      </c>
      <c r="B183" s="135" t="str">
        <f aca="false">IFERROR(INDEX(L$6:L$201,MATCH(ROW()-5,J$6:J$201,0)),"")</f>
        <v/>
      </c>
      <c r="C183" s="136" t="str">
        <f aca="false">IFERROR(INDEX(M$6:M$201,MATCH(ROW()-5,J$6:J$201,0)),"")</f>
        <v/>
      </c>
      <c r="D183" s="136" t="str">
        <f aca="false">IFERROR(INDEX(N$6:N$201,MATCH(ROW()-5,J$6:J$201,0)),"")</f>
        <v/>
      </c>
      <c r="E183" s="135" t="str">
        <f aca="false">IFERROR(INDEX(O$6:O$201,MATCH(ROW()-5,J$6:J$201,0)),"")</f>
        <v/>
      </c>
      <c r="F183" s="136" t="str">
        <f aca="false">IFERROR(INDEX(P$6:P$201,MATCH(ROW()-5,J$6:J$201,0)),"")</f>
        <v/>
      </c>
      <c r="G183" s="130"/>
      <c r="H183" s="130"/>
      <c r="I183" s="130"/>
      <c r="J183" s="130" t="str">
        <f aca="false">IF(N(PROCESO!H226)&gt;0,COUNT(J$6:J182)+1,"")</f>
        <v/>
      </c>
      <c r="K183" s="130" t="str">
        <f aca="false">IF(N(PROCESO!H226)&gt;0,PROCESO!A222&amp;IF(COUNTIF(PROCESO!$A$6:A221,PROCESO!A222)&gt;0," (Ped."&amp;(COUNTIF(PROCESO!$A$6:A221,PROCESO!A222)+1)&amp;")",""),"")</f>
        <v/>
      </c>
      <c r="L183" s="130" t="str">
        <f aca="false">IF(N(PROCESO!H226)&gt;0,"CHANCHO (proceso)","")</f>
        <v/>
      </c>
      <c r="M183" s="130" t="str">
        <f aca="false">""</f>
        <v/>
      </c>
      <c r="N183" s="130" t="str">
        <f aca="false">IF(N(PROCESO!H226)&gt;0,N(PROCESO!H226),"")</f>
        <v/>
      </c>
      <c r="O183" s="130" t="str">
        <f aca="false">IF(N(PROCESO!H226)&gt;0,PROCESO!G226&amp;" sacos x 95 kg","")</f>
        <v/>
      </c>
      <c r="P183" s="130" t="n">
        <f aca="false">P182+N(M183)-N(N183)</f>
        <v>5288.5</v>
      </c>
      <c r="Q183" s="130"/>
      <c r="R183" s="130"/>
      <c r="S183" s="130"/>
      <c r="T183" s="130"/>
    </row>
    <row r="184" customFormat="false" ht="15" hidden="false" customHeight="false" outlineLevel="0" collapsed="false">
      <c r="A184" s="135" t="str">
        <f aca="false">IFERROR(INDEX(K$6:K$201,MATCH(ROW()-5,J$6:J$201,0)),"")</f>
        <v/>
      </c>
      <c r="B184" s="135" t="str">
        <f aca="false">IFERROR(INDEX(L$6:L$201,MATCH(ROW()-5,J$6:J$201,0)),"")</f>
        <v/>
      </c>
      <c r="C184" s="136" t="str">
        <f aca="false">IFERROR(INDEX(M$6:M$201,MATCH(ROW()-5,J$6:J$201,0)),"")</f>
        <v/>
      </c>
      <c r="D184" s="136" t="str">
        <f aca="false">IFERROR(INDEX(N$6:N$201,MATCH(ROW()-5,J$6:J$201,0)),"")</f>
        <v/>
      </c>
      <c r="E184" s="135" t="str">
        <f aca="false">IFERROR(INDEX(O$6:O$201,MATCH(ROW()-5,J$6:J$201,0)),"")</f>
        <v/>
      </c>
      <c r="F184" s="136" t="str">
        <f aca="false">IFERROR(INDEX(P$6:P$201,MATCH(ROW()-5,J$6:J$201,0)),"")</f>
        <v/>
      </c>
      <c r="G184" s="130"/>
      <c r="H184" s="130"/>
      <c r="I184" s="130"/>
      <c r="J184" s="130" t="str">
        <f aca="false">IF(N(PROCESO!H227)&gt;0,COUNT(J$6:J183)+1,"")</f>
        <v/>
      </c>
      <c r="K184" s="130" t="str">
        <f aca="false">IF(N(PROCESO!H227)&gt;0,PROCESO!A222&amp;IF(COUNTIF(PROCESO!$A$6:A221,PROCESO!A222)&gt;0," (Ped."&amp;(COUNTIF(PROCESO!$A$6:A221,PROCESO!A222)+1)&amp;")",""),"")</f>
        <v/>
      </c>
      <c r="L184" s="130" t="str">
        <f aca="false">IF(N(PROCESO!H227)&gt;0,"MALOGRADO","")</f>
        <v/>
      </c>
      <c r="M184" s="130" t="str">
        <f aca="false">""</f>
        <v/>
      </c>
      <c r="N184" s="130" t="str">
        <f aca="false">IF(N(PROCESO!H227)&gt;0,N(PROCESO!H227),"")</f>
        <v/>
      </c>
      <c r="O184" s="130" t="str">
        <f aca="false">""</f>
        <v/>
      </c>
      <c r="P184" s="130" t="n">
        <f aca="false">P183+N(M184)-N(N184)</f>
        <v>5288.5</v>
      </c>
      <c r="Q184" s="130"/>
      <c r="R184" s="130"/>
      <c r="S184" s="130"/>
      <c r="T184" s="130"/>
    </row>
    <row r="185" customFormat="false" ht="15" hidden="false" customHeight="false" outlineLevel="0" collapsed="false">
      <c r="A185" s="135" t="str">
        <f aca="false">IFERROR(INDEX(K$6:K$201,MATCH(ROW()-5,J$6:J$201,0)),"")</f>
        <v/>
      </c>
      <c r="B185" s="135" t="str">
        <f aca="false">IFERROR(INDEX(L$6:L$201,MATCH(ROW()-5,J$6:J$201,0)),"")</f>
        <v/>
      </c>
      <c r="C185" s="136" t="str">
        <f aca="false">IFERROR(INDEX(M$6:M$201,MATCH(ROW()-5,J$6:J$201,0)),"")</f>
        <v/>
      </c>
      <c r="D185" s="136" t="str">
        <f aca="false">IFERROR(INDEX(N$6:N$201,MATCH(ROW()-5,J$6:J$201,0)),"")</f>
        <v/>
      </c>
      <c r="E185" s="135" t="str">
        <f aca="false">IFERROR(INDEX(O$6:O$201,MATCH(ROW()-5,J$6:J$201,0)),"")</f>
        <v/>
      </c>
      <c r="F185" s="136" t="str">
        <f aca="false">IFERROR(INDEX(P$6:P$201,MATCH(ROW()-5,J$6:J$201,0)),"")</f>
        <v/>
      </c>
      <c r="G185" s="130"/>
      <c r="H185" s="130"/>
      <c r="I185" s="130"/>
      <c r="J185" s="130" t="str">
        <f aca="false">IF(IF(PROCESO!J222&lt;&gt;"",PROCESO!J222,IF(PROCESO!J223&lt;&gt;"",PROCESO!J223,IF(PROCESO!J224&lt;&gt;"",PROCESO!J224,IF(PROCESO!J225&lt;&gt;"",PROCESO!J225,""))))&lt;&gt;"",COUNT(J$6:J184)+1,"")</f>
        <v/>
      </c>
      <c r="K185" s="130" t="str">
        <f aca="false">IF(IF(PROCESO!J222&lt;&gt;"",PROCESO!J222,IF(PROCESO!J223&lt;&gt;"",PROCESO!J223,IF(PROCESO!J224&lt;&gt;"",PROCESO!J224,IF(PROCESO!J225&lt;&gt;"",PROCESO!J225,""))))&lt;&gt;"",PROCESO!A222&amp;IF(COUNTIF(PROCESO!$A$6:A221,PROCESO!A222)&gt;0," (Ped."&amp;(COUNTIF(PROCESO!$A$6:A221,PROCESO!A222)+1)&amp;")",""),"")</f>
        <v/>
      </c>
      <c r="L185" s="130" t="str">
        <f aca="false">IF(IF(PROCESO!J222&lt;&gt;"",PROCESO!J222,IF(PROCESO!J223&lt;&gt;"",PROCESO!J223,IF(PROCESO!J224&lt;&gt;"",PROCESO!J224,IF(PROCESO!J225&lt;&gt;"",PROCESO!J225,""))))&lt;&gt;"","ENVÍO Guía "&amp;IF(LEFT(IF(PROCESO!J222&lt;&gt;"",PROCESO!J222,IF(PROCESO!J223&lt;&gt;"",PROCESO!J223,IF(PROCESO!J224&lt;&gt;"",PROCESO!J224,IF(PROCESO!J225&lt;&gt;"",PROCESO!J225,"")))),2)="G-",MID(IF(PROCESO!J222&lt;&gt;"",PROCESO!J222,IF(PROCESO!J223&lt;&gt;"",PROCESO!J223,IF(PROCESO!J224&lt;&gt;"",PROCESO!J224,IF(PROCESO!J225&lt;&gt;"",PROCESO!J225,"")))),3,99),IF(PROCESO!J222&lt;&gt;"",PROCESO!J222,IF(PROCESO!J223&lt;&gt;"",PROCESO!J223,IF(PROCESO!J224&lt;&gt;"",PROCESO!J224,IF(PROCESO!J225&lt;&gt;"",PROCESO!J225,""))))),"")</f>
        <v/>
      </c>
      <c r="M185" s="130" t="str">
        <f aca="false">""</f>
        <v/>
      </c>
      <c r="N185" s="130" t="str">
        <f aca="false">IF(IF(PROCESO!J222&lt;&gt;"",PROCESO!J222,IF(PROCESO!J223&lt;&gt;"",PROCESO!J223,IF(PROCESO!J224&lt;&gt;"",PROCESO!J224,IF(PROCESO!J225&lt;&gt;"",PROCESO!J225,""))))&lt;&gt;"",SUMIF(PROCESO!J222:J225,IF(PROCESO!J222&lt;&gt;"",PROCESO!J222,IF(PROCESO!J223&lt;&gt;"",PROCESO!J223,IF(PROCESO!J224&lt;&gt;"",PROCESO!J224,IF(PROCESO!J225&lt;&gt;"",PROCESO!J225,"")))),PROCESO!L222:L225),"")</f>
        <v/>
      </c>
      <c r="O185" s="130" t="str">
        <f aca="false">IF(IF(PROCESO!J222&lt;&gt;"",PROCESO!J222,IF(PROCESO!J223&lt;&gt;"",PROCESO!J223,IF(PROCESO!J224&lt;&gt;"",PROCESO!J224,IF(PROCESO!J225&lt;&gt;"",PROCESO!J225,""))))&lt;&gt;"","G-"&amp;IF(LEFT(IF(PROCESO!J222&lt;&gt;"",PROCESO!J222,IF(PROCESO!J223&lt;&gt;"",PROCESO!J223,IF(PROCESO!J224&lt;&gt;"",PROCESO!J224,IF(PROCESO!J225&lt;&gt;"",PROCESO!J225,"")))),2)="G-",MID(IF(PROCESO!J222&lt;&gt;"",PROCESO!J222,IF(PROCESO!J223&lt;&gt;"",PROCESO!J223,IF(PROCESO!J224&lt;&gt;"",PROCESO!J224,IF(PROCESO!J225&lt;&gt;"",PROCESO!J225,"")))),3,99),IF(PROCESO!J222&lt;&gt;"",PROCESO!J222,IF(PROCESO!J223&lt;&gt;"",PROCESO!J223,IF(PROCESO!J224&lt;&gt;"",PROCESO!J224,IF(PROCESO!J225&lt;&gt;"",PROCESO!J225,""))))),"")</f>
        <v/>
      </c>
      <c r="P185" s="130" t="n">
        <f aca="false">P184+N(M185)-N(N185)</f>
        <v>5288.5</v>
      </c>
      <c r="Q185" s="130"/>
      <c r="R185" s="130"/>
      <c r="S185" s="130"/>
      <c r="T185" s="130"/>
    </row>
    <row r="186" customFormat="false" ht="15" hidden="false" customHeight="false" outlineLevel="0" collapsed="false">
      <c r="A186" s="135" t="str">
        <f aca="false">IFERROR(INDEX(K$6:K$201,MATCH(ROW()-5,J$6:J$201,0)),"")</f>
        <v/>
      </c>
      <c r="B186" s="135" t="str">
        <f aca="false">IFERROR(INDEX(L$6:L$201,MATCH(ROW()-5,J$6:J$201,0)),"")</f>
        <v/>
      </c>
      <c r="C186" s="136" t="str">
        <f aca="false">IFERROR(INDEX(M$6:M$201,MATCH(ROW()-5,J$6:J$201,0)),"")</f>
        <v/>
      </c>
      <c r="D186" s="136" t="str">
        <f aca="false">IFERROR(INDEX(N$6:N$201,MATCH(ROW()-5,J$6:J$201,0)),"")</f>
        <v/>
      </c>
      <c r="E186" s="135" t="str">
        <f aca="false">IFERROR(INDEX(O$6:O$201,MATCH(ROW()-5,J$6:J$201,0)),"")</f>
        <v/>
      </c>
      <c r="F186" s="136" t="str">
        <f aca="false">IFERROR(INDEX(P$6:P$201,MATCH(ROW()-5,J$6:J$201,0)),"")</f>
        <v/>
      </c>
      <c r="G186" s="130"/>
      <c r="H186" s="130"/>
      <c r="I186" s="130"/>
      <c r="J186" s="130" t="str">
        <f aca="false">IF(OR(SUM(PROCESO!M222:M225)&gt;0,SUM(PROCESO!N222:N225)&gt;0),COUNT(J$6:J185)+1,"")</f>
        <v/>
      </c>
      <c r="K186" s="130" t="str">
        <f aca="false">IF(OR(SUM(PROCESO!M222:M225)&gt;0,SUM(PROCESO!N222:N225)&gt;0),PROCESO!A222&amp;IF(COUNTIF(PROCESO!$A$6:A221,PROCESO!A222)&gt;0," (Ped."&amp;(COUNTIF(PROCESO!$A$6:A221,PROCESO!A222)+1)&amp;")",""),"")</f>
        <v/>
      </c>
      <c r="L186" s="130" t="str">
        <f aca="false">IF(OR(SUM(PROCESO!M222:M225)&gt;0,SUM(PROCESO!N222:N225)&gt;0),"REPROCESO (devolución)","")</f>
        <v/>
      </c>
      <c r="M186" s="130" t="str">
        <f aca="false">IF(OR(SUM(PROCESO!M222:M225)&gt;0,SUM(PROCESO!N222:N225)&gt;0),SUM(PROCESO!N222:N225),"")</f>
        <v/>
      </c>
      <c r="N186" s="130" t="str">
        <f aca="false">""</f>
        <v/>
      </c>
      <c r="O186" s="130" t="str">
        <f aca="false">IF(OR(SUM(PROCESO!M222:M225)&gt;0,SUM(PROCESO!N222:N225)&gt;0),IF(SUM(PROCESO!M222:M225)&gt;0,SUM(PROCESO!M222:M225)&amp;" jabas devueltas · merma "&amp;TEXT((PROCESO!M222*15+PROCESO!M223*18+PROCESO!M224*17+PROCESO!M225*17)-SUM(PROCESO!N222:N225),"+#,##0;-#,##0;0")&amp;" kg",""),"")</f>
        <v/>
      </c>
      <c r="P186" s="130" t="n">
        <f aca="false">P185+N(M186)-N(N186)</f>
        <v>5288.5</v>
      </c>
      <c r="Q186" s="130"/>
      <c r="R186" s="130"/>
      <c r="S186" s="130"/>
      <c r="T186" s="130"/>
    </row>
    <row r="187" customFormat="false" ht="15" hidden="false" customHeight="false" outlineLevel="0" collapsed="false">
      <c r="A187" s="135" t="str">
        <f aca="false">IFERROR(INDEX(K$6:K$201,MATCH(ROW()-5,J$6:J$201,0)),"")</f>
        <v/>
      </c>
      <c r="B187" s="135" t="str">
        <f aca="false">IFERROR(INDEX(L$6:L$201,MATCH(ROW()-5,J$6:J$201,0)),"")</f>
        <v/>
      </c>
      <c r="C187" s="136" t="str">
        <f aca="false">IFERROR(INDEX(M$6:M$201,MATCH(ROW()-5,J$6:J$201,0)),"")</f>
        <v/>
      </c>
      <c r="D187" s="136" t="str">
        <f aca="false">IFERROR(INDEX(N$6:N$201,MATCH(ROW()-5,J$6:J$201,0)),"")</f>
        <v/>
      </c>
      <c r="E187" s="135" t="str">
        <f aca="false">IFERROR(INDEX(O$6:O$201,MATCH(ROW()-5,J$6:J$201,0)),"")</f>
        <v/>
      </c>
      <c r="F187" s="136" t="str">
        <f aca="false">IFERROR(INDEX(P$6:P$201,MATCH(ROW()-5,J$6:J$201,0)),"")</f>
        <v/>
      </c>
      <c r="G187" s="130"/>
      <c r="H187" s="130"/>
      <c r="I187" s="130"/>
      <c r="J187" s="130" t="str">
        <f aca="false">IF(PROCESO!D228&gt;0,COUNT(J$6:J186)+1,"")</f>
        <v/>
      </c>
      <c r="K187" s="130" t="str">
        <f aca="false">IF(PROCESO!D228&gt;0,PROCESO!A228&amp;IF(COUNTIF(PROCESO!$A$6:A227,PROCESO!A228)&gt;0," (Ped."&amp;(COUNTIF(PROCESO!$A$6:A227,PROCESO!A228)+1)&amp;")",""),"")</f>
        <v/>
      </c>
      <c r="L187" s="130" t="str">
        <f aca="false">IF(PROCESO!D228&gt;0,"INGRESO (compra)","")</f>
        <v/>
      </c>
      <c r="M187" s="130" t="str">
        <f aca="false">IF(PROCESO!D228&gt;0,PROCESO!D228,"")</f>
        <v/>
      </c>
      <c r="N187" s="130" t="str">
        <f aca="false">""</f>
        <v/>
      </c>
      <c r="O187" s="130" t="str">
        <f aca="false">IF(PROCESO!D228&gt;0,PROCESO!B228&amp;" sacos x "&amp;PROCESO!C228&amp;" kg","")</f>
        <v/>
      </c>
      <c r="P187" s="130" t="n">
        <f aca="false">P186+N(M187)-N(N187)</f>
        <v>5288.5</v>
      </c>
      <c r="Q187" s="130"/>
      <c r="R187" s="130"/>
      <c r="S187" s="130"/>
      <c r="T187" s="130"/>
    </row>
    <row r="188" customFormat="false" ht="15" hidden="false" customHeight="false" outlineLevel="0" collapsed="false">
      <c r="A188" s="135" t="str">
        <f aca="false">IFERROR(INDEX(K$6:K$201,MATCH(ROW()-5,J$6:J$201,0)),"")</f>
        <v/>
      </c>
      <c r="B188" s="135" t="str">
        <f aca="false">IFERROR(INDEX(L$6:L$201,MATCH(ROW()-5,J$6:J$201,0)),"")</f>
        <v/>
      </c>
      <c r="C188" s="136" t="str">
        <f aca="false">IFERROR(INDEX(M$6:M$201,MATCH(ROW()-5,J$6:J$201,0)),"")</f>
        <v/>
      </c>
      <c r="D188" s="136" t="str">
        <f aca="false">IFERROR(INDEX(N$6:N$201,MATCH(ROW()-5,J$6:J$201,0)),"")</f>
        <v/>
      </c>
      <c r="E188" s="135" t="str">
        <f aca="false">IFERROR(INDEX(O$6:O$201,MATCH(ROW()-5,J$6:J$201,0)),"")</f>
        <v/>
      </c>
      <c r="F188" s="136" t="str">
        <f aca="false">IFERROR(INDEX(P$6:P$201,MATCH(ROW()-5,J$6:J$201,0)),"")</f>
        <v/>
      </c>
      <c r="G188" s="130"/>
      <c r="H188" s="130"/>
      <c r="I188" s="130"/>
      <c r="J188" s="130" t="str">
        <f aca="false">IF(N(PROCESO!H232)&gt;0,COUNT(J$6:J187)+1,"")</f>
        <v/>
      </c>
      <c r="K188" s="130" t="str">
        <f aca="false">IF(N(PROCESO!H232)&gt;0,PROCESO!A228&amp;IF(COUNTIF(PROCESO!$A$6:A227,PROCESO!A228)&gt;0," (Ped."&amp;(COUNTIF(PROCESO!$A$6:A227,PROCESO!A228)+1)&amp;")",""),"")</f>
        <v/>
      </c>
      <c r="L188" s="130" t="str">
        <f aca="false">IF(N(PROCESO!H232)&gt;0,"CHANCHO (proceso)","")</f>
        <v/>
      </c>
      <c r="M188" s="130" t="str">
        <f aca="false">""</f>
        <v/>
      </c>
      <c r="N188" s="130" t="str">
        <f aca="false">IF(N(PROCESO!H232)&gt;0,N(PROCESO!H232),"")</f>
        <v/>
      </c>
      <c r="O188" s="130" t="str">
        <f aca="false">IF(N(PROCESO!H232)&gt;0,PROCESO!G232&amp;" sacos x 95 kg","")</f>
        <v/>
      </c>
      <c r="P188" s="130" t="n">
        <f aca="false">P187+N(M188)-N(N188)</f>
        <v>5288.5</v>
      </c>
      <c r="Q188" s="130"/>
      <c r="R188" s="130"/>
      <c r="S188" s="130"/>
      <c r="T188" s="130"/>
    </row>
    <row r="189" customFormat="false" ht="15" hidden="false" customHeight="false" outlineLevel="0" collapsed="false">
      <c r="A189" s="135" t="str">
        <f aca="false">IFERROR(INDEX(K$6:K$201,MATCH(ROW()-5,J$6:J$201,0)),"")</f>
        <v/>
      </c>
      <c r="B189" s="135" t="str">
        <f aca="false">IFERROR(INDEX(L$6:L$201,MATCH(ROW()-5,J$6:J$201,0)),"")</f>
        <v/>
      </c>
      <c r="C189" s="136" t="str">
        <f aca="false">IFERROR(INDEX(M$6:M$201,MATCH(ROW()-5,J$6:J$201,0)),"")</f>
        <v/>
      </c>
      <c r="D189" s="136" t="str">
        <f aca="false">IFERROR(INDEX(N$6:N$201,MATCH(ROW()-5,J$6:J$201,0)),"")</f>
        <v/>
      </c>
      <c r="E189" s="135" t="str">
        <f aca="false">IFERROR(INDEX(O$6:O$201,MATCH(ROW()-5,J$6:J$201,0)),"")</f>
        <v/>
      </c>
      <c r="F189" s="136" t="str">
        <f aca="false">IFERROR(INDEX(P$6:P$201,MATCH(ROW()-5,J$6:J$201,0)),"")</f>
        <v/>
      </c>
      <c r="G189" s="130"/>
      <c r="H189" s="130"/>
      <c r="I189" s="130"/>
      <c r="J189" s="130" t="str">
        <f aca="false">IF(N(PROCESO!H233)&gt;0,COUNT(J$6:J188)+1,"")</f>
        <v/>
      </c>
      <c r="K189" s="130" t="str">
        <f aca="false">IF(N(PROCESO!H233)&gt;0,PROCESO!A228&amp;IF(COUNTIF(PROCESO!$A$6:A227,PROCESO!A228)&gt;0," (Ped."&amp;(COUNTIF(PROCESO!$A$6:A227,PROCESO!A228)+1)&amp;")",""),"")</f>
        <v/>
      </c>
      <c r="L189" s="130" t="str">
        <f aca="false">IF(N(PROCESO!H233)&gt;0,"MALOGRADO","")</f>
        <v/>
      </c>
      <c r="M189" s="130" t="str">
        <f aca="false">""</f>
        <v/>
      </c>
      <c r="N189" s="130" t="str">
        <f aca="false">IF(N(PROCESO!H233)&gt;0,N(PROCESO!H233),"")</f>
        <v/>
      </c>
      <c r="O189" s="130" t="str">
        <f aca="false">""</f>
        <v/>
      </c>
      <c r="P189" s="130" t="n">
        <f aca="false">P188+N(M189)-N(N189)</f>
        <v>5288.5</v>
      </c>
      <c r="Q189" s="130"/>
      <c r="R189" s="130"/>
      <c r="S189" s="130"/>
      <c r="T189" s="130"/>
    </row>
    <row r="190" customFormat="false" ht="15" hidden="false" customHeight="false" outlineLevel="0" collapsed="false">
      <c r="A190" s="135" t="str">
        <f aca="false">IFERROR(INDEX(K$6:K$201,MATCH(ROW()-5,J$6:J$201,0)),"")</f>
        <v/>
      </c>
      <c r="B190" s="135" t="str">
        <f aca="false">IFERROR(INDEX(L$6:L$201,MATCH(ROW()-5,J$6:J$201,0)),"")</f>
        <v/>
      </c>
      <c r="C190" s="136" t="str">
        <f aca="false">IFERROR(INDEX(M$6:M$201,MATCH(ROW()-5,J$6:J$201,0)),"")</f>
        <v/>
      </c>
      <c r="D190" s="136" t="str">
        <f aca="false">IFERROR(INDEX(N$6:N$201,MATCH(ROW()-5,J$6:J$201,0)),"")</f>
        <v/>
      </c>
      <c r="E190" s="135" t="str">
        <f aca="false">IFERROR(INDEX(O$6:O$201,MATCH(ROW()-5,J$6:J$201,0)),"")</f>
        <v/>
      </c>
      <c r="F190" s="136" t="str">
        <f aca="false">IFERROR(INDEX(P$6:P$201,MATCH(ROW()-5,J$6:J$201,0)),"")</f>
        <v/>
      </c>
      <c r="G190" s="130"/>
      <c r="H190" s="130"/>
      <c r="I190" s="130"/>
      <c r="J190" s="130" t="str">
        <f aca="false">IF(IF(PROCESO!J228&lt;&gt;"",PROCESO!J228,IF(PROCESO!J229&lt;&gt;"",PROCESO!J229,IF(PROCESO!J230&lt;&gt;"",PROCESO!J230,IF(PROCESO!J231&lt;&gt;"",PROCESO!J231,""))))&lt;&gt;"",COUNT(J$6:J189)+1,"")</f>
        <v/>
      </c>
      <c r="K190" s="130" t="str">
        <f aca="false">IF(IF(PROCESO!J228&lt;&gt;"",PROCESO!J228,IF(PROCESO!J229&lt;&gt;"",PROCESO!J229,IF(PROCESO!J230&lt;&gt;"",PROCESO!J230,IF(PROCESO!J231&lt;&gt;"",PROCESO!J231,""))))&lt;&gt;"",PROCESO!A228&amp;IF(COUNTIF(PROCESO!$A$6:A227,PROCESO!A228)&gt;0," (Ped."&amp;(COUNTIF(PROCESO!$A$6:A227,PROCESO!A228)+1)&amp;")",""),"")</f>
        <v/>
      </c>
      <c r="L190" s="130" t="str">
        <f aca="false">IF(IF(PROCESO!J228&lt;&gt;"",PROCESO!J228,IF(PROCESO!J229&lt;&gt;"",PROCESO!J229,IF(PROCESO!J230&lt;&gt;"",PROCESO!J230,IF(PROCESO!J231&lt;&gt;"",PROCESO!J231,""))))&lt;&gt;"","ENVÍO Guía "&amp;IF(LEFT(IF(PROCESO!J228&lt;&gt;"",PROCESO!J228,IF(PROCESO!J229&lt;&gt;"",PROCESO!J229,IF(PROCESO!J230&lt;&gt;"",PROCESO!J230,IF(PROCESO!J231&lt;&gt;"",PROCESO!J231,"")))),2)="G-",MID(IF(PROCESO!J228&lt;&gt;"",PROCESO!J228,IF(PROCESO!J229&lt;&gt;"",PROCESO!J229,IF(PROCESO!J230&lt;&gt;"",PROCESO!J230,IF(PROCESO!J231&lt;&gt;"",PROCESO!J231,"")))),3,99),IF(PROCESO!J228&lt;&gt;"",PROCESO!J228,IF(PROCESO!J229&lt;&gt;"",PROCESO!J229,IF(PROCESO!J230&lt;&gt;"",PROCESO!J230,IF(PROCESO!J231&lt;&gt;"",PROCESO!J231,""))))),"")</f>
        <v/>
      </c>
      <c r="M190" s="130" t="str">
        <f aca="false">""</f>
        <v/>
      </c>
      <c r="N190" s="130" t="str">
        <f aca="false">IF(IF(PROCESO!J228&lt;&gt;"",PROCESO!J228,IF(PROCESO!J229&lt;&gt;"",PROCESO!J229,IF(PROCESO!J230&lt;&gt;"",PROCESO!J230,IF(PROCESO!J231&lt;&gt;"",PROCESO!J231,""))))&lt;&gt;"",SUMIF(PROCESO!J228:J231,IF(PROCESO!J228&lt;&gt;"",PROCESO!J228,IF(PROCESO!J229&lt;&gt;"",PROCESO!J229,IF(PROCESO!J230&lt;&gt;"",PROCESO!J230,IF(PROCESO!J231&lt;&gt;"",PROCESO!J231,"")))),PROCESO!L228:L231),"")</f>
        <v/>
      </c>
      <c r="O190" s="130" t="str">
        <f aca="false">IF(IF(PROCESO!J228&lt;&gt;"",PROCESO!J228,IF(PROCESO!J229&lt;&gt;"",PROCESO!J229,IF(PROCESO!J230&lt;&gt;"",PROCESO!J230,IF(PROCESO!J231&lt;&gt;"",PROCESO!J231,""))))&lt;&gt;"","G-"&amp;IF(LEFT(IF(PROCESO!J228&lt;&gt;"",PROCESO!J228,IF(PROCESO!J229&lt;&gt;"",PROCESO!J229,IF(PROCESO!J230&lt;&gt;"",PROCESO!J230,IF(PROCESO!J231&lt;&gt;"",PROCESO!J231,"")))),2)="G-",MID(IF(PROCESO!J228&lt;&gt;"",PROCESO!J228,IF(PROCESO!J229&lt;&gt;"",PROCESO!J229,IF(PROCESO!J230&lt;&gt;"",PROCESO!J230,IF(PROCESO!J231&lt;&gt;"",PROCESO!J231,"")))),3,99),IF(PROCESO!J228&lt;&gt;"",PROCESO!J228,IF(PROCESO!J229&lt;&gt;"",PROCESO!J229,IF(PROCESO!J230&lt;&gt;"",PROCESO!J230,IF(PROCESO!J231&lt;&gt;"",PROCESO!J231,""))))),"")</f>
        <v/>
      </c>
      <c r="P190" s="130" t="n">
        <f aca="false">P189+N(M190)-N(N190)</f>
        <v>5288.5</v>
      </c>
      <c r="Q190" s="130"/>
      <c r="R190" s="130"/>
      <c r="S190" s="130"/>
      <c r="T190" s="130"/>
    </row>
    <row r="191" customFormat="false" ht="15" hidden="false" customHeight="false" outlineLevel="0" collapsed="false">
      <c r="A191" s="135" t="str">
        <f aca="false">IFERROR(INDEX(K$6:K$201,MATCH(ROW()-5,J$6:J$201,0)),"")</f>
        <v/>
      </c>
      <c r="B191" s="135" t="str">
        <f aca="false">IFERROR(INDEX(L$6:L$201,MATCH(ROW()-5,J$6:J$201,0)),"")</f>
        <v/>
      </c>
      <c r="C191" s="136" t="str">
        <f aca="false">IFERROR(INDEX(M$6:M$201,MATCH(ROW()-5,J$6:J$201,0)),"")</f>
        <v/>
      </c>
      <c r="D191" s="136" t="str">
        <f aca="false">IFERROR(INDEX(N$6:N$201,MATCH(ROW()-5,J$6:J$201,0)),"")</f>
        <v/>
      </c>
      <c r="E191" s="135" t="str">
        <f aca="false">IFERROR(INDEX(O$6:O$201,MATCH(ROW()-5,J$6:J$201,0)),"")</f>
        <v/>
      </c>
      <c r="F191" s="136" t="str">
        <f aca="false">IFERROR(INDEX(P$6:P$201,MATCH(ROW()-5,J$6:J$201,0)),"")</f>
        <v/>
      </c>
      <c r="G191" s="130"/>
      <c r="H191" s="130"/>
      <c r="I191" s="130"/>
      <c r="J191" s="130" t="str">
        <f aca="false">IF(OR(SUM(PROCESO!M228:M231)&gt;0,SUM(PROCESO!N228:N231)&gt;0),COUNT(J$6:J190)+1,"")</f>
        <v/>
      </c>
      <c r="K191" s="130" t="str">
        <f aca="false">IF(OR(SUM(PROCESO!M228:M231)&gt;0,SUM(PROCESO!N228:N231)&gt;0),PROCESO!A228&amp;IF(COUNTIF(PROCESO!$A$6:A227,PROCESO!A228)&gt;0," (Ped."&amp;(COUNTIF(PROCESO!$A$6:A227,PROCESO!A228)+1)&amp;")",""),"")</f>
        <v/>
      </c>
      <c r="L191" s="130" t="str">
        <f aca="false">IF(OR(SUM(PROCESO!M228:M231)&gt;0,SUM(PROCESO!N228:N231)&gt;0),"REPROCESO (devolución)","")</f>
        <v/>
      </c>
      <c r="M191" s="130" t="str">
        <f aca="false">IF(OR(SUM(PROCESO!M228:M231)&gt;0,SUM(PROCESO!N228:N231)&gt;0),SUM(PROCESO!N228:N231),"")</f>
        <v/>
      </c>
      <c r="N191" s="130" t="str">
        <f aca="false">""</f>
        <v/>
      </c>
      <c r="O191" s="130" t="str">
        <f aca="false">IF(OR(SUM(PROCESO!M228:M231)&gt;0,SUM(PROCESO!N228:N231)&gt;0),IF(SUM(PROCESO!M228:M231)&gt;0,SUM(PROCESO!M228:M231)&amp;" jabas devueltas · merma "&amp;TEXT((PROCESO!M228*15+PROCESO!M229*18+PROCESO!M230*17+PROCESO!M231*17)-SUM(PROCESO!N228:N231),"+#,##0;-#,##0;0")&amp;" kg",""),"")</f>
        <v/>
      </c>
      <c r="P191" s="130" t="n">
        <f aca="false">P190+N(M191)-N(N191)</f>
        <v>5288.5</v>
      </c>
      <c r="Q191" s="130"/>
      <c r="R191" s="130"/>
      <c r="S191" s="130"/>
      <c r="T191" s="130"/>
    </row>
    <row r="192" customFormat="false" ht="15" hidden="false" customHeight="false" outlineLevel="0" collapsed="false">
      <c r="A192" s="135" t="str">
        <f aca="false">IFERROR(INDEX(K$6:K$201,MATCH(ROW()-5,J$6:J$201,0)),"")</f>
        <v/>
      </c>
      <c r="B192" s="135" t="str">
        <f aca="false">IFERROR(INDEX(L$6:L$201,MATCH(ROW()-5,J$6:J$201,0)),"")</f>
        <v/>
      </c>
      <c r="C192" s="136" t="str">
        <f aca="false">IFERROR(INDEX(M$6:M$201,MATCH(ROW()-5,J$6:J$201,0)),"")</f>
        <v/>
      </c>
      <c r="D192" s="136" t="str">
        <f aca="false">IFERROR(INDEX(N$6:N$201,MATCH(ROW()-5,J$6:J$201,0)),"")</f>
        <v/>
      </c>
      <c r="E192" s="135" t="str">
        <f aca="false">IFERROR(INDEX(O$6:O$201,MATCH(ROW()-5,J$6:J$201,0)),"")</f>
        <v/>
      </c>
      <c r="F192" s="136" t="str">
        <f aca="false">IFERROR(INDEX(P$6:P$201,MATCH(ROW()-5,J$6:J$201,0)),"")</f>
        <v/>
      </c>
      <c r="G192" s="130"/>
      <c r="H192" s="130"/>
      <c r="I192" s="130"/>
      <c r="J192" s="130" t="str">
        <f aca="false">IF(PROCESO!D234&gt;0,COUNT(J$6:J191)+1,"")</f>
        <v/>
      </c>
      <c r="K192" s="130" t="str">
        <f aca="false">IF(PROCESO!D234&gt;0,PROCESO!A234&amp;IF(COUNTIF(PROCESO!$A$6:A233,PROCESO!A234)&gt;0," (Ped."&amp;(COUNTIF(PROCESO!$A$6:A233,PROCESO!A234)+1)&amp;")",""),"")</f>
        <v/>
      </c>
      <c r="L192" s="130" t="str">
        <f aca="false">IF(PROCESO!D234&gt;0,"INGRESO (compra)","")</f>
        <v/>
      </c>
      <c r="M192" s="130" t="str">
        <f aca="false">IF(PROCESO!D234&gt;0,PROCESO!D234,"")</f>
        <v/>
      </c>
      <c r="N192" s="130" t="str">
        <f aca="false">""</f>
        <v/>
      </c>
      <c r="O192" s="130" t="str">
        <f aca="false">IF(PROCESO!D234&gt;0,PROCESO!B234&amp;" sacos x "&amp;PROCESO!C234&amp;" kg","")</f>
        <v/>
      </c>
      <c r="P192" s="130" t="n">
        <f aca="false">P191+N(M192)-N(N192)</f>
        <v>5288.5</v>
      </c>
      <c r="Q192" s="130"/>
      <c r="R192" s="130"/>
      <c r="S192" s="130"/>
      <c r="T192" s="130"/>
    </row>
    <row r="193" customFormat="false" ht="15" hidden="false" customHeight="false" outlineLevel="0" collapsed="false">
      <c r="A193" s="135" t="str">
        <f aca="false">IFERROR(INDEX(K$6:K$201,MATCH(ROW()-5,J$6:J$201,0)),"")</f>
        <v/>
      </c>
      <c r="B193" s="135" t="str">
        <f aca="false">IFERROR(INDEX(L$6:L$201,MATCH(ROW()-5,J$6:J$201,0)),"")</f>
        <v/>
      </c>
      <c r="C193" s="136" t="str">
        <f aca="false">IFERROR(INDEX(M$6:M$201,MATCH(ROW()-5,J$6:J$201,0)),"")</f>
        <v/>
      </c>
      <c r="D193" s="136" t="str">
        <f aca="false">IFERROR(INDEX(N$6:N$201,MATCH(ROW()-5,J$6:J$201,0)),"")</f>
        <v/>
      </c>
      <c r="E193" s="135" t="str">
        <f aca="false">IFERROR(INDEX(O$6:O$201,MATCH(ROW()-5,J$6:J$201,0)),"")</f>
        <v/>
      </c>
      <c r="F193" s="136" t="str">
        <f aca="false">IFERROR(INDEX(P$6:P$201,MATCH(ROW()-5,J$6:J$201,0)),"")</f>
        <v/>
      </c>
      <c r="G193" s="130"/>
      <c r="H193" s="130"/>
      <c r="I193" s="130"/>
      <c r="J193" s="130" t="str">
        <f aca="false">IF(N(PROCESO!H238)&gt;0,COUNT(J$6:J192)+1,"")</f>
        <v/>
      </c>
      <c r="K193" s="130" t="str">
        <f aca="false">IF(N(PROCESO!H238)&gt;0,PROCESO!A234&amp;IF(COUNTIF(PROCESO!$A$6:A233,PROCESO!A234)&gt;0," (Ped."&amp;(COUNTIF(PROCESO!$A$6:A233,PROCESO!A234)+1)&amp;")",""),"")</f>
        <v/>
      </c>
      <c r="L193" s="130" t="str">
        <f aca="false">IF(N(PROCESO!H238)&gt;0,"CHANCHO (proceso)","")</f>
        <v/>
      </c>
      <c r="M193" s="130" t="str">
        <f aca="false">""</f>
        <v/>
      </c>
      <c r="N193" s="130" t="str">
        <f aca="false">IF(N(PROCESO!H238)&gt;0,N(PROCESO!H238),"")</f>
        <v/>
      </c>
      <c r="O193" s="130" t="str">
        <f aca="false">IF(N(PROCESO!H238)&gt;0,PROCESO!G238&amp;" sacos x 95 kg","")</f>
        <v/>
      </c>
      <c r="P193" s="130" t="n">
        <f aca="false">P192+N(M193)-N(N193)</f>
        <v>5288.5</v>
      </c>
      <c r="Q193" s="130"/>
      <c r="R193" s="130"/>
      <c r="S193" s="130"/>
      <c r="T193" s="130"/>
    </row>
    <row r="194" customFormat="false" ht="15" hidden="false" customHeight="false" outlineLevel="0" collapsed="false">
      <c r="A194" s="135" t="str">
        <f aca="false">IFERROR(INDEX(K$6:K$201,MATCH(ROW()-5,J$6:J$201,0)),"")</f>
        <v/>
      </c>
      <c r="B194" s="135" t="str">
        <f aca="false">IFERROR(INDEX(L$6:L$201,MATCH(ROW()-5,J$6:J$201,0)),"")</f>
        <v/>
      </c>
      <c r="C194" s="136" t="str">
        <f aca="false">IFERROR(INDEX(M$6:M$201,MATCH(ROW()-5,J$6:J$201,0)),"")</f>
        <v/>
      </c>
      <c r="D194" s="136" t="str">
        <f aca="false">IFERROR(INDEX(N$6:N$201,MATCH(ROW()-5,J$6:J$201,0)),"")</f>
        <v/>
      </c>
      <c r="E194" s="135" t="str">
        <f aca="false">IFERROR(INDEX(O$6:O$201,MATCH(ROW()-5,J$6:J$201,0)),"")</f>
        <v/>
      </c>
      <c r="F194" s="136" t="str">
        <f aca="false">IFERROR(INDEX(P$6:P$201,MATCH(ROW()-5,J$6:J$201,0)),"")</f>
        <v/>
      </c>
      <c r="G194" s="130"/>
      <c r="H194" s="130"/>
      <c r="I194" s="130"/>
      <c r="J194" s="130" t="str">
        <f aca="false">IF(N(PROCESO!H239)&gt;0,COUNT(J$6:J193)+1,"")</f>
        <v/>
      </c>
      <c r="K194" s="130" t="str">
        <f aca="false">IF(N(PROCESO!H239)&gt;0,PROCESO!A234&amp;IF(COUNTIF(PROCESO!$A$6:A233,PROCESO!A234)&gt;0," (Ped."&amp;(COUNTIF(PROCESO!$A$6:A233,PROCESO!A234)+1)&amp;")",""),"")</f>
        <v/>
      </c>
      <c r="L194" s="130" t="str">
        <f aca="false">IF(N(PROCESO!H239)&gt;0,"MALOGRADO","")</f>
        <v/>
      </c>
      <c r="M194" s="130" t="str">
        <f aca="false">""</f>
        <v/>
      </c>
      <c r="N194" s="130" t="str">
        <f aca="false">IF(N(PROCESO!H239)&gt;0,N(PROCESO!H239),"")</f>
        <v/>
      </c>
      <c r="O194" s="130" t="str">
        <f aca="false">""</f>
        <v/>
      </c>
      <c r="P194" s="130" t="n">
        <f aca="false">P193+N(M194)-N(N194)</f>
        <v>5288.5</v>
      </c>
      <c r="Q194" s="130"/>
      <c r="R194" s="130"/>
      <c r="S194" s="130"/>
      <c r="T194" s="130"/>
    </row>
    <row r="195" customFormat="false" ht="15" hidden="false" customHeight="false" outlineLevel="0" collapsed="false">
      <c r="A195" s="135" t="str">
        <f aca="false">IFERROR(INDEX(K$6:K$201,MATCH(ROW()-5,J$6:J$201,0)),"")</f>
        <v/>
      </c>
      <c r="B195" s="135" t="str">
        <f aca="false">IFERROR(INDEX(L$6:L$201,MATCH(ROW()-5,J$6:J$201,0)),"")</f>
        <v/>
      </c>
      <c r="C195" s="136" t="str">
        <f aca="false">IFERROR(INDEX(M$6:M$201,MATCH(ROW()-5,J$6:J$201,0)),"")</f>
        <v/>
      </c>
      <c r="D195" s="136" t="str">
        <f aca="false">IFERROR(INDEX(N$6:N$201,MATCH(ROW()-5,J$6:J$201,0)),"")</f>
        <v/>
      </c>
      <c r="E195" s="135" t="str">
        <f aca="false">IFERROR(INDEX(O$6:O$201,MATCH(ROW()-5,J$6:J$201,0)),"")</f>
        <v/>
      </c>
      <c r="F195" s="136" t="str">
        <f aca="false">IFERROR(INDEX(P$6:P$201,MATCH(ROW()-5,J$6:J$201,0)),"")</f>
        <v/>
      </c>
      <c r="G195" s="130"/>
      <c r="H195" s="130"/>
      <c r="I195" s="130"/>
      <c r="J195" s="130" t="str">
        <f aca="false">IF(IF(PROCESO!J234&lt;&gt;"",PROCESO!J234,IF(PROCESO!J235&lt;&gt;"",PROCESO!J235,IF(PROCESO!J236&lt;&gt;"",PROCESO!J236,IF(PROCESO!J237&lt;&gt;"",PROCESO!J237,""))))&lt;&gt;"",COUNT(J$6:J194)+1,"")</f>
        <v/>
      </c>
      <c r="K195" s="130" t="str">
        <f aca="false">IF(IF(PROCESO!J234&lt;&gt;"",PROCESO!J234,IF(PROCESO!J235&lt;&gt;"",PROCESO!J235,IF(PROCESO!J236&lt;&gt;"",PROCESO!J236,IF(PROCESO!J237&lt;&gt;"",PROCESO!J237,""))))&lt;&gt;"",PROCESO!A234&amp;IF(COUNTIF(PROCESO!$A$6:A233,PROCESO!A234)&gt;0," (Ped."&amp;(COUNTIF(PROCESO!$A$6:A233,PROCESO!A234)+1)&amp;")",""),"")</f>
        <v/>
      </c>
      <c r="L195" s="130" t="str">
        <f aca="false">IF(IF(PROCESO!J234&lt;&gt;"",PROCESO!J234,IF(PROCESO!J235&lt;&gt;"",PROCESO!J235,IF(PROCESO!J236&lt;&gt;"",PROCESO!J236,IF(PROCESO!J237&lt;&gt;"",PROCESO!J237,""))))&lt;&gt;"","ENVÍO Guía "&amp;IF(LEFT(IF(PROCESO!J234&lt;&gt;"",PROCESO!J234,IF(PROCESO!J235&lt;&gt;"",PROCESO!J235,IF(PROCESO!J236&lt;&gt;"",PROCESO!J236,IF(PROCESO!J237&lt;&gt;"",PROCESO!J237,"")))),2)="G-",MID(IF(PROCESO!J234&lt;&gt;"",PROCESO!J234,IF(PROCESO!J235&lt;&gt;"",PROCESO!J235,IF(PROCESO!J236&lt;&gt;"",PROCESO!J236,IF(PROCESO!J237&lt;&gt;"",PROCESO!J237,"")))),3,99),IF(PROCESO!J234&lt;&gt;"",PROCESO!J234,IF(PROCESO!J235&lt;&gt;"",PROCESO!J235,IF(PROCESO!J236&lt;&gt;"",PROCESO!J236,IF(PROCESO!J237&lt;&gt;"",PROCESO!J237,""))))),"")</f>
        <v/>
      </c>
      <c r="M195" s="130" t="str">
        <f aca="false">""</f>
        <v/>
      </c>
      <c r="N195" s="130" t="str">
        <f aca="false">IF(IF(PROCESO!J234&lt;&gt;"",PROCESO!J234,IF(PROCESO!J235&lt;&gt;"",PROCESO!J235,IF(PROCESO!J236&lt;&gt;"",PROCESO!J236,IF(PROCESO!J237&lt;&gt;"",PROCESO!J237,""))))&lt;&gt;"",SUMIF(PROCESO!J234:J237,IF(PROCESO!J234&lt;&gt;"",PROCESO!J234,IF(PROCESO!J235&lt;&gt;"",PROCESO!J235,IF(PROCESO!J236&lt;&gt;"",PROCESO!J236,IF(PROCESO!J237&lt;&gt;"",PROCESO!J237,"")))),PROCESO!L234:L237),"")</f>
        <v/>
      </c>
      <c r="O195" s="130" t="str">
        <f aca="false">IF(IF(PROCESO!J234&lt;&gt;"",PROCESO!J234,IF(PROCESO!J235&lt;&gt;"",PROCESO!J235,IF(PROCESO!J236&lt;&gt;"",PROCESO!J236,IF(PROCESO!J237&lt;&gt;"",PROCESO!J237,""))))&lt;&gt;"","G-"&amp;IF(LEFT(IF(PROCESO!J234&lt;&gt;"",PROCESO!J234,IF(PROCESO!J235&lt;&gt;"",PROCESO!J235,IF(PROCESO!J236&lt;&gt;"",PROCESO!J236,IF(PROCESO!J237&lt;&gt;"",PROCESO!J237,"")))),2)="G-",MID(IF(PROCESO!J234&lt;&gt;"",PROCESO!J234,IF(PROCESO!J235&lt;&gt;"",PROCESO!J235,IF(PROCESO!J236&lt;&gt;"",PROCESO!J236,IF(PROCESO!J237&lt;&gt;"",PROCESO!J237,"")))),3,99),IF(PROCESO!J234&lt;&gt;"",PROCESO!J234,IF(PROCESO!J235&lt;&gt;"",PROCESO!J235,IF(PROCESO!J236&lt;&gt;"",PROCESO!J236,IF(PROCESO!J237&lt;&gt;"",PROCESO!J237,""))))),"")</f>
        <v/>
      </c>
      <c r="P195" s="130" t="n">
        <f aca="false">P194+N(M195)-N(N195)</f>
        <v>5288.5</v>
      </c>
      <c r="Q195" s="130"/>
      <c r="R195" s="130"/>
      <c r="S195" s="130"/>
      <c r="T195" s="130"/>
    </row>
    <row r="196" customFormat="false" ht="15" hidden="false" customHeight="false" outlineLevel="0" collapsed="false">
      <c r="A196" s="135" t="str">
        <f aca="false">IFERROR(INDEX(K$6:K$201,MATCH(ROW()-5,J$6:J$201,0)),"")</f>
        <v/>
      </c>
      <c r="B196" s="135" t="str">
        <f aca="false">IFERROR(INDEX(L$6:L$201,MATCH(ROW()-5,J$6:J$201,0)),"")</f>
        <v/>
      </c>
      <c r="C196" s="136" t="str">
        <f aca="false">IFERROR(INDEX(M$6:M$201,MATCH(ROW()-5,J$6:J$201,0)),"")</f>
        <v/>
      </c>
      <c r="D196" s="136" t="str">
        <f aca="false">IFERROR(INDEX(N$6:N$201,MATCH(ROW()-5,J$6:J$201,0)),"")</f>
        <v/>
      </c>
      <c r="E196" s="135" t="str">
        <f aca="false">IFERROR(INDEX(O$6:O$201,MATCH(ROW()-5,J$6:J$201,0)),"")</f>
        <v/>
      </c>
      <c r="F196" s="136" t="str">
        <f aca="false">IFERROR(INDEX(P$6:P$201,MATCH(ROW()-5,J$6:J$201,0)),"")</f>
        <v/>
      </c>
      <c r="G196" s="130"/>
      <c r="H196" s="130"/>
      <c r="I196" s="130"/>
      <c r="J196" s="130" t="str">
        <f aca="false">IF(OR(SUM(PROCESO!M234:M237)&gt;0,SUM(PROCESO!N234:N237)&gt;0),COUNT(J$6:J195)+1,"")</f>
        <v/>
      </c>
      <c r="K196" s="130" t="str">
        <f aca="false">IF(OR(SUM(PROCESO!M234:M237)&gt;0,SUM(PROCESO!N234:N237)&gt;0),PROCESO!A234&amp;IF(COUNTIF(PROCESO!$A$6:A233,PROCESO!A234)&gt;0," (Ped."&amp;(COUNTIF(PROCESO!$A$6:A233,PROCESO!A234)+1)&amp;")",""),"")</f>
        <v/>
      </c>
      <c r="L196" s="130" t="str">
        <f aca="false">IF(OR(SUM(PROCESO!M234:M237)&gt;0,SUM(PROCESO!N234:N237)&gt;0),"REPROCESO (devolución)","")</f>
        <v/>
      </c>
      <c r="M196" s="130" t="str">
        <f aca="false">IF(OR(SUM(PROCESO!M234:M237)&gt;0,SUM(PROCESO!N234:N237)&gt;0),SUM(PROCESO!N234:N237),"")</f>
        <v/>
      </c>
      <c r="N196" s="130" t="str">
        <f aca="false">""</f>
        <v/>
      </c>
      <c r="O196" s="130" t="str">
        <f aca="false">IF(OR(SUM(PROCESO!M234:M237)&gt;0,SUM(PROCESO!N234:N237)&gt;0),IF(SUM(PROCESO!M234:M237)&gt;0,SUM(PROCESO!M234:M237)&amp;" jabas devueltas · merma "&amp;TEXT((PROCESO!M234*15+PROCESO!M235*18+PROCESO!M236*17+PROCESO!M237*17)-SUM(PROCESO!N234:N237),"+#,##0;-#,##0;0")&amp;" kg",""),"")</f>
        <v/>
      </c>
      <c r="P196" s="130" t="n">
        <f aca="false">P195+N(M196)-N(N196)</f>
        <v>5288.5</v>
      </c>
      <c r="Q196" s="130"/>
      <c r="R196" s="130"/>
      <c r="S196" s="130"/>
      <c r="T196" s="130"/>
    </row>
    <row r="197" customFormat="false" ht="15" hidden="false" customHeight="false" outlineLevel="0" collapsed="false">
      <c r="A197" s="135" t="str">
        <f aca="false">IFERROR(INDEX(K$6:K$201,MATCH(ROW()-5,J$6:J$201,0)),"")</f>
        <v/>
      </c>
      <c r="B197" s="135" t="str">
        <f aca="false">IFERROR(INDEX(L$6:L$201,MATCH(ROW()-5,J$6:J$201,0)),"")</f>
        <v/>
      </c>
      <c r="C197" s="136" t="str">
        <f aca="false">IFERROR(INDEX(M$6:M$201,MATCH(ROW()-5,J$6:J$201,0)),"")</f>
        <v/>
      </c>
      <c r="D197" s="136" t="str">
        <f aca="false">IFERROR(INDEX(N$6:N$201,MATCH(ROW()-5,J$6:J$201,0)),"")</f>
        <v/>
      </c>
      <c r="E197" s="135" t="str">
        <f aca="false">IFERROR(INDEX(O$6:O$201,MATCH(ROW()-5,J$6:J$201,0)),"")</f>
        <v/>
      </c>
      <c r="F197" s="136" t="str">
        <f aca="false">IFERROR(INDEX(P$6:P$201,MATCH(ROW()-5,J$6:J$201,0)),"")</f>
        <v/>
      </c>
      <c r="G197" s="130"/>
      <c r="H197" s="130"/>
      <c r="I197" s="130"/>
      <c r="J197" s="130" t="str">
        <f aca="false">IF(PROCESO!D240&gt;0,COUNT(J$6:J196)+1,"")</f>
        <v/>
      </c>
      <c r="K197" s="130" t="str">
        <f aca="false">IF(PROCESO!D240&gt;0,PROCESO!A240&amp;IF(COUNTIF(PROCESO!$A$6:A239,PROCESO!A240)&gt;0," (Ped."&amp;(COUNTIF(PROCESO!$A$6:A239,PROCESO!A240)+1)&amp;")",""),"")</f>
        <v/>
      </c>
      <c r="L197" s="130" t="str">
        <f aca="false">IF(PROCESO!D240&gt;0,"INGRESO (compra)","")</f>
        <v/>
      </c>
      <c r="M197" s="130" t="str">
        <f aca="false">IF(PROCESO!D240&gt;0,PROCESO!D240,"")</f>
        <v/>
      </c>
      <c r="N197" s="130" t="str">
        <f aca="false">""</f>
        <v/>
      </c>
      <c r="O197" s="130" t="str">
        <f aca="false">IF(PROCESO!D240&gt;0,PROCESO!B240&amp;" sacos x "&amp;PROCESO!C240&amp;" kg","")</f>
        <v/>
      </c>
      <c r="P197" s="130" t="n">
        <f aca="false">P196+N(M197)-N(N197)</f>
        <v>5288.5</v>
      </c>
      <c r="Q197" s="130"/>
      <c r="R197" s="130"/>
      <c r="S197" s="130"/>
      <c r="T197" s="130"/>
    </row>
    <row r="198" customFormat="false" ht="15" hidden="false" customHeight="false" outlineLevel="0" collapsed="false">
      <c r="A198" s="135" t="str">
        <f aca="false">IFERROR(INDEX(K$6:K$201,MATCH(ROW()-5,J$6:J$201,0)),"")</f>
        <v/>
      </c>
      <c r="B198" s="135" t="str">
        <f aca="false">IFERROR(INDEX(L$6:L$201,MATCH(ROW()-5,J$6:J$201,0)),"")</f>
        <v/>
      </c>
      <c r="C198" s="136" t="str">
        <f aca="false">IFERROR(INDEX(M$6:M$201,MATCH(ROW()-5,J$6:J$201,0)),"")</f>
        <v/>
      </c>
      <c r="D198" s="136" t="str">
        <f aca="false">IFERROR(INDEX(N$6:N$201,MATCH(ROW()-5,J$6:J$201,0)),"")</f>
        <v/>
      </c>
      <c r="E198" s="135" t="str">
        <f aca="false">IFERROR(INDEX(O$6:O$201,MATCH(ROW()-5,J$6:J$201,0)),"")</f>
        <v/>
      </c>
      <c r="F198" s="136" t="str">
        <f aca="false">IFERROR(INDEX(P$6:P$201,MATCH(ROW()-5,J$6:J$201,0)),"")</f>
        <v/>
      </c>
      <c r="G198" s="130"/>
      <c r="H198" s="130"/>
      <c r="I198" s="130"/>
      <c r="J198" s="130" t="str">
        <f aca="false">IF(N(PROCESO!H244)&gt;0,COUNT(J$6:J197)+1,"")</f>
        <v/>
      </c>
      <c r="K198" s="130" t="str">
        <f aca="false">IF(N(PROCESO!H244)&gt;0,PROCESO!A240&amp;IF(COUNTIF(PROCESO!$A$6:A239,PROCESO!A240)&gt;0," (Ped."&amp;(COUNTIF(PROCESO!$A$6:A239,PROCESO!A240)+1)&amp;")",""),"")</f>
        <v/>
      </c>
      <c r="L198" s="130" t="str">
        <f aca="false">IF(N(PROCESO!H244)&gt;0,"CHANCHO (proceso)","")</f>
        <v/>
      </c>
      <c r="M198" s="130" t="str">
        <f aca="false">""</f>
        <v/>
      </c>
      <c r="N198" s="130" t="str">
        <f aca="false">IF(N(PROCESO!H244)&gt;0,N(PROCESO!H244),"")</f>
        <v/>
      </c>
      <c r="O198" s="130" t="str">
        <f aca="false">IF(N(PROCESO!H244)&gt;0,PROCESO!G244&amp;" sacos x 95 kg","")</f>
        <v/>
      </c>
      <c r="P198" s="130" t="n">
        <f aca="false">P197+N(M198)-N(N198)</f>
        <v>5288.5</v>
      </c>
      <c r="Q198" s="130"/>
      <c r="R198" s="130"/>
      <c r="S198" s="130"/>
      <c r="T198" s="130"/>
    </row>
    <row r="199" customFormat="false" ht="15" hidden="false" customHeight="false" outlineLevel="0" collapsed="false">
      <c r="A199" s="135" t="str">
        <f aca="false">IFERROR(INDEX(K$6:K$201,MATCH(ROW()-5,J$6:J$201,0)),"")</f>
        <v/>
      </c>
      <c r="B199" s="135" t="str">
        <f aca="false">IFERROR(INDEX(L$6:L$201,MATCH(ROW()-5,J$6:J$201,0)),"")</f>
        <v/>
      </c>
      <c r="C199" s="136" t="str">
        <f aca="false">IFERROR(INDEX(M$6:M$201,MATCH(ROW()-5,J$6:J$201,0)),"")</f>
        <v/>
      </c>
      <c r="D199" s="136" t="str">
        <f aca="false">IFERROR(INDEX(N$6:N$201,MATCH(ROW()-5,J$6:J$201,0)),"")</f>
        <v/>
      </c>
      <c r="E199" s="135" t="str">
        <f aca="false">IFERROR(INDEX(O$6:O$201,MATCH(ROW()-5,J$6:J$201,0)),"")</f>
        <v/>
      </c>
      <c r="F199" s="136" t="str">
        <f aca="false">IFERROR(INDEX(P$6:P$201,MATCH(ROW()-5,J$6:J$201,0)),"")</f>
        <v/>
      </c>
      <c r="G199" s="130"/>
      <c r="H199" s="130"/>
      <c r="I199" s="130"/>
      <c r="J199" s="130" t="str">
        <f aca="false">IF(N(PROCESO!H245)&gt;0,COUNT(J$6:J198)+1,"")</f>
        <v/>
      </c>
      <c r="K199" s="130" t="str">
        <f aca="false">IF(N(PROCESO!H245)&gt;0,PROCESO!A240&amp;IF(COUNTIF(PROCESO!$A$6:A239,PROCESO!A240)&gt;0," (Ped."&amp;(COUNTIF(PROCESO!$A$6:A239,PROCESO!A240)+1)&amp;")",""),"")</f>
        <v/>
      </c>
      <c r="L199" s="130" t="str">
        <f aca="false">IF(N(PROCESO!H245)&gt;0,"MALOGRADO","")</f>
        <v/>
      </c>
      <c r="M199" s="130" t="str">
        <f aca="false">""</f>
        <v/>
      </c>
      <c r="N199" s="130" t="str">
        <f aca="false">IF(N(PROCESO!H245)&gt;0,N(PROCESO!H245),"")</f>
        <v/>
      </c>
      <c r="O199" s="130" t="str">
        <f aca="false">""</f>
        <v/>
      </c>
      <c r="P199" s="130" t="n">
        <f aca="false">P198+N(M199)-N(N199)</f>
        <v>5288.5</v>
      </c>
      <c r="Q199" s="130"/>
      <c r="R199" s="130"/>
      <c r="S199" s="130"/>
      <c r="T199" s="130"/>
    </row>
    <row r="200" customFormat="false" ht="15" hidden="false" customHeight="false" outlineLevel="0" collapsed="false">
      <c r="A200" s="135" t="str">
        <f aca="false">IFERROR(INDEX(K$6:K$201,MATCH(ROW()-5,J$6:J$201,0)),"")</f>
        <v/>
      </c>
      <c r="B200" s="135" t="str">
        <f aca="false">IFERROR(INDEX(L$6:L$201,MATCH(ROW()-5,J$6:J$201,0)),"")</f>
        <v/>
      </c>
      <c r="C200" s="136" t="str">
        <f aca="false">IFERROR(INDEX(M$6:M$201,MATCH(ROW()-5,J$6:J$201,0)),"")</f>
        <v/>
      </c>
      <c r="D200" s="136" t="str">
        <f aca="false">IFERROR(INDEX(N$6:N$201,MATCH(ROW()-5,J$6:J$201,0)),"")</f>
        <v/>
      </c>
      <c r="E200" s="135" t="str">
        <f aca="false">IFERROR(INDEX(O$6:O$201,MATCH(ROW()-5,J$6:J$201,0)),"")</f>
        <v/>
      </c>
      <c r="F200" s="136" t="str">
        <f aca="false">IFERROR(INDEX(P$6:P$201,MATCH(ROW()-5,J$6:J$201,0)),"")</f>
        <v/>
      </c>
      <c r="G200" s="130"/>
      <c r="H200" s="130"/>
      <c r="I200" s="130"/>
      <c r="J200" s="130" t="str">
        <f aca="false">IF(IF(PROCESO!J240&lt;&gt;"",PROCESO!J240,IF(PROCESO!J241&lt;&gt;"",PROCESO!J241,IF(PROCESO!J242&lt;&gt;"",PROCESO!J242,IF(PROCESO!J243&lt;&gt;"",PROCESO!J243,""))))&lt;&gt;"",COUNT(J$6:J199)+1,"")</f>
        <v/>
      </c>
      <c r="K200" s="130" t="str">
        <f aca="false">IF(IF(PROCESO!J240&lt;&gt;"",PROCESO!J240,IF(PROCESO!J241&lt;&gt;"",PROCESO!J241,IF(PROCESO!J242&lt;&gt;"",PROCESO!J242,IF(PROCESO!J243&lt;&gt;"",PROCESO!J243,""))))&lt;&gt;"",PROCESO!A240&amp;IF(COUNTIF(PROCESO!$A$6:A239,PROCESO!A240)&gt;0," (Ped."&amp;(COUNTIF(PROCESO!$A$6:A239,PROCESO!A240)+1)&amp;")",""),"")</f>
        <v/>
      </c>
      <c r="L200" s="130" t="str">
        <f aca="false">IF(IF(PROCESO!J240&lt;&gt;"",PROCESO!J240,IF(PROCESO!J241&lt;&gt;"",PROCESO!J241,IF(PROCESO!J242&lt;&gt;"",PROCESO!J242,IF(PROCESO!J243&lt;&gt;"",PROCESO!J243,""))))&lt;&gt;"","ENVÍO Guía "&amp;IF(LEFT(IF(PROCESO!J240&lt;&gt;"",PROCESO!J240,IF(PROCESO!J241&lt;&gt;"",PROCESO!J241,IF(PROCESO!J242&lt;&gt;"",PROCESO!J242,IF(PROCESO!J243&lt;&gt;"",PROCESO!J243,"")))),2)="G-",MID(IF(PROCESO!J240&lt;&gt;"",PROCESO!J240,IF(PROCESO!J241&lt;&gt;"",PROCESO!J241,IF(PROCESO!J242&lt;&gt;"",PROCESO!J242,IF(PROCESO!J243&lt;&gt;"",PROCESO!J243,"")))),3,99),IF(PROCESO!J240&lt;&gt;"",PROCESO!J240,IF(PROCESO!J241&lt;&gt;"",PROCESO!J241,IF(PROCESO!J242&lt;&gt;"",PROCESO!J242,IF(PROCESO!J243&lt;&gt;"",PROCESO!J243,""))))),"")</f>
        <v/>
      </c>
      <c r="M200" s="130" t="str">
        <f aca="false">""</f>
        <v/>
      </c>
      <c r="N200" s="130" t="str">
        <f aca="false">IF(IF(PROCESO!J240&lt;&gt;"",PROCESO!J240,IF(PROCESO!J241&lt;&gt;"",PROCESO!J241,IF(PROCESO!J242&lt;&gt;"",PROCESO!J242,IF(PROCESO!J243&lt;&gt;"",PROCESO!J243,""))))&lt;&gt;"",SUMIF(PROCESO!J240:J243,IF(PROCESO!J240&lt;&gt;"",PROCESO!J240,IF(PROCESO!J241&lt;&gt;"",PROCESO!J241,IF(PROCESO!J242&lt;&gt;"",PROCESO!J242,IF(PROCESO!J243&lt;&gt;"",PROCESO!J243,"")))),PROCESO!L240:L243),"")</f>
        <v/>
      </c>
      <c r="O200" s="130" t="str">
        <f aca="false">IF(IF(PROCESO!J240&lt;&gt;"",PROCESO!J240,IF(PROCESO!J241&lt;&gt;"",PROCESO!J241,IF(PROCESO!J242&lt;&gt;"",PROCESO!J242,IF(PROCESO!J243&lt;&gt;"",PROCESO!J243,""))))&lt;&gt;"","G-"&amp;IF(LEFT(IF(PROCESO!J240&lt;&gt;"",PROCESO!J240,IF(PROCESO!J241&lt;&gt;"",PROCESO!J241,IF(PROCESO!J242&lt;&gt;"",PROCESO!J242,IF(PROCESO!J243&lt;&gt;"",PROCESO!J243,"")))),2)="G-",MID(IF(PROCESO!J240&lt;&gt;"",PROCESO!J240,IF(PROCESO!J241&lt;&gt;"",PROCESO!J241,IF(PROCESO!J242&lt;&gt;"",PROCESO!J242,IF(PROCESO!J243&lt;&gt;"",PROCESO!J243,"")))),3,99),IF(PROCESO!J240&lt;&gt;"",PROCESO!J240,IF(PROCESO!J241&lt;&gt;"",PROCESO!J241,IF(PROCESO!J242&lt;&gt;"",PROCESO!J242,IF(PROCESO!J243&lt;&gt;"",PROCESO!J243,""))))),"")</f>
        <v/>
      </c>
      <c r="P200" s="130" t="n">
        <f aca="false">P199+N(M200)-N(N200)</f>
        <v>5288.5</v>
      </c>
      <c r="Q200" s="130"/>
      <c r="R200" s="130"/>
      <c r="S200" s="130"/>
      <c r="T200" s="130"/>
    </row>
    <row r="201" customFormat="false" ht="15" hidden="false" customHeight="false" outlineLevel="0" collapsed="false">
      <c r="A201" s="135" t="str">
        <f aca="false">IFERROR(INDEX(K$6:K$201,MATCH(ROW()-5,J$6:J$201,0)),"")</f>
        <v/>
      </c>
      <c r="B201" s="135" t="str">
        <f aca="false">IFERROR(INDEX(L$6:L$201,MATCH(ROW()-5,J$6:J$201,0)),"")</f>
        <v/>
      </c>
      <c r="C201" s="136" t="str">
        <f aca="false">IFERROR(INDEX(M$6:M$201,MATCH(ROW()-5,J$6:J$201,0)),"")</f>
        <v/>
      </c>
      <c r="D201" s="136" t="str">
        <f aca="false">IFERROR(INDEX(N$6:N$201,MATCH(ROW()-5,J$6:J$201,0)),"")</f>
        <v/>
      </c>
      <c r="E201" s="135" t="str">
        <f aca="false">IFERROR(INDEX(O$6:O$201,MATCH(ROW()-5,J$6:J$201,0)),"")</f>
        <v/>
      </c>
      <c r="F201" s="136" t="str">
        <f aca="false">IFERROR(INDEX(P$6:P$201,MATCH(ROW()-5,J$6:J$201,0)),"")</f>
        <v/>
      </c>
      <c r="G201" s="130"/>
      <c r="H201" s="130"/>
      <c r="I201" s="130"/>
      <c r="J201" s="130" t="str">
        <f aca="false">IF(OR(SUM(PROCESO!M240:M243)&gt;0,SUM(PROCESO!N240:N243)&gt;0),COUNT(J$6:J200)+1,"")</f>
        <v/>
      </c>
      <c r="K201" s="130" t="str">
        <f aca="false">IF(OR(SUM(PROCESO!M240:M243)&gt;0,SUM(PROCESO!N240:N243)&gt;0),PROCESO!A240&amp;IF(COUNTIF(PROCESO!$A$6:A239,PROCESO!A240)&gt;0," (Ped."&amp;(COUNTIF(PROCESO!$A$6:A239,PROCESO!A240)+1)&amp;")",""),"")</f>
        <v/>
      </c>
      <c r="L201" s="130" t="str">
        <f aca="false">IF(OR(SUM(PROCESO!M240:M243)&gt;0,SUM(PROCESO!N240:N243)&gt;0),"REPROCESO (devolución)","")</f>
        <v/>
      </c>
      <c r="M201" s="130" t="str">
        <f aca="false">IF(OR(SUM(PROCESO!M240:M243)&gt;0,SUM(PROCESO!N240:N243)&gt;0),SUM(PROCESO!N240:N243),"")</f>
        <v/>
      </c>
      <c r="N201" s="130" t="str">
        <f aca="false">""</f>
        <v/>
      </c>
      <c r="O201" s="130" t="str">
        <f aca="false">IF(OR(SUM(PROCESO!M240:M243)&gt;0,SUM(PROCESO!N240:N243)&gt;0),IF(SUM(PROCESO!M240:M243)&gt;0,SUM(PROCESO!M240:M243)&amp;" jabas devueltas · merma "&amp;TEXT((PROCESO!M240*15+PROCESO!M241*18+PROCESO!M242*17+PROCESO!M243*17)-SUM(PROCESO!N240:N243),"+#,##0;-#,##0;0")&amp;" kg",""),"")</f>
        <v/>
      </c>
      <c r="P201" s="130" t="n">
        <f aca="false">P200+N(M201)-N(N201)</f>
        <v>5288.5</v>
      </c>
      <c r="Q201" s="130"/>
      <c r="R201" s="130"/>
      <c r="S201" s="130"/>
      <c r="T201" s="130"/>
    </row>
    <row r="202" customFormat="false" ht="1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customFormat="false" ht="1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customFormat="false" ht="1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customFormat="false" ht="1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customFormat="false" ht="1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customFormat="false" ht="1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customFormat="false" ht="1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customFormat="false" ht="1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customFormat="false" ht="1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customFormat="false" ht="1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customFormat="false" ht="1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customFormat="false" ht="1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customFormat="false" ht="1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customFormat="false" ht="1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customFormat="false" ht="1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customFormat="false" ht="1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customFormat="false" ht="1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customFormat="false" ht="1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customFormat="false" ht="1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customFormat="false" ht="1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customFormat="false" ht="1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customFormat="false" ht="1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customFormat="false" ht="1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customFormat="false" ht="1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customFormat="false" ht="1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customFormat="false" ht="1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customFormat="false" ht="1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customFormat="false" ht="1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customFormat="false" ht="1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customFormat="false" ht="1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customFormat="false" ht="1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customFormat="false" ht="1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customFormat="false" ht="1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customFormat="false" ht="1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customFormat="false" ht="1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customFormat="false" ht="1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customFormat="false" ht="1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customFormat="false" ht="1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customFormat="false" ht="1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customFormat="false" ht="1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customFormat="false" ht="1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customFormat="false" ht="1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customFormat="false" ht="1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customFormat="false" ht="1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customFormat="false" ht="1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customFormat="false" ht="1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customFormat="false" ht="1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</row>
    <row r="249" customFormat="false" ht="1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</row>
    <row r="250" customFormat="false" ht="1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</row>
    <row r="251" customFormat="false" ht="1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</row>
    <row r="252" customFormat="false" ht="1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</row>
    <row r="253" customFormat="false" ht="1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</row>
    <row r="254" customFormat="false" ht="1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</row>
    <row r="255" customFormat="false" ht="1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</row>
    <row r="256" customFormat="false" ht="1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</row>
    <row r="257" customFormat="false" ht="1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</row>
    <row r="258" customFormat="false" ht="1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</row>
    <row r="259" customFormat="false" ht="1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</row>
    <row r="260" customFormat="false" ht="1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</row>
    <row r="261" customFormat="false" ht="1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</row>
    <row r="262" customFormat="false" ht="1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</row>
    <row r="263" customFormat="false" ht="1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</row>
    <row r="264" customFormat="false" ht="1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</row>
    <row r="265" customFormat="false" ht="1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</row>
    <row r="266" customFormat="false" ht="1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</row>
    <row r="267" customFormat="false" ht="1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</row>
    <row r="268" customFormat="false" ht="1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</row>
    <row r="269" customFormat="false" ht="1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</row>
    <row r="270" customFormat="false" ht="1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</row>
    <row r="271" customFormat="false" ht="1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</row>
    <row r="272" customFormat="false" ht="1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</row>
    <row r="273" customFormat="false" ht="1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</row>
    <row r="274" customFormat="false" ht="1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</row>
    <row r="275" customFormat="false" ht="1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</row>
    <row r="276" customFormat="false" ht="1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</row>
    <row r="277" customFormat="false" ht="1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</row>
    <row r="278" customFormat="false" ht="1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</row>
    <row r="279" customFormat="false" ht="1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</row>
    <row r="280" customFormat="false" ht="1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</row>
    <row r="281" customFormat="false" ht="1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</row>
    <row r="282" customFormat="false" ht="1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</row>
    <row r="283" customFormat="false" ht="1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</row>
    <row r="284" customFormat="false" ht="1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</row>
    <row r="285" customFormat="false" ht="1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</row>
    <row r="286" customFormat="false" ht="1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</row>
    <row r="287" customFormat="false" ht="1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</row>
    <row r="288" customFormat="false" ht="1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</row>
    <row r="289" customFormat="false" ht="1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</row>
    <row r="290" customFormat="false" ht="1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</row>
    <row r="291" customFormat="false" ht="1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</row>
    <row r="292" customFormat="false" ht="1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</row>
    <row r="293" customFormat="false" ht="1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</row>
    <row r="294" customFormat="false" ht="1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</row>
    <row r="295" customFormat="false" ht="1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</row>
    <row r="296" customFormat="false" ht="1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</row>
    <row r="297" customFormat="false" ht="1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</row>
    <row r="298" customFormat="false" ht="1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</row>
    <row r="299" customFormat="false" ht="1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</row>
    <row r="300" customFormat="false" ht="1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</row>
  </sheetData>
  <autoFilter ref="A5:F201"/>
  <mergeCells count="2">
    <mergeCell ref="A1:F1"/>
    <mergeCell ref="A2:F2"/>
  </mergeCells>
  <conditionalFormatting sqref="A6:F201">
    <cfRule type="expression" priority="2" aboveAverage="0" equalAverage="0" bottom="0" percent="0" rank="0" text="" dxfId="15">
      <formula>$B6="APERTURA (saldo semana anterior)"</formula>
    </cfRule>
    <cfRule type="expression" priority="3" aboveAverage="0" equalAverage="0" bottom="0" percent="0" rank="0" text="" dxfId="16">
      <formula>LEFT($B6,7)="INGRESO"</formula>
    </cfRule>
    <cfRule type="expression" priority="4" aboveAverage="0" equalAverage="0" bottom="0" percent="0" rank="0" text="" dxfId="17">
      <formula>LEFT($B6,7)="CHANCHO"</formula>
    </cfRule>
    <cfRule type="expression" priority="5" aboveAverage="0" equalAverage="0" bottom="0" percent="0" rank="0" text="" dxfId="18">
      <formula>LEFT($B6,9)="MALOGRADO"</formula>
    </cfRule>
    <cfRule type="expression" priority="6" aboveAverage="0" equalAverage="0" bottom="0" percent="0" rank="0" text="" dxfId="19">
      <formula>LEFT($B6,5)="ENVÍO"</formula>
    </cfRule>
    <cfRule type="expression" priority="7" aboveAverage="0" equalAverage="0" bottom="0" percent="0" rank="0" text="" dxfId="20">
      <formula>LEFT($B6,9)="REPROCESO"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2026-07-19T18:22:44Z</dcterms:created>
  <dc:creator>openpyxl</dc:creator>
  <dc:description/>
  <dc:language>en-US</dc:language>
  <cp:lastModifiedBy>Mirian Martinez Paredes</cp:lastModifiedBy>
  <cp:lastPrinted>2026-07-23T13:07:23Z</cp:lastPrinted>
  <dcterms:modified xsi:type="dcterms:W3CDTF">2026-07-24T23:07:10Z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